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4D1C537B-E38A-612A-F078-A93A15B4B7F4}"/>
  <workbookPr codeName="ThisWorkbook" defaultThemeVersion="124226"/>
  <mc:AlternateContent xmlns:mc="http://schemas.openxmlformats.org/markup-compatibility/2006">
    <mc:Choice Requires="x15">
      <x15ac:absPath xmlns:x15ac="http://schemas.microsoft.com/office/spreadsheetml/2010/11/ac" url="D:\download\"/>
    </mc:Choice>
  </mc:AlternateContent>
  <xr:revisionPtr revIDLastSave="0" documentId="13_ncr:1_{43EE1B6F-B2F8-4AF3-94A8-7B4896CB7732}" xr6:coauthVersionLast="47" xr6:coauthVersionMax="47" xr10:uidLastSave="{00000000-0000-0000-0000-000000000000}"/>
  <bookViews>
    <workbookView showSheetTabs="0" xWindow="-108" yWindow="-108" windowWidth="23256" windowHeight="12456" tabRatio="624" activeTab="4" xr2:uid="{00000000-000D-0000-FFFF-FFFF00000000}"/>
  </bookViews>
  <sheets>
    <sheet name="Sheet1" sheetId="39" r:id="rId1"/>
    <sheet name="Data" sheetId="14" r:id="rId2"/>
    <sheet name="Data2" sheetId="20" state="hidden" r:id="rId3"/>
    <sheet name="PA-Non" sheetId="28" r:id="rId4"/>
    <sheet name="PA" sheetId="1" r:id="rId5"/>
    <sheet name="DKN (2)" sheetId="36" r:id="rId6"/>
    <sheet name="Leger Mid" sheetId="40" r:id="rId7"/>
    <sheet name="Help" sheetId="30" r:id="rId8"/>
  </sheets>
  <definedNames>
    <definedName name="_xlnm._FilterDatabase" localSheetId="1" hidden="1">Data!$E$4:$J$524</definedName>
    <definedName name="_xlnm._FilterDatabase" localSheetId="5" hidden="1">'DKN (2)'!$F$10:$G$482</definedName>
    <definedName name="_xlnm._FilterDatabase" localSheetId="6" hidden="1">'Leger Mid'!$F$7:$F$527</definedName>
    <definedName name="_xlnm._FilterDatabase" localSheetId="4" hidden="1">PA!$A$9:$B$547</definedName>
    <definedName name="_xlnm._FilterDatabase" localSheetId="3" hidden="1">'PA-Non'!$A$9:$B$370</definedName>
    <definedName name="BACKUP.1" localSheetId="5">#REF!</definedName>
    <definedName name="BACKUP.1">#REF!</definedName>
    <definedName name="_xlnm.Print_Area" localSheetId="2">Data2!$A$3:$E$17</definedName>
    <definedName name="_xlnm.Print_Area" localSheetId="5">'DKN (2)'!$B$2:$M$537</definedName>
    <definedName name="_xlnm.Print_Area" localSheetId="7">Help!$B$2:$D$42</definedName>
    <definedName name="_xlnm.Print_Area" localSheetId="4">PA!$C$2:$AQ$489</definedName>
    <definedName name="_xlnm.Print_Titles" localSheetId="5">'DKN (2)'!$B:$E</definedName>
    <definedName name="_xlnm.Print_Titles" localSheetId="4">PA!$C:$F,PA!$6:$8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09" i="1" l="1"/>
  <c r="E409" i="1"/>
  <c r="D409" i="1"/>
  <c r="F408" i="1"/>
  <c r="E408" i="1"/>
  <c r="D408" i="1"/>
  <c r="F407" i="1"/>
  <c r="E407" i="1"/>
  <c r="C407" i="1" s="1"/>
  <c r="D407" i="1"/>
  <c r="F406" i="1"/>
  <c r="E406" i="1"/>
  <c r="D406" i="1"/>
  <c r="F405" i="1"/>
  <c r="E405" i="1"/>
  <c r="C405" i="1" s="1"/>
  <c r="D405" i="1"/>
  <c r="F404" i="1"/>
  <c r="E404" i="1"/>
  <c r="C404" i="1" s="1"/>
  <c r="D404" i="1"/>
  <c r="F403" i="1"/>
  <c r="E403" i="1"/>
  <c r="D403" i="1"/>
  <c r="F402" i="1"/>
  <c r="E402" i="1"/>
  <c r="D402" i="1"/>
  <c r="F401" i="1"/>
  <c r="E401" i="1"/>
  <c r="D401" i="1"/>
  <c r="F400" i="1"/>
  <c r="E400" i="1"/>
  <c r="D400" i="1"/>
  <c r="F399" i="1"/>
  <c r="E399" i="1"/>
  <c r="C399" i="1" s="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C402" i="1"/>
  <c r="C403" i="1"/>
  <c r="C406" i="1"/>
  <c r="F370" i="1"/>
  <c r="E370" i="1"/>
  <c r="D370" i="1"/>
  <c r="F371" i="1"/>
  <c r="E371" i="1"/>
  <c r="D371" i="1"/>
  <c r="F449" i="1"/>
  <c r="E449" i="1"/>
  <c r="C449" i="1" s="1"/>
  <c r="D449" i="1"/>
  <c r="F448" i="1"/>
  <c r="E448" i="1"/>
  <c r="D448" i="1"/>
  <c r="F447" i="1"/>
  <c r="E447" i="1"/>
  <c r="C447" i="1" s="1"/>
  <c r="D447" i="1"/>
  <c r="F446" i="1"/>
  <c r="E446" i="1"/>
  <c r="C446" i="1" s="1"/>
  <c r="D446" i="1"/>
  <c r="F445" i="1"/>
  <c r="E445" i="1"/>
  <c r="D445" i="1"/>
  <c r="F444" i="1"/>
  <c r="E444" i="1"/>
  <c r="C444" i="1" s="1"/>
  <c r="D444" i="1"/>
  <c r="F443" i="1"/>
  <c r="E443" i="1"/>
  <c r="C443" i="1" s="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C411" i="1" s="1"/>
  <c r="D411" i="1"/>
  <c r="F410" i="1"/>
  <c r="E410" i="1"/>
  <c r="D410" i="1"/>
  <c r="C436" i="1"/>
  <c r="C437" i="1" s="1"/>
  <c r="C442" i="1"/>
  <c r="C445" i="1"/>
  <c r="C448" i="1"/>
  <c r="C400" i="1"/>
  <c r="C401" i="1"/>
  <c r="C408" i="1"/>
  <c r="C409" i="1"/>
  <c r="C371" i="1"/>
  <c r="C372" i="1" l="1"/>
  <c r="C438" i="1"/>
  <c r="C373" i="1"/>
  <c r="C412" i="1"/>
  <c r="C374" i="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439" i="1"/>
  <c r="C440" i="1" s="1"/>
  <c r="C441" i="1" s="1"/>
  <c r="C413" i="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E450" i="1" l="1"/>
  <c r="G9" i="40" l="1"/>
  <c r="H9" i="40"/>
  <c r="I9" i="40"/>
  <c r="J9" i="40"/>
  <c r="K9" i="40"/>
  <c r="L9" i="40"/>
  <c r="M9" i="40"/>
  <c r="G10" i="40"/>
  <c r="H10" i="40"/>
  <c r="I10" i="40"/>
  <c r="J10" i="40"/>
  <c r="K10" i="40"/>
  <c r="L10" i="40"/>
  <c r="M10" i="40"/>
  <c r="G11" i="40"/>
  <c r="H11" i="40"/>
  <c r="I11" i="40"/>
  <c r="J11" i="40"/>
  <c r="K11" i="40"/>
  <c r="L11" i="40"/>
  <c r="M11" i="40"/>
  <c r="G12" i="40"/>
  <c r="H12" i="40"/>
  <c r="I12" i="40"/>
  <c r="J12" i="40"/>
  <c r="K12" i="40"/>
  <c r="L12" i="40"/>
  <c r="M12" i="40"/>
  <c r="G13" i="40"/>
  <c r="H13" i="40"/>
  <c r="I13" i="40"/>
  <c r="J13" i="40"/>
  <c r="K13" i="40"/>
  <c r="L13" i="40"/>
  <c r="M13" i="40"/>
  <c r="G14" i="40"/>
  <c r="H14" i="40"/>
  <c r="I14" i="40"/>
  <c r="J14" i="40"/>
  <c r="K14" i="40"/>
  <c r="L14" i="40"/>
  <c r="M14" i="40"/>
  <c r="G15" i="40"/>
  <c r="H15" i="40"/>
  <c r="I15" i="40"/>
  <c r="J15" i="40"/>
  <c r="K15" i="40"/>
  <c r="L15" i="40"/>
  <c r="M15" i="40"/>
  <c r="G16" i="40"/>
  <c r="H16" i="40"/>
  <c r="I16" i="40"/>
  <c r="J16" i="40"/>
  <c r="K16" i="40"/>
  <c r="L16" i="40"/>
  <c r="M16" i="40"/>
  <c r="G17" i="40"/>
  <c r="H17" i="40"/>
  <c r="I17" i="40"/>
  <c r="J17" i="40"/>
  <c r="K17" i="40"/>
  <c r="L17" i="40"/>
  <c r="M17" i="40"/>
  <c r="G18" i="40"/>
  <c r="H18" i="40"/>
  <c r="I18" i="40"/>
  <c r="J18" i="40"/>
  <c r="K18" i="40"/>
  <c r="L18" i="40"/>
  <c r="M18" i="40"/>
  <c r="G19" i="40"/>
  <c r="H19" i="40"/>
  <c r="I19" i="40"/>
  <c r="J19" i="40"/>
  <c r="K19" i="40"/>
  <c r="L19" i="40"/>
  <c r="M19" i="40"/>
  <c r="G20" i="40"/>
  <c r="H20" i="40"/>
  <c r="I20" i="40"/>
  <c r="J20" i="40"/>
  <c r="K20" i="40"/>
  <c r="L20" i="40"/>
  <c r="M20" i="40"/>
  <c r="G21" i="40"/>
  <c r="H21" i="40"/>
  <c r="I21" i="40"/>
  <c r="J21" i="40"/>
  <c r="K21" i="40"/>
  <c r="L21" i="40"/>
  <c r="M21" i="40"/>
  <c r="G22" i="40"/>
  <c r="H22" i="40"/>
  <c r="I22" i="40"/>
  <c r="J22" i="40"/>
  <c r="K22" i="40"/>
  <c r="L22" i="40"/>
  <c r="M22" i="40"/>
  <c r="G23" i="40"/>
  <c r="H23" i="40"/>
  <c r="I23" i="40"/>
  <c r="J23" i="40"/>
  <c r="K23" i="40"/>
  <c r="L23" i="40"/>
  <c r="M23" i="40"/>
  <c r="G24" i="40"/>
  <c r="H24" i="40"/>
  <c r="I24" i="40"/>
  <c r="J24" i="40"/>
  <c r="K24" i="40"/>
  <c r="L24" i="40"/>
  <c r="M24" i="40"/>
  <c r="G25" i="40"/>
  <c r="H25" i="40"/>
  <c r="I25" i="40"/>
  <c r="J25" i="40"/>
  <c r="K25" i="40"/>
  <c r="L25" i="40"/>
  <c r="M25" i="40"/>
  <c r="G26" i="40"/>
  <c r="H26" i="40"/>
  <c r="I26" i="40"/>
  <c r="J26" i="40"/>
  <c r="K26" i="40"/>
  <c r="L26" i="40"/>
  <c r="M26" i="40"/>
  <c r="G27" i="40"/>
  <c r="H27" i="40"/>
  <c r="I27" i="40"/>
  <c r="J27" i="40"/>
  <c r="K27" i="40"/>
  <c r="L27" i="40"/>
  <c r="M27" i="40"/>
  <c r="G28" i="40"/>
  <c r="H28" i="40"/>
  <c r="I28" i="40"/>
  <c r="J28" i="40"/>
  <c r="K28" i="40"/>
  <c r="L28" i="40"/>
  <c r="M28" i="40"/>
  <c r="G29" i="40"/>
  <c r="H29" i="40"/>
  <c r="I29" i="40"/>
  <c r="J29" i="40"/>
  <c r="K29" i="40"/>
  <c r="L29" i="40"/>
  <c r="M29" i="40"/>
  <c r="G30" i="40"/>
  <c r="H30" i="40"/>
  <c r="I30" i="40"/>
  <c r="J30" i="40"/>
  <c r="K30" i="40"/>
  <c r="L30" i="40"/>
  <c r="M30" i="40"/>
  <c r="G31" i="40"/>
  <c r="H31" i="40"/>
  <c r="I31" i="40"/>
  <c r="J31" i="40"/>
  <c r="K31" i="40"/>
  <c r="L31" i="40"/>
  <c r="M31" i="40"/>
  <c r="G32" i="40"/>
  <c r="H32" i="40"/>
  <c r="I32" i="40"/>
  <c r="J32" i="40"/>
  <c r="K32" i="40"/>
  <c r="L32" i="40"/>
  <c r="M32" i="40"/>
  <c r="G33" i="40"/>
  <c r="H33" i="40"/>
  <c r="I33" i="40"/>
  <c r="J33" i="40"/>
  <c r="K33" i="40"/>
  <c r="L33" i="40"/>
  <c r="M33" i="40"/>
  <c r="G34" i="40"/>
  <c r="H34" i="40"/>
  <c r="I34" i="40"/>
  <c r="J34" i="40"/>
  <c r="K34" i="40"/>
  <c r="L34" i="40"/>
  <c r="M34" i="40"/>
  <c r="G35" i="40"/>
  <c r="H35" i="40"/>
  <c r="I35" i="40"/>
  <c r="J35" i="40"/>
  <c r="K35" i="40"/>
  <c r="L35" i="40"/>
  <c r="M35" i="40"/>
  <c r="G36" i="40"/>
  <c r="H36" i="40"/>
  <c r="I36" i="40"/>
  <c r="J36" i="40"/>
  <c r="K36" i="40"/>
  <c r="L36" i="40"/>
  <c r="M36" i="40"/>
  <c r="G37" i="40"/>
  <c r="H37" i="40"/>
  <c r="I37" i="40"/>
  <c r="J37" i="40"/>
  <c r="K37" i="40"/>
  <c r="L37" i="40"/>
  <c r="M37" i="40"/>
  <c r="G38" i="40"/>
  <c r="H38" i="40"/>
  <c r="I38" i="40"/>
  <c r="J38" i="40"/>
  <c r="K38" i="40"/>
  <c r="L38" i="40"/>
  <c r="M38" i="40"/>
  <c r="G39" i="40"/>
  <c r="H39" i="40"/>
  <c r="I39" i="40"/>
  <c r="J39" i="40"/>
  <c r="K39" i="40"/>
  <c r="L39" i="40"/>
  <c r="M39" i="40"/>
  <c r="G40" i="40"/>
  <c r="H40" i="40"/>
  <c r="I40" i="40"/>
  <c r="J40" i="40"/>
  <c r="K40" i="40"/>
  <c r="L40" i="40"/>
  <c r="M40" i="40"/>
  <c r="G41" i="40"/>
  <c r="H41" i="40"/>
  <c r="I41" i="40"/>
  <c r="J41" i="40"/>
  <c r="K41" i="40"/>
  <c r="L41" i="40"/>
  <c r="M41" i="40"/>
  <c r="G42" i="40"/>
  <c r="H42" i="40"/>
  <c r="I42" i="40"/>
  <c r="J42" i="40"/>
  <c r="K42" i="40"/>
  <c r="L42" i="40"/>
  <c r="M42" i="40"/>
  <c r="G43" i="40"/>
  <c r="H43" i="40"/>
  <c r="I43" i="40"/>
  <c r="J43" i="40"/>
  <c r="K43" i="40"/>
  <c r="L43" i="40"/>
  <c r="M43" i="40"/>
  <c r="G44" i="40"/>
  <c r="H44" i="40"/>
  <c r="I44" i="40"/>
  <c r="J44" i="40"/>
  <c r="K44" i="40"/>
  <c r="L44" i="40"/>
  <c r="M44" i="40"/>
  <c r="G45" i="40"/>
  <c r="H45" i="40"/>
  <c r="I45" i="40"/>
  <c r="J45" i="40"/>
  <c r="K45" i="40"/>
  <c r="L45" i="40"/>
  <c r="M45" i="40"/>
  <c r="G46" i="40"/>
  <c r="H46" i="40"/>
  <c r="I46" i="40"/>
  <c r="J46" i="40"/>
  <c r="K46" i="40"/>
  <c r="L46" i="40"/>
  <c r="M46" i="40"/>
  <c r="G47" i="40"/>
  <c r="H47" i="40"/>
  <c r="I47" i="40"/>
  <c r="J47" i="40"/>
  <c r="K47" i="40"/>
  <c r="L47" i="40"/>
  <c r="M47" i="40"/>
  <c r="G48" i="40"/>
  <c r="H48" i="40"/>
  <c r="I48" i="40"/>
  <c r="J48" i="40"/>
  <c r="K48" i="40"/>
  <c r="L48" i="40"/>
  <c r="M48" i="40"/>
  <c r="G49" i="40"/>
  <c r="H49" i="40"/>
  <c r="I49" i="40"/>
  <c r="J49" i="40"/>
  <c r="K49" i="40"/>
  <c r="L49" i="40"/>
  <c r="M49" i="40"/>
  <c r="G50" i="40"/>
  <c r="H50" i="40"/>
  <c r="I50" i="40"/>
  <c r="J50" i="40"/>
  <c r="K50" i="40"/>
  <c r="L50" i="40"/>
  <c r="M50" i="40"/>
  <c r="G51" i="40"/>
  <c r="H51" i="40"/>
  <c r="I51" i="40"/>
  <c r="J51" i="40"/>
  <c r="K51" i="40"/>
  <c r="L51" i="40"/>
  <c r="M51" i="40"/>
  <c r="G52" i="40"/>
  <c r="H52" i="40"/>
  <c r="I52" i="40"/>
  <c r="J52" i="40"/>
  <c r="K52" i="40"/>
  <c r="L52" i="40"/>
  <c r="M52" i="40"/>
  <c r="G53" i="40"/>
  <c r="H53" i="40"/>
  <c r="I53" i="40"/>
  <c r="J53" i="40"/>
  <c r="K53" i="40"/>
  <c r="L53" i="40"/>
  <c r="M53" i="40"/>
  <c r="G54" i="40"/>
  <c r="H54" i="40"/>
  <c r="I54" i="40"/>
  <c r="J54" i="40"/>
  <c r="K54" i="40"/>
  <c r="L54" i="40"/>
  <c r="M54" i="40"/>
  <c r="G55" i="40"/>
  <c r="H55" i="40"/>
  <c r="I55" i="40"/>
  <c r="J55" i="40"/>
  <c r="K55" i="40"/>
  <c r="L55" i="40"/>
  <c r="M55" i="40"/>
  <c r="G56" i="40"/>
  <c r="H56" i="40"/>
  <c r="I56" i="40"/>
  <c r="J56" i="40"/>
  <c r="K56" i="40"/>
  <c r="L56" i="40"/>
  <c r="M56" i="40"/>
  <c r="G57" i="40"/>
  <c r="H57" i="40"/>
  <c r="I57" i="40"/>
  <c r="J57" i="40"/>
  <c r="K57" i="40"/>
  <c r="L57" i="40"/>
  <c r="M57" i="40"/>
  <c r="G58" i="40"/>
  <c r="H58" i="40"/>
  <c r="I58" i="40"/>
  <c r="J58" i="40"/>
  <c r="K58" i="40"/>
  <c r="L58" i="40"/>
  <c r="M58" i="40"/>
  <c r="G59" i="40"/>
  <c r="H59" i="40"/>
  <c r="I59" i="40"/>
  <c r="J59" i="40"/>
  <c r="K59" i="40"/>
  <c r="L59" i="40"/>
  <c r="M59" i="40"/>
  <c r="G60" i="40"/>
  <c r="H60" i="40"/>
  <c r="I60" i="40"/>
  <c r="J60" i="40"/>
  <c r="K60" i="40"/>
  <c r="L60" i="40"/>
  <c r="M60" i="40"/>
  <c r="G61" i="40"/>
  <c r="H61" i="40"/>
  <c r="I61" i="40"/>
  <c r="J61" i="40"/>
  <c r="K61" i="40"/>
  <c r="L61" i="40"/>
  <c r="M61" i="40"/>
  <c r="G62" i="40"/>
  <c r="H62" i="40"/>
  <c r="I62" i="40"/>
  <c r="J62" i="40"/>
  <c r="K62" i="40"/>
  <c r="L62" i="40"/>
  <c r="M62" i="40"/>
  <c r="G63" i="40"/>
  <c r="H63" i="40"/>
  <c r="I63" i="40"/>
  <c r="J63" i="40"/>
  <c r="K63" i="40"/>
  <c r="L63" i="40"/>
  <c r="M63" i="40"/>
  <c r="G64" i="40"/>
  <c r="H64" i="40"/>
  <c r="I64" i="40"/>
  <c r="J64" i="40"/>
  <c r="K64" i="40"/>
  <c r="L64" i="40"/>
  <c r="M64" i="40"/>
  <c r="G65" i="40"/>
  <c r="H65" i="40"/>
  <c r="I65" i="40"/>
  <c r="J65" i="40"/>
  <c r="K65" i="40"/>
  <c r="L65" i="40"/>
  <c r="M65" i="40"/>
  <c r="G66" i="40"/>
  <c r="H66" i="40"/>
  <c r="I66" i="40"/>
  <c r="J66" i="40"/>
  <c r="K66" i="40"/>
  <c r="L66" i="40"/>
  <c r="M66" i="40"/>
  <c r="G67" i="40"/>
  <c r="H67" i="40"/>
  <c r="I67" i="40"/>
  <c r="J67" i="40"/>
  <c r="K67" i="40"/>
  <c r="L67" i="40"/>
  <c r="M67" i="40"/>
  <c r="G68" i="40"/>
  <c r="H68" i="40"/>
  <c r="I68" i="40"/>
  <c r="J68" i="40"/>
  <c r="K68" i="40"/>
  <c r="L68" i="40"/>
  <c r="M68" i="40"/>
  <c r="G69" i="40"/>
  <c r="H69" i="40"/>
  <c r="I69" i="40"/>
  <c r="J69" i="40"/>
  <c r="K69" i="40"/>
  <c r="L69" i="40"/>
  <c r="M69" i="40"/>
  <c r="G70" i="40"/>
  <c r="H70" i="40"/>
  <c r="I70" i="40"/>
  <c r="J70" i="40"/>
  <c r="K70" i="40"/>
  <c r="L70" i="40"/>
  <c r="M70" i="40"/>
  <c r="G71" i="40"/>
  <c r="H71" i="40"/>
  <c r="I71" i="40"/>
  <c r="J71" i="40"/>
  <c r="K71" i="40"/>
  <c r="L71" i="40"/>
  <c r="M71" i="40"/>
  <c r="G72" i="40"/>
  <c r="H72" i="40"/>
  <c r="I72" i="40"/>
  <c r="J72" i="40"/>
  <c r="K72" i="40"/>
  <c r="L72" i="40"/>
  <c r="M72" i="40"/>
  <c r="G73" i="40"/>
  <c r="H73" i="40"/>
  <c r="I73" i="40"/>
  <c r="J73" i="40"/>
  <c r="K73" i="40"/>
  <c r="L73" i="40"/>
  <c r="M73" i="40"/>
  <c r="G74" i="40"/>
  <c r="H74" i="40"/>
  <c r="I74" i="40"/>
  <c r="J74" i="40"/>
  <c r="K74" i="40"/>
  <c r="L74" i="40"/>
  <c r="M74" i="40"/>
  <c r="G75" i="40"/>
  <c r="H75" i="40"/>
  <c r="I75" i="40"/>
  <c r="J75" i="40"/>
  <c r="K75" i="40"/>
  <c r="L75" i="40"/>
  <c r="M75" i="40"/>
  <c r="G76" i="40"/>
  <c r="H76" i="40"/>
  <c r="I76" i="40"/>
  <c r="J76" i="40"/>
  <c r="K76" i="40"/>
  <c r="L76" i="40"/>
  <c r="M76" i="40"/>
  <c r="G77" i="40"/>
  <c r="H77" i="40"/>
  <c r="I77" i="40"/>
  <c r="J77" i="40"/>
  <c r="K77" i="40"/>
  <c r="L77" i="40"/>
  <c r="M77" i="40"/>
  <c r="G78" i="40"/>
  <c r="H78" i="40"/>
  <c r="I78" i="40"/>
  <c r="J78" i="40"/>
  <c r="K78" i="40"/>
  <c r="L78" i="40"/>
  <c r="M78" i="40"/>
  <c r="G79" i="40"/>
  <c r="H79" i="40"/>
  <c r="I79" i="40"/>
  <c r="J79" i="40"/>
  <c r="K79" i="40"/>
  <c r="L79" i="40"/>
  <c r="M79" i="40"/>
  <c r="G80" i="40"/>
  <c r="H80" i="40"/>
  <c r="I80" i="40"/>
  <c r="J80" i="40"/>
  <c r="K80" i="40"/>
  <c r="L80" i="40"/>
  <c r="M80" i="40"/>
  <c r="G81" i="40"/>
  <c r="H81" i="40"/>
  <c r="I81" i="40"/>
  <c r="J81" i="40"/>
  <c r="K81" i="40"/>
  <c r="L81" i="40"/>
  <c r="M81" i="40"/>
  <c r="G82" i="40"/>
  <c r="H82" i="40"/>
  <c r="I82" i="40"/>
  <c r="J82" i="40"/>
  <c r="K82" i="40"/>
  <c r="L82" i="40"/>
  <c r="M82" i="40"/>
  <c r="G83" i="40"/>
  <c r="H83" i="40"/>
  <c r="I83" i="40"/>
  <c r="J83" i="40"/>
  <c r="K83" i="40"/>
  <c r="L83" i="40"/>
  <c r="M83" i="40"/>
  <c r="G84" i="40"/>
  <c r="H84" i="40"/>
  <c r="I84" i="40"/>
  <c r="J84" i="40"/>
  <c r="K84" i="40"/>
  <c r="L84" i="40"/>
  <c r="M84" i="40"/>
  <c r="G85" i="40"/>
  <c r="H85" i="40"/>
  <c r="I85" i="40"/>
  <c r="J85" i="40"/>
  <c r="K85" i="40"/>
  <c r="L85" i="40"/>
  <c r="M85" i="40"/>
  <c r="G86" i="40"/>
  <c r="H86" i="40"/>
  <c r="I86" i="40"/>
  <c r="J86" i="40"/>
  <c r="K86" i="40"/>
  <c r="L86" i="40"/>
  <c r="M86" i="40"/>
  <c r="G87" i="40"/>
  <c r="H87" i="40"/>
  <c r="I87" i="40"/>
  <c r="J87" i="40"/>
  <c r="K87" i="40"/>
  <c r="L87" i="40"/>
  <c r="M87" i="40"/>
  <c r="G88" i="40"/>
  <c r="H88" i="40"/>
  <c r="I88" i="40"/>
  <c r="J88" i="40"/>
  <c r="K88" i="40"/>
  <c r="L88" i="40"/>
  <c r="M88" i="40"/>
  <c r="G89" i="40"/>
  <c r="H89" i="40"/>
  <c r="I89" i="40"/>
  <c r="J89" i="40"/>
  <c r="K89" i="40"/>
  <c r="L89" i="40"/>
  <c r="M89" i="40"/>
  <c r="G90" i="40"/>
  <c r="H90" i="40"/>
  <c r="I90" i="40"/>
  <c r="J90" i="40"/>
  <c r="K90" i="40"/>
  <c r="L90" i="40"/>
  <c r="M90" i="40"/>
  <c r="G91" i="40"/>
  <c r="H91" i="40"/>
  <c r="I91" i="40"/>
  <c r="J91" i="40"/>
  <c r="K91" i="40"/>
  <c r="L91" i="40"/>
  <c r="M91" i="40"/>
  <c r="G92" i="40"/>
  <c r="H92" i="40"/>
  <c r="I92" i="40"/>
  <c r="J92" i="40"/>
  <c r="K92" i="40"/>
  <c r="L92" i="40"/>
  <c r="M92" i="40"/>
  <c r="G93" i="40"/>
  <c r="H93" i="40"/>
  <c r="I93" i="40"/>
  <c r="J93" i="40"/>
  <c r="K93" i="40"/>
  <c r="L93" i="40"/>
  <c r="M93" i="40"/>
  <c r="G94" i="40"/>
  <c r="H94" i="40"/>
  <c r="I94" i="40"/>
  <c r="J94" i="40"/>
  <c r="K94" i="40"/>
  <c r="L94" i="40"/>
  <c r="M94" i="40"/>
  <c r="G95" i="40"/>
  <c r="H95" i="40"/>
  <c r="I95" i="40"/>
  <c r="J95" i="40"/>
  <c r="K95" i="40"/>
  <c r="L95" i="40"/>
  <c r="M95" i="40"/>
  <c r="G96" i="40"/>
  <c r="H96" i="40"/>
  <c r="I96" i="40"/>
  <c r="J96" i="40"/>
  <c r="K96" i="40"/>
  <c r="L96" i="40"/>
  <c r="M96" i="40"/>
  <c r="G97" i="40"/>
  <c r="H97" i="40"/>
  <c r="I97" i="40"/>
  <c r="J97" i="40"/>
  <c r="K97" i="40"/>
  <c r="L97" i="40"/>
  <c r="M97" i="40"/>
  <c r="G98" i="40"/>
  <c r="H98" i="40"/>
  <c r="I98" i="40"/>
  <c r="J98" i="40"/>
  <c r="K98" i="40"/>
  <c r="L98" i="40"/>
  <c r="M98" i="40"/>
  <c r="G99" i="40"/>
  <c r="H99" i="40"/>
  <c r="I99" i="40"/>
  <c r="J99" i="40"/>
  <c r="K99" i="40"/>
  <c r="L99" i="40"/>
  <c r="M99" i="40"/>
  <c r="G100" i="40"/>
  <c r="H100" i="40"/>
  <c r="I100" i="40"/>
  <c r="J100" i="40"/>
  <c r="K100" i="40"/>
  <c r="L100" i="40"/>
  <c r="M100" i="40"/>
  <c r="G101" i="40"/>
  <c r="H101" i="40"/>
  <c r="I101" i="40"/>
  <c r="J101" i="40"/>
  <c r="K101" i="40"/>
  <c r="L101" i="40"/>
  <c r="M101" i="40"/>
  <c r="G102" i="40"/>
  <c r="H102" i="40"/>
  <c r="I102" i="40"/>
  <c r="J102" i="40"/>
  <c r="K102" i="40"/>
  <c r="L102" i="40"/>
  <c r="M102" i="40"/>
  <c r="G103" i="40"/>
  <c r="H103" i="40"/>
  <c r="I103" i="40"/>
  <c r="J103" i="40"/>
  <c r="K103" i="40"/>
  <c r="L103" i="40"/>
  <c r="M103" i="40"/>
  <c r="G104" i="40"/>
  <c r="H104" i="40"/>
  <c r="I104" i="40"/>
  <c r="J104" i="40"/>
  <c r="K104" i="40"/>
  <c r="L104" i="40"/>
  <c r="M104" i="40"/>
  <c r="G105" i="40"/>
  <c r="H105" i="40"/>
  <c r="I105" i="40"/>
  <c r="J105" i="40"/>
  <c r="K105" i="40"/>
  <c r="L105" i="40"/>
  <c r="M105" i="40"/>
  <c r="G106" i="40"/>
  <c r="H106" i="40"/>
  <c r="I106" i="40"/>
  <c r="J106" i="40"/>
  <c r="K106" i="40"/>
  <c r="L106" i="40"/>
  <c r="M106" i="40"/>
  <c r="G107" i="40"/>
  <c r="H107" i="40"/>
  <c r="I107" i="40"/>
  <c r="J107" i="40"/>
  <c r="K107" i="40"/>
  <c r="L107" i="40"/>
  <c r="M107" i="40"/>
  <c r="G108" i="40"/>
  <c r="H108" i="40"/>
  <c r="I108" i="40"/>
  <c r="J108" i="40"/>
  <c r="K108" i="40"/>
  <c r="L108" i="40"/>
  <c r="M108" i="40"/>
  <c r="G109" i="40"/>
  <c r="H109" i="40"/>
  <c r="I109" i="40"/>
  <c r="J109" i="40"/>
  <c r="K109" i="40"/>
  <c r="L109" i="40"/>
  <c r="M109" i="40"/>
  <c r="G110" i="40"/>
  <c r="H110" i="40"/>
  <c r="I110" i="40"/>
  <c r="J110" i="40"/>
  <c r="K110" i="40"/>
  <c r="L110" i="40"/>
  <c r="M110" i="40"/>
  <c r="G111" i="40"/>
  <c r="H111" i="40"/>
  <c r="I111" i="40"/>
  <c r="J111" i="40"/>
  <c r="K111" i="40"/>
  <c r="L111" i="40"/>
  <c r="M111" i="40"/>
  <c r="G112" i="40"/>
  <c r="H112" i="40"/>
  <c r="I112" i="40"/>
  <c r="J112" i="40"/>
  <c r="K112" i="40"/>
  <c r="L112" i="40"/>
  <c r="M112" i="40"/>
  <c r="G113" i="40"/>
  <c r="H113" i="40"/>
  <c r="I113" i="40"/>
  <c r="J113" i="40"/>
  <c r="K113" i="40"/>
  <c r="L113" i="40"/>
  <c r="M113" i="40"/>
  <c r="G114" i="40"/>
  <c r="H114" i="40"/>
  <c r="I114" i="40"/>
  <c r="J114" i="40"/>
  <c r="K114" i="40"/>
  <c r="L114" i="40"/>
  <c r="M114" i="40"/>
  <c r="G115" i="40"/>
  <c r="H115" i="40"/>
  <c r="I115" i="40"/>
  <c r="J115" i="40"/>
  <c r="K115" i="40"/>
  <c r="L115" i="40"/>
  <c r="M115" i="40"/>
  <c r="G116" i="40"/>
  <c r="H116" i="40"/>
  <c r="I116" i="40"/>
  <c r="J116" i="40"/>
  <c r="K116" i="40"/>
  <c r="L116" i="40"/>
  <c r="M116" i="40"/>
  <c r="G117" i="40"/>
  <c r="H117" i="40"/>
  <c r="I117" i="40"/>
  <c r="J117" i="40"/>
  <c r="K117" i="40"/>
  <c r="L117" i="40"/>
  <c r="M117" i="40"/>
  <c r="G118" i="40"/>
  <c r="H118" i="40"/>
  <c r="I118" i="40"/>
  <c r="J118" i="40"/>
  <c r="K118" i="40"/>
  <c r="L118" i="40"/>
  <c r="M118" i="40"/>
  <c r="G119" i="40"/>
  <c r="H119" i="40"/>
  <c r="I119" i="40"/>
  <c r="J119" i="40"/>
  <c r="K119" i="40"/>
  <c r="L119" i="40"/>
  <c r="M119" i="40"/>
  <c r="G120" i="40"/>
  <c r="H120" i="40"/>
  <c r="I120" i="40"/>
  <c r="J120" i="40"/>
  <c r="K120" i="40"/>
  <c r="L120" i="40"/>
  <c r="M120" i="40"/>
  <c r="G121" i="40"/>
  <c r="H121" i="40"/>
  <c r="I121" i="40"/>
  <c r="J121" i="40"/>
  <c r="K121" i="40"/>
  <c r="L121" i="40"/>
  <c r="M121" i="40"/>
  <c r="G122" i="40"/>
  <c r="H122" i="40"/>
  <c r="I122" i="40"/>
  <c r="J122" i="40"/>
  <c r="K122" i="40"/>
  <c r="L122" i="40"/>
  <c r="M122" i="40"/>
  <c r="G123" i="40"/>
  <c r="H123" i="40"/>
  <c r="I123" i="40"/>
  <c r="J123" i="40"/>
  <c r="K123" i="40"/>
  <c r="L123" i="40"/>
  <c r="M123" i="40"/>
  <c r="G124" i="40"/>
  <c r="H124" i="40"/>
  <c r="I124" i="40"/>
  <c r="J124" i="40"/>
  <c r="K124" i="40"/>
  <c r="L124" i="40"/>
  <c r="M124" i="40"/>
  <c r="G125" i="40"/>
  <c r="H125" i="40"/>
  <c r="I125" i="40"/>
  <c r="J125" i="40"/>
  <c r="K125" i="40"/>
  <c r="L125" i="40"/>
  <c r="M125" i="40"/>
  <c r="G126" i="40"/>
  <c r="H126" i="40"/>
  <c r="I126" i="40"/>
  <c r="J126" i="40"/>
  <c r="K126" i="40"/>
  <c r="L126" i="40"/>
  <c r="M126" i="40"/>
  <c r="G127" i="40"/>
  <c r="H127" i="40"/>
  <c r="I127" i="40"/>
  <c r="J127" i="40"/>
  <c r="K127" i="40"/>
  <c r="L127" i="40"/>
  <c r="M127" i="40"/>
  <c r="G128" i="40"/>
  <c r="H128" i="40"/>
  <c r="I128" i="40"/>
  <c r="J128" i="40"/>
  <c r="K128" i="40"/>
  <c r="L128" i="40"/>
  <c r="M128" i="40"/>
  <c r="G129" i="40"/>
  <c r="H129" i="40"/>
  <c r="I129" i="40"/>
  <c r="J129" i="40"/>
  <c r="K129" i="40"/>
  <c r="L129" i="40"/>
  <c r="M129" i="40"/>
  <c r="G130" i="40"/>
  <c r="H130" i="40"/>
  <c r="I130" i="40"/>
  <c r="J130" i="40"/>
  <c r="K130" i="40"/>
  <c r="L130" i="40"/>
  <c r="M130" i="40"/>
  <c r="G131" i="40"/>
  <c r="H131" i="40"/>
  <c r="I131" i="40"/>
  <c r="J131" i="40"/>
  <c r="K131" i="40"/>
  <c r="L131" i="40"/>
  <c r="M131" i="40"/>
  <c r="G132" i="40"/>
  <c r="H132" i="40"/>
  <c r="I132" i="40"/>
  <c r="J132" i="40"/>
  <c r="K132" i="40"/>
  <c r="L132" i="40"/>
  <c r="M132" i="40"/>
  <c r="G133" i="40"/>
  <c r="H133" i="40"/>
  <c r="I133" i="40"/>
  <c r="J133" i="40"/>
  <c r="K133" i="40"/>
  <c r="L133" i="40"/>
  <c r="M133" i="40"/>
  <c r="G134" i="40"/>
  <c r="H134" i="40"/>
  <c r="I134" i="40"/>
  <c r="J134" i="40"/>
  <c r="K134" i="40"/>
  <c r="L134" i="40"/>
  <c r="M134" i="40"/>
  <c r="G135" i="40"/>
  <c r="H135" i="40"/>
  <c r="I135" i="40"/>
  <c r="J135" i="40"/>
  <c r="K135" i="40"/>
  <c r="L135" i="40"/>
  <c r="M135" i="40"/>
  <c r="G136" i="40"/>
  <c r="H136" i="40"/>
  <c r="I136" i="40"/>
  <c r="J136" i="40"/>
  <c r="K136" i="40"/>
  <c r="L136" i="40"/>
  <c r="M136" i="40"/>
  <c r="G137" i="40"/>
  <c r="H137" i="40"/>
  <c r="I137" i="40"/>
  <c r="J137" i="40"/>
  <c r="K137" i="40"/>
  <c r="L137" i="40"/>
  <c r="M137" i="40"/>
  <c r="G138" i="40"/>
  <c r="H138" i="40"/>
  <c r="I138" i="40"/>
  <c r="J138" i="40"/>
  <c r="K138" i="40"/>
  <c r="L138" i="40"/>
  <c r="M138" i="40"/>
  <c r="G139" i="40"/>
  <c r="H139" i="40"/>
  <c r="I139" i="40"/>
  <c r="J139" i="40"/>
  <c r="K139" i="40"/>
  <c r="L139" i="40"/>
  <c r="M139" i="40"/>
  <c r="G140" i="40"/>
  <c r="H140" i="40"/>
  <c r="I140" i="40"/>
  <c r="J140" i="40"/>
  <c r="K140" i="40"/>
  <c r="L140" i="40"/>
  <c r="M140" i="40"/>
  <c r="G141" i="40"/>
  <c r="H141" i="40"/>
  <c r="I141" i="40"/>
  <c r="J141" i="40"/>
  <c r="K141" i="40"/>
  <c r="L141" i="40"/>
  <c r="M141" i="40"/>
  <c r="G142" i="40"/>
  <c r="H142" i="40"/>
  <c r="I142" i="40"/>
  <c r="J142" i="40"/>
  <c r="K142" i="40"/>
  <c r="L142" i="40"/>
  <c r="M142" i="40"/>
  <c r="G143" i="40"/>
  <c r="H143" i="40"/>
  <c r="I143" i="40"/>
  <c r="J143" i="40"/>
  <c r="K143" i="40"/>
  <c r="L143" i="40"/>
  <c r="M143" i="40"/>
  <c r="G144" i="40"/>
  <c r="H144" i="40"/>
  <c r="I144" i="40"/>
  <c r="J144" i="40"/>
  <c r="K144" i="40"/>
  <c r="L144" i="40"/>
  <c r="M144" i="40"/>
  <c r="G145" i="40"/>
  <c r="H145" i="40"/>
  <c r="I145" i="40"/>
  <c r="J145" i="40"/>
  <c r="K145" i="40"/>
  <c r="L145" i="40"/>
  <c r="M145" i="40"/>
  <c r="G146" i="40"/>
  <c r="H146" i="40"/>
  <c r="I146" i="40"/>
  <c r="J146" i="40"/>
  <c r="K146" i="40"/>
  <c r="L146" i="40"/>
  <c r="M146" i="40"/>
  <c r="G147" i="40"/>
  <c r="H147" i="40"/>
  <c r="I147" i="40"/>
  <c r="J147" i="40"/>
  <c r="K147" i="40"/>
  <c r="L147" i="40"/>
  <c r="M147" i="40"/>
  <c r="G148" i="40"/>
  <c r="H148" i="40"/>
  <c r="I148" i="40"/>
  <c r="J148" i="40"/>
  <c r="K148" i="40"/>
  <c r="L148" i="40"/>
  <c r="M148" i="40"/>
  <c r="G149" i="40"/>
  <c r="H149" i="40"/>
  <c r="I149" i="40"/>
  <c r="J149" i="40"/>
  <c r="K149" i="40"/>
  <c r="L149" i="40"/>
  <c r="M149" i="40"/>
  <c r="G150" i="40"/>
  <c r="H150" i="40"/>
  <c r="I150" i="40"/>
  <c r="J150" i="40"/>
  <c r="K150" i="40"/>
  <c r="L150" i="40"/>
  <c r="M150" i="40"/>
  <c r="G151" i="40"/>
  <c r="H151" i="40"/>
  <c r="I151" i="40"/>
  <c r="J151" i="40"/>
  <c r="K151" i="40"/>
  <c r="L151" i="40"/>
  <c r="M151" i="40"/>
  <c r="G152" i="40"/>
  <c r="H152" i="40"/>
  <c r="I152" i="40"/>
  <c r="J152" i="40"/>
  <c r="K152" i="40"/>
  <c r="L152" i="40"/>
  <c r="M152" i="40"/>
  <c r="G153" i="40"/>
  <c r="H153" i="40"/>
  <c r="I153" i="40"/>
  <c r="J153" i="40"/>
  <c r="K153" i="40"/>
  <c r="L153" i="40"/>
  <c r="M153" i="40"/>
  <c r="G154" i="40"/>
  <c r="H154" i="40"/>
  <c r="I154" i="40"/>
  <c r="J154" i="40"/>
  <c r="K154" i="40"/>
  <c r="L154" i="40"/>
  <c r="M154" i="40"/>
  <c r="G155" i="40"/>
  <c r="H155" i="40"/>
  <c r="I155" i="40"/>
  <c r="J155" i="40"/>
  <c r="K155" i="40"/>
  <c r="L155" i="40"/>
  <c r="M155" i="40"/>
  <c r="G156" i="40"/>
  <c r="H156" i="40"/>
  <c r="I156" i="40"/>
  <c r="J156" i="40"/>
  <c r="K156" i="40"/>
  <c r="L156" i="40"/>
  <c r="M156" i="40"/>
  <c r="G157" i="40"/>
  <c r="H157" i="40"/>
  <c r="I157" i="40"/>
  <c r="J157" i="40"/>
  <c r="K157" i="40"/>
  <c r="L157" i="40"/>
  <c r="M157" i="40"/>
  <c r="G158" i="40"/>
  <c r="H158" i="40"/>
  <c r="I158" i="40"/>
  <c r="J158" i="40"/>
  <c r="K158" i="40"/>
  <c r="L158" i="40"/>
  <c r="M158" i="40"/>
  <c r="G159" i="40"/>
  <c r="H159" i="40"/>
  <c r="I159" i="40"/>
  <c r="J159" i="40"/>
  <c r="K159" i="40"/>
  <c r="L159" i="40"/>
  <c r="M159" i="40"/>
  <c r="G160" i="40"/>
  <c r="H160" i="40"/>
  <c r="I160" i="40"/>
  <c r="J160" i="40"/>
  <c r="K160" i="40"/>
  <c r="L160" i="40"/>
  <c r="M160" i="40"/>
  <c r="G161" i="40"/>
  <c r="H161" i="40"/>
  <c r="I161" i="40"/>
  <c r="J161" i="40"/>
  <c r="K161" i="40"/>
  <c r="L161" i="40"/>
  <c r="M161" i="40"/>
  <c r="G162" i="40"/>
  <c r="H162" i="40"/>
  <c r="I162" i="40"/>
  <c r="J162" i="40"/>
  <c r="K162" i="40"/>
  <c r="L162" i="40"/>
  <c r="M162" i="40"/>
  <c r="G163" i="40"/>
  <c r="H163" i="40"/>
  <c r="I163" i="40"/>
  <c r="J163" i="40"/>
  <c r="K163" i="40"/>
  <c r="L163" i="40"/>
  <c r="M163" i="40"/>
  <c r="G164" i="40"/>
  <c r="H164" i="40"/>
  <c r="I164" i="40"/>
  <c r="J164" i="40"/>
  <c r="K164" i="40"/>
  <c r="L164" i="40"/>
  <c r="M164" i="40"/>
  <c r="G165" i="40"/>
  <c r="H165" i="40"/>
  <c r="I165" i="40"/>
  <c r="J165" i="40"/>
  <c r="K165" i="40"/>
  <c r="L165" i="40"/>
  <c r="M165" i="40"/>
  <c r="G166" i="40"/>
  <c r="H166" i="40"/>
  <c r="I166" i="40"/>
  <c r="J166" i="40"/>
  <c r="K166" i="40"/>
  <c r="L166" i="40"/>
  <c r="M166" i="40"/>
  <c r="G167" i="40"/>
  <c r="H167" i="40"/>
  <c r="I167" i="40"/>
  <c r="J167" i="40"/>
  <c r="K167" i="40"/>
  <c r="L167" i="40"/>
  <c r="M167" i="40"/>
  <c r="G168" i="40"/>
  <c r="H168" i="40"/>
  <c r="I168" i="40"/>
  <c r="J168" i="40"/>
  <c r="K168" i="40"/>
  <c r="L168" i="40"/>
  <c r="M168" i="40"/>
  <c r="G169" i="40"/>
  <c r="H169" i="40"/>
  <c r="I169" i="40"/>
  <c r="J169" i="40"/>
  <c r="K169" i="40"/>
  <c r="L169" i="40"/>
  <c r="M169" i="40"/>
  <c r="G170" i="40"/>
  <c r="H170" i="40"/>
  <c r="I170" i="40"/>
  <c r="J170" i="40"/>
  <c r="K170" i="40"/>
  <c r="L170" i="40"/>
  <c r="M170" i="40"/>
  <c r="G171" i="40"/>
  <c r="H171" i="40"/>
  <c r="I171" i="40"/>
  <c r="J171" i="40"/>
  <c r="K171" i="40"/>
  <c r="L171" i="40"/>
  <c r="M171" i="40"/>
  <c r="G172" i="40"/>
  <c r="H172" i="40"/>
  <c r="I172" i="40"/>
  <c r="J172" i="40"/>
  <c r="K172" i="40"/>
  <c r="L172" i="40"/>
  <c r="M172" i="40"/>
  <c r="G173" i="40"/>
  <c r="H173" i="40"/>
  <c r="I173" i="40"/>
  <c r="J173" i="40"/>
  <c r="K173" i="40"/>
  <c r="L173" i="40"/>
  <c r="M173" i="40"/>
  <c r="G174" i="40"/>
  <c r="H174" i="40"/>
  <c r="I174" i="40"/>
  <c r="J174" i="40"/>
  <c r="K174" i="40"/>
  <c r="L174" i="40"/>
  <c r="M174" i="40"/>
  <c r="G175" i="40"/>
  <c r="H175" i="40"/>
  <c r="I175" i="40"/>
  <c r="J175" i="40"/>
  <c r="K175" i="40"/>
  <c r="L175" i="40"/>
  <c r="M175" i="40"/>
  <c r="G176" i="40"/>
  <c r="H176" i="40"/>
  <c r="I176" i="40"/>
  <c r="J176" i="40"/>
  <c r="K176" i="40"/>
  <c r="L176" i="40"/>
  <c r="M176" i="40"/>
  <c r="G177" i="40"/>
  <c r="H177" i="40"/>
  <c r="I177" i="40"/>
  <c r="J177" i="40"/>
  <c r="K177" i="40"/>
  <c r="L177" i="40"/>
  <c r="M177" i="40"/>
  <c r="G178" i="40"/>
  <c r="H178" i="40"/>
  <c r="I178" i="40"/>
  <c r="J178" i="40"/>
  <c r="K178" i="40"/>
  <c r="L178" i="40"/>
  <c r="M178" i="40"/>
  <c r="G179" i="40"/>
  <c r="H179" i="40"/>
  <c r="I179" i="40"/>
  <c r="J179" i="40"/>
  <c r="K179" i="40"/>
  <c r="L179" i="40"/>
  <c r="M179" i="40"/>
  <c r="G180" i="40"/>
  <c r="H180" i="40"/>
  <c r="I180" i="40"/>
  <c r="J180" i="40"/>
  <c r="K180" i="40"/>
  <c r="L180" i="40"/>
  <c r="M180" i="40"/>
  <c r="G181" i="40"/>
  <c r="H181" i="40"/>
  <c r="I181" i="40"/>
  <c r="J181" i="40"/>
  <c r="K181" i="40"/>
  <c r="L181" i="40"/>
  <c r="M181" i="40"/>
  <c r="G182" i="40"/>
  <c r="H182" i="40"/>
  <c r="I182" i="40"/>
  <c r="J182" i="40"/>
  <c r="K182" i="40"/>
  <c r="L182" i="40"/>
  <c r="M182" i="40"/>
  <c r="G183" i="40"/>
  <c r="H183" i="40"/>
  <c r="I183" i="40"/>
  <c r="J183" i="40"/>
  <c r="K183" i="40"/>
  <c r="L183" i="40"/>
  <c r="M183" i="40"/>
  <c r="G184" i="40"/>
  <c r="H184" i="40"/>
  <c r="I184" i="40"/>
  <c r="J184" i="40"/>
  <c r="K184" i="40"/>
  <c r="L184" i="40"/>
  <c r="M184" i="40"/>
  <c r="G185" i="40"/>
  <c r="H185" i="40"/>
  <c r="I185" i="40"/>
  <c r="J185" i="40"/>
  <c r="K185" i="40"/>
  <c r="L185" i="40"/>
  <c r="M185" i="40"/>
  <c r="G186" i="40"/>
  <c r="H186" i="40"/>
  <c r="I186" i="40"/>
  <c r="J186" i="40"/>
  <c r="K186" i="40"/>
  <c r="L186" i="40"/>
  <c r="M186" i="40"/>
  <c r="G187" i="40"/>
  <c r="H187" i="40"/>
  <c r="I187" i="40"/>
  <c r="J187" i="40"/>
  <c r="K187" i="40"/>
  <c r="L187" i="40"/>
  <c r="M187" i="40"/>
  <c r="G188" i="40"/>
  <c r="H188" i="40"/>
  <c r="I188" i="40"/>
  <c r="J188" i="40"/>
  <c r="K188" i="40"/>
  <c r="L188" i="40"/>
  <c r="M188" i="40"/>
  <c r="G189" i="40"/>
  <c r="H189" i="40"/>
  <c r="I189" i="40"/>
  <c r="J189" i="40"/>
  <c r="K189" i="40"/>
  <c r="L189" i="40"/>
  <c r="M189" i="40"/>
  <c r="G190" i="40"/>
  <c r="H190" i="40"/>
  <c r="I190" i="40"/>
  <c r="J190" i="40"/>
  <c r="K190" i="40"/>
  <c r="L190" i="40"/>
  <c r="M190" i="40"/>
  <c r="G191" i="40"/>
  <c r="H191" i="40"/>
  <c r="I191" i="40"/>
  <c r="J191" i="40"/>
  <c r="K191" i="40"/>
  <c r="L191" i="40"/>
  <c r="M191" i="40"/>
  <c r="G192" i="40"/>
  <c r="H192" i="40"/>
  <c r="I192" i="40"/>
  <c r="J192" i="40"/>
  <c r="K192" i="40"/>
  <c r="L192" i="40"/>
  <c r="M192" i="40"/>
  <c r="G193" i="40"/>
  <c r="H193" i="40"/>
  <c r="I193" i="40"/>
  <c r="J193" i="40"/>
  <c r="K193" i="40"/>
  <c r="L193" i="40"/>
  <c r="M193" i="40"/>
  <c r="G194" i="40"/>
  <c r="H194" i="40"/>
  <c r="I194" i="40"/>
  <c r="J194" i="40"/>
  <c r="K194" i="40"/>
  <c r="L194" i="40"/>
  <c r="M194" i="40"/>
  <c r="G195" i="40"/>
  <c r="H195" i="40"/>
  <c r="I195" i="40"/>
  <c r="J195" i="40"/>
  <c r="K195" i="40"/>
  <c r="L195" i="40"/>
  <c r="M195" i="40"/>
  <c r="G196" i="40"/>
  <c r="H196" i="40"/>
  <c r="I196" i="40"/>
  <c r="J196" i="40"/>
  <c r="K196" i="40"/>
  <c r="L196" i="40"/>
  <c r="M196" i="40"/>
  <c r="G197" i="40"/>
  <c r="H197" i="40"/>
  <c r="I197" i="40"/>
  <c r="J197" i="40"/>
  <c r="K197" i="40"/>
  <c r="L197" i="40"/>
  <c r="M197" i="40"/>
  <c r="G198" i="40"/>
  <c r="H198" i="40"/>
  <c r="I198" i="40"/>
  <c r="J198" i="40"/>
  <c r="K198" i="40"/>
  <c r="L198" i="40"/>
  <c r="M198" i="40"/>
  <c r="G199" i="40"/>
  <c r="H199" i="40"/>
  <c r="I199" i="40"/>
  <c r="J199" i="40"/>
  <c r="K199" i="40"/>
  <c r="L199" i="40"/>
  <c r="M199" i="40"/>
  <c r="G200" i="40"/>
  <c r="H200" i="40"/>
  <c r="I200" i="40"/>
  <c r="J200" i="40"/>
  <c r="K200" i="40"/>
  <c r="L200" i="40"/>
  <c r="M200" i="40"/>
  <c r="G201" i="40"/>
  <c r="H201" i="40"/>
  <c r="I201" i="40"/>
  <c r="J201" i="40"/>
  <c r="K201" i="40"/>
  <c r="L201" i="40"/>
  <c r="M201" i="40"/>
  <c r="G202" i="40"/>
  <c r="H202" i="40"/>
  <c r="I202" i="40"/>
  <c r="J202" i="40"/>
  <c r="K202" i="40"/>
  <c r="L202" i="40"/>
  <c r="M202" i="40"/>
  <c r="G203" i="40"/>
  <c r="H203" i="40"/>
  <c r="I203" i="40"/>
  <c r="J203" i="40"/>
  <c r="K203" i="40"/>
  <c r="L203" i="40"/>
  <c r="M203" i="40"/>
  <c r="G204" i="40"/>
  <c r="H204" i="40"/>
  <c r="I204" i="40"/>
  <c r="J204" i="40"/>
  <c r="K204" i="40"/>
  <c r="L204" i="40"/>
  <c r="M204" i="40"/>
  <c r="G205" i="40"/>
  <c r="H205" i="40"/>
  <c r="I205" i="40"/>
  <c r="J205" i="40"/>
  <c r="K205" i="40"/>
  <c r="L205" i="40"/>
  <c r="M205" i="40"/>
  <c r="G206" i="40"/>
  <c r="H206" i="40"/>
  <c r="I206" i="40"/>
  <c r="J206" i="40"/>
  <c r="K206" i="40"/>
  <c r="L206" i="40"/>
  <c r="M206" i="40"/>
  <c r="G207" i="40"/>
  <c r="H207" i="40"/>
  <c r="I207" i="40"/>
  <c r="J207" i="40"/>
  <c r="K207" i="40"/>
  <c r="L207" i="40"/>
  <c r="M207" i="40"/>
  <c r="G208" i="40"/>
  <c r="H208" i="40"/>
  <c r="I208" i="40"/>
  <c r="J208" i="40"/>
  <c r="K208" i="40"/>
  <c r="L208" i="40"/>
  <c r="M208" i="40"/>
  <c r="G209" i="40"/>
  <c r="H209" i="40"/>
  <c r="I209" i="40"/>
  <c r="J209" i="40"/>
  <c r="K209" i="40"/>
  <c r="L209" i="40"/>
  <c r="M209" i="40"/>
  <c r="G210" i="40"/>
  <c r="H210" i="40"/>
  <c r="I210" i="40"/>
  <c r="J210" i="40"/>
  <c r="K210" i="40"/>
  <c r="L210" i="40"/>
  <c r="M210" i="40"/>
  <c r="G211" i="40"/>
  <c r="H211" i="40"/>
  <c r="I211" i="40"/>
  <c r="J211" i="40"/>
  <c r="K211" i="40"/>
  <c r="L211" i="40"/>
  <c r="M211" i="40"/>
  <c r="G212" i="40"/>
  <c r="H212" i="40"/>
  <c r="I212" i="40"/>
  <c r="J212" i="40"/>
  <c r="K212" i="40"/>
  <c r="L212" i="40"/>
  <c r="M212" i="40"/>
  <c r="G213" i="40"/>
  <c r="H213" i="40"/>
  <c r="I213" i="40"/>
  <c r="J213" i="40"/>
  <c r="K213" i="40"/>
  <c r="L213" i="40"/>
  <c r="M213" i="40"/>
  <c r="G214" i="40"/>
  <c r="H214" i="40"/>
  <c r="I214" i="40"/>
  <c r="J214" i="40"/>
  <c r="K214" i="40"/>
  <c r="L214" i="40"/>
  <c r="M214" i="40"/>
  <c r="G215" i="40"/>
  <c r="H215" i="40"/>
  <c r="I215" i="40"/>
  <c r="J215" i="40"/>
  <c r="K215" i="40"/>
  <c r="L215" i="40"/>
  <c r="M215" i="40"/>
  <c r="G216" i="40"/>
  <c r="H216" i="40"/>
  <c r="I216" i="40"/>
  <c r="J216" i="40"/>
  <c r="K216" i="40"/>
  <c r="L216" i="40"/>
  <c r="M216" i="40"/>
  <c r="G217" i="40"/>
  <c r="H217" i="40"/>
  <c r="I217" i="40"/>
  <c r="J217" i="40"/>
  <c r="K217" i="40"/>
  <c r="L217" i="40"/>
  <c r="M217" i="40"/>
  <c r="G218" i="40"/>
  <c r="H218" i="40"/>
  <c r="I218" i="40"/>
  <c r="J218" i="40"/>
  <c r="K218" i="40"/>
  <c r="L218" i="40"/>
  <c r="M218" i="40"/>
  <c r="G219" i="40"/>
  <c r="H219" i="40"/>
  <c r="I219" i="40"/>
  <c r="J219" i="40"/>
  <c r="K219" i="40"/>
  <c r="L219" i="40"/>
  <c r="M219" i="40"/>
  <c r="G220" i="40"/>
  <c r="H220" i="40"/>
  <c r="I220" i="40"/>
  <c r="J220" i="40"/>
  <c r="K220" i="40"/>
  <c r="L220" i="40"/>
  <c r="M220" i="40"/>
  <c r="G221" i="40"/>
  <c r="H221" i="40"/>
  <c r="I221" i="40"/>
  <c r="J221" i="40"/>
  <c r="K221" i="40"/>
  <c r="L221" i="40"/>
  <c r="M221" i="40"/>
  <c r="G222" i="40"/>
  <c r="H222" i="40"/>
  <c r="I222" i="40"/>
  <c r="J222" i="40"/>
  <c r="K222" i="40"/>
  <c r="L222" i="40"/>
  <c r="M222" i="40"/>
  <c r="G223" i="40"/>
  <c r="H223" i="40"/>
  <c r="I223" i="40"/>
  <c r="J223" i="40"/>
  <c r="K223" i="40"/>
  <c r="L223" i="40"/>
  <c r="M223" i="40"/>
  <c r="G224" i="40"/>
  <c r="H224" i="40"/>
  <c r="I224" i="40"/>
  <c r="J224" i="40"/>
  <c r="K224" i="40"/>
  <c r="L224" i="40"/>
  <c r="M224" i="40"/>
  <c r="G225" i="40"/>
  <c r="H225" i="40"/>
  <c r="I225" i="40"/>
  <c r="J225" i="40"/>
  <c r="K225" i="40"/>
  <c r="L225" i="40"/>
  <c r="M225" i="40"/>
  <c r="G226" i="40"/>
  <c r="H226" i="40"/>
  <c r="I226" i="40"/>
  <c r="J226" i="40"/>
  <c r="K226" i="40"/>
  <c r="L226" i="40"/>
  <c r="M226" i="40"/>
  <c r="G227" i="40"/>
  <c r="H227" i="40"/>
  <c r="I227" i="40"/>
  <c r="J227" i="40"/>
  <c r="K227" i="40"/>
  <c r="L227" i="40"/>
  <c r="M227" i="40"/>
  <c r="G228" i="40"/>
  <c r="H228" i="40"/>
  <c r="I228" i="40"/>
  <c r="J228" i="40"/>
  <c r="K228" i="40"/>
  <c r="L228" i="40"/>
  <c r="M228" i="40"/>
  <c r="G229" i="40"/>
  <c r="H229" i="40"/>
  <c r="I229" i="40"/>
  <c r="J229" i="40"/>
  <c r="K229" i="40"/>
  <c r="L229" i="40"/>
  <c r="M229" i="40"/>
  <c r="G230" i="40"/>
  <c r="H230" i="40"/>
  <c r="I230" i="40"/>
  <c r="J230" i="40"/>
  <c r="K230" i="40"/>
  <c r="L230" i="40"/>
  <c r="M230" i="40"/>
  <c r="G231" i="40"/>
  <c r="H231" i="40"/>
  <c r="I231" i="40"/>
  <c r="J231" i="40"/>
  <c r="K231" i="40"/>
  <c r="L231" i="40"/>
  <c r="M231" i="40"/>
  <c r="G232" i="40"/>
  <c r="H232" i="40"/>
  <c r="I232" i="40"/>
  <c r="J232" i="40"/>
  <c r="K232" i="40"/>
  <c r="L232" i="40"/>
  <c r="M232" i="40"/>
  <c r="G233" i="40"/>
  <c r="H233" i="40"/>
  <c r="I233" i="40"/>
  <c r="J233" i="40"/>
  <c r="K233" i="40"/>
  <c r="L233" i="40"/>
  <c r="M233" i="40"/>
  <c r="G234" i="40"/>
  <c r="H234" i="40"/>
  <c r="I234" i="40"/>
  <c r="J234" i="40"/>
  <c r="K234" i="40"/>
  <c r="L234" i="40"/>
  <c r="M234" i="40"/>
  <c r="G235" i="40"/>
  <c r="H235" i="40"/>
  <c r="I235" i="40"/>
  <c r="J235" i="40"/>
  <c r="K235" i="40"/>
  <c r="L235" i="40"/>
  <c r="M235" i="40"/>
  <c r="G236" i="40"/>
  <c r="H236" i="40"/>
  <c r="I236" i="40"/>
  <c r="J236" i="40"/>
  <c r="K236" i="40"/>
  <c r="L236" i="40"/>
  <c r="M236" i="40"/>
  <c r="G237" i="40"/>
  <c r="H237" i="40"/>
  <c r="I237" i="40"/>
  <c r="J237" i="40"/>
  <c r="K237" i="40"/>
  <c r="L237" i="40"/>
  <c r="M237" i="40"/>
  <c r="G238" i="40"/>
  <c r="H238" i="40"/>
  <c r="I238" i="40"/>
  <c r="J238" i="40"/>
  <c r="K238" i="40"/>
  <c r="L238" i="40"/>
  <c r="M238" i="40"/>
  <c r="G239" i="40"/>
  <c r="H239" i="40"/>
  <c r="I239" i="40"/>
  <c r="J239" i="40"/>
  <c r="K239" i="40"/>
  <c r="L239" i="40"/>
  <c r="M239" i="40"/>
  <c r="G240" i="40"/>
  <c r="H240" i="40"/>
  <c r="I240" i="40"/>
  <c r="J240" i="40"/>
  <c r="K240" i="40"/>
  <c r="L240" i="40"/>
  <c r="M240" i="40"/>
  <c r="G241" i="40"/>
  <c r="H241" i="40"/>
  <c r="I241" i="40"/>
  <c r="J241" i="40"/>
  <c r="K241" i="40"/>
  <c r="L241" i="40"/>
  <c r="M241" i="40"/>
  <c r="G242" i="40"/>
  <c r="H242" i="40"/>
  <c r="I242" i="40"/>
  <c r="J242" i="40"/>
  <c r="K242" i="40"/>
  <c r="L242" i="40"/>
  <c r="M242" i="40"/>
  <c r="G243" i="40"/>
  <c r="H243" i="40"/>
  <c r="I243" i="40"/>
  <c r="J243" i="40"/>
  <c r="K243" i="40"/>
  <c r="L243" i="40"/>
  <c r="M243" i="40"/>
  <c r="G244" i="40"/>
  <c r="H244" i="40"/>
  <c r="I244" i="40"/>
  <c r="J244" i="40"/>
  <c r="K244" i="40"/>
  <c r="L244" i="40"/>
  <c r="M244" i="40"/>
  <c r="G245" i="40"/>
  <c r="H245" i="40"/>
  <c r="I245" i="40"/>
  <c r="J245" i="40"/>
  <c r="K245" i="40"/>
  <c r="L245" i="40"/>
  <c r="M245" i="40"/>
  <c r="G246" i="40"/>
  <c r="H246" i="40"/>
  <c r="I246" i="40"/>
  <c r="J246" i="40"/>
  <c r="K246" i="40"/>
  <c r="L246" i="40"/>
  <c r="M246" i="40"/>
  <c r="G247" i="40"/>
  <c r="H247" i="40"/>
  <c r="I247" i="40"/>
  <c r="J247" i="40"/>
  <c r="K247" i="40"/>
  <c r="L247" i="40"/>
  <c r="M247" i="40"/>
  <c r="G248" i="40"/>
  <c r="H248" i="40"/>
  <c r="I248" i="40"/>
  <c r="J248" i="40"/>
  <c r="K248" i="40"/>
  <c r="L248" i="40"/>
  <c r="M248" i="40"/>
  <c r="G249" i="40"/>
  <c r="H249" i="40"/>
  <c r="I249" i="40"/>
  <c r="J249" i="40"/>
  <c r="K249" i="40"/>
  <c r="L249" i="40"/>
  <c r="M249" i="40"/>
  <c r="G250" i="40"/>
  <c r="H250" i="40"/>
  <c r="I250" i="40"/>
  <c r="J250" i="40"/>
  <c r="K250" i="40"/>
  <c r="L250" i="40"/>
  <c r="M250" i="40"/>
  <c r="G251" i="40"/>
  <c r="H251" i="40"/>
  <c r="I251" i="40"/>
  <c r="J251" i="40"/>
  <c r="K251" i="40"/>
  <c r="L251" i="40"/>
  <c r="M251" i="40"/>
  <c r="G252" i="40"/>
  <c r="H252" i="40"/>
  <c r="I252" i="40"/>
  <c r="J252" i="40"/>
  <c r="K252" i="40"/>
  <c r="L252" i="40"/>
  <c r="M252" i="40"/>
  <c r="G253" i="40"/>
  <c r="H253" i="40"/>
  <c r="I253" i="40"/>
  <c r="J253" i="40"/>
  <c r="K253" i="40"/>
  <c r="L253" i="40"/>
  <c r="M253" i="40"/>
  <c r="G254" i="40"/>
  <c r="H254" i="40"/>
  <c r="I254" i="40"/>
  <c r="J254" i="40"/>
  <c r="K254" i="40"/>
  <c r="L254" i="40"/>
  <c r="M254" i="40"/>
  <c r="G255" i="40"/>
  <c r="H255" i="40"/>
  <c r="I255" i="40"/>
  <c r="J255" i="40"/>
  <c r="K255" i="40"/>
  <c r="L255" i="40"/>
  <c r="M255" i="40"/>
  <c r="G256" i="40"/>
  <c r="H256" i="40"/>
  <c r="I256" i="40"/>
  <c r="J256" i="40"/>
  <c r="K256" i="40"/>
  <c r="L256" i="40"/>
  <c r="M256" i="40"/>
  <c r="G257" i="40"/>
  <c r="H257" i="40"/>
  <c r="I257" i="40"/>
  <c r="J257" i="40"/>
  <c r="K257" i="40"/>
  <c r="L257" i="40"/>
  <c r="M257" i="40"/>
  <c r="G258" i="40"/>
  <c r="H258" i="40"/>
  <c r="I258" i="40"/>
  <c r="J258" i="40"/>
  <c r="K258" i="40"/>
  <c r="L258" i="40"/>
  <c r="M258" i="40"/>
  <c r="G259" i="40"/>
  <c r="H259" i="40"/>
  <c r="I259" i="40"/>
  <c r="J259" i="40"/>
  <c r="K259" i="40"/>
  <c r="L259" i="40"/>
  <c r="M259" i="40"/>
  <c r="G260" i="40"/>
  <c r="H260" i="40"/>
  <c r="I260" i="40"/>
  <c r="J260" i="40"/>
  <c r="K260" i="40"/>
  <c r="L260" i="40"/>
  <c r="M260" i="40"/>
  <c r="G261" i="40"/>
  <c r="H261" i="40"/>
  <c r="I261" i="40"/>
  <c r="J261" i="40"/>
  <c r="K261" i="40"/>
  <c r="L261" i="40"/>
  <c r="M261" i="40"/>
  <c r="G262" i="40"/>
  <c r="H262" i="40"/>
  <c r="I262" i="40"/>
  <c r="J262" i="40"/>
  <c r="K262" i="40"/>
  <c r="L262" i="40"/>
  <c r="M262" i="40"/>
  <c r="G263" i="40"/>
  <c r="H263" i="40"/>
  <c r="I263" i="40"/>
  <c r="J263" i="40"/>
  <c r="K263" i="40"/>
  <c r="L263" i="40"/>
  <c r="M263" i="40"/>
  <c r="G264" i="40"/>
  <c r="H264" i="40"/>
  <c r="I264" i="40"/>
  <c r="J264" i="40"/>
  <c r="K264" i="40"/>
  <c r="L264" i="40"/>
  <c r="M264" i="40"/>
  <c r="G265" i="40"/>
  <c r="H265" i="40"/>
  <c r="I265" i="40"/>
  <c r="J265" i="40"/>
  <c r="K265" i="40"/>
  <c r="L265" i="40"/>
  <c r="M265" i="40"/>
  <c r="G266" i="40"/>
  <c r="H266" i="40"/>
  <c r="I266" i="40"/>
  <c r="J266" i="40"/>
  <c r="K266" i="40"/>
  <c r="L266" i="40"/>
  <c r="M266" i="40"/>
  <c r="G267" i="40"/>
  <c r="H267" i="40"/>
  <c r="I267" i="40"/>
  <c r="J267" i="40"/>
  <c r="K267" i="40"/>
  <c r="L267" i="40"/>
  <c r="M267" i="40"/>
  <c r="G268" i="40"/>
  <c r="H268" i="40"/>
  <c r="I268" i="40"/>
  <c r="J268" i="40"/>
  <c r="K268" i="40"/>
  <c r="L268" i="40"/>
  <c r="M268" i="40"/>
  <c r="G269" i="40"/>
  <c r="H269" i="40"/>
  <c r="I269" i="40"/>
  <c r="J269" i="40"/>
  <c r="K269" i="40"/>
  <c r="L269" i="40"/>
  <c r="M269" i="40"/>
  <c r="G270" i="40"/>
  <c r="H270" i="40"/>
  <c r="I270" i="40"/>
  <c r="J270" i="40"/>
  <c r="K270" i="40"/>
  <c r="L270" i="40"/>
  <c r="M270" i="40"/>
  <c r="G271" i="40"/>
  <c r="H271" i="40"/>
  <c r="I271" i="40"/>
  <c r="J271" i="40"/>
  <c r="K271" i="40"/>
  <c r="L271" i="40"/>
  <c r="M271" i="40"/>
  <c r="G272" i="40"/>
  <c r="H272" i="40"/>
  <c r="I272" i="40"/>
  <c r="J272" i="40"/>
  <c r="K272" i="40"/>
  <c r="L272" i="40"/>
  <c r="M272" i="40"/>
  <c r="G273" i="40"/>
  <c r="H273" i="40"/>
  <c r="I273" i="40"/>
  <c r="J273" i="40"/>
  <c r="K273" i="40"/>
  <c r="L273" i="40"/>
  <c r="M273" i="40"/>
  <c r="G274" i="40"/>
  <c r="H274" i="40"/>
  <c r="I274" i="40"/>
  <c r="J274" i="40"/>
  <c r="K274" i="40"/>
  <c r="L274" i="40"/>
  <c r="M274" i="40"/>
  <c r="G275" i="40"/>
  <c r="H275" i="40"/>
  <c r="I275" i="40"/>
  <c r="J275" i="40"/>
  <c r="K275" i="40"/>
  <c r="L275" i="40"/>
  <c r="M275" i="40"/>
  <c r="G276" i="40"/>
  <c r="H276" i="40"/>
  <c r="I276" i="40"/>
  <c r="J276" i="40"/>
  <c r="K276" i="40"/>
  <c r="L276" i="40"/>
  <c r="M276" i="40"/>
  <c r="G277" i="40"/>
  <c r="H277" i="40"/>
  <c r="I277" i="40"/>
  <c r="J277" i="40"/>
  <c r="K277" i="40"/>
  <c r="L277" i="40"/>
  <c r="M277" i="40"/>
  <c r="G278" i="40"/>
  <c r="H278" i="40"/>
  <c r="I278" i="40"/>
  <c r="J278" i="40"/>
  <c r="K278" i="40"/>
  <c r="L278" i="40"/>
  <c r="M278" i="40"/>
  <c r="G279" i="40"/>
  <c r="H279" i="40"/>
  <c r="I279" i="40"/>
  <c r="J279" i="40"/>
  <c r="K279" i="40"/>
  <c r="L279" i="40"/>
  <c r="M279" i="40"/>
  <c r="G280" i="40"/>
  <c r="H280" i="40"/>
  <c r="I280" i="40"/>
  <c r="J280" i="40"/>
  <c r="K280" i="40"/>
  <c r="L280" i="40"/>
  <c r="M280" i="40"/>
  <c r="G281" i="40"/>
  <c r="H281" i="40"/>
  <c r="I281" i="40"/>
  <c r="J281" i="40"/>
  <c r="K281" i="40"/>
  <c r="L281" i="40"/>
  <c r="M281" i="40"/>
  <c r="G282" i="40"/>
  <c r="H282" i="40"/>
  <c r="I282" i="40"/>
  <c r="J282" i="40"/>
  <c r="K282" i="40"/>
  <c r="L282" i="40"/>
  <c r="M282" i="40"/>
  <c r="G283" i="40"/>
  <c r="H283" i="40"/>
  <c r="I283" i="40"/>
  <c r="J283" i="40"/>
  <c r="K283" i="40"/>
  <c r="L283" i="40"/>
  <c r="M283" i="40"/>
  <c r="G284" i="40"/>
  <c r="H284" i="40"/>
  <c r="I284" i="40"/>
  <c r="J284" i="40"/>
  <c r="K284" i="40"/>
  <c r="L284" i="40"/>
  <c r="M284" i="40"/>
  <c r="G285" i="40"/>
  <c r="H285" i="40"/>
  <c r="I285" i="40"/>
  <c r="J285" i="40"/>
  <c r="K285" i="40"/>
  <c r="L285" i="40"/>
  <c r="M285" i="40"/>
  <c r="G286" i="40"/>
  <c r="H286" i="40"/>
  <c r="I286" i="40"/>
  <c r="J286" i="40"/>
  <c r="K286" i="40"/>
  <c r="L286" i="40"/>
  <c r="M286" i="40"/>
  <c r="G287" i="40"/>
  <c r="H287" i="40"/>
  <c r="I287" i="40"/>
  <c r="J287" i="40"/>
  <c r="K287" i="40"/>
  <c r="L287" i="40"/>
  <c r="M287" i="40"/>
  <c r="G288" i="40"/>
  <c r="H288" i="40"/>
  <c r="I288" i="40"/>
  <c r="J288" i="40"/>
  <c r="K288" i="40"/>
  <c r="L288" i="40"/>
  <c r="M288" i="40"/>
  <c r="G289" i="40"/>
  <c r="H289" i="40"/>
  <c r="I289" i="40"/>
  <c r="J289" i="40"/>
  <c r="K289" i="40"/>
  <c r="L289" i="40"/>
  <c r="M289" i="40"/>
  <c r="G290" i="40"/>
  <c r="H290" i="40"/>
  <c r="I290" i="40"/>
  <c r="J290" i="40"/>
  <c r="K290" i="40"/>
  <c r="L290" i="40"/>
  <c r="M290" i="40"/>
  <c r="G291" i="40"/>
  <c r="H291" i="40"/>
  <c r="I291" i="40"/>
  <c r="J291" i="40"/>
  <c r="K291" i="40"/>
  <c r="L291" i="40"/>
  <c r="M291" i="40"/>
  <c r="G292" i="40"/>
  <c r="H292" i="40"/>
  <c r="I292" i="40"/>
  <c r="J292" i="40"/>
  <c r="K292" i="40"/>
  <c r="L292" i="40"/>
  <c r="M292" i="40"/>
  <c r="G293" i="40"/>
  <c r="H293" i="40"/>
  <c r="I293" i="40"/>
  <c r="J293" i="40"/>
  <c r="K293" i="40"/>
  <c r="L293" i="40"/>
  <c r="M293" i="40"/>
  <c r="G294" i="40"/>
  <c r="H294" i="40"/>
  <c r="I294" i="40"/>
  <c r="J294" i="40"/>
  <c r="K294" i="40"/>
  <c r="L294" i="40"/>
  <c r="M294" i="40"/>
  <c r="G295" i="40"/>
  <c r="H295" i="40"/>
  <c r="I295" i="40"/>
  <c r="J295" i="40"/>
  <c r="K295" i="40"/>
  <c r="L295" i="40"/>
  <c r="M295" i="40"/>
  <c r="G296" i="40"/>
  <c r="H296" i="40"/>
  <c r="I296" i="40"/>
  <c r="J296" i="40"/>
  <c r="K296" i="40"/>
  <c r="L296" i="40"/>
  <c r="M296" i="40"/>
  <c r="G297" i="40"/>
  <c r="H297" i="40"/>
  <c r="I297" i="40"/>
  <c r="J297" i="40"/>
  <c r="K297" i="40"/>
  <c r="L297" i="40"/>
  <c r="M297" i="40"/>
  <c r="G298" i="40"/>
  <c r="H298" i="40"/>
  <c r="I298" i="40"/>
  <c r="J298" i="40"/>
  <c r="K298" i="40"/>
  <c r="L298" i="40"/>
  <c r="M298" i="40"/>
  <c r="G299" i="40"/>
  <c r="H299" i="40"/>
  <c r="I299" i="40"/>
  <c r="J299" i="40"/>
  <c r="K299" i="40"/>
  <c r="L299" i="40"/>
  <c r="M299" i="40"/>
  <c r="G300" i="40"/>
  <c r="H300" i="40"/>
  <c r="I300" i="40"/>
  <c r="J300" i="40"/>
  <c r="K300" i="40"/>
  <c r="L300" i="40"/>
  <c r="M300" i="40"/>
  <c r="G301" i="40"/>
  <c r="H301" i="40"/>
  <c r="I301" i="40"/>
  <c r="J301" i="40"/>
  <c r="K301" i="40"/>
  <c r="L301" i="40"/>
  <c r="M301" i="40"/>
  <c r="G302" i="40"/>
  <c r="H302" i="40"/>
  <c r="I302" i="40"/>
  <c r="J302" i="40"/>
  <c r="K302" i="40"/>
  <c r="L302" i="40"/>
  <c r="M302" i="40"/>
  <c r="G303" i="40"/>
  <c r="H303" i="40"/>
  <c r="I303" i="40"/>
  <c r="J303" i="40"/>
  <c r="K303" i="40"/>
  <c r="L303" i="40"/>
  <c r="M303" i="40"/>
  <c r="G304" i="40"/>
  <c r="H304" i="40"/>
  <c r="I304" i="40"/>
  <c r="J304" i="40"/>
  <c r="K304" i="40"/>
  <c r="L304" i="40"/>
  <c r="M304" i="40"/>
  <c r="G305" i="40"/>
  <c r="H305" i="40"/>
  <c r="I305" i="40"/>
  <c r="J305" i="40"/>
  <c r="K305" i="40"/>
  <c r="L305" i="40"/>
  <c r="M305" i="40"/>
  <c r="G306" i="40"/>
  <c r="H306" i="40"/>
  <c r="I306" i="40"/>
  <c r="J306" i="40"/>
  <c r="K306" i="40"/>
  <c r="L306" i="40"/>
  <c r="M306" i="40"/>
  <c r="G307" i="40"/>
  <c r="H307" i="40"/>
  <c r="I307" i="40"/>
  <c r="J307" i="40"/>
  <c r="K307" i="40"/>
  <c r="L307" i="40"/>
  <c r="M307" i="40"/>
  <c r="G308" i="40"/>
  <c r="H308" i="40"/>
  <c r="I308" i="40"/>
  <c r="J308" i="40"/>
  <c r="K308" i="40"/>
  <c r="L308" i="40"/>
  <c r="M308" i="40"/>
  <c r="G309" i="40"/>
  <c r="H309" i="40"/>
  <c r="I309" i="40"/>
  <c r="J309" i="40"/>
  <c r="K309" i="40"/>
  <c r="L309" i="40"/>
  <c r="M309" i="40"/>
  <c r="G310" i="40"/>
  <c r="H310" i="40"/>
  <c r="I310" i="40"/>
  <c r="J310" i="40"/>
  <c r="K310" i="40"/>
  <c r="L310" i="40"/>
  <c r="M310" i="40"/>
  <c r="G311" i="40"/>
  <c r="H311" i="40"/>
  <c r="I311" i="40"/>
  <c r="J311" i="40"/>
  <c r="K311" i="40"/>
  <c r="L311" i="40"/>
  <c r="M311" i="40"/>
  <c r="G312" i="40"/>
  <c r="H312" i="40"/>
  <c r="I312" i="40"/>
  <c r="J312" i="40"/>
  <c r="K312" i="40"/>
  <c r="L312" i="40"/>
  <c r="M312" i="40"/>
  <c r="G313" i="40"/>
  <c r="H313" i="40"/>
  <c r="I313" i="40"/>
  <c r="J313" i="40"/>
  <c r="K313" i="40"/>
  <c r="L313" i="40"/>
  <c r="M313" i="40"/>
  <c r="G314" i="40"/>
  <c r="H314" i="40"/>
  <c r="I314" i="40"/>
  <c r="J314" i="40"/>
  <c r="K314" i="40"/>
  <c r="L314" i="40"/>
  <c r="M314" i="40"/>
  <c r="G315" i="40"/>
  <c r="H315" i="40"/>
  <c r="I315" i="40"/>
  <c r="J315" i="40"/>
  <c r="K315" i="40"/>
  <c r="L315" i="40"/>
  <c r="M315" i="40"/>
  <c r="G316" i="40"/>
  <c r="H316" i="40"/>
  <c r="I316" i="40"/>
  <c r="J316" i="40"/>
  <c r="K316" i="40"/>
  <c r="L316" i="40"/>
  <c r="M316" i="40"/>
  <c r="G317" i="40"/>
  <c r="H317" i="40"/>
  <c r="I317" i="40"/>
  <c r="J317" i="40"/>
  <c r="K317" i="40"/>
  <c r="L317" i="40"/>
  <c r="M317" i="40"/>
  <c r="G318" i="40"/>
  <c r="H318" i="40"/>
  <c r="I318" i="40"/>
  <c r="J318" i="40"/>
  <c r="K318" i="40"/>
  <c r="L318" i="40"/>
  <c r="M318" i="40"/>
  <c r="G319" i="40"/>
  <c r="H319" i="40"/>
  <c r="I319" i="40"/>
  <c r="J319" i="40"/>
  <c r="K319" i="40"/>
  <c r="L319" i="40"/>
  <c r="M319" i="40"/>
  <c r="G320" i="40"/>
  <c r="H320" i="40"/>
  <c r="I320" i="40"/>
  <c r="J320" i="40"/>
  <c r="K320" i="40"/>
  <c r="L320" i="40"/>
  <c r="M320" i="40"/>
  <c r="G321" i="40"/>
  <c r="H321" i="40"/>
  <c r="I321" i="40"/>
  <c r="J321" i="40"/>
  <c r="K321" i="40"/>
  <c r="L321" i="40"/>
  <c r="M321" i="40"/>
  <c r="G322" i="40"/>
  <c r="H322" i="40"/>
  <c r="I322" i="40"/>
  <c r="J322" i="40"/>
  <c r="K322" i="40"/>
  <c r="L322" i="40"/>
  <c r="M322" i="40"/>
  <c r="G323" i="40"/>
  <c r="H323" i="40"/>
  <c r="I323" i="40"/>
  <c r="J323" i="40"/>
  <c r="K323" i="40"/>
  <c r="L323" i="40"/>
  <c r="M323" i="40"/>
  <c r="G324" i="40"/>
  <c r="H324" i="40"/>
  <c r="I324" i="40"/>
  <c r="J324" i="40"/>
  <c r="K324" i="40"/>
  <c r="L324" i="40"/>
  <c r="M324" i="40"/>
  <c r="G325" i="40"/>
  <c r="H325" i="40"/>
  <c r="I325" i="40"/>
  <c r="J325" i="40"/>
  <c r="K325" i="40"/>
  <c r="L325" i="40"/>
  <c r="M325" i="40"/>
  <c r="G326" i="40"/>
  <c r="H326" i="40"/>
  <c r="I326" i="40"/>
  <c r="J326" i="40"/>
  <c r="K326" i="40"/>
  <c r="L326" i="40"/>
  <c r="M326" i="40"/>
  <c r="G327" i="40"/>
  <c r="H327" i="40"/>
  <c r="I327" i="40"/>
  <c r="J327" i="40"/>
  <c r="K327" i="40"/>
  <c r="L327" i="40"/>
  <c r="M327" i="40"/>
  <c r="G328" i="40"/>
  <c r="H328" i="40"/>
  <c r="I328" i="40"/>
  <c r="J328" i="40"/>
  <c r="K328" i="40"/>
  <c r="L328" i="40"/>
  <c r="M328" i="40"/>
  <c r="G329" i="40"/>
  <c r="H329" i="40"/>
  <c r="I329" i="40"/>
  <c r="J329" i="40"/>
  <c r="K329" i="40"/>
  <c r="L329" i="40"/>
  <c r="M329" i="40"/>
  <c r="G330" i="40"/>
  <c r="H330" i="40"/>
  <c r="I330" i="40"/>
  <c r="J330" i="40"/>
  <c r="K330" i="40"/>
  <c r="L330" i="40"/>
  <c r="M330" i="40"/>
  <c r="G331" i="40"/>
  <c r="H331" i="40"/>
  <c r="I331" i="40"/>
  <c r="J331" i="40"/>
  <c r="K331" i="40"/>
  <c r="L331" i="40"/>
  <c r="M331" i="40"/>
  <c r="G332" i="40"/>
  <c r="H332" i="40"/>
  <c r="I332" i="40"/>
  <c r="J332" i="40"/>
  <c r="K332" i="40"/>
  <c r="L332" i="40"/>
  <c r="M332" i="40"/>
  <c r="G333" i="40"/>
  <c r="H333" i="40"/>
  <c r="I333" i="40"/>
  <c r="J333" i="40"/>
  <c r="K333" i="40"/>
  <c r="L333" i="40"/>
  <c r="M333" i="40"/>
  <c r="G334" i="40"/>
  <c r="H334" i="40"/>
  <c r="I334" i="40"/>
  <c r="J334" i="40"/>
  <c r="K334" i="40"/>
  <c r="L334" i="40"/>
  <c r="M334" i="40"/>
  <c r="G335" i="40"/>
  <c r="H335" i="40"/>
  <c r="I335" i="40"/>
  <c r="J335" i="40"/>
  <c r="K335" i="40"/>
  <c r="L335" i="40"/>
  <c r="M335" i="40"/>
  <c r="G336" i="40"/>
  <c r="H336" i="40"/>
  <c r="I336" i="40"/>
  <c r="J336" i="40"/>
  <c r="K336" i="40"/>
  <c r="L336" i="40"/>
  <c r="M336" i="40"/>
  <c r="G337" i="40"/>
  <c r="H337" i="40"/>
  <c r="I337" i="40"/>
  <c r="J337" i="40"/>
  <c r="K337" i="40"/>
  <c r="L337" i="40"/>
  <c r="M337" i="40"/>
  <c r="G338" i="40"/>
  <c r="H338" i="40"/>
  <c r="I338" i="40"/>
  <c r="J338" i="40"/>
  <c r="K338" i="40"/>
  <c r="L338" i="40"/>
  <c r="M338" i="40"/>
  <c r="G339" i="40"/>
  <c r="H339" i="40"/>
  <c r="I339" i="40"/>
  <c r="J339" i="40"/>
  <c r="K339" i="40"/>
  <c r="L339" i="40"/>
  <c r="M339" i="40"/>
  <c r="G340" i="40"/>
  <c r="H340" i="40"/>
  <c r="I340" i="40"/>
  <c r="J340" i="40"/>
  <c r="K340" i="40"/>
  <c r="L340" i="40"/>
  <c r="M340" i="40"/>
  <c r="G341" i="40"/>
  <c r="H341" i="40"/>
  <c r="I341" i="40"/>
  <c r="J341" i="40"/>
  <c r="K341" i="40"/>
  <c r="L341" i="40"/>
  <c r="M341" i="40"/>
  <c r="G342" i="40"/>
  <c r="H342" i="40"/>
  <c r="I342" i="40"/>
  <c r="J342" i="40"/>
  <c r="K342" i="40"/>
  <c r="L342" i="40"/>
  <c r="M342" i="40"/>
  <c r="G343" i="40"/>
  <c r="H343" i="40"/>
  <c r="I343" i="40"/>
  <c r="J343" i="40"/>
  <c r="K343" i="40"/>
  <c r="L343" i="40"/>
  <c r="M343" i="40"/>
  <c r="G344" i="40"/>
  <c r="H344" i="40"/>
  <c r="I344" i="40"/>
  <c r="J344" i="40"/>
  <c r="K344" i="40"/>
  <c r="L344" i="40"/>
  <c r="M344" i="40"/>
  <c r="G345" i="40"/>
  <c r="H345" i="40"/>
  <c r="I345" i="40"/>
  <c r="J345" i="40"/>
  <c r="K345" i="40"/>
  <c r="L345" i="40"/>
  <c r="M345" i="40"/>
  <c r="G346" i="40"/>
  <c r="H346" i="40"/>
  <c r="I346" i="40"/>
  <c r="J346" i="40"/>
  <c r="K346" i="40"/>
  <c r="L346" i="40"/>
  <c r="M346" i="40"/>
  <c r="G347" i="40"/>
  <c r="H347" i="40"/>
  <c r="I347" i="40"/>
  <c r="J347" i="40"/>
  <c r="K347" i="40"/>
  <c r="L347" i="40"/>
  <c r="M347" i="40"/>
  <c r="G348" i="40"/>
  <c r="H348" i="40"/>
  <c r="I348" i="40"/>
  <c r="J348" i="40"/>
  <c r="K348" i="40"/>
  <c r="L348" i="40"/>
  <c r="M348" i="40"/>
  <c r="G349" i="40"/>
  <c r="H349" i="40"/>
  <c r="I349" i="40"/>
  <c r="J349" i="40"/>
  <c r="K349" i="40"/>
  <c r="L349" i="40"/>
  <c r="M349" i="40"/>
  <c r="G350" i="40"/>
  <c r="H350" i="40"/>
  <c r="I350" i="40"/>
  <c r="J350" i="40"/>
  <c r="K350" i="40"/>
  <c r="L350" i="40"/>
  <c r="M350" i="40"/>
  <c r="G351" i="40"/>
  <c r="H351" i="40"/>
  <c r="I351" i="40"/>
  <c r="J351" i="40"/>
  <c r="K351" i="40"/>
  <c r="L351" i="40"/>
  <c r="M351" i="40"/>
  <c r="G352" i="40"/>
  <c r="H352" i="40"/>
  <c r="I352" i="40"/>
  <c r="J352" i="40"/>
  <c r="K352" i="40"/>
  <c r="L352" i="40"/>
  <c r="M352" i="40"/>
  <c r="G353" i="40"/>
  <c r="H353" i="40"/>
  <c r="I353" i="40"/>
  <c r="J353" i="40"/>
  <c r="K353" i="40"/>
  <c r="L353" i="40"/>
  <c r="M353" i="40"/>
  <c r="G354" i="40"/>
  <c r="H354" i="40"/>
  <c r="I354" i="40"/>
  <c r="J354" i="40"/>
  <c r="K354" i="40"/>
  <c r="L354" i="40"/>
  <c r="M354" i="40"/>
  <c r="G355" i="40"/>
  <c r="H355" i="40"/>
  <c r="I355" i="40"/>
  <c r="J355" i="40"/>
  <c r="K355" i="40"/>
  <c r="L355" i="40"/>
  <c r="M355" i="40"/>
  <c r="G356" i="40"/>
  <c r="H356" i="40"/>
  <c r="I356" i="40"/>
  <c r="J356" i="40"/>
  <c r="K356" i="40"/>
  <c r="L356" i="40"/>
  <c r="M356" i="40"/>
  <c r="G357" i="40"/>
  <c r="H357" i="40"/>
  <c r="I357" i="40"/>
  <c r="J357" i="40"/>
  <c r="K357" i="40"/>
  <c r="L357" i="40"/>
  <c r="M357" i="40"/>
  <c r="G358" i="40"/>
  <c r="H358" i="40"/>
  <c r="I358" i="40"/>
  <c r="J358" i="40"/>
  <c r="K358" i="40"/>
  <c r="L358" i="40"/>
  <c r="M358" i="40"/>
  <c r="G359" i="40"/>
  <c r="H359" i="40"/>
  <c r="I359" i="40"/>
  <c r="J359" i="40"/>
  <c r="K359" i="40"/>
  <c r="L359" i="40"/>
  <c r="M359" i="40"/>
  <c r="G360" i="40"/>
  <c r="H360" i="40"/>
  <c r="I360" i="40"/>
  <c r="J360" i="40"/>
  <c r="K360" i="40"/>
  <c r="L360" i="40"/>
  <c r="M360" i="40"/>
  <c r="G361" i="40"/>
  <c r="H361" i="40"/>
  <c r="I361" i="40"/>
  <c r="J361" i="40"/>
  <c r="K361" i="40"/>
  <c r="L361" i="40"/>
  <c r="M361" i="40"/>
  <c r="G362" i="40"/>
  <c r="H362" i="40"/>
  <c r="I362" i="40"/>
  <c r="J362" i="40"/>
  <c r="K362" i="40"/>
  <c r="L362" i="40"/>
  <c r="M362" i="40"/>
  <c r="G363" i="40"/>
  <c r="H363" i="40"/>
  <c r="I363" i="40"/>
  <c r="J363" i="40"/>
  <c r="K363" i="40"/>
  <c r="L363" i="40"/>
  <c r="M363" i="40"/>
  <c r="G364" i="40"/>
  <c r="H364" i="40"/>
  <c r="I364" i="40"/>
  <c r="J364" i="40"/>
  <c r="K364" i="40"/>
  <c r="L364" i="40"/>
  <c r="M364" i="40"/>
  <c r="G365" i="40"/>
  <c r="H365" i="40"/>
  <c r="I365" i="40"/>
  <c r="J365" i="40"/>
  <c r="K365" i="40"/>
  <c r="L365" i="40"/>
  <c r="M365" i="40"/>
  <c r="G366" i="40"/>
  <c r="H366" i="40"/>
  <c r="I366" i="40"/>
  <c r="J366" i="40"/>
  <c r="K366" i="40"/>
  <c r="L366" i="40"/>
  <c r="M366" i="40"/>
  <c r="G367" i="40"/>
  <c r="H367" i="40"/>
  <c r="I367" i="40"/>
  <c r="J367" i="40"/>
  <c r="K367" i="40"/>
  <c r="L367" i="40"/>
  <c r="M367" i="40"/>
  <c r="G368" i="40"/>
  <c r="H368" i="40"/>
  <c r="I368" i="40"/>
  <c r="J368" i="40"/>
  <c r="K368" i="40"/>
  <c r="L368" i="40"/>
  <c r="M368" i="40"/>
  <c r="G369" i="40"/>
  <c r="H369" i="40"/>
  <c r="I369" i="40"/>
  <c r="J369" i="40"/>
  <c r="K369" i="40"/>
  <c r="L369" i="40"/>
  <c r="M369" i="40"/>
  <c r="G370" i="40"/>
  <c r="H370" i="40"/>
  <c r="I370" i="40"/>
  <c r="J370" i="40"/>
  <c r="K370" i="40"/>
  <c r="L370" i="40"/>
  <c r="M370" i="40"/>
  <c r="G371" i="40"/>
  <c r="H371" i="40"/>
  <c r="I371" i="40"/>
  <c r="J371" i="40"/>
  <c r="K371" i="40"/>
  <c r="L371" i="40"/>
  <c r="M371" i="40"/>
  <c r="G372" i="40"/>
  <c r="H372" i="40"/>
  <c r="I372" i="40"/>
  <c r="J372" i="40"/>
  <c r="K372" i="40"/>
  <c r="L372" i="40"/>
  <c r="M372" i="40"/>
  <c r="G373" i="40"/>
  <c r="H373" i="40"/>
  <c r="I373" i="40"/>
  <c r="J373" i="40"/>
  <c r="K373" i="40"/>
  <c r="L373" i="40"/>
  <c r="M373" i="40"/>
  <c r="G374" i="40"/>
  <c r="H374" i="40"/>
  <c r="I374" i="40"/>
  <c r="J374" i="40"/>
  <c r="K374" i="40"/>
  <c r="L374" i="40"/>
  <c r="M374" i="40"/>
  <c r="G375" i="40"/>
  <c r="H375" i="40"/>
  <c r="I375" i="40"/>
  <c r="J375" i="40"/>
  <c r="K375" i="40"/>
  <c r="L375" i="40"/>
  <c r="M375" i="40"/>
  <c r="G376" i="40"/>
  <c r="H376" i="40"/>
  <c r="I376" i="40"/>
  <c r="J376" i="40"/>
  <c r="K376" i="40"/>
  <c r="L376" i="40"/>
  <c r="M376" i="40"/>
  <c r="G377" i="40"/>
  <c r="H377" i="40"/>
  <c r="I377" i="40"/>
  <c r="J377" i="40"/>
  <c r="K377" i="40"/>
  <c r="L377" i="40"/>
  <c r="M377" i="40"/>
  <c r="G378" i="40"/>
  <c r="H378" i="40"/>
  <c r="I378" i="40"/>
  <c r="J378" i="40"/>
  <c r="K378" i="40"/>
  <c r="L378" i="40"/>
  <c r="M378" i="40"/>
  <c r="G379" i="40"/>
  <c r="H379" i="40"/>
  <c r="I379" i="40"/>
  <c r="J379" i="40"/>
  <c r="K379" i="40"/>
  <c r="L379" i="40"/>
  <c r="M379" i="40"/>
  <c r="G380" i="40"/>
  <c r="H380" i="40"/>
  <c r="I380" i="40"/>
  <c r="J380" i="40"/>
  <c r="K380" i="40"/>
  <c r="L380" i="40"/>
  <c r="M380" i="40"/>
  <c r="G381" i="40"/>
  <c r="H381" i="40"/>
  <c r="I381" i="40"/>
  <c r="J381" i="40"/>
  <c r="K381" i="40"/>
  <c r="L381" i="40"/>
  <c r="M381" i="40"/>
  <c r="G382" i="40"/>
  <c r="H382" i="40"/>
  <c r="I382" i="40"/>
  <c r="J382" i="40"/>
  <c r="K382" i="40"/>
  <c r="L382" i="40"/>
  <c r="M382" i="40"/>
  <c r="G383" i="40"/>
  <c r="H383" i="40"/>
  <c r="I383" i="40"/>
  <c r="J383" i="40"/>
  <c r="K383" i="40"/>
  <c r="L383" i="40"/>
  <c r="M383" i="40"/>
  <c r="G384" i="40"/>
  <c r="H384" i="40"/>
  <c r="I384" i="40"/>
  <c r="J384" i="40"/>
  <c r="K384" i="40"/>
  <c r="L384" i="40"/>
  <c r="M384" i="40"/>
  <c r="G385" i="40"/>
  <c r="H385" i="40"/>
  <c r="I385" i="40"/>
  <c r="J385" i="40"/>
  <c r="K385" i="40"/>
  <c r="L385" i="40"/>
  <c r="M385" i="40"/>
  <c r="G386" i="40"/>
  <c r="H386" i="40"/>
  <c r="I386" i="40"/>
  <c r="J386" i="40"/>
  <c r="K386" i="40"/>
  <c r="L386" i="40"/>
  <c r="M386" i="40"/>
  <c r="G387" i="40"/>
  <c r="H387" i="40"/>
  <c r="I387" i="40"/>
  <c r="J387" i="40"/>
  <c r="K387" i="40"/>
  <c r="L387" i="40"/>
  <c r="M387" i="40"/>
  <c r="G388" i="40"/>
  <c r="H388" i="40"/>
  <c r="I388" i="40"/>
  <c r="J388" i="40"/>
  <c r="K388" i="40"/>
  <c r="L388" i="40"/>
  <c r="M388" i="40"/>
  <c r="G389" i="40"/>
  <c r="H389" i="40"/>
  <c r="I389" i="40"/>
  <c r="J389" i="40"/>
  <c r="K389" i="40"/>
  <c r="L389" i="40"/>
  <c r="M389" i="40"/>
  <c r="G390" i="40"/>
  <c r="H390" i="40"/>
  <c r="I390" i="40"/>
  <c r="J390" i="40"/>
  <c r="K390" i="40"/>
  <c r="L390" i="40"/>
  <c r="M390" i="40"/>
  <c r="G391" i="40"/>
  <c r="H391" i="40"/>
  <c r="I391" i="40"/>
  <c r="J391" i="40"/>
  <c r="K391" i="40"/>
  <c r="L391" i="40"/>
  <c r="M391" i="40"/>
  <c r="G392" i="40"/>
  <c r="H392" i="40"/>
  <c r="I392" i="40"/>
  <c r="J392" i="40"/>
  <c r="K392" i="40"/>
  <c r="L392" i="40"/>
  <c r="M392" i="40"/>
  <c r="G393" i="40"/>
  <c r="H393" i="40"/>
  <c r="I393" i="40"/>
  <c r="J393" i="40"/>
  <c r="K393" i="40"/>
  <c r="L393" i="40"/>
  <c r="M393" i="40"/>
  <c r="G394" i="40"/>
  <c r="H394" i="40"/>
  <c r="I394" i="40"/>
  <c r="J394" i="40"/>
  <c r="K394" i="40"/>
  <c r="L394" i="40"/>
  <c r="M394" i="40"/>
  <c r="G395" i="40"/>
  <c r="H395" i="40"/>
  <c r="I395" i="40"/>
  <c r="J395" i="40"/>
  <c r="K395" i="40"/>
  <c r="L395" i="40"/>
  <c r="M395" i="40"/>
  <c r="G396" i="40"/>
  <c r="H396" i="40"/>
  <c r="I396" i="40"/>
  <c r="J396" i="40"/>
  <c r="K396" i="40"/>
  <c r="L396" i="40"/>
  <c r="M396" i="40"/>
  <c r="G397" i="40"/>
  <c r="H397" i="40"/>
  <c r="I397" i="40"/>
  <c r="J397" i="40"/>
  <c r="K397" i="40"/>
  <c r="L397" i="40"/>
  <c r="M397" i="40"/>
  <c r="G398" i="40"/>
  <c r="H398" i="40"/>
  <c r="I398" i="40"/>
  <c r="J398" i="40"/>
  <c r="K398" i="40"/>
  <c r="L398" i="40"/>
  <c r="M398" i="40"/>
  <c r="G399" i="40"/>
  <c r="H399" i="40"/>
  <c r="I399" i="40"/>
  <c r="J399" i="40"/>
  <c r="K399" i="40"/>
  <c r="L399" i="40"/>
  <c r="M399" i="40"/>
  <c r="G400" i="40"/>
  <c r="H400" i="40"/>
  <c r="I400" i="40"/>
  <c r="J400" i="40"/>
  <c r="K400" i="40"/>
  <c r="L400" i="40"/>
  <c r="M400" i="40"/>
  <c r="G401" i="40"/>
  <c r="H401" i="40"/>
  <c r="I401" i="40"/>
  <c r="J401" i="40"/>
  <c r="K401" i="40"/>
  <c r="L401" i="40"/>
  <c r="M401" i="40"/>
  <c r="G402" i="40"/>
  <c r="H402" i="40"/>
  <c r="I402" i="40"/>
  <c r="J402" i="40"/>
  <c r="K402" i="40"/>
  <c r="L402" i="40"/>
  <c r="M402" i="40"/>
  <c r="G403" i="40"/>
  <c r="H403" i="40"/>
  <c r="I403" i="40"/>
  <c r="J403" i="40"/>
  <c r="K403" i="40"/>
  <c r="L403" i="40"/>
  <c r="M403" i="40"/>
  <c r="G404" i="40"/>
  <c r="H404" i="40"/>
  <c r="I404" i="40"/>
  <c r="J404" i="40"/>
  <c r="K404" i="40"/>
  <c r="L404" i="40"/>
  <c r="M404" i="40"/>
  <c r="G405" i="40"/>
  <c r="H405" i="40"/>
  <c r="I405" i="40"/>
  <c r="J405" i="40"/>
  <c r="K405" i="40"/>
  <c r="L405" i="40"/>
  <c r="M405" i="40"/>
  <c r="G406" i="40"/>
  <c r="H406" i="40"/>
  <c r="I406" i="40"/>
  <c r="J406" i="40"/>
  <c r="K406" i="40"/>
  <c r="L406" i="40"/>
  <c r="M406" i="40"/>
  <c r="G407" i="40"/>
  <c r="H407" i="40"/>
  <c r="I407" i="40"/>
  <c r="J407" i="40"/>
  <c r="K407" i="40"/>
  <c r="L407" i="40"/>
  <c r="M407" i="40"/>
  <c r="G408" i="40"/>
  <c r="H408" i="40"/>
  <c r="I408" i="40"/>
  <c r="J408" i="40"/>
  <c r="K408" i="40"/>
  <c r="L408" i="40"/>
  <c r="M408" i="40"/>
  <c r="G409" i="40"/>
  <c r="H409" i="40"/>
  <c r="I409" i="40"/>
  <c r="J409" i="40"/>
  <c r="K409" i="40"/>
  <c r="L409" i="40"/>
  <c r="M409" i="40"/>
  <c r="G410" i="40"/>
  <c r="H410" i="40"/>
  <c r="I410" i="40"/>
  <c r="J410" i="40"/>
  <c r="K410" i="40"/>
  <c r="L410" i="40"/>
  <c r="M410" i="40"/>
  <c r="G411" i="40"/>
  <c r="H411" i="40"/>
  <c r="I411" i="40"/>
  <c r="J411" i="40"/>
  <c r="K411" i="40"/>
  <c r="L411" i="40"/>
  <c r="M411" i="40"/>
  <c r="G412" i="40"/>
  <c r="H412" i="40"/>
  <c r="I412" i="40"/>
  <c r="J412" i="40"/>
  <c r="K412" i="40"/>
  <c r="L412" i="40"/>
  <c r="M412" i="40"/>
  <c r="G413" i="40"/>
  <c r="H413" i="40"/>
  <c r="I413" i="40"/>
  <c r="J413" i="40"/>
  <c r="K413" i="40"/>
  <c r="L413" i="40"/>
  <c r="M413" i="40"/>
  <c r="G414" i="40"/>
  <c r="H414" i="40"/>
  <c r="I414" i="40"/>
  <c r="J414" i="40"/>
  <c r="K414" i="40"/>
  <c r="L414" i="40"/>
  <c r="M414" i="40"/>
  <c r="G415" i="40"/>
  <c r="H415" i="40"/>
  <c r="I415" i="40"/>
  <c r="J415" i="40"/>
  <c r="K415" i="40"/>
  <c r="L415" i="40"/>
  <c r="M415" i="40"/>
  <c r="G416" i="40"/>
  <c r="H416" i="40"/>
  <c r="I416" i="40"/>
  <c r="J416" i="40"/>
  <c r="K416" i="40"/>
  <c r="L416" i="40"/>
  <c r="M416" i="40"/>
  <c r="G417" i="40"/>
  <c r="H417" i="40"/>
  <c r="I417" i="40"/>
  <c r="J417" i="40"/>
  <c r="K417" i="40"/>
  <c r="L417" i="40"/>
  <c r="M417" i="40"/>
  <c r="G418" i="40"/>
  <c r="H418" i="40"/>
  <c r="I418" i="40"/>
  <c r="J418" i="40"/>
  <c r="K418" i="40"/>
  <c r="L418" i="40"/>
  <c r="M418" i="40"/>
  <c r="G419" i="40"/>
  <c r="H419" i="40"/>
  <c r="I419" i="40"/>
  <c r="J419" i="40"/>
  <c r="K419" i="40"/>
  <c r="L419" i="40"/>
  <c r="M419" i="40"/>
  <c r="G420" i="40"/>
  <c r="H420" i="40"/>
  <c r="I420" i="40"/>
  <c r="J420" i="40"/>
  <c r="K420" i="40"/>
  <c r="L420" i="40"/>
  <c r="M420" i="40"/>
  <c r="G421" i="40"/>
  <c r="H421" i="40"/>
  <c r="I421" i="40"/>
  <c r="J421" i="40"/>
  <c r="K421" i="40"/>
  <c r="L421" i="40"/>
  <c r="M421" i="40"/>
  <c r="G422" i="40"/>
  <c r="H422" i="40"/>
  <c r="I422" i="40"/>
  <c r="J422" i="40"/>
  <c r="K422" i="40"/>
  <c r="L422" i="40"/>
  <c r="M422" i="40"/>
  <c r="G423" i="40"/>
  <c r="H423" i="40"/>
  <c r="I423" i="40"/>
  <c r="J423" i="40"/>
  <c r="K423" i="40"/>
  <c r="L423" i="40"/>
  <c r="M423" i="40"/>
  <c r="G424" i="40"/>
  <c r="H424" i="40"/>
  <c r="I424" i="40"/>
  <c r="J424" i="40"/>
  <c r="K424" i="40"/>
  <c r="L424" i="40"/>
  <c r="M424" i="40"/>
  <c r="G425" i="40"/>
  <c r="H425" i="40"/>
  <c r="I425" i="40"/>
  <c r="J425" i="40"/>
  <c r="K425" i="40"/>
  <c r="L425" i="40"/>
  <c r="M425" i="40"/>
  <c r="G426" i="40"/>
  <c r="H426" i="40"/>
  <c r="I426" i="40"/>
  <c r="J426" i="40"/>
  <c r="K426" i="40"/>
  <c r="L426" i="40"/>
  <c r="M426" i="40"/>
  <c r="G427" i="40"/>
  <c r="H427" i="40"/>
  <c r="I427" i="40"/>
  <c r="J427" i="40"/>
  <c r="K427" i="40"/>
  <c r="L427" i="40"/>
  <c r="M427" i="40"/>
  <c r="G428" i="40"/>
  <c r="H428" i="40"/>
  <c r="I428" i="40"/>
  <c r="J428" i="40"/>
  <c r="K428" i="40"/>
  <c r="L428" i="40"/>
  <c r="M428" i="40"/>
  <c r="G429" i="40"/>
  <c r="H429" i="40"/>
  <c r="I429" i="40"/>
  <c r="J429" i="40"/>
  <c r="K429" i="40"/>
  <c r="L429" i="40"/>
  <c r="M429" i="40"/>
  <c r="G430" i="40"/>
  <c r="H430" i="40"/>
  <c r="I430" i="40"/>
  <c r="J430" i="40"/>
  <c r="K430" i="40"/>
  <c r="L430" i="40"/>
  <c r="M430" i="40"/>
  <c r="G431" i="40"/>
  <c r="H431" i="40"/>
  <c r="I431" i="40"/>
  <c r="J431" i="40"/>
  <c r="K431" i="40"/>
  <c r="L431" i="40"/>
  <c r="M431" i="40"/>
  <c r="G432" i="40"/>
  <c r="H432" i="40"/>
  <c r="I432" i="40"/>
  <c r="J432" i="40"/>
  <c r="K432" i="40"/>
  <c r="L432" i="40"/>
  <c r="M432" i="40"/>
  <c r="G433" i="40"/>
  <c r="H433" i="40"/>
  <c r="I433" i="40"/>
  <c r="J433" i="40"/>
  <c r="K433" i="40"/>
  <c r="L433" i="40"/>
  <c r="M433" i="40"/>
  <c r="G434" i="40"/>
  <c r="H434" i="40"/>
  <c r="I434" i="40"/>
  <c r="J434" i="40"/>
  <c r="K434" i="40"/>
  <c r="L434" i="40"/>
  <c r="M434" i="40"/>
  <c r="G435" i="40"/>
  <c r="H435" i="40"/>
  <c r="I435" i="40"/>
  <c r="J435" i="40"/>
  <c r="K435" i="40"/>
  <c r="L435" i="40"/>
  <c r="M435" i="40"/>
  <c r="G436" i="40"/>
  <c r="H436" i="40"/>
  <c r="I436" i="40"/>
  <c r="J436" i="40"/>
  <c r="K436" i="40"/>
  <c r="L436" i="40"/>
  <c r="M436" i="40"/>
  <c r="G437" i="40"/>
  <c r="H437" i="40"/>
  <c r="I437" i="40"/>
  <c r="J437" i="40"/>
  <c r="K437" i="40"/>
  <c r="L437" i="40"/>
  <c r="M437" i="40"/>
  <c r="G438" i="40"/>
  <c r="H438" i="40"/>
  <c r="I438" i="40"/>
  <c r="J438" i="40"/>
  <c r="K438" i="40"/>
  <c r="L438" i="40"/>
  <c r="M438" i="40"/>
  <c r="G439" i="40"/>
  <c r="H439" i="40"/>
  <c r="I439" i="40"/>
  <c r="J439" i="40"/>
  <c r="K439" i="40"/>
  <c r="L439" i="40"/>
  <c r="M439" i="40"/>
  <c r="G440" i="40"/>
  <c r="H440" i="40"/>
  <c r="I440" i="40"/>
  <c r="J440" i="40"/>
  <c r="K440" i="40"/>
  <c r="L440" i="40"/>
  <c r="M440" i="40"/>
  <c r="G441" i="40"/>
  <c r="H441" i="40"/>
  <c r="I441" i="40"/>
  <c r="J441" i="40"/>
  <c r="K441" i="40"/>
  <c r="L441" i="40"/>
  <c r="M441" i="40"/>
  <c r="G442" i="40"/>
  <c r="H442" i="40"/>
  <c r="I442" i="40"/>
  <c r="J442" i="40"/>
  <c r="K442" i="40"/>
  <c r="L442" i="40"/>
  <c r="M442" i="40"/>
  <c r="G443" i="40"/>
  <c r="H443" i="40"/>
  <c r="I443" i="40"/>
  <c r="J443" i="40"/>
  <c r="K443" i="40"/>
  <c r="L443" i="40"/>
  <c r="M443" i="40"/>
  <c r="G444" i="40"/>
  <c r="H444" i="40"/>
  <c r="I444" i="40"/>
  <c r="J444" i="40"/>
  <c r="K444" i="40"/>
  <c r="L444" i="40"/>
  <c r="M444" i="40"/>
  <c r="G445" i="40"/>
  <c r="H445" i="40"/>
  <c r="I445" i="40"/>
  <c r="J445" i="40"/>
  <c r="K445" i="40"/>
  <c r="L445" i="40"/>
  <c r="M445" i="40"/>
  <c r="G446" i="40"/>
  <c r="H446" i="40"/>
  <c r="I446" i="40"/>
  <c r="J446" i="40"/>
  <c r="K446" i="40"/>
  <c r="L446" i="40"/>
  <c r="M446" i="40"/>
  <c r="G447" i="40"/>
  <c r="H447" i="40"/>
  <c r="I447" i="40"/>
  <c r="J447" i="40"/>
  <c r="K447" i="40"/>
  <c r="L447" i="40"/>
  <c r="M447" i="40"/>
  <c r="G448" i="40"/>
  <c r="H448" i="40"/>
  <c r="I448" i="40"/>
  <c r="J448" i="40"/>
  <c r="K448" i="40"/>
  <c r="L448" i="40"/>
  <c r="M448" i="40"/>
  <c r="G449" i="40"/>
  <c r="H449" i="40"/>
  <c r="I449" i="40"/>
  <c r="J449" i="40"/>
  <c r="K449" i="40"/>
  <c r="L449" i="40"/>
  <c r="M449" i="40"/>
  <c r="G450" i="40"/>
  <c r="H450" i="40"/>
  <c r="I450" i="40"/>
  <c r="J450" i="40"/>
  <c r="K450" i="40"/>
  <c r="L450" i="40"/>
  <c r="M450" i="40"/>
  <c r="G451" i="40"/>
  <c r="H451" i="40"/>
  <c r="I451" i="40"/>
  <c r="J451" i="40"/>
  <c r="K451" i="40"/>
  <c r="L451" i="40"/>
  <c r="M451" i="40"/>
  <c r="G452" i="40"/>
  <c r="H452" i="40"/>
  <c r="I452" i="40"/>
  <c r="J452" i="40"/>
  <c r="K452" i="40"/>
  <c r="L452" i="40"/>
  <c r="M452" i="40"/>
  <c r="G453" i="40"/>
  <c r="H453" i="40"/>
  <c r="I453" i="40"/>
  <c r="J453" i="40"/>
  <c r="K453" i="40"/>
  <c r="L453" i="40"/>
  <c r="M453" i="40"/>
  <c r="G454" i="40"/>
  <c r="H454" i="40"/>
  <c r="I454" i="40"/>
  <c r="J454" i="40"/>
  <c r="K454" i="40"/>
  <c r="L454" i="40"/>
  <c r="M454" i="40"/>
  <c r="G455" i="40"/>
  <c r="H455" i="40"/>
  <c r="I455" i="40"/>
  <c r="J455" i="40"/>
  <c r="K455" i="40"/>
  <c r="L455" i="40"/>
  <c r="M455" i="40"/>
  <c r="G456" i="40"/>
  <c r="H456" i="40"/>
  <c r="I456" i="40"/>
  <c r="J456" i="40"/>
  <c r="K456" i="40"/>
  <c r="L456" i="40"/>
  <c r="M456" i="40"/>
  <c r="G457" i="40"/>
  <c r="H457" i="40"/>
  <c r="I457" i="40"/>
  <c r="J457" i="40"/>
  <c r="K457" i="40"/>
  <c r="L457" i="40"/>
  <c r="M457" i="40"/>
  <c r="G458" i="40"/>
  <c r="H458" i="40"/>
  <c r="I458" i="40"/>
  <c r="J458" i="40"/>
  <c r="K458" i="40"/>
  <c r="L458" i="40"/>
  <c r="M458" i="40"/>
  <c r="G459" i="40"/>
  <c r="H459" i="40"/>
  <c r="I459" i="40"/>
  <c r="J459" i="40"/>
  <c r="K459" i="40"/>
  <c r="L459" i="40"/>
  <c r="M459" i="40"/>
  <c r="G460" i="40"/>
  <c r="H460" i="40"/>
  <c r="I460" i="40"/>
  <c r="J460" i="40"/>
  <c r="K460" i="40"/>
  <c r="L460" i="40"/>
  <c r="M460" i="40"/>
  <c r="G461" i="40"/>
  <c r="H461" i="40"/>
  <c r="I461" i="40"/>
  <c r="J461" i="40"/>
  <c r="K461" i="40"/>
  <c r="L461" i="40"/>
  <c r="M461" i="40"/>
  <c r="G462" i="40"/>
  <c r="H462" i="40"/>
  <c r="I462" i="40"/>
  <c r="J462" i="40"/>
  <c r="K462" i="40"/>
  <c r="L462" i="40"/>
  <c r="M462" i="40"/>
  <c r="G463" i="40"/>
  <c r="H463" i="40"/>
  <c r="I463" i="40"/>
  <c r="J463" i="40"/>
  <c r="K463" i="40"/>
  <c r="L463" i="40"/>
  <c r="M463" i="40"/>
  <c r="G464" i="40"/>
  <c r="H464" i="40"/>
  <c r="I464" i="40"/>
  <c r="J464" i="40"/>
  <c r="K464" i="40"/>
  <c r="L464" i="40"/>
  <c r="M464" i="40"/>
  <c r="G465" i="40"/>
  <c r="H465" i="40"/>
  <c r="I465" i="40"/>
  <c r="J465" i="40"/>
  <c r="K465" i="40"/>
  <c r="L465" i="40"/>
  <c r="M465" i="40"/>
  <c r="G466" i="40"/>
  <c r="H466" i="40"/>
  <c r="I466" i="40"/>
  <c r="J466" i="40"/>
  <c r="K466" i="40"/>
  <c r="L466" i="40"/>
  <c r="M466" i="40"/>
  <c r="G467" i="40"/>
  <c r="H467" i="40"/>
  <c r="I467" i="40"/>
  <c r="J467" i="40"/>
  <c r="K467" i="40"/>
  <c r="L467" i="40"/>
  <c r="M467" i="40"/>
  <c r="G468" i="40"/>
  <c r="H468" i="40"/>
  <c r="I468" i="40"/>
  <c r="J468" i="40"/>
  <c r="K468" i="40"/>
  <c r="L468" i="40"/>
  <c r="M468" i="40"/>
  <c r="G469" i="40"/>
  <c r="H469" i="40"/>
  <c r="I469" i="40"/>
  <c r="J469" i="40"/>
  <c r="K469" i="40"/>
  <c r="L469" i="40"/>
  <c r="M469" i="40"/>
  <c r="G470" i="40"/>
  <c r="H470" i="40"/>
  <c r="I470" i="40"/>
  <c r="J470" i="40"/>
  <c r="K470" i="40"/>
  <c r="L470" i="40"/>
  <c r="M470" i="40"/>
  <c r="G471" i="40"/>
  <c r="H471" i="40"/>
  <c r="I471" i="40"/>
  <c r="J471" i="40"/>
  <c r="K471" i="40"/>
  <c r="L471" i="40"/>
  <c r="M471" i="40"/>
  <c r="G472" i="40"/>
  <c r="H472" i="40"/>
  <c r="I472" i="40"/>
  <c r="J472" i="40"/>
  <c r="K472" i="40"/>
  <c r="L472" i="40"/>
  <c r="M472" i="40"/>
  <c r="G473" i="40"/>
  <c r="H473" i="40"/>
  <c r="I473" i="40"/>
  <c r="J473" i="40"/>
  <c r="K473" i="40"/>
  <c r="L473" i="40"/>
  <c r="M473" i="40"/>
  <c r="G474" i="40"/>
  <c r="H474" i="40"/>
  <c r="I474" i="40"/>
  <c r="J474" i="40"/>
  <c r="K474" i="40"/>
  <c r="L474" i="40"/>
  <c r="M474" i="40"/>
  <c r="G475" i="40"/>
  <c r="H475" i="40"/>
  <c r="I475" i="40"/>
  <c r="J475" i="40"/>
  <c r="K475" i="40"/>
  <c r="L475" i="40"/>
  <c r="M475" i="40"/>
  <c r="G476" i="40"/>
  <c r="H476" i="40"/>
  <c r="I476" i="40"/>
  <c r="J476" i="40"/>
  <c r="K476" i="40"/>
  <c r="L476" i="40"/>
  <c r="M476" i="40"/>
  <c r="G477" i="40"/>
  <c r="H477" i="40"/>
  <c r="I477" i="40"/>
  <c r="J477" i="40"/>
  <c r="K477" i="40"/>
  <c r="L477" i="40"/>
  <c r="M477" i="40"/>
  <c r="G478" i="40"/>
  <c r="H478" i="40"/>
  <c r="I478" i="40"/>
  <c r="J478" i="40"/>
  <c r="K478" i="40"/>
  <c r="L478" i="40"/>
  <c r="M478" i="40"/>
  <c r="G479" i="40"/>
  <c r="H479" i="40"/>
  <c r="I479" i="40"/>
  <c r="J479" i="40"/>
  <c r="K479" i="40"/>
  <c r="L479" i="40"/>
  <c r="M479" i="40"/>
  <c r="G480" i="40"/>
  <c r="H480" i="40"/>
  <c r="I480" i="40"/>
  <c r="J480" i="40"/>
  <c r="K480" i="40"/>
  <c r="L480" i="40"/>
  <c r="M480" i="40"/>
  <c r="G481" i="40"/>
  <c r="H481" i="40"/>
  <c r="I481" i="40"/>
  <c r="J481" i="40"/>
  <c r="K481" i="40"/>
  <c r="L481" i="40"/>
  <c r="M481" i="40"/>
  <c r="G482" i="40"/>
  <c r="H482" i="40"/>
  <c r="I482" i="40"/>
  <c r="J482" i="40"/>
  <c r="K482" i="40"/>
  <c r="L482" i="40"/>
  <c r="M482" i="40"/>
  <c r="G483" i="40"/>
  <c r="H483" i="40"/>
  <c r="I483" i="40"/>
  <c r="J483" i="40"/>
  <c r="K483" i="40"/>
  <c r="L483" i="40"/>
  <c r="M483" i="40"/>
  <c r="G484" i="40"/>
  <c r="H484" i="40"/>
  <c r="I484" i="40"/>
  <c r="J484" i="40"/>
  <c r="K484" i="40"/>
  <c r="L484" i="40"/>
  <c r="M484" i="40"/>
  <c r="G485" i="40"/>
  <c r="H485" i="40"/>
  <c r="I485" i="40"/>
  <c r="J485" i="40"/>
  <c r="K485" i="40"/>
  <c r="L485" i="40"/>
  <c r="M485" i="40"/>
  <c r="G486" i="40"/>
  <c r="H486" i="40"/>
  <c r="I486" i="40"/>
  <c r="J486" i="40"/>
  <c r="K486" i="40"/>
  <c r="L486" i="40"/>
  <c r="M486" i="40"/>
  <c r="G487" i="40"/>
  <c r="H487" i="40"/>
  <c r="I487" i="40"/>
  <c r="J487" i="40"/>
  <c r="K487" i="40"/>
  <c r="L487" i="40"/>
  <c r="M487" i="40"/>
  <c r="G488" i="40"/>
  <c r="H488" i="40"/>
  <c r="I488" i="40"/>
  <c r="J488" i="40"/>
  <c r="K488" i="40"/>
  <c r="L488" i="40"/>
  <c r="M488" i="40"/>
  <c r="G489" i="40"/>
  <c r="H489" i="40"/>
  <c r="I489" i="40"/>
  <c r="J489" i="40"/>
  <c r="K489" i="40"/>
  <c r="L489" i="40"/>
  <c r="M489" i="40"/>
  <c r="G490" i="40"/>
  <c r="H490" i="40"/>
  <c r="I490" i="40"/>
  <c r="J490" i="40"/>
  <c r="K490" i="40"/>
  <c r="L490" i="40"/>
  <c r="M490" i="40"/>
  <c r="G491" i="40"/>
  <c r="H491" i="40"/>
  <c r="I491" i="40"/>
  <c r="J491" i="40"/>
  <c r="K491" i="40"/>
  <c r="L491" i="40"/>
  <c r="M491" i="40"/>
  <c r="G492" i="40"/>
  <c r="H492" i="40"/>
  <c r="I492" i="40"/>
  <c r="J492" i="40"/>
  <c r="K492" i="40"/>
  <c r="L492" i="40"/>
  <c r="M492" i="40"/>
  <c r="G493" i="40"/>
  <c r="H493" i="40"/>
  <c r="I493" i="40"/>
  <c r="J493" i="40"/>
  <c r="K493" i="40"/>
  <c r="L493" i="40"/>
  <c r="M493" i="40"/>
  <c r="G494" i="40"/>
  <c r="H494" i="40"/>
  <c r="I494" i="40"/>
  <c r="J494" i="40"/>
  <c r="K494" i="40"/>
  <c r="L494" i="40"/>
  <c r="M494" i="40"/>
  <c r="G495" i="40"/>
  <c r="H495" i="40"/>
  <c r="I495" i="40"/>
  <c r="J495" i="40"/>
  <c r="K495" i="40"/>
  <c r="L495" i="40"/>
  <c r="M495" i="40"/>
  <c r="G496" i="40"/>
  <c r="H496" i="40"/>
  <c r="I496" i="40"/>
  <c r="J496" i="40"/>
  <c r="K496" i="40"/>
  <c r="L496" i="40"/>
  <c r="M496" i="40"/>
  <c r="G497" i="40"/>
  <c r="H497" i="40"/>
  <c r="I497" i="40"/>
  <c r="J497" i="40"/>
  <c r="K497" i="40"/>
  <c r="L497" i="40"/>
  <c r="M497" i="40"/>
  <c r="G498" i="40"/>
  <c r="H498" i="40"/>
  <c r="I498" i="40"/>
  <c r="J498" i="40"/>
  <c r="K498" i="40"/>
  <c r="L498" i="40"/>
  <c r="M498" i="40"/>
  <c r="G499" i="40"/>
  <c r="H499" i="40"/>
  <c r="I499" i="40"/>
  <c r="J499" i="40"/>
  <c r="K499" i="40"/>
  <c r="L499" i="40"/>
  <c r="M499" i="40"/>
  <c r="G500" i="40"/>
  <c r="H500" i="40"/>
  <c r="I500" i="40"/>
  <c r="J500" i="40"/>
  <c r="K500" i="40"/>
  <c r="L500" i="40"/>
  <c r="M500" i="40"/>
  <c r="G501" i="40"/>
  <c r="H501" i="40"/>
  <c r="I501" i="40"/>
  <c r="J501" i="40"/>
  <c r="K501" i="40"/>
  <c r="L501" i="40"/>
  <c r="M501" i="40"/>
  <c r="G502" i="40"/>
  <c r="H502" i="40"/>
  <c r="I502" i="40"/>
  <c r="J502" i="40"/>
  <c r="K502" i="40"/>
  <c r="L502" i="40"/>
  <c r="M502" i="40"/>
  <c r="G503" i="40"/>
  <c r="H503" i="40"/>
  <c r="I503" i="40"/>
  <c r="J503" i="40"/>
  <c r="K503" i="40"/>
  <c r="L503" i="40"/>
  <c r="M503" i="40"/>
  <c r="G504" i="40"/>
  <c r="H504" i="40"/>
  <c r="I504" i="40"/>
  <c r="J504" i="40"/>
  <c r="K504" i="40"/>
  <c r="L504" i="40"/>
  <c r="M504" i="40"/>
  <c r="G505" i="40"/>
  <c r="H505" i="40"/>
  <c r="I505" i="40"/>
  <c r="J505" i="40"/>
  <c r="K505" i="40"/>
  <c r="L505" i="40"/>
  <c r="M505" i="40"/>
  <c r="G506" i="40"/>
  <c r="H506" i="40"/>
  <c r="I506" i="40"/>
  <c r="J506" i="40"/>
  <c r="K506" i="40"/>
  <c r="L506" i="40"/>
  <c r="M506" i="40"/>
  <c r="G507" i="40"/>
  <c r="H507" i="40"/>
  <c r="I507" i="40"/>
  <c r="J507" i="40"/>
  <c r="K507" i="40"/>
  <c r="L507" i="40"/>
  <c r="M507" i="40"/>
  <c r="G508" i="40"/>
  <c r="H508" i="40"/>
  <c r="I508" i="40"/>
  <c r="J508" i="40"/>
  <c r="K508" i="40"/>
  <c r="L508" i="40"/>
  <c r="M508" i="40"/>
  <c r="G509" i="40"/>
  <c r="H509" i="40"/>
  <c r="I509" i="40"/>
  <c r="J509" i="40"/>
  <c r="K509" i="40"/>
  <c r="L509" i="40"/>
  <c r="M509" i="40"/>
  <c r="G510" i="40"/>
  <c r="H510" i="40"/>
  <c r="I510" i="40"/>
  <c r="J510" i="40"/>
  <c r="K510" i="40"/>
  <c r="L510" i="40"/>
  <c r="M510" i="40"/>
  <c r="G511" i="40"/>
  <c r="H511" i="40"/>
  <c r="I511" i="40"/>
  <c r="J511" i="40"/>
  <c r="K511" i="40"/>
  <c r="L511" i="40"/>
  <c r="M511" i="40"/>
  <c r="G512" i="40"/>
  <c r="H512" i="40"/>
  <c r="I512" i="40"/>
  <c r="J512" i="40"/>
  <c r="K512" i="40"/>
  <c r="L512" i="40"/>
  <c r="M512" i="40"/>
  <c r="G513" i="40"/>
  <c r="H513" i="40"/>
  <c r="I513" i="40"/>
  <c r="J513" i="40"/>
  <c r="K513" i="40"/>
  <c r="L513" i="40"/>
  <c r="M513" i="40"/>
  <c r="G514" i="40"/>
  <c r="H514" i="40"/>
  <c r="I514" i="40"/>
  <c r="J514" i="40"/>
  <c r="K514" i="40"/>
  <c r="L514" i="40"/>
  <c r="M514" i="40"/>
  <c r="G515" i="40"/>
  <c r="H515" i="40"/>
  <c r="I515" i="40"/>
  <c r="J515" i="40"/>
  <c r="K515" i="40"/>
  <c r="L515" i="40"/>
  <c r="M515" i="40"/>
  <c r="G516" i="40"/>
  <c r="H516" i="40"/>
  <c r="I516" i="40"/>
  <c r="J516" i="40"/>
  <c r="K516" i="40"/>
  <c r="L516" i="40"/>
  <c r="M516" i="40"/>
  <c r="G517" i="40"/>
  <c r="H517" i="40"/>
  <c r="I517" i="40"/>
  <c r="J517" i="40"/>
  <c r="K517" i="40"/>
  <c r="L517" i="40"/>
  <c r="M517" i="40"/>
  <c r="G518" i="40"/>
  <c r="H518" i="40"/>
  <c r="I518" i="40"/>
  <c r="J518" i="40"/>
  <c r="K518" i="40"/>
  <c r="L518" i="40"/>
  <c r="M518" i="40"/>
  <c r="G519" i="40"/>
  <c r="H519" i="40"/>
  <c r="I519" i="40"/>
  <c r="J519" i="40"/>
  <c r="K519" i="40"/>
  <c r="L519" i="40"/>
  <c r="M519" i="40"/>
  <c r="G520" i="40"/>
  <c r="H520" i="40"/>
  <c r="I520" i="40"/>
  <c r="J520" i="40"/>
  <c r="K520" i="40"/>
  <c r="L520" i="40"/>
  <c r="M520" i="40"/>
  <c r="G521" i="40"/>
  <c r="H521" i="40"/>
  <c r="I521" i="40"/>
  <c r="J521" i="40"/>
  <c r="K521" i="40"/>
  <c r="L521" i="40"/>
  <c r="M521" i="40"/>
  <c r="G522" i="40"/>
  <c r="H522" i="40"/>
  <c r="I522" i="40"/>
  <c r="J522" i="40"/>
  <c r="K522" i="40"/>
  <c r="L522" i="40"/>
  <c r="M522" i="40"/>
  <c r="G523" i="40"/>
  <c r="H523" i="40"/>
  <c r="I523" i="40"/>
  <c r="J523" i="40"/>
  <c r="K523" i="40"/>
  <c r="L523" i="40"/>
  <c r="M523" i="40"/>
  <c r="G524" i="40"/>
  <c r="H524" i="40"/>
  <c r="I524" i="40"/>
  <c r="J524" i="40"/>
  <c r="K524" i="40"/>
  <c r="L524" i="40"/>
  <c r="M524" i="40"/>
  <c r="G525" i="40"/>
  <c r="H525" i="40"/>
  <c r="I525" i="40"/>
  <c r="J525" i="40"/>
  <c r="K525" i="40"/>
  <c r="L525" i="40"/>
  <c r="M525" i="40"/>
  <c r="G526" i="40"/>
  <c r="H526" i="40"/>
  <c r="I526" i="40"/>
  <c r="J526" i="40"/>
  <c r="K526" i="40"/>
  <c r="L526" i="40"/>
  <c r="M526" i="40"/>
  <c r="G527" i="40"/>
  <c r="H527" i="40"/>
  <c r="I527" i="40"/>
  <c r="J527" i="40"/>
  <c r="K527" i="40"/>
  <c r="L527" i="40"/>
  <c r="M527" i="40"/>
  <c r="A9" i="40"/>
  <c r="A10" i="40"/>
  <c r="A11" i="40"/>
  <c r="A12" i="40"/>
  <c r="A13" i="40"/>
  <c r="A14" i="40"/>
  <c r="A15" i="40"/>
  <c r="A16" i="40"/>
  <c r="A17" i="40"/>
  <c r="A18" i="40"/>
  <c r="A19" i="40"/>
  <c r="A20" i="40"/>
  <c r="A21" i="40"/>
  <c r="A22" i="40"/>
  <c r="A23" i="40"/>
  <c r="A24" i="40"/>
  <c r="A25" i="40"/>
  <c r="A26" i="40"/>
  <c r="A27" i="40"/>
  <c r="A28" i="40"/>
  <c r="A29" i="40"/>
  <c r="A30" i="40"/>
  <c r="A31" i="40"/>
  <c r="A32" i="40"/>
  <c r="A33" i="40"/>
  <c r="A34" i="40"/>
  <c r="A35" i="40"/>
  <c r="A36" i="40"/>
  <c r="A37" i="40"/>
  <c r="A38" i="40"/>
  <c r="A39" i="40"/>
  <c r="A40" i="40"/>
  <c r="A41" i="40"/>
  <c r="A42" i="40"/>
  <c r="A43" i="40"/>
  <c r="A44" i="40"/>
  <c r="A45" i="40"/>
  <c r="A46" i="40"/>
  <c r="A47" i="40"/>
  <c r="A48" i="40"/>
  <c r="A49" i="40"/>
  <c r="A50" i="40"/>
  <c r="A51" i="40"/>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A129" i="40"/>
  <c r="A130" i="40"/>
  <c r="A131" i="40"/>
  <c r="A132" i="40"/>
  <c r="A133" i="40"/>
  <c r="A134" i="40"/>
  <c r="A135" i="40"/>
  <c r="A136" i="40"/>
  <c r="A137" i="40"/>
  <c r="A138" i="40"/>
  <c r="A139" i="40"/>
  <c r="A140" i="40"/>
  <c r="A141" i="40"/>
  <c r="A142" i="40"/>
  <c r="A143" i="40"/>
  <c r="A144" i="40"/>
  <c r="A145" i="40"/>
  <c r="A146" i="40"/>
  <c r="A147" i="40"/>
  <c r="A148" i="40"/>
  <c r="A149" i="40"/>
  <c r="A150" i="40"/>
  <c r="A151" i="40"/>
  <c r="A152" i="40"/>
  <c r="A153" i="40"/>
  <c r="A154" i="40"/>
  <c r="A155" i="40"/>
  <c r="A156" i="40"/>
  <c r="A157" i="40"/>
  <c r="A158" i="40"/>
  <c r="A159" i="40"/>
  <c r="A160" i="40"/>
  <c r="A161" i="40"/>
  <c r="A162" i="40"/>
  <c r="A163" i="40"/>
  <c r="A164" i="40"/>
  <c r="A165" i="40"/>
  <c r="A166" i="40"/>
  <c r="A167" i="40"/>
  <c r="A168" i="40"/>
  <c r="A169" i="40"/>
  <c r="A170" i="40"/>
  <c r="A171" i="40"/>
  <c r="A172" i="40"/>
  <c r="A173" i="40"/>
  <c r="A174" i="40"/>
  <c r="A175" i="40"/>
  <c r="A176" i="40"/>
  <c r="A177" i="40"/>
  <c r="A178" i="40"/>
  <c r="A179" i="40"/>
  <c r="A180" i="40"/>
  <c r="A181" i="40"/>
  <c r="A182" i="40"/>
  <c r="A183" i="40"/>
  <c r="A184" i="40"/>
  <c r="A185" i="40"/>
  <c r="A186" i="40"/>
  <c r="A187" i="40"/>
  <c r="A188" i="40"/>
  <c r="A189" i="40"/>
  <c r="A190" i="40"/>
  <c r="A191" i="40"/>
  <c r="A192" i="40"/>
  <c r="A193" i="40"/>
  <c r="A194" i="40"/>
  <c r="A195" i="40"/>
  <c r="A196" i="40"/>
  <c r="A197" i="40"/>
  <c r="A198" i="40"/>
  <c r="A199" i="40"/>
  <c r="A200" i="40"/>
  <c r="A201" i="40"/>
  <c r="A202" i="40"/>
  <c r="A203" i="40"/>
  <c r="A204" i="40"/>
  <c r="A205" i="40"/>
  <c r="A206" i="40"/>
  <c r="A207" i="40"/>
  <c r="A208" i="40"/>
  <c r="A209" i="40"/>
  <c r="A210" i="40"/>
  <c r="A211" i="40"/>
  <c r="A212" i="40"/>
  <c r="A213" i="40"/>
  <c r="A214" i="40"/>
  <c r="A215" i="40"/>
  <c r="A216" i="40"/>
  <c r="A217" i="40"/>
  <c r="A218" i="40"/>
  <c r="A219" i="40"/>
  <c r="A220" i="40"/>
  <c r="A221" i="40"/>
  <c r="A222" i="40"/>
  <c r="A223" i="40"/>
  <c r="A224" i="40"/>
  <c r="A225" i="40"/>
  <c r="A226" i="40"/>
  <c r="A227" i="40"/>
  <c r="A228" i="40"/>
  <c r="A229" i="40"/>
  <c r="A230" i="40"/>
  <c r="A231" i="40"/>
  <c r="A232" i="40"/>
  <c r="A233" i="40"/>
  <c r="A234" i="40"/>
  <c r="A235" i="40"/>
  <c r="A236" i="40"/>
  <c r="A237" i="40"/>
  <c r="A238" i="40"/>
  <c r="A239" i="40"/>
  <c r="A240" i="40"/>
  <c r="A241" i="40"/>
  <c r="A242" i="40"/>
  <c r="A243" i="40"/>
  <c r="A244" i="40"/>
  <c r="A245" i="40"/>
  <c r="A246" i="40"/>
  <c r="A247" i="40"/>
  <c r="A248" i="40"/>
  <c r="A249" i="40"/>
  <c r="A250" i="40"/>
  <c r="A251" i="40"/>
  <c r="A252" i="40"/>
  <c r="A253" i="40"/>
  <c r="A254" i="40"/>
  <c r="A255" i="40"/>
  <c r="A256" i="40"/>
  <c r="A257" i="40"/>
  <c r="A258" i="40"/>
  <c r="A259" i="40"/>
  <c r="A260" i="40"/>
  <c r="A261" i="40"/>
  <c r="A262" i="40"/>
  <c r="A263" i="40"/>
  <c r="A264" i="40"/>
  <c r="A265" i="40"/>
  <c r="A266" i="40"/>
  <c r="A267" i="40"/>
  <c r="A268" i="40"/>
  <c r="A269" i="40"/>
  <c r="A270" i="40"/>
  <c r="A271" i="40"/>
  <c r="A272" i="40"/>
  <c r="A273" i="40"/>
  <c r="A274" i="40"/>
  <c r="A275" i="40"/>
  <c r="A276" i="40"/>
  <c r="A277" i="40"/>
  <c r="A278" i="40"/>
  <c r="A279" i="40"/>
  <c r="A280" i="40"/>
  <c r="A281" i="40"/>
  <c r="A282" i="40"/>
  <c r="A283" i="40"/>
  <c r="A284" i="40"/>
  <c r="A285" i="40"/>
  <c r="A286" i="40"/>
  <c r="A287" i="40"/>
  <c r="A288" i="40"/>
  <c r="A289" i="40"/>
  <c r="A290" i="40"/>
  <c r="A291" i="40"/>
  <c r="A292" i="40"/>
  <c r="A293" i="40"/>
  <c r="A294" i="40"/>
  <c r="A295" i="40"/>
  <c r="A296" i="40"/>
  <c r="A297" i="40"/>
  <c r="A298" i="40"/>
  <c r="A299" i="40"/>
  <c r="A300" i="40"/>
  <c r="A301" i="40"/>
  <c r="A302" i="40"/>
  <c r="A303" i="40"/>
  <c r="A304" i="40"/>
  <c r="A305" i="40"/>
  <c r="A306" i="40"/>
  <c r="A307" i="40"/>
  <c r="A308" i="40"/>
  <c r="A309" i="40"/>
  <c r="A310" i="40"/>
  <c r="A311" i="40"/>
  <c r="A312" i="40"/>
  <c r="A313" i="40"/>
  <c r="A314" i="40"/>
  <c r="A315" i="40"/>
  <c r="A316" i="40"/>
  <c r="A317" i="40"/>
  <c r="A318" i="40"/>
  <c r="A319" i="40"/>
  <c r="A320" i="40"/>
  <c r="A321" i="40"/>
  <c r="A322" i="40"/>
  <c r="A323" i="40"/>
  <c r="A324" i="40"/>
  <c r="A325" i="40"/>
  <c r="A326" i="40"/>
  <c r="A327" i="40"/>
  <c r="A328" i="40"/>
  <c r="A329" i="40"/>
  <c r="A330" i="40"/>
  <c r="A331" i="40"/>
  <c r="A332" i="40"/>
  <c r="A333" i="40"/>
  <c r="A334" i="40"/>
  <c r="A335" i="40"/>
  <c r="A336" i="40"/>
  <c r="A337" i="40"/>
  <c r="A338" i="40"/>
  <c r="A339" i="40"/>
  <c r="A340" i="40"/>
  <c r="A341" i="40"/>
  <c r="A342" i="40"/>
  <c r="A343" i="40"/>
  <c r="A344" i="40"/>
  <c r="A345" i="40"/>
  <c r="A346" i="40"/>
  <c r="A347" i="40"/>
  <c r="A348" i="40"/>
  <c r="A349" i="40"/>
  <c r="A350" i="40"/>
  <c r="A351" i="40"/>
  <c r="A352" i="40"/>
  <c r="A353" i="40"/>
  <c r="A354" i="40"/>
  <c r="A355" i="40"/>
  <c r="A356" i="40"/>
  <c r="A357" i="40"/>
  <c r="A358" i="40"/>
  <c r="A359" i="40"/>
  <c r="A360" i="40"/>
  <c r="A361" i="40"/>
  <c r="A362" i="40"/>
  <c r="A363" i="40"/>
  <c r="A364" i="40"/>
  <c r="A365" i="40"/>
  <c r="A366" i="40"/>
  <c r="A367" i="40"/>
  <c r="A368" i="40"/>
  <c r="A369" i="40"/>
  <c r="A370" i="40"/>
  <c r="A371" i="40"/>
  <c r="A372" i="40"/>
  <c r="A373" i="40"/>
  <c r="A374" i="40"/>
  <c r="A375" i="40"/>
  <c r="A376" i="40"/>
  <c r="A377" i="40"/>
  <c r="A378" i="40"/>
  <c r="A379" i="40"/>
  <c r="A380" i="40"/>
  <c r="A381" i="40"/>
  <c r="A382" i="40"/>
  <c r="A383" i="40"/>
  <c r="A384" i="40"/>
  <c r="A385" i="40"/>
  <c r="A386" i="40"/>
  <c r="A387" i="40"/>
  <c r="A388" i="40"/>
  <c r="A389" i="40"/>
  <c r="A390" i="40"/>
  <c r="A391" i="40"/>
  <c r="A392" i="40"/>
  <c r="A393" i="40"/>
  <c r="A394" i="40"/>
  <c r="A395" i="40"/>
  <c r="A396" i="40"/>
  <c r="A397" i="40"/>
  <c r="A398" i="40"/>
  <c r="A399" i="40"/>
  <c r="A400" i="40"/>
  <c r="A401" i="40"/>
  <c r="A402" i="40"/>
  <c r="A403" i="40"/>
  <c r="A404" i="40"/>
  <c r="A405" i="40"/>
  <c r="A406" i="40"/>
  <c r="A407" i="40"/>
  <c r="A408" i="40"/>
  <c r="A409" i="40"/>
  <c r="A410" i="40"/>
  <c r="A411" i="40"/>
  <c r="A412" i="40"/>
  <c r="A413" i="40"/>
  <c r="A414" i="40"/>
  <c r="A415" i="40"/>
  <c r="A416" i="40"/>
  <c r="A417" i="40"/>
  <c r="A418" i="40"/>
  <c r="A419" i="40"/>
  <c r="A420" i="40"/>
  <c r="A421" i="40"/>
  <c r="A422" i="40"/>
  <c r="A423" i="40"/>
  <c r="A424" i="40"/>
  <c r="A425" i="40"/>
  <c r="A426" i="40"/>
  <c r="A427" i="40"/>
  <c r="A428" i="40"/>
  <c r="A429" i="40"/>
  <c r="A430" i="40"/>
  <c r="A431" i="40"/>
  <c r="A432" i="40"/>
  <c r="A433" i="40"/>
  <c r="A434" i="40"/>
  <c r="A435" i="40"/>
  <c r="A436" i="40"/>
  <c r="A437" i="40"/>
  <c r="A438" i="40"/>
  <c r="A439" i="40"/>
  <c r="A440" i="40"/>
  <c r="A441" i="40"/>
  <c r="A442" i="40"/>
  <c r="A443" i="40"/>
  <c r="A444" i="40"/>
  <c r="A445" i="40"/>
  <c r="A446" i="40"/>
  <c r="A447" i="40"/>
  <c r="A448" i="40"/>
  <c r="A449" i="40"/>
  <c r="A450" i="40"/>
  <c r="A451" i="40"/>
  <c r="A452" i="40"/>
  <c r="A453" i="40"/>
  <c r="A454" i="40"/>
  <c r="A455" i="40"/>
  <c r="A456" i="40"/>
  <c r="A457" i="40"/>
  <c r="A458" i="40"/>
  <c r="A459" i="40"/>
  <c r="A460" i="40"/>
  <c r="A461" i="40"/>
  <c r="A462" i="40"/>
  <c r="A463" i="40"/>
  <c r="A464" i="40"/>
  <c r="A465" i="40"/>
  <c r="A466" i="40"/>
  <c r="A467" i="40"/>
  <c r="A468" i="40"/>
  <c r="A469" i="40"/>
  <c r="A470" i="40"/>
  <c r="A471" i="40"/>
  <c r="A472" i="40"/>
  <c r="A473" i="40"/>
  <c r="A474" i="40"/>
  <c r="A475" i="40"/>
  <c r="A476" i="40"/>
  <c r="A477" i="40"/>
  <c r="A478" i="40"/>
  <c r="A479" i="40"/>
  <c r="A480" i="40"/>
  <c r="A481" i="40"/>
  <c r="A482" i="40"/>
  <c r="A483" i="40"/>
  <c r="A484" i="40"/>
  <c r="A485" i="40"/>
  <c r="A486" i="40"/>
  <c r="A487" i="40"/>
  <c r="A488" i="40"/>
  <c r="A489" i="40"/>
  <c r="A490" i="40"/>
  <c r="A491" i="40"/>
  <c r="A492" i="40"/>
  <c r="A493" i="40"/>
  <c r="A494" i="40"/>
  <c r="A495" i="40"/>
  <c r="A496" i="40"/>
  <c r="A497" i="40"/>
  <c r="A498" i="40"/>
  <c r="A499" i="40"/>
  <c r="A500" i="40"/>
  <c r="A501" i="40"/>
  <c r="A502" i="40"/>
  <c r="A503" i="40"/>
  <c r="A504" i="40"/>
  <c r="A505" i="40"/>
  <c r="A506" i="40"/>
  <c r="A507" i="40"/>
  <c r="A508" i="40"/>
  <c r="A509" i="40"/>
  <c r="A510" i="40"/>
  <c r="A511" i="40"/>
  <c r="A512" i="40"/>
  <c r="A513" i="40"/>
  <c r="A514" i="40"/>
  <c r="A515" i="40"/>
  <c r="A516" i="40"/>
  <c r="A517" i="40"/>
  <c r="A518" i="40"/>
  <c r="A519" i="40"/>
  <c r="A520" i="40"/>
  <c r="A521" i="40"/>
  <c r="A522" i="40"/>
  <c r="A523" i="40"/>
  <c r="A524" i="40"/>
  <c r="A525" i="40"/>
  <c r="A526" i="40"/>
  <c r="A527" i="40"/>
  <c r="A8" i="40"/>
  <c r="E447" i="40"/>
  <c r="D447" i="40"/>
  <c r="C447" i="40"/>
  <c r="B447" i="40"/>
  <c r="E446" i="40"/>
  <c r="D446" i="40"/>
  <c r="C446" i="40"/>
  <c r="B446" i="40"/>
  <c r="E445" i="40"/>
  <c r="D445" i="40"/>
  <c r="C445" i="40"/>
  <c r="B445" i="40"/>
  <c r="E444" i="40"/>
  <c r="D444" i="40"/>
  <c r="C444" i="40"/>
  <c r="B444" i="40"/>
  <c r="E443" i="40"/>
  <c r="D443" i="40"/>
  <c r="C443" i="40"/>
  <c r="B443" i="40"/>
  <c r="E442" i="40"/>
  <c r="D442" i="40"/>
  <c r="C442" i="40"/>
  <c r="B442" i="40"/>
  <c r="E441" i="40"/>
  <c r="D441" i="40"/>
  <c r="C441" i="40"/>
  <c r="B441" i="40"/>
  <c r="E440" i="40"/>
  <c r="D440" i="40"/>
  <c r="C440" i="40"/>
  <c r="B440" i="40"/>
  <c r="E439" i="40"/>
  <c r="D439" i="40"/>
  <c r="C439" i="40"/>
  <c r="B439" i="40"/>
  <c r="E438" i="40"/>
  <c r="D438" i="40"/>
  <c r="C438" i="40"/>
  <c r="B438" i="40"/>
  <c r="E437" i="40"/>
  <c r="D437" i="40"/>
  <c r="C437" i="40"/>
  <c r="B437" i="40"/>
  <c r="E436" i="40"/>
  <c r="D436" i="40"/>
  <c r="C436" i="40"/>
  <c r="B436" i="40"/>
  <c r="E435" i="40"/>
  <c r="D435" i="40"/>
  <c r="C435" i="40"/>
  <c r="B435" i="40"/>
  <c r="E434" i="40"/>
  <c r="D434" i="40"/>
  <c r="C434" i="40"/>
  <c r="B434" i="40"/>
  <c r="E433" i="40"/>
  <c r="D433" i="40"/>
  <c r="C433" i="40"/>
  <c r="B433" i="40"/>
  <c r="E432" i="40"/>
  <c r="D432" i="40"/>
  <c r="C432" i="40"/>
  <c r="B432" i="40"/>
  <c r="E431" i="40"/>
  <c r="D431" i="40"/>
  <c r="C431" i="40"/>
  <c r="B431" i="40"/>
  <c r="E430" i="40"/>
  <c r="D430" i="40"/>
  <c r="C430" i="40"/>
  <c r="B430" i="40"/>
  <c r="E429" i="40"/>
  <c r="D429" i="40"/>
  <c r="C429" i="40"/>
  <c r="B429" i="40"/>
  <c r="E428" i="40"/>
  <c r="D428" i="40"/>
  <c r="C428" i="40"/>
  <c r="B428" i="40"/>
  <c r="E427" i="40"/>
  <c r="D427" i="40"/>
  <c r="C427" i="40"/>
  <c r="B427" i="40"/>
  <c r="E426" i="40"/>
  <c r="D426" i="40"/>
  <c r="C426" i="40"/>
  <c r="B426" i="40"/>
  <c r="E425" i="40"/>
  <c r="D425" i="40"/>
  <c r="C425" i="40"/>
  <c r="B425" i="40"/>
  <c r="E424" i="40"/>
  <c r="D424" i="40"/>
  <c r="C424" i="40"/>
  <c r="B424" i="40"/>
  <c r="E423" i="40"/>
  <c r="D423" i="40"/>
  <c r="C423" i="40"/>
  <c r="B423" i="40"/>
  <c r="E422" i="40"/>
  <c r="D422" i="40"/>
  <c r="C422" i="40"/>
  <c r="B422" i="40"/>
  <c r="E421" i="40"/>
  <c r="D421" i="40"/>
  <c r="C421" i="40"/>
  <c r="B421" i="40"/>
  <c r="E420" i="40"/>
  <c r="D420" i="40"/>
  <c r="C420" i="40"/>
  <c r="B420" i="40"/>
  <c r="E419" i="40"/>
  <c r="D419" i="40"/>
  <c r="C419" i="40"/>
  <c r="B419" i="40"/>
  <c r="E418" i="40"/>
  <c r="D418" i="40"/>
  <c r="C418" i="40"/>
  <c r="B418" i="40"/>
  <c r="E417" i="40"/>
  <c r="D417" i="40"/>
  <c r="C417" i="40"/>
  <c r="B417" i="40"/>
  <c r="E416" i="40"/>
  <c r="D416" i="40"/>
  <c r="C416" i="40"/>
  <c r="B416" i="40"/>
  <c r="E415" i="40"/>
  <c r="D415" i="40"/>
  <c r="C415" i="40"/>
  <c r="B415" i="40"/>
  <c r="E414" i="40"/>
  <c r="D414" i="40"/>
  <c r="C414" i="40"/>
  <c r="B414" i="40"/>
  <c r="E413" i="40"/>
  <c r="D413" i="40"/>
  <c r="C413" i="40"/>
  <c r="B413" i="40"/>
  <c r="E412" i="40"/>
  <c r="D412" i="40"/>
  <c r="C412" i="40"/>
  <c r="B412" i="40"/>
  <c r="E411" i="40"/>
  <c r="D411" i="40"/>
  <c r="C411" i="40"/>
  <c r="B411" i="40"/>
  <c r="E410" i="40"/>
  <c r="D410" i="40"/>
  <c r="C410" i="40"/>
  <c r="B410" i="40"/>
  <c r="E409" i="40"/>
  <c r="D409" i="40"/>
  <c r="C409" i="40"/>
  <c r="B409" i="40"/>
  <c r="E408" i="40"/>
  <c r="D408" i="40"/>
  <c r="C408" i="40"/>
  <c r="B408" i="40"/>
  <c r="E407" i="40"/>
  <c r="D407" i="40"/>
  <c r="C407" i="40"/>
  <c r="B407" i="40"/>
  <c r="E406" i="40"/>
  <c r="D406" i="40"/>
  <c r="C406" i="40"/>
  <c r="B406" i="40"/>
  <c r="E405" i="40"/>
  <c r="D405" i="40"/>
  <c r="C405" i="40"/>
  <c r="B405" i="40"/>
  <c r="E404" i="40"/>
  <c r="D404" i="40"/>
  <c r="C404" i="40"/>
  <c r="B404" i="40"/>
  <c r="E403" i="40"/>
  <c r="D403" i="40"/>
  <c r="C403" i="40"/>
  <c r="B403" i="40"/>
  <c r="E402" i="40"/>
  <c r="D402" i="40"/>
  <c r="C402" i="40"/>
  <c r="B402" i="40"/>
  <c r="E401" i="40"/>
  <c r="D401" i="40"/>
  <c r="C401" i="40"/>
  <c r="B401" i="40"/>
  <c r="E400" i="40"/>
  <c r="D400" i="40"/>
  <c r="C400" i="40"/>
  <c r="B400" i="40"/>
  <c r="E399" i="40"/>
  <c r="D399" i="40"/>
  <c r="C399" i="40"/>
  <c r="B399" i="40"/>
  <c r="E398" i="40"/>
  <c r="D398" i="40"/>
  <c r="C398" i="40"/>
  <c r="B398" i="40"/>
  <c r="E397" i="40"/>
  <c r="D397" i="40"/>
  <c r="C397" i="40"/>
  <c r="B397" i="40"/>
  <c r="E396" i="40"/>
  <c r="D396" i="40"/>
  <c r="C396" i="40"/>
  <c r="B396" i="40"/>
  <c r="E395" i="40"/>
  <c r="D395" i="40"/>
  <c r="C395" i="40"/>
  <c r="B395" i="40"/>
  <c r="E394" i="40"/>
  <c r="D394" i="40"/>
  <c r="C394" i="40"/>
  <c r="B394" i="40"/>
  <c r="E393" i="40"/>
  <c r="D393" i="40"/>
  <c r="C393" i="40"/>
  <c r="B393" i="40"/>
  <c r="E392" i="40"/>
  <c r="D392" i="40"/>
  <c r="C392" i="40"/>
  <c r="B392" i="40"/>
  <c r="E391" i="40"/>
  <c r="D391" i="40"/>
  <c r="C391" i="40"/>
  <c r="B391" i="40"/>
  <c r="E390" i="40"/>
  <c r="D390" i="40"/>
  <c r="C390" i="40"/>
  <c r="B390" i="40"/>
  <c r="E389" i="40"/>
  <c r="D389" i="40"/>
  <c r="C389" i="40"/>
  <c r="B389" i="40"/>
  <c r="E388" i="40"/>
  <c r="D388" i="40"/>
  <c r="C388" i="40"/>
  <c r="B388" i="40"/>
  <c r="E387" i="40"/>
  <c r="D387" i="40"/>
  <c r="C387" i="40"/>
  <c r="B387" i="40"/>
  <c r="E386" i="40"/>
  <c r="D386" i="40"/>
  <c r="C386" i="40"/>
  <c r="B386" i="40"/>
  <c r="E385" i="40"/>
  <c r="D385" i="40"/>
  <c r="C385" i="40"/>
  <c r="B385" i="40"/>
  <c r="E384" i="40"/>
  <c r="D384" i="40"/>
  <c r="C384" i="40"/>
  <c r="B384" i="40"/>
  <c r="E383" i="40"/>
  <c r="D383" i="40"/>
  <c r="C383" i="40"/>
  <c r="B383" i="40"/>
  <c r="E382" i="40"/>
  <c r="D382" i="40"/>
  <c r="C382" i="40"/>
  <c r="B382" i="40"/>
  <c r="E381" i="40"/>
  <c r="D381" i="40"/>
  <c r="C381" i="40"/>
  <c r="B381" i="40"/>
  <c r="E380" i="40"/>
  <c r="D380" i="40"/>
  <c r="C380" i="40"/>
  <c r="B380" i="40"/>
  <c r="E379" i="40"/>
  <c r="D379" i="40"/>
  <c r="C379" i="40"/>
  <c r="B379" i="40"/>
  <c r="E378" i="40"/>
  <c r="D378" i="40"/>
  <c r="C378" i="40"/>
  <c r="B378" i="40"/>
  <c r="E377" i="40"/>
  <c r="D377" i="40"/>
  <c r="C377" i="40"/>
  <c r="B377" i="40"/>
  <c r="E376" i="40"/>
  <c r="D376" i="40"/>
  <c r="C376" i="40"/>
  <c r="B376" i="40"/>
  <c r="E375" i="40"/>
  <c r="D375" i="40"/>
  <c r="C375" i="40"/>
  <c r="B375" i="40"/>
  <c r="E374" i="40"/>
  <c r="D374" i="40"/>
  <c r="C374" i="40"/>
  <c r="B374" i="40"/>
  <c r="E373" i="40"/>
  <c r="D373" i="40"/>
  <c r="C373" i="40"/>
  <c r="B373" i="40"/>
  <c r="E372" i="40"/>
  <c r="D372" i="40"/>
  <c r="C372" i="40"/>
  <c r="B372" i="40"/>
  <c r="E371" i="40"/>
  <c r="D371" i="40"/>
  <c r="C371" i="40"/>
  <c r="B371" i="40"/>
  <c r="E370" i="40"/>
  <c r="D370" i="40"/>
  <c r="C370" i="40"/>
  <c r="B370" i="40"/>
  <c r="E369" i="40"/>
  <c r="D369" i="40"/>
  <c r="C369" i="40"/>
  <c r="B369" i="40"/>
  <c r="E368" i="40"/>
  <c r="D368" i="40"/>
  <c r="C368" i="40"/>
  <c r="B368" i="40"/>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46" i="36"/>
  <c r="B47" i="36"/>
  <c r="B48" i="36"/>
  <c r="B49" i="36"/>
  <c r="B50" i="36"/>
  <c r="B51" i="36"/>
  <c r="B52" i="36"/>
  <c r="B53" i="36"/>
  <c r="B54" i="36"/>
  <c r="B55" i="36"/>
  <c r="B56" i="36"/>
  <c r="B57" i="36"/>
  <c r="B58" i="36"/>
  <c r="B59" i="36"/>
  <c r="B60" i="36"/>
  <c r="B61" i="36"/>
  <c r="B62" i="36"/>
  <c r="B63" i="36"/>
  <c r="B64" i="36"/>
  <c r="B65" i="36"/>
  <c r="B66" i="36"/>
  <c r="B67" i="36"/>
  <c r="B68" i="36"/>
  <c r="B69" i="36"/>
  <c r="B70" i="36"/>
  <c r="B71" i="36"/>
  <c r="B72" i="36"/>
  <c r="B73" i="36"/>
  <c r="B74" i="36"/>
  <c r="B75" i="36"/>
  <c r="B76" i="36"/>
  <c r="B77" i="36"/>
  <c r="B78" i="36"/>
  <c r="B79" i="36"/>
  <c r="B80" i="36"/>
  <c r="B81" i="36"/>
  <c r="B82" i="36"/>
  <c r="B83" i="36"/>
  <c r="B84" i="36"/>
  <c r="B85" i="36"/>
  <c r="B86" i="36"/>
  <c r="B87" i="36"/>
  <c r="B88" i="36"/>
  <c r="B89" i="36"/>
  <c r="B90" i="36"/>
  <c r="B91" i="36"/>
  <c r="B92" i="36"/>
  <c r="B93" i="36"/>
  <c r="B94" i="36"/>
  <c r="B95" i="36"/>
  <c r="B96" i="36"/>
  <c r="B97" i="36"/>
  <c r="B98" i="36"/>
  <c r="B99" i="36"/>
  <c r="B100" i="36"/>
  <c r="B101" i="36"/>
  <c r="B102" i="36"/>
  <c r="B103" i="36"/>
  <c r="B104" i="36"/>
  <c r="B105" i="36"/>
  <c r="B106" i="36"/>
  <c r="B107" i="36"/>
  <c r="B108" i="36"/>
  <c r="B109" i="36"/>
  <c r="B110" i="36"/>
  <c r="B111" i="36"/>
  <c r="B112" i="36"/>
  <c r="B113" i="36"/>
  <c r="B114" i="36"/>
  <c r="B115" i="36"/>
  <c r="B116" i="36"/>
  <c r="B117" i="36"/>
  <c r="B118" i="36"/>
  <c r="B119" i="36"/>
  <c r="B120" i="36"/>
  <c r="B121" i="36"/>
  <c r="B122" i="36"/>
  <c r="B123" i="36"/>
  <c r="B124" i="36"/>
  <c r="B125" i="36"/>
  <c r="B126" i="36"/>
  <c r="B127" i="36"/>
  <c r="B128" i="36"/>
  <c r="B129" i="36"/>
  <c r="B130" i="36"/>
  <c r="B131" i="36"/>
  <c r="B132" i="36"/>
  <c r="B133" i="36"/>
  <c r="B134" i="36"/>
  <c r="B135" i="36"/>
  <c r="B136" i="36"/>
  <c r="B137" i="36"/>
  <c r="B138" i="36"/>
  <c r="B139" i="36"/>
  <c r="B140" i="36"/>
  <c r="B141" i="36"/>
  <c r="B142" i="36"/>
  <c r="B143" i="36"/>
  <c r="B144" i="36"/>
  <c r="B145" i="36"/>
  <c r="B146" i="36"/>
  <c r="B147" i="36"/>
  <c r="B148" i="36"/>
  <c r="B149" i="36"/>
  <c r="B150" i="36"/>
  <c r="B151" i="36"/>
  <c r="B152" i="36"/>
  <c r="B153" i="36"/>
  <c r="B154" i="36"/>
  <c r="B155" i="36"/>
  <c r="B156" i="36"/>
  <c r="B157" i="36"/>
  <c r="B158" i="36"/>
  <c r="B159" i="36"/>
  <c r="B160" i="36"/>
  <c r="B161" i="36"/>
  <c r="B162" i="36"/>
  <c r="B163" i="36"/>
  <c r="B164" i="36"/>
  <c r="B165" i="36"/>
  <c r="B166" i="36"/>
  <c r="B167" i="36"/>
  <c r="B168" i="36"/>
  <c r="B169" i="36"/>
  <c r="B170" i="36"/>
  <c r="B171" i="36"/>
  <c r="B172" i="36"/>
  <c r="B173" i="36"/>
  <c r="B174" i="36"/>
  <c r="B175" i="36"/>
  <c r="B176" i="36"/>
  <c r="B177" i="36"/>
  <c r="B178" i="36"/>
  <c r="B179" i="36"/>
  <c r="B180" i="36"/>
  <c r="B181" i="36"/>
  <c r="B182" i="36"/>
  <c r="B183" i="36"/>
  <c r="B184" i="36"/>
  <c r="B185" i="36"/>
  <c r="B186" i="36"/>
  <c r="B187" i="36"/>
  <c r="B188" i="36"/>
  <c r="B189" i="36"/>
  <c r="B190" i="36"/>
  <c r="B191" i="36"/>
  <c r="B192" i="36"/>
  <c r="B193" i="36"/>
  <c r="B194" i="36"/>
  <c r="B195" i="36"/>
  <c r="B196" i="36"/>
  <c r="B197" i="36"/>
  <c r="B198" i="36"/>
  <c r="B199" i="36"/>
  <c r="B200" i="36"/>
  <c r="B201" i="36"/>
  <c r="B202" i="36"/>
  <c r="B203" i="36"/>
  <c r="B204" i="36"/>
  <c r="B205" i="36"/>
  <c r="B206" i="36"/>
  <c r="B207" i="36"/>
  <c r="B208" i="36"/>
  <c r="B209" i="36"/>
  <c r="B210" i="36"/>
  <c r="B211" i="36"/>
  <c r="B212" i="36"/>
  <c r="B213" i="36"/>
  <c r="B214" i="36"/>
  <c r="B215" i="36"/>
  <c r="B216" i="36"/>
  <c r="B217" i="36"/>
  <c r="B218" i="36"/>
  <c r="B219" i="36"/>
  <c r="B220" i="36"/>
  <c r="B221" i="36"/>
  <c r="B222" i="36"/>
  <c r="B223" i="36"/>
  <c r="B224" i="36"/>
  <c r="B225" i="36"/>
  <c r="B226" i="36"/>
  <c r="B227" i="36"/>
  <c r="B228" i="36"/>
  <c r="B229" i="36"/>
  <c r="B230" i="36"/>
  <c r="B231" i="36"/>
  <c r="B232" i="36"/>
  <c r="B233" i="36"/>
  <c r="B234" i="36"/>
  <c r="B235" i="36"/>
  <c r="B236" i="36"/>
  <c r="B237" i="36"/>
  <c r="B238" i="36"/>
  <c r="B239" i="36"/>
  <c r="B240" i="36"/>
  <c r="B241" i="36"/>
  <c r="B242" i="36"/>
  <c r="B243" i="36"/>
  <c r="B244" i="36"/>
  <c r="B245" i="36"/>
  <c r="B246" i="36"/>
  <c r="B247" i="36"/>
  <c r="B248" i="36"/>
  <c r="B249" i="36"/>
  <c r="B250" i="36"/>
  <c r="B251" i="36"/>
  <c r="B252" i="36"/>
  <c r="B253" i="36"/>
  <c r="B254" i="36"/>
  <c r="B255" i="36"/>
  <c r="B256" i="36"/>
  <c r="B257" i="36"/>
  <c r="B258" i="36"/>
  <c r="B259" i="36"/>
  <c r="B260" i="36"/>
  <c r="B261" i="36"/>
  <c r="B262" i="36"/>
  <c r="B263" i="36"/>
  <c r="B264" i="36"/>
  <c r="B265" i="36"/>
  <c r="B266" i="36"/>
  <c r="B267" i="36"/>
  <c r="B268" i="36"/>
  <c r="B269" i="36"/>
  <c r="B270" i="36"/>
  <c r="B271" i="36"/>
  <c r="B272" i="36"/>
  <c r="B273" i="36"/>
  <c r="B274" i="36"/>
  <c r="B275" i="36"/>
  <c r="B276" i="36"/>
  <c r="B277" i="36"/>
  <c r="B278" i="36"/>
  <c r="B279" i="36"/>
  <c r="B280" i="36"/>
  <c r="B281" i="36"/>
  <c r="B282" i="36"/>
  <c r="B283" i="36"/>
  <c r="B284" i="36"/>
  <c r="B285" i="36"/>
  <c r="B286" i="36"/>
  <c r="B287" i="36"/>
  <c r="B288" i="36"/>
  <c r="B289" i="36"/>
  <c r="B290" i="36"/>
  <c r="B291" i="36"/>
  <c r="B292" i="36"/>
  <c r="B293" i="36"/>
  <c r="B294" i="36"/>
  <c r="B295" i="36"/>
  <c r="B296" i="36"/>
  <c r="B297" i="36"/>
  <c r="B298" i="36"/>
  <c r="B299" i="36"/>
  <c r="B300" i="36"/>
  <c r="B301" i="36"/>
  <c r="B302" i="36"/>
  <c r="B303" i="36"/>
  <c r="B304" i="36"/>
  <c r="B305" i="36"/>
  <c r="B306" i="36"/>
  <c r="B307" i="36"/>
  <c r="B308" i="36"/>
  <c r="B309" i="36"/>
  <c r="B310" i="36"/>
  <c r="B311" i="36"/>
  <c r="B312" i="36"/>
  <c r="B313" i="36"/>
  <c r="B314" i="36"/>
  <c r="B315" i="36"/>
  <c r="B316" i="36"/>
  <c r="B317" i="36"/>
  <c r="B318" i="36"/>
  <c r="B319" i="36"/>
  <c r="B320" i="36"/>
  <c r="B321" i="36"/>
  <c r="B322" i="36"/>
  <c r="B323" i="36"/>
  <c r="B324" i="36"/>
  <c r="B325" i="36"/>
  <c r="B326" i="36"/>
  <c r="B327" i="36"/>
  <c r="B328" i="36"/>
  <c r="B329" i="36"/>
  <c r="B330" i="36"/>
  <c r="B331" i="36"/>
  <c r="B332" i="36"/>
  <c r="B333" i="36"/>
  <c r="B334" i="36"/>
  <c r="B335" i="36"/>
  <c r="B336" i="36"/>
  <c r="B337" i="36"/>
  <c r="B338" i="36"/>
  <c r="B339" i="36"/>
  <c r="B340" i="36"/>
  <c r="B341" i="36"/>
  <c r="B342" i="36"/>
  <c r="B343" i="36"/>
  <c r="B344" i="36"/>
  <c r="B345" i="36"/>
  <c r="B346" i="36"/>
  <c r="B347" i="36"/>
  <c r="B348" i="36"/>
  <c r="B349" i="36"/>
  <c r="B350" i="36"/>
  <c r="B351" i="36"/>
  <c r="B352" i="36"/>
  <c r="B353" i="36"/>
  <c r="B354" i="36"/>
  <c r="B355" i="36"/>
  <c r="B356" i="36"/>
  <c r="B357" i="36"/>
  <c r="B358" i="36"/>
  <c r="B359" i="36"/>
  <c r="B360" i="36"/>
  <c r="B361" i="36"/>
  <c r="B362" i="36"/>
  <c r="B363" i="36"/>
  <c r="B364" i="36"/>
  <c r="B365" i="36"/>
  <c r="B366" i="36"/>
  <c r="B367" i="36"/>
  <c r="B368" i="36"/>
  <c r="B369" i="36"/>
  <c r="B370" i="36"/>
  <c r="B371" i="36"/>
  <c r="B372" i="36"/>
  <c r="B373" i="36"/>
  <c r="B374" i="36"/>
  <c r="B375" i="36"/>
  <c r="B376" i="36"/>
  <c r="B377" i="36"/>
  <c r="B378" i="36"/>
  <c r="B379" i="36"/>
  <c r="B380" i="36"/>
  <c r="B381" i="36"/>
  <c r="B382" i="36"/>
  <c r="B383" i="36"/>
  <c r="B384" i="36"/>
  <c r="B385" i="36"/>
  <c r="B386" i="36"/>
  <c r="B387" i="36"/>
  <c r="B388" i="36"/>
  <c r="B389" i="36"/>
  <c r="B390" i="36"/>
  <c r="B391" i="36"/>
  <c r="B392" i="36"/>
  <c r="B393" i="36"/>
  <c r="B394" i="36"/>
  <c r="B395" i="36"/>
  <c r="B396" i="36"/>
  <c r="B397" i="36"/>
  <c r="B398" i="36"/>
  <c r="B399" i="36"/>
  <c r="B400" i="36"/>
  <c r="B401" i="36"/>
  <c r="B402" i="36"/>
  <c r="B403" i="36"/>
  <c r="B404" i="36"/>
  <c r="B405" i="36"/>
  <c r="B406" i="36"/>
  <c r="B407" i="36"/>
  <c r="B408" i="36"/>
  <c r="B409" i="36"/>
  <c r="B410" i="36"/>
  <c r="B411" i="36"/>
  <c r="B412" i="36"/>
  <c r="B413" i="36"/>
  <c r="B414" i="36"/>
  <c r="B415" i="36"/>
  <c r="B416" i="36"/>
  <c r="B417" i="36"/>
  <c r="B418" i="36"/>
  <c r="B419" i="36"/>
  <c r="B420" i="36"/>
  <c r="B421" i="36"/>
  <c r="B422" i="36"/>
  <c r="B423" i="36"/>
  <c r="B424" i="36"/>
  <c r="B425" i="36"/>
  <c r="B426" i="36"/>
  <c r="B427" i="36"/>
  <c r="B428" i="36"/>
  <c r="B429" i="36"/>
  <c r="B430" i="36"/>
  <c r="B431" i="36"/>
  <c r="B432" i="36"/>
  <c r="B433" i="36"/>
  <c r="B434" i="36"/>
  <c r="B435" i="36"/>
  <c r="B436" i="36"/>
  <c r="B437" i="36"/>
  <c r="B438" i="36"/>
  <c r="B439" i="36"/>
  <c r="B440" i="36"/>
  <c r="B441" i="36"/>
  <c r="B442" i="36"/>
  <c r="B443" i="36"/>
  <c r="B444" i="36"/>
  <c r="B445" i="36"/>
  <c r="B446" i="36"/>
  <c r="B447" i="36"/>
  <c r="B448" i="36"/>
  <c r="B449" i="36"/>
  <c r="B450" i="36"/>
  <c r="B451" i="36"/>
  <c r="B452" i="36"/>
  <c r="B453" i="36"/>
  <c r="B454" i="36"/>
  <c r="B455" i="36"/>
  <c r="B456" i="36"/>
  <c r="B457" i="36"/>
  <c r="B458" i="36"/>
  <c r="B459" i="36"/>
  <c r="B460" i="36"/>
  <c r="B461" i="36"/>
  <c r="B462" i="36"/>
  <c r="B463" i="36"/>
  <c r="B464" i="36"/>
  <c r="B465" i="36"/>
  <c r="B466" i="36"/>
  <c r="B467" i="36"/>
  <c r="B468" i="36"/>
  <c r="B469" i="36"/>
  <c r="B470" i="36"/>
  <c r="B471" i="36"/>
  <c r="B472" i="36"/>
  <c r="B473" i="36"/>
  <c r="B474" i="36"/>
  <c r="B475" i="36"/>
  <c r="B476" i="36"/>
  <c r="B477" i="36"/>
  <c r="B478" i="36"/>
  <c r="B479" i="36"/>
  <c r="B480" i="36"/>
  <c r="B481" i="36"/>
  <c r="B482" i="36"/>
  <c r="B483" i="36"/>
  <c r="B484" i="36"/>
  <c r="B485" i="36"/>
  <c r="B486" i="36"/>
  <c r="B487" i="36"/>
  <c r="B488" i="36"/>
  <c r="B489" i="36"/>
  <c r="B490" i="36"/>
  <c r="B491" i="36"/>
  <c r="B492" i="36"/>
  <c r="B493" i="36"/>
  <c r="B494" i="36"/>
  <c r="B495" i="36"/>
  <c r="B496" i="36"/>
  <c r="B497" i="36"/>
  <c r="B498" i="36"/>
  <c r="B499" i="36"/>
  <c r="B500" i="36"/>
  <c r="B501" i="36"/>
  <c r="B502" i="36"/>
  <c r="B503" i="36"/>
  <c r="B504" i="36"/>
  <c r="B505" i="36"/>
  <c r="B506" i="36"/>
  <c r="B507" i="36"/>
  <c r="B508" i="36"/>
  <c r="B509" i="36"/>
  <c r="B510" i="36"/>
  <c r="B511" i="36"/>
  <c r="B512" i="36"/>
  <c r="B513" i="36"/>
  <c r="B514" i="36"/>
  <c r="B515" i="36"/>
  <c r="B516" i="36"/>
  <c r="B517" i="36"/>
  <c r="B518" i="36"/>
  <c r="B519" i="36"/>
  <c r="B520" i="36"/>
  <c r="B521" i="36"/>
  <c r="B522" i="36"/>
  <c r="B523" i="36"/>
  <c r="B524" i="36"/>
  <c r="B525" i="36"/>
  <c r="B526" i="36"/>
  <c r="B527" i="36"/>
  <c r="B528" i="36"/>
  <c r="B529" i="36"/>
  <c r="B530" i="36"/>
  <c r="B11" i="36"/>
  <c r="C371" i="36"/>
  <c r="D371" i="36"/>
  <c r="E371" i="36"/>
  <c r="C372" i="36"/>
  <c r="D372" i="36"/>
  <c r="E372" i="36"/>
  <c r="C373" i="36"/>
  <c r="D373" i="36"/>
  <c r="E373" i="36"/>
  <c r="C374" i="36"/>
  <c r="D374" i="36"/>
  <c r="E374" i="36"/>
  <c r="C375" i="36"/>
  <c r="D375" i="36"/>
  <c r="E375" i="36"/>
  <c r="C376" i="36"/>
  <c r="D376" i="36"/>
  <c r="E376" i="36"/>
  <c r="C377" i="36"/>
  <c r="D377" i="36"/>
  <c r="E377" i="36"/>
  <c r="C378" i="36"/>
  <c r="D378" i="36"/>
  <c r="E378" i="36"/>
  <c r="C379" i="36"/>
  <c r="D379" i="36"/>
  <c r="E379" i="36"/>
  <c r="C380" i="36"/>
  <c r="D380" i="36"/>
  <c r="E380" i="36"/>
  <c r="C381" i="36"/>
  <c r="D381" i="36"/>
  <c r="E381" i="36"/>
  <c r="C382" i="36"/>
  <c r="D382" i="36"/>
  <c r="E382" i="36"/>
  <c r="C383" i="36"/>
  <c r="D383" i="36"/>
  <c r="E383" i="36"/>
  <c r="C384" i="36"/>
  <c r="D384" i="36"/>
  <c r="E384" i="36"/>
  <c r="C385" i="36"/>
  <c r="D385" i="36"/>
  <c r="E385" i="36"/>
  <c r="C386" i="36"/>
  <c r="D386" i="36"/>
  <c r="E386" i="36"/>
  <c r="C387" i="36"/>
  <c r="D387" i="36"/>
  <c r="E387" i="36"/>
  <c r="C388" i="36"/>
  <c r="D388" i="36"/>
  <c r="E388" i="36"/>
  <c r="C389" i="36"/>
  <c r="D389" i="36"/>
  <c r="E389" i="36"/>
  <c r="C390" i="36"/>
  <c r="D390" i="36"/>
  <c r="E390" i="36"/>
  <c r="C391" i="36"/>
  <c r="D391" i="36"/>
  <c r="E391" i="36"/>
  <c r="C392" i="36"/>
  <c r="D392" i="36"/>
  <c r="E392" i="36"/>
  <c r="C393" i="36"/>
  <c r="D393" i="36"/>
  <c r="E393" i="36"/>
  <c r="C394" i="36"/>
  <c r="D394" i="36"/>
  <c r="E394" i="36"/>
  <c r="C395" i="36"/>
  <c r="D395" i="36"/>
  <c r="E395" i="36"/>
  <c r="C396" i="36"/>
  <c r="D396" i="36"/>
  <c r="E396" i="36"/>
  <c r="C397" i="36"/>
  <c r="D397" i="36"/>
  <c r="E397" i="36"/>
  <c r="C398" i="36"/>
  <c r="D398" i="36"/>
  <c r="E398" i="36"/>
  <c r="C399" i="36"/>
  <c r="D399" i="36"/>
  <c r="E399" i="36"/>
  <c r="C400" i="36"/>
  <c r="D400" i="36"/>
  <c r="E400" i="36"/>
  <c r="C401" i="36"/>
  <c r="D401" i="36"/>
  <c r="E401" i="36"/>
  <c r="C402" i="36"/>
  <c r="D402" i="36"/>
  <c r="E402" i="36"/>
  <c r="C403" i="36"/>
  <c r="D403" i="36"/>
  <c r="E403" i="36"/>
  <c r="C404" i="36"/>
  <c r="D404" i="36"/>
  <c r="E404" i="36"/>
  <c r="C405" i="36"/>
  <c r="D405" i="36"/>
  <c r="E405" i="36"/>
  <c r="C406" i="36"/>
  <c r="D406" i="36"/>
  <c r="E406" i="36"/>
  <c r="C407" i="36"/>
  <c r="D407" i="36"/>
  <c r="E407" i="36"/>
  <c r="C408" i="36"/>
  <c r="D408" i="36"/>
  <c r="E408" i="36"/>
  <c r="C409" i="36"/>
  <c r="D409" i="36"/>
  <c r="E409" i="36"/>
  <c r="C410" i="36"/>
  <c r="D410" i="36"/>
  <c r="E410" i="36"/>
  <c r="C411" i="36"/>
  <c r="D411" i="36"/>
  <c r="E411" i="36"/>
  <c r="C412" i="36"/>
  <c r="D412" i="36"/>
  <c r="E412" i="36"/>
  <c r="C413" i="36"/>
  <c r="D413" i="36"/>
  <c r="E413" i="36"/>
  <c r="C414" i="36"/>
  <c r="D414" i="36"/>
  <c r="E414" i="36"/>
  <c r="C415" i="36"/>
  <c r="D415" i="36"/>
  <c r="E415" i="36"/>
  <c r="C416" i="36"/>
  <c r="D416" i="36"/>
  <c r="E416" i="36"/>
  <c r="C417" i="36"/>
  <c r="D417" i="36"/>
  <c r="E417" i="36"/>
  <c r="C418" i="36"/>
  <c r="D418" i="36"/>
  <c r="E418" i="36"/>
  <c r="C419" i="36"/>
  <c r="D419" i="36"/>
  <c r="E419" i="36"/>
  <c r="C420" i="36"/>
  <c r="D420" i="36"/>
  <c r="E420" i="36"/>
  <c r="C421" i="36"/>
  <c r="D421" i="36"/>
  <c r="E421" i="36"/>
  <c r="C422" i="36"/>
  <c r="D422" i="36"/>
  <c r="E422" i="36"/>
  <c r="C423" i="36"/>
  <c r="D423" i="36"/>
  <c r="E423" i="36"/>
  <c r="C424" i="36"/>
  <c r="D424" i="36"/>
  <c r="E424" i="36"/>
  <c r="C425" i="36"/>
  <c r="D425" i="36"/>
  <c r="E425" i="36"/>
  <c r="C426" i="36"/>
  <c r="D426" i="36"/>
  <c r="E426" i="36"/>
  <c r="C427" i="36"/>
  <c r="D427" i="36"/>
  <c r="E427" i="36"/>
  <c r="C428" i="36"/>
  <c r="D428" i="36"/>
  <c r="E428" i="36"/>
  <c r="C429" i="36"/>
  <c r="D429" i="36"/>
  <c r="E429" i="36"/>
  <c r="C430" i="36"/>
  <c r="D430" i="36"/>
  <c r="E430" i="36"/>
  <c r="C431" i="36"/>
  <c r="D431" i="36"/>
  <c r="E431" i="36"/>
  <c r="C432" i="36"/>
  <c r="D432" i="36"/>
  <c r="E432" i="36"/>
  <c r="C433" i="36"/>
  <c r="D433" i="36"/>
  <c r="E433" i="36"/>
  <c r="C434" i="36"/>
  <c r="D434" i="36"/>
  <c r="E434" i="36"/>
  <c r="C435" i="36"/>
  <c r="D435" i="36"/>
  <c r="E435" i="36"/>
  <c r="C436" i="36"/>
  <c r="D436" i="36"/>
  <c r="E436" i="36"/>
  <c r="C437" i="36"/>
  <c r="D437" i="36"/>
  <c r="E437" i="36"/>
  <c r="C438" i="36"/>
  <c r="D438" i="36"/>
  <c r="E438" i="36"/>
  <c r="C439" i="36"/>
  <c r="D439" i="36"/>
  <c r="E439" i="36"/>
  <c r="C440" i="36"/>
  <c r="D440" i="36"/>
  <c r="E440" i="36"/>
  <c r="C441" i="36"/>
  <c r="D441" i="36"/>
  <c r="E441" i="36"/>
  <c r="C442" i="36"/>
  <c r="D442" i="36"/>
  <c r="E442" i="36"/>
  <c r="C443" i="36"/>
  <c r="D443" i="36"/>
  <c r="E443" i="36"/>
  <c r="C444" i="36"/>
  <c r="D444" i="36"/>
  <c r="E444" i="36"/>
  <c r="C445" i="36"/>
  <c r="D445" i="36"/>
  <c r="E445" i="36"/>
  <c r="C446" i="36"/>
  <c r="D446" i="36"/>
  <c r="E446" i="36"/>
  <c r="C447" i="36"/>
  <c r="D447" i="36"/>
  <c r="E447" i="36"/>
  <c r="C448" i="36"/>
  <c r="D448" i="36"/>
  <c r="E448" i="36"/>
  <c r="C449" i="36"/>
  <c r="D449" i="36"/>
  <c r="E449" i="36"/>
  <c r="C450" i="36"/>
  <c r="D450" i="36"/>
  <c r="E450" i="36"/>
  <c r="C451" i="36"/>
  <c r="D451" i="36"/>
  <c r="E451" i="36"/>
  <c r="C452" i="36"/>
  <c r="D452" i="36"/>
  <c r="E452" i="36"/>
  <c r="C453" i="36"/>
  <c r="D453" i="36"/>
  <c r="E453" i="36"/>
  <c r="C454" i="36"/>
  <c r="D454" i="36"/>
  <c r="E454" i="36"/>
  <c r="C455" i="36"/>
  <c r="D455" i="36"/>
  <c r="E455" i="36"/>
  <c r="C456" i="36"/>
  <c r="D456" i="36"/>
  <c r="E456" i="36"/>
  <c r="C457" i="36"/>
  <c r="D457" i="36"/>
  <c r="E457" i="36"/>
  <c r="C458" i="36"/>
  <c r="D458" i="36"/>
  <c r="E458" i="36"/>
  <c r="C459" i="36"/>
  <c r="D459" i="36"/>
  <c r="E459" i="36"/>
  <c r="C460" i="36"/>
  <c r="D460" i="36"/>
  <c r="E460" i="36"/>
  <c r="C461" i="36"/>
  <c r="D461" i="36"/>
  <c r="E461" i="36"/>
  <c r="C462" i="36"/>
  <c r="D462" i="36"/>
  <c r="E462" i="36"/>
  <c r="C463" i="36"/>
  <c r="D463" i="36"/>
  <c r="E463" i="36"/>
  <c r="C464" i="36"/>
  <c r="D464" i="36"/>
  <c r="E464" i="36"/>
  <c r="C465" i="36"/>
  <c r="D465" i="36"/>
  <c r="E465" i="36"/>
  <c r="C466" i="36"/>
  <c r="D466" i="36"/>
  <c r="E466" i="36"/>
  <c r="C467" i="36"/>
  <c r="D467" i="36"/>
  <c r="E467" i="36"/>
  <c r="C468" i="36"/>
  <c r="D468" i="36"/>
  <c r="E468" i="36"/>
  <c r="C469" i="36"/>
  <c r="D469" i="36"/>
  <c r="E469" i="36"/>
  <c r="C470" i="36"/>
  <c r="D470" i="36"/>
  <c r="E470" i="36"/>
  <c r="C471" i="36"/>
  <c r="D471" i="36"/>
  <c r="E471" i="36"/>
  <c r="C472" i="36"/>
  <c r="D472" i="36"/>
  <c r="E472" i="36"/>
  <c r="C473" i="36"/>
  <c r="D473" i="36"/>
  <c r="E473" i="36"/>
  <c r="C474" i="36"/>
  <c r="D474" i="36"/>
  <c r="E474" i="36"/>
  <c r="C475" i="36"/>
  <c r="D475" i="36"/>
  <c r="E475" i="36"/>
  <c r="C476" i="36"/>
  <c r="D476" i="36"/>
  <c r="E476" i="36"/>
  <c r="C477" i="36"/>
  <c r="D477" i="36"/>
  <c r="E477" i="36"/>
  <c r="C478" i="36"/>
  <c r="D478" i="36"/>
  <c r="E478" i="36"/>
  <c r="C479" i="36"/>
  <c r="D479" i="36"/>
  <c r="E479" i="36"/>
  <c r="C480" i="36"/>
  <c r="D480" i="36"/>
  <c r="E480" i="36"/>
  <c r="C481" i="36"/>
  <c r="D481" i="36"/>
  <c r="E481" i="36"/>
  <c r="C482" i="36"/>
  <c r="D482" i="36"/>
  <c r="E482" i="36"/>
  <c r="C483" i="36"/>
  <c r="D483" i="36"/>
  <c r="E483" i="36"/>
  <c r="C484" i="36"/>
  <c r="D484" i="36"/>
  <c r="E484" i="36"/>
  <c r="C485" i="36"/>
  <c r="D485" i="36"/>
  <c r="E485" i="36"/>
  <c r="C486" i="36"/>
  <c r="D486" i="36"/>
  <c r="E486" i="36"/>
  <c r="C487" i="36"/>
  <c r="D487" i="36"/>
  <c r="E487" i="36"/>
  <c r="C488" i="36"/>
  <c r="D488" i="36"/>
  <c r="E488" i="36"/>
  <c r="C489" i="36"/>
  <c r="D489" i="36"/>
  <c r="E489" i="36"/>
  <c r="C490" i="36"/>
  <c r="D490" i="36"/>
  <c r="E490" i="36"/>
  <c r="C491" i="36"/>
  <c r="D491" i="36"/>
  <c r="E491" i="36"/>
  <c r="C492" i="36"/>
  <c r="D492" i="36"/>
  <c r="E492" i="36"/>
  <c r="C493" i="36"/>
  <c r="D493" i="36"/>
  <c r="E493" i="36"/>
  <c r="C494" i="36"/>
  <c r="D494" i="36"/>
  <c r="E494" i="36"/>
  <c r="C495" i="36"/>
  <c r="D495" i="36"/>
  <c r="E495" i="36"/>
  <c r="C496" i="36"/>
  <c r="D496" i="36"/>
  <c r="E496" i="36"/>
  <c r="C497" i="36"/>
  <c r="D497" i="36"/>
  <c r="E497" i="36"/>
  <c r="C498" i="36"/>
  <c r="D498" i="36"/>
  <c r="E498" i="36"/>
  <c r="C499" i="36"/>
  <c r="D499" i="36"/>
  <c r="E499" i="36"/>
  <c r="C500" i="36"/>
  <c r="D500" i="36"/>
  <c r="E500" i="36"/>
  <c r="C501" i="36"/>
  <c r="D501" i="36"/>
  <c r="E501" i="36"/>
  <c r="C502" i="36"/>
  <c r="D502" i="36"/>
  <c r="E502" i="36"/>
  <c r="C503" i="36"/>
  <c r="D503" i="36"/>
  <c r="E503" i="36"/>
  <c r="C504" i="36"/>
  <c r="D504" i="36"/>
  <c r="E504" i="36"/>
  <c r="C505" i="36"/>
  <c r="D505" i="36"/>
  <c r="E505" i="36"/>
  <c r="C506" i="36"/>
  <c r="D506" i="36"/>
  <c r="E506" i="36"/>
  <c r="C507" i="36"/>
  <c r="D507" i="36"/>
  <c r="E507" i="36"/>
  <c r="C508" i="36"/>
  <c r="D508" i="36"/>
  <c r="E508" i="36"/>
  <c r="C509" i="36"/>
  <c r="D509" i="36"/>
  <c r="E509" i="36"/>
  <c r="C510" i="36"/>
  <c r="D510" i="36"/>
  <c r="E510" i="36"/>
  <c r="C511" i="36"/>
  <c r="D511" i="36"/>
  <c r="E511" i="36"/>
  <c r="C512" i="36"/>
  <c r="D512" i="36"/>
  <c r="E512" i="36"/>
  <c r="C513" i="36"/>
  <c r="D513" i="36"/>
  <c r="E513" i="36"/>
  <c r="C514" i="36"/>
  <c r="D514" i="36"/>
  <c r="E514" i="36"/>
  <c r="C515" i="36"/>
  <c r="D515" i="36"/>
  <c r="E515" i="36"/>
  <c r="C516" i="36"/>
  <c r="D516" i="36"/>
  <c r="E516" i="36"/>
  <c r="C517" i="36"/>
  <c r="D517" i="36"/>
  <c r="E517" i="36"/>
  <c r="C518" i="36"/>
  <c r="D518" i="36"/>
  <c r="E518" i="36"/>
  <c r="C519" i="36"/>
  <c r="D519" i="36"/>
  <c r="E519" i="36"/>
  <c r="C520" i="36"/>
  <c r="D520" i="36"/>
  <c r="E520" i="36"/>
  <c r="C521" i="36"/>
  <c r="D521" i="36"/>
  <c r="E521" i="36"/>
  <c r="C522" i="36"/>
  <c r="D522" i="36"/>
  <c r="E522" i="36"/>
  <c r="C523" i="36"/>
  <c r="D523" i="36"/>
  <c r="E523" i="36"/>
  <c r="C524" i="36"/>
  <c r="D524" i="36"/>
  <c r="E524" i="36"/>
  <c r="C525" i="36"/>
  <c r="D525" i="36"/>
  <c r="E525" i="36"/>
  <c r="C526" i="36"/>
  <c r="D526" i="36"/>
  <c r="E526" i="36"/>
  <c r="C527" i="36"/>
  <c r="D527" i="36"/>
  <c r="E527" i="36"/>
  <c r="C528" i="36"/>
  <c r="D528" i="36"/>
  <c r="E528" i="36"/>
  <c r="C529" i="36"/>
  <c r="D529" i="36"/>
  <c r="E529" i="36"/>
  <c r="C530" i="36"/>
  <c r="D530" i="36"/>
  <c r="E530" i="36"/>
  <c r="J485" i="14" l="1"/>
  <c r="J445" i="14"/>
  <c r="F451" i="36" s="1"/>
  <c r="J405" i="14"/>
  <c r="J406" i="14" s="1"/>
  <c r="J407" i="14" s="1"/>
  <c r="J365" i="14"/>
  <c r="J366" i="14" s="1"/>
  <c r="J325" i="14"/>
  <c r="F331" i="36" s="1"/>
  <c r="AL449" i="1"/>
  <c r="AP449" i="1" s="1"/>
  <c r="AK449" i="1"/>
  <c r="AO449" i="1" s="1"/>
  <c r="U449" i="1"/>
  <c r="Y449" i="1" s="1"/>
  <c r="T449" i="1"/>
  <c r="X449" i="1" s="1"/>
  <c r="R449" i="1"/>
  <c r="AL448" i="1"/>
  <c r="AP448" i="1" s="1"/>
  <c r="AK448" i="1"/>
  <c r="AO448" i="1" s="1"/>
  <c r="U448" i="1"/>
  <c r="Y448" i="1" s="1"/>
  <c r="T448" i="1"/>
  <c r="X448" i="1" s="1"/>
  <c r="R448" i="1"/>
  <c r="AL447" i="1"/>
  <c r="AK447" i="1"/>
  <c r="AO447" i="1" s="1"/>
  <c r="U447" i="1"/>
  <c r="Y447" i="1" s="1"/>
  <c r="T447" i="1"/>
  <c r="R447" i="1"/>
  <c r="AL446" i="1"/>
  <c r="AP446" i="1" s="1"/>
  <c r="AK446" i="1"/>
  <c r="AO446" i="1" s="1"/>
  <c r="U446" i="1"/>
  <c r="Y446" i="1" s="1"/>
  <c r="T446" i="1"/>
  <c r="X446" i="1" s="1"/>
  <c r="R446" i="1"/>
  <c r="AL445" i="1"/>
  <c r="AP445" i="1" s="1"/>
  <c r="AK445" i="1"/>
  <c r="AO445" i="1" s="1"/>
  <c r="U445" i="1"/>
  <c r="Y445" i="1" s="1"/>
  <c r="T445" i="1"/>
  <c r="X445" i="1" s="1"/>
  <c r="R445" i="1"/>
  <c r="AL444" i="1"/>
  <c r="AP444" i="1" s="1"/>
  <c r="AK444" i="1"/>
  <c r="U444" i="1"/>
  <c r="Y444" i="1" s="1"/>
  <c r="T444" i="1"/>
  <c r="X444" i="1" s="1"/>
  <c r="R444" i="1"/>
  <c r="AL443" i="1"/>
  <c r="AK443" i="1"/>
  <c r="AO443" i="1" s="1"/>
  <c r="U443" i="1"/>
  <c r="Y443" i="1" s="1"/>
  <c r="T443" i="1"/>
  <c r="X443" i="1" s="1"/>
  <c r="R443" i="1"/>
  <c r="AL442" i="1"/>
  <c r="AP442" i="1" s="1"/>
  <c r="AK442" i="1"/>
  <c r="AO442" i="1" s="1"/>
  <c r="U442" i="1"/>
  <c r="Y442" i="1" s="1"/>
  <c r="T442" i="1"/>
  <c r="X442" i="1" s="1"/>
  <c r="R442" i="1"/>
  <c r="AL441" i="1"/>
  <c r="AP441" i="1" s="1"/>
  <c r="AK441" i="1"/>
  <c r="AO441" i="1" s="1"/>
  <c r="U441" i="1"/>
  <c r="Y441" i="1" s="1"/>
  <c r="T441" i="1"/>
  <c r="R441" i="1"/>
  <c r="AL440" i="1"/>
  <c r="AP440" i="1" s="1"/>
  <c r="AK440" i="1"/>
  <c r="AO440" i="1" s="1"/>
  <c r="U440" i="1"/>
  <c r="T440" i="1"/>
  <c r="X440" i="1" s="1"/>
  <c r="R440" i="1"/>
  <c r="AL439" i="1"/>
  <c r="AP439" i="1" s="1"/>
  <c r="AK439" i="1"/>
  <c r="AO439" i="1" s="1"/>
  <c r="U439" i="1"/>
  <c r="Y439" i="1" s="1"/>
  <c r="T439" i="1"/>
  <c r="X439" i="1" s="1"/>
  <c r="R439" i="1"/>
  <c r="AL438" i="1"/>
  <c r="AP438" i="1" s="1"/>
  <c r="AK438" i="1"/>
  <c r="U438" i="1"/>
  <c r="Y438" i="1" s="1"/>
  <c r="T438" i="1"/>
  <c r="X438" i="1" s="1"/>
  <c r="R438" i="1"/>
  <c r="AL437" i="1"/>
  <c r="AK437" i="1"/>
  <c r="AO437" i="1" s="1"/>
  <c r="U437" i="1"/>
  <c r="Y437" i="1" s="1"/>
  <c r="T437" i="1"/>
  <c r="R437" i="1"/>
  <c r="AL436" i="1"/>
  <c r="AP436" i="1" s="1"/>
  <c r="AK436" i="1"/>
  <c r="AO436" i="1" s="1"/>
  <c r="U436" i="1"/>
  <c r="Y436" i="1" s="1"/>
  <c r="T436" i="1"/>
  <c r="X436" i="1" s="1"/>
  <c r="R436" i="1"/>
  <c r="AL435" i="1"/>
  <c r="AP435" i="1" s="1"/>
  <c r="AK435" i="1"/>
  <c r="U435" i="1"/>
  <c r="Y435" i="1" s="1"/>
  <c r="T435" i="1"/>
  <c r="R435" i="1"/>
  <c r="AL434" i="1"/>
  <c r="AP434" i="1" s="1"/>
  <c r="AK434" i="1"/>
  <c r="AO434" i="1" s="1"/>
  <c r="U434" i="1"/>
  <c r="Y434" i="1" s="1"/>
  <c r="T434" i="1"/>
  <c r="X434" i="1" s="1"/>
  <c r="R434" i="1"/>
  <c r="AL433" i="1"/>
  <c r="AP433" i="1" s="1"/>
  <c r="AK433" i="1"/>
  <c r="AO433" i="1" s="1"/>
  <c r="U433" i="1"/>
  <c r="Y433" i="1" s="1"/>
  <c r="T433" i="1"/>
  <c r="X433" i="1" s="1"/>
  <c r="R433" i="1"/>
  <c r="AL432" i="1"/>
  <c r="AK432" i="1"/>
  <c r="U432" i="1"/>
  <c r="T432" i="1"/>
  <c r="X432" i="1" s="1"/>
  <c r="R432" i="1"/>
  <c r="AL431" i="1"/>
  <c r="AP431" i="1" s="1"/>
  <c r="AK431" i="1"/>
  <c r="U431" i="1"/>
  <c r="T431" i="1"/>
  <c r="X431" i="1" s="1"/>
  <c r="R431" i="1"/>
  <c r="AL430" i="1"/>
  <c r="AP430" i="1" s="1"/>
  <c r="AK430" i="1"/>
  <c r="U430" i="1"/>
  <c r="Y430" i="1" s="1"/>
  <c r="T430" i="1"/>
  <c r="R430" i="1"/>
  <c r="AL429" i="1"/>
  <c r="AP429" i="1" s="1"/>
  <c r="AK429" i="1"/>
  <c r="AO429" i="1" s="1"/>
  <c r="U429" i="1"/>
  <c r="Y429" i="1" s="1"/>
  <c r="T429" i="1"/>
  <c r="X429" i="1" s="1"/>
  <c r="R429" i="1"/>
  <c r="AL428" i="1"/>
  <c r="AK428" i="1"/>
  <c r="AO428" i="1" s="1"/>
  <c r="U428" i="1"/>
  <c r="T428" i="1"/>
  <c r="X428" i="1" s="1"/>
  <c r="R428" i="1"/>
  <c r="AL427" i="1"/>
  <c r="AP427" i="1" s="1"/>
  <c r="AK427" i="1"/>
  <c r="AO427" i="1" s="1"/>
  <c r="U427" i="1"/>
  <c r="T427" i="1"/>
  <c r="R427" i="1"/>
  <c r="AL426" i="1"/>
  <c r="AP426" i="1" s="1"/>
  <c r="AK426" i="1"/>
  <c r="AO426" i="1" s="1"/>
  <c r="U426" i="1"/>
  <c r="Y426" i="1" s="1"/>
  <c r="T426" i="1"/>
  <c r="X426" i="1" s="1"/>
  <c r="R426" i="1"/>
  <c r="AL425" i="1"/>
  <c r="AK425" i="1"/>
  <c r="AO425" i="1" s="1"/>
  <c r="U425" i="1"/>
  <c r="Y425" i="1" s="1"/>
  <c r="T425" i="1"/>
  <c r="X425" i="1" s="1"/>
  <c r="R425" i="1"/>
  <c r="AL424" i="1"/>
  <c r="AK424" i="1"/>
  <c r="AO424" i="1" s="1"/>
  <c r="U424" i="1"/>
  <c r="T424" i="1"/>
  <c r="X424" i="1" s="1"/>
  <c r="R424" i="1"/>
  <c r="AL423" i="1"/>
  <c r="AP423" i="1" s="1"/>
  <c r="AK423" i="1"/>
  <c r="AO423" i="1" s="1"/>
  <c r="U423" i="1"/>
  <c r="T423" i="1"/>
  <c r="R423" i="1"/>
  <c r="AL422" i="1"/>
  <c r="AP422" i="1" s="1"/>
  <c r="AK422" i="1"/>
  <c r="AO422" i="1" s="1"/>
  <c r="U422" i="1"/>
  <c r="Y422" i="1" s="1"/>
  <c r="T422" i="1"/>
  <c r="X422" i="1" s="1"/>
  <c r="R422" i="1"/>
  <c r="AL421" i="1"/>
  <c r="AK421" i="1"/>
  <c r="AO421" i="1" s="1"/>
  <c r="U421" i="1"/>
  <c r="Y421" i="1" s="1"/>
  <c r="T421" i="1"/>
  <c r="X421" i="1" s="1"/>
  <c r="R421" i="1"/>
  <c r="AL420" i="1"/>
  <c r="AK420" i="1"/>
  <c r="AO420" i="1" s="1"/>
  <c r="U420" i="1"/>
  <c r="T420" i="1"/>
  <c r="X420" i="1" s="1"/>
  <c r="R420" i="1"/>
  <c r="AL419" i="1"/>
  <c r="AP419" i="1" s="1"/>
  <c r="AK419" i="1"/>
  <c r="AO419" i="1" s="1"/>
  <c r="U419" i="1"/>
  <c r="T419" i="1"/>
  <c r="R419" i="1"/>
  <c r="AL418" i="1"/>
  <c r="AP418" i="1" s="1"/>
  <c r="AK418" i="1"/>
  <c r="AO418" i="1" s="1"/>
  <c r="U418" i="1"/>
  <c r="Y418" i="1" s="1"/>
  <c r="T418" i="1"/>
  <c r="X418" i="1" s="1"/>
  <c r="R418" i="1"/>
  <c r="AL417" i="1"/>
  <c r="AP417" i="1" s="1"/>
  <c r="AK417" i="1"/>
  <c r="AO417" i="1" s="1"/>
  <c r="U417" i="1"/>
  <c r="T417" i="1"/>
  <c r="X417" i="1" s="1"/>
  <c r="R417" i="1"/>
  <c r="AL416" i="1"/>
  <c r="AP416" i="1" s="1"/>
  <c r="AK416" i="1"/>
  <c r="AO416" i="1" s="1"/>
  <c r="U416" i="1"/>
  <c r="T416" i="1"/>
  <c r="X416" i="1" s="1"/>
  <c r="R416" i="1"/>
  <c r="AL415" i="1"/>
  <c r="AP415" i="1" s="1"/>
  <c r="AK415" i="1"/>
  <c r="AO415" i="1" s="1"/>
  <c r="U415" i="1"/>
  <c r="Y415" i="1" s="1"/>
  <c r="T415" i="1"/>
  <c r="X415" i="1" s="1"/>
  <c r="R415" i="1"/>
  <c r="AL414" i="1"/>
  <c r="AP414" i="1" s="1"/>
  <c r="AK414" i="1"/>
  <c r="AO414" i="1" s="1"/>
  <c r="U414" i="1"/>
  <c r="Y414" i="1" s="1"/>
  <c r="T414" i="1"/>
  <c r="X414" i="1" s="1"/>
  <c r="R414" i="1"/>
  <c r="AL413" i="1"/>
  <c r="AP413" i="1" s="1"/>
  <c r="AK413" i="1"/>
  <c r="AO413" i="1" s="1"/>
  <c r="U413" i="1"/>
  <c r="T413" i="1"/>
  <c r="X413" i="1" s="1"/>
  <c r="R413" i="1"/>
  <c r="AL412" i="1"/>
  <c r="AP412" i="1" s="1"/>
  <c r="AK412" i="1"/>
  <c r="AO412" i="1" s="1"/>
  <c r="U412" i="1"/>
  <c r="T412" i="1"/>
  <c r="X412" i="1" s="1"/>
  <c r="R412" i="1"/>
  <c r="AL411" i="1"/>
  <c r="AP411" i="1" s="1"/>
  <c r="AK411" i="1"/>
  <c r="AO411" i="1" s="1"/>
  <c r="U411" i="1"/>
  <c r="Y411" i="1" s="1"/>
  <c r="T411" i="1"/>
  <c r="X411" i="1" s="1"/>
  <c r="R411" i="1"/>
  <c r="AL410" i="1"/>
  <c r="AK410" i="1"/>
  <c r="AO410" i="1" s="1"/>
  <c r="U410" i="1"/>
  <c r="Y410" i="1" s="1"/>
  <c r="T410" i="1"/>
  <c r="X410" i="1" s="1"/>
  <c r="R410" i="1"/>
  <c r="AL409" i="1"/>
  <c r="AP409" i="1" s="1"/>
  <c r="AK409" i="1"/>
  <c r="AO409" i="1" s="1"/>
  <c r="U409" i="1"/>
  <c r="Y409" i="1" s="1"/>
  <c r="T409" i="1"/>
  <c r="R409" i="1"/>
  <c r="AL408" i="1"/>
  <c r="AP408" i="1" s="1"/>
  <c r="AK408" i="1"/>
  <c r="AO408" i="1" s="1"/>
  <c r="U408" i="1"/>
  <c r="Y408" i="1" s="1"/>
  <c r="T408" i="1"/>
  <c r="X408" i="1" s="1"/>
  <c r="R408" i="1"/>
  <c r="AL407" i="1"/>
  <c r="AK407" i="1"/>
  <c r="AO407" i="1" s="1"/>
  <c r="U407" i="1"/>
  <c r="Y407" i="1" s="1"/>
  <c r="T407" i="1"/>
  <c r="X407" i="1" s="1"/>
  <c r="R407" i="1"/>
  <c r="AL406" i="1"/>
  <c r="AK406" i="1"/>
  <c r="U406" i="1"/>
  <c r="Y406" i="1" s="1"/>
  <c r="T406" i="1"/>
  <c r="X406" i="1" s="1"/>
  <c r="R406" i="1"/>
  <c r="AL405" i="1"/>
  <c r="AP405" i="1" s="1"/>
  <c r="AK405" i="1"/>
  <c r="U405" i="1"/>
  <c r="Y405" i="1" s="1"/>
  <c r="T405" i="1"/>
  <c r="X405" i="1" s="1"/>
  <c r="R405" i="1"/>
  <c r="AL404" i="1"/>
  <c r="AP404" i="1" s="1"/>
  <c r="AK404" i="1"/>
  <c r="AO404" i="1" s="1"/>
  <c r="U404" i="1"/>
  <c r="Y404" i="1" s="1"/>
  <c r="T404" i="1"/>
  <c r="X404" i="1" s="1"/>
  <c r="R404" i="1"/>
  <c r="AL403" i="1"/>
  <c r="AP403" i="1" s="1"/>
  <c r="AK403" i="1"/>
  <c r="AO403" i="1" s="1"/>
  <c r="U403" i="1"/>
  <c r="Y403" i="1" s="1"/>
  <c r="T403" i="1"/>
  <c r="X403" i="1" s="1"/>
  <c r="R403" i="1"/>
  <c r="AL402" i="1"/>
  <c r="AP402" i="1" s="1"/>
  <c r="AK402" i="1"/>
  <c r="AO402" i="1" s="1"/>
  <c r="U402" i="1"/>
  <c r="T402" i="1"/>
  <c r="X402" i="1" s="1"/>
  <c r="R402" i="1"/>
  <c r="AL401" i="1"/>
  <c r="AP401" i="1" s="1"/>
  <c r="AK401" i="1"/>
  <c r="AO401" i="1" s="1"/>
  <c r="U401" i="1"/>
  <c r="T401" i="1"/>
  <c r="R401" i="1"/>
  <c r="AL400" i="1"/>
  <c r="AP400" i="1" s="1"/>
  <c r="AK400" i="1"/>
  <c r="AO400" i="1" s="1"/>
  <c r="U400" i="1"/>
  <c r="Y400" i="1" s="1"/>
  <c r="T400" i="1"/>
  <c r="R400" i="1"/>
  <c r="AL399" i="1"/>
  <c r="AK399" i="1"/>
  <c r="AO399" i="1" s="1"/>
  <c r="U399" i="1"/>
  <c r="Y399" i="1" s="1"/>
  <c r="T399" i="1"/>
  <c r="X399" i="1" s="1"/>
  <c r="R399" i="1"/>
  <c r="AL398" i="1"/>
  <c r="AK398" i="1"/>
  <c r="AO398" i="1" s="1"/>
  <c r="U398" i="1"/>
  <c r="Y398" i="1" s="1"/>
  <c r="T398" i="1"/>
  <c r="X398" i="1" s="1"/>
  <c r="R398" i="1"/>
  <c r="AL397" i="1"/>
  <c r="AP397" i="1" s="1"/>
  <c r="AK397" i="1"/>
  <c r="U397" i="1"/>
  <c r="T397" i="1"/>
  <c r="X397" i="1" s="1"/>
  <c r="R397" i="1"/>
  <c r="AL396" i="1"/>
  <c r="AP396" i="1" s="1"/>
  <c r="AK396" i="1"/>
  <c r="AO396" i="1" s="1"/>
  <c r="U396" i="1"/>
  <c r="Y396" i="1" s="1"/>
  <c r="T396" i="1"/>
  <c r="R396" i="1"/>
  <c r="AL395" i="1"/>
  <c r="AP395" i="1" s="1"/>
  <c r="AK395" i="1"/>
  <c r="AO395" i="1" s="1"/>
  <c r="U395" i="1"/>
  <c r="Y395" i="1" s="1"/>
  <c r="T395" i="1"/>
  <c r="X395" i="1" s="1"/>
  <c r="R395" i="1"/>
  <c r="AL394" i="1"/>
  <c r="AP394" i="1" s="1"/>
  <c r="AK394" i="1"/>
  <c r="AO394" i="1" s="1"/>
  <c r="U394" i="1"/>
  <c r="T394" i="1"/>
  <c r="X394" i="1" s="1"/>
  <c r="R394" i="1"/>
  <c r="AL393" i="1"/>
  <c r="AP393" i="1" s="1"/>
  <c r="AK393" i="1"/>
  <c r="AO393" i="1" s="1"/>
  <c r="U393" i="1"/>
  <c r="T393" i="1"/>
  <c r="X393" i="1" s="1"/>
  <c r="R393" i="1"/>
  <c r="AL392" i="1"/>
  <c r="AP392" i="1" s="1"/>
  <c r="AK392" i="1"/>
  <c r="AO392" i="1" s="1"/>
  <c r="U392" i="1"/>
  <c r="Y392" i="1" s="1"/>
  <c r="T392" i="1"/>
  <c r="X392" i="1" s="1"/>
  <c r="R392" i="1"/>
  <c r="AL391" i="1"/>
  <c r="AP391" i="1" s="1"/>
  <c r="AK391" i="1"/>
  <c r="AO391" i="1" s="1"/>
  <c r="U391" i="1"/>
  <c r="Y391" i="1" s="1"/>
  <c r="T391" i="1"/>
  <c r="X391" i="1" s="1"/>
  <c r="R391" i="1"/>
  <c r="AL390" i="1"/>
  <c r="AK390" i="1"/>
  <c r="AO390" i="1" s="1"/>
  <c r="U390" i="1"/>
  <c r="T390" i="1"/>
  <c r="X390" i="1" s="1"/>
  <c r="R390" i="1"/>
  <c r="AL389" i="1"/>
  <c r="AP389" i="1" s="1"/>
  <c r="AK389" i="1"/>
  <c r="AO389" i="1" s="1"/>
  <c r="U389" i="1"/>
  <c r="T389" i="1"/>
  <c r="R389" i="1"/>
  <c r="AL388" i="1"/>
  <c r="AP388" i="1" s="1"/>
  <c r="AK388" i="1"/>
  <c r="AO388" i="1" s="1"/>
  <c r="U388" i="1"/>
  <c r="Y388" i="1" s="1"/>
  <c r="T388" i="1"/>
  <c r="X388" i="1" s="1"/>
  <c r="R388" i="1"/>
  <c r="AL387" i="1"/>
  <c r="AK387" i="1"/>
  <c r="AO387" i="1" s="1"/>
  <c r="U387" i="1"/>
  <c r="Y387" i="1" s="1"/>
  <c r="T387" i="1"/>
  <c r="X387" i="1" s="1"/>
  <c r="R387" i="1"/>
  <c r="AL386" i="1"/>
  <c r="AK386" i="1"/>
  <c r="AO386" i="1" s="1"/>
  <c r="U386" i="1"/>
  <c r="T386" i="1"/>
  <c r="X386" i="1" s="1"/>
  <c r="R386" i="1"/>
  <c r="AL385" i="1"/>
  <c r="AP385" i="1" s="1"/>
  <c r="AK385" i="1"/>
  <c r="AO385" i="1" s="1"/>
  <c r="U385" i="1"/>
  <c r="T385" i="1"/>
  <c r="R385" i="1"/>
  <c r="AL384" i="1"/>
  <c r="AP384" i="1" s="1"/>
  <c r="AK384" i="1"/>
  <c r="AO384" i="1" s="1"/>
  <c r="U384" i="1"/>
  <c r="Y384" i="1" s="1"/>
  <c r="T384" i="1"/>
  <c r="X384" i="1" s="1"/>
  <c r="R384" i="1"/>
  <c r="AL383" i="1"/>
  <c r="AK383" i="1"/>
  <c r="AO383" i="1" s="1"/>
  <c r="U383" i="1"/>
  <c r="Y383" i="1" s="1"/>
  <c r="T383" i="1"/>
  <c r="X383" i="1" s="1"/>
  <c r="R383" i="1"/>
  <c r="AL382" i="1"/>
  <c r="AK382" i="1"/>
  <c r="AO382" i="1" s="1"/>
  <c r="U382" i="1"/>
  <c r="T382" i="1"/>
  <c r="X382" i="1" s="1"/>
  <c r="R382" i="1"/>
  <c r="AL381" i="1"/>
  <c r="AP381" i="1" s="1"/>
  <c r="AK381" i="1"/>
  <c r="AO381" i="1" s="1"/>
  <c r="U381" i="1"/>
  <c r="T381" i="1"/>
  <c r="R381" i="1"/>
  <c r="AL380" i="1"/>
  <c r="AP380" i="1" s="1"/>
  <c r="AK380" i="1"/>
  <c r="AO380" i="1" s="1"/>
  <c r="U380" i="1"/>
  <c r="Y380" i="1" s="1"/>
  <c r="T380" i="1"/>
  <c r="X380" i="1" s="1"/>
  <c r="R380" i="1"/>
  <c r="AL379" i="1"/>
  <c r="AK379" i="1"/>
  <c r="AO379" i="1" s="1"/>
  <c r="U379" i="1"/>
  <c r="Y379" i="1" s="1"/>
  <c r="T379" i="1"/>
  <c r="X379" i="1" s="1"/>
  <c r="R379" i="1"/>
  <c r="AL378" i="1"/>
  <c r="AK378" i="1"/>
  <c r="AO378" i="1" s="1"/>
  <c r="U378" i="1"/>
  <c r="T378" i="1"/>
  <c r="X378" i="1" s="1"/>
  <c r="R378" i="1"/>
  <c r="AL377" i="1"/>
  <c r="AP377" i="1" s="1"/>
  <c r="AK377" i="1"/>
  <c r="AO377" i="1" s="1"/>
  <c r="U377" i="1"/>
  <c r="T377" i="1"/>
  <c r="R377" i="1"/>
  <c r="AL376" i="1"/>
  <c r="AP376" i="1" s="1"/>
  <c r="AK376" i="1"/>
  <c r="AO376" i="1" s="1"/>
  <c r="U376" i="1"/>
  <c r="Y376" i="1" s="1"/>
  <c r="T376" i="1"/>
  <c r="X376" i="1" s="1"/>
  <c r="R376" i="1"/>
  <c r="AL375" i="1"/>
  <c r="AK375" i="1"/>
  <c r="AO375" i="1" s="1"/>
  <c r="U375" i="1"/>
  <c r="Y375" i="1" s="1"/>
  <c r="T375" i="1"/>
  <c r="X375" i="1" s="1"/>
  <c r="R375" i="1"/>
  <c r="AL374" i="1"/>
  <c r="AK374" i="1"/>
  <c r="AO374" i="1" s="1"/>
  <c r="U374" i="1"/>
  <c r="T374" i="1"/>
  <c r="X374" i="1" s="1"/>
  <c r="R374" i="1"/>
  <c r="AL373" i="1"/>
  <c r="AP373" i="1" s="1"/>
  <c r="AK373" i="1"/>
  <c r="AO373" i="1" s="1"/>
  <c r="U373" i="1"/>
  <c r="T373" i="1"/>
  <c r="R373" i="1"/>
  <c r="AL372" i="1"/>
  <c r="AP372" i="1" s="1"/>
  <c r="AK372" i="1"/>
  <c r="AO372" i="1" s="1"/>
  <c r="U372" i="1"/>
  <c r="Y372" i="1" s="1"/>
  <c r="T372" i="1"/>
  <c r="X372" i="1" s="1"/>
  <c r="R372" i="1"/>
  <c r="AL371" i="1"/>
  <c r="AK371" i="1"/>
  <c r="AO371" i="1" s="1"/>
  <c r="U371" i="1"/>
  <c r="Y371" i="1" s="1"/>
  <c r="T371" i="1"/>
  <c r="X371" i="1" s="1"/>
  <c r="R371" i="1"/>
  <c r="AL370" i="1"/>
  <c r="AK370" i="1"/>
  <c r="AO370" i="1" s="1"/>
  <c r="U370" i="1"/>
  <c r="Y370" i="1" s="1"/>
  <c r="T370" i="1"/>
  <c r="X370" i="1" s="1"/>
  <c r="R370" i="1"/>
  <c r="J408" i="14" l="1"/>
  <c r="F410" i="40"/>
  <c r="F413" i="36"/>
  <c r="F371" i="36"/>
  <c r="F368" i="40"/>
  <c r="F411" i="36"/>
  <c r="F408" i="40"/>
  <c r="J367" i="14"/>
  <c r="F372" i="36"/>
  <c r="F369" i="40"/>
  <c r="J446" i="14"/>
  <c r="F452" i="36" s="1"/>
  <c r="F412" i="36"/>
  <c r="F409" i="40"/>
  <c r="J486" i="14"/>
  <c r="F492" i="36" s="1"/>
  <c r="F491" i="36"/>
  <c r="S384" i="1"/>
  <c r="I385" i="36" s="1"/>
  <c r="H385" i="36"/>
  <c r="S401" i="1"/>
  <c r="I402" i="36" s="1"/>
  <c r="H402" i="36"/>
  <c r="S405" i="1"/>
  <c r="I406" i="36" s="1"/>
  <c r="H406" i="36"/>
  <c r="S416" i="1"/>
  <c r="I417" i="36" s="1"/>
  <c r="H417" i="36"/>
  <c r="S427" i="1"/>
  <c r="I428" i="36" s="1"/>
  <c r="H428" i="36"/>
  <c r="S438" i="1"/>
  <c r="I439" i="36" s="1"/>
  <c r="H439" i="36"/>
  <c r="S372" i="1"/>
  <c r="I373" i="36" s="1"/>
  <c r="H373" i="36"/>
  <c r="S376" i="1"/>
  <c r="I377" i="36" s="1"/>
  <c r="H377" i="36"/>
  <c r="S377" i="1"/>
  <c r="I378" i="36" s="1"/>
  <c r="H378" i="36"/>
  <c r="S383" i="1"/>
  <c r="I384" i="36" s="1"/>
  <c r="H384" i="36"/>
  <c r="S388" i="1"/>
  <c r="I389" i="36" s="1"/>
  <c r="H389" i="36"/>
  <c r="S389" i="1"/>
  <c r="I390" i="36" s="1"/>
  <c r="H390" i="36"/>
  <c r="S394" i="1"/>
  <c r="I395" i="36" s="1"/>
  <c r="H395" i="36"/>
  <c r="S395" i="1"/>
  <c r="I396" i="36" s="1"/>
  <c r="H396" i="36"/>
  <c r="S400" i="1"/>
  <c r="I401" i="36" s="1"/>
  <c r="H401" i="36"/>
  <c r="S404" i="1"/>
  <c r="I405" i="36" s="1"/>
  <c r="H405" i="36"/>
  <c r="S408" i="1"/>
  <c r="I409" i="36" s="1"/>
  <c r="H409" i="36"/>
  <c r="S415" i="1"/>
  <c r="I416" i="36" s="1"/>
  <c r="H416" i="36"/>
  <c r="S421" i="1"/>
  <c r="I422" i="36" s="1"/>
  <c r="H422" i="36"/>
  <c r="S425" i="1"/>
  <c r="I426" i="36" s="1"/>
  <c r="H426" i="36"/>
  <c r="S430" i="1"/>
  <c r="I431" i="36" s="1"/>
  <c r="H431" i="36"/>
  <c r="S437" i="1"/>
  <c r="I438" i="36" s="1"/>
  <c r="H438" i="36"/>
  <c r="S442" i="1"/>
  <c r="I443" i="36" s="1"/>
  <c r="H443" i="36"/>
  <c r="S446" i="1"/>
  <c r="I447" i="36" s="1"/>
  <c r="H447" i="36"/>
  <c r="S379" i="1"/>
  <c r="I380" i="36" s="1"/>
  <c r="H380" i="36"/>
  <c r="S390" i="1"/>
  <c r="I391" i="36" s="1"/>
  <c r="H391" i="36"/>
  <c r="S396" i="1"/>
  <c r="I397" i="36" s="1"/>
  <c r="H397" i="36"/>
  <c r="S410" i="1"/>
  <c r="I411" i="36" s="1"/>
  <c r="H411" i="36"/>
  <c r="S426" i="1"/>
  <c r="I427" i="36" s="1"/>
  <c r="H427" i="36"/>
  <c r="S431" i="1"/>
  <c r="I432" i="36" s="1"/>
  <c r="H432" i="36"/>
  <c r="S447" i="1"/>
  <c r="I448" i="36" s="1"/>
  <c r="H448" i="36"/>
  <c r="S371" i="1"/>
  <c r="I372" i="36" s="1"/>
  <c r="H372" i="36"/>
  <c r="S375" i="1"/>
  <c r="I376" i="36" s="1"/>
  <c r="H376" i="36"/>
  <c r="S381" i="1"/>
  <c r="I382" i="36" s="1"/>
  <c r="H382" i="36"/>
  <c r="S382" i="1"/>
  <c r="I383" i="36" s="1"/>
  <c r="H383" i="36"/>
  <c r="S387" i="1"/>
  <c r="I388" i="36" s="1"/>
  <c r="H388" i="36"/>
  <c r="S392" i="1"/>
  <c r="I393" i="36" s="1"/>
  <c r="H393" i="36"/>
  <c r="S393" i="1"/>
  <c r="I394" i="36" s="1"/>
  <c r="H394" i="36"/>
  <c r="S398" i="1"/>
  <c r="I399" i="36" s="1"/>
  <c r="H399" i="36"/>
  <c r="S399" i="1"/>
  <c r="I400" i="36" s="1"/>
  <c r="H400" i="36"/>
  <c r="S403" i="1"/>
  <c r="I404" i="36" s="1"/>
  <c r="H404" i="36"/>
  <c r="S407" i="1"/>
  <c r="I408" i="36" s="1"/>
  <c r="H408" i="36"/>
  <c r="S412" i="1"/>
  <c r="I413" i="36" s="1"/>
  <c r="H413" i="36"/>
  <c r="S414" i="1"/>
  <c r="I415" i="36" s="1"/>
  <c r="H415" i="36"/>
  <c r="S419" i="1"/>
  <c r="I420" i="36" s="1"/>
  <c r="H420" i="36"/>
  <c r="S420" i="1"/>
  <c r="I421" i="36" s="1"/>
  <c r="H421" i="36"/>
  <c r="S424" i="1"/>
  <c r="I425" i="36" s="1"/>
  <c r="H425" i="36"/>
  <c r="S429" i="1"/>
  <c r="I430" i="36" s="1"/>
  <c r="H430" i="36"/>
  <c r="S434" i="1"/>
  <c r="I435" i="36" s="1"/>
  <c r="H435" i="36"/>
  <c r="S436" i="1"/>
  <c r="I437" i="36" s="1"/>
  <c r="H437" i="36"/>
  <c r="S440" i="1"/>
  <c r="I441" i="36" s="1"/>
  <c r="H441" i="36"/>
  <c r="S441" i="1"/>
  <c r="I442" i="36" s="1"/>
  <c r="H442" i="36"/>
  <c r="S445" i="1"/>
  <c r="I446" i="36" s="1"/>
  <c r="H446" i="36"/>
  <c r="S449" i="1"/>
  <c r="I450" i="36" s="1"/>
  <c r="H450" i="36"/>
  <c r="S373" i="1"/>
  <c r="I374" i="36" s="1"/>
  <c r="H374" i="36"/>
  <c r="S378" i="1"/>
  <c r="I379" i="36" s="1"/>
  <c r="H379" i="36"/>
  <c r="S385" i="1"/>
  <c r="I386" i="36" s="1"/>
  <c r="H386" i="36"/>
  <c r="S409" i="1"/>
  <c r="I410" i="36" s="1"/>
  <c r="H410" i="36"/>
  <c r="S422" i="1"/>
  <c r="I423" i="36" s="1"/>
  <c r="H423" i="36"/>
  <c r="S432" i="1"/>
  <c r="I433" i="36" s="1"/>
  <c r="H433" i="36"/>
  <c r="S443" i="1"/>
  <c r="I444" i="36" s="1"/>
  <c r="H444" i="36"/>
  <c r="S370" i="1"/>
  <c r="I371" i="36" s="1"/>
  <c r="H371" i="36"/>
  <c r="S374" i="1"/>
  <c r="I375" i="36" s="1"/>
  <c r="H375" i="36"/>
  <c r="S380" i="1"/>
  <c r="I381" i="36" s="1"/>
  <c r="H381" i="36"/>
  <c r="S386" i="1"/>
  <c r="I387" i="36" s="1"/>
  <c r="H387" i="36"/>
  <c r="S391" i="1"/>
  <c r="I392" i="36" s="1"/>
  <c r="H392" i="36"/>
  <c r="S397" i="1"/>
  <c r="I398" i="36" s="1"/>
  <c r="H398" i="36"/>
  <c r="S402" i="1"/>
  <c r="I403" i="36" s="1"/>
  <c r="H403" i="36"/>
  <c r="S406" i="1"/>
  <c r="I407" i="36" s="1"/>
  <c r="H407" i="36"/>
  <c r="S411" i="1"/>
  <c r="I412" i="36" s="1"/>
  <c r="H412" i="36"/>
  <c r="S413" i="1"/>
  <c r="I414" i="36" s="1"/>
  <c r="H414" i="36"/>
  <c r="S417" i="1"/>
  <c r="I418" i="36" s="1"/>
  <c r="H418" i="36"/>
  <c r="S418" i="1"/>
  <c r="I419" i="36" s="1"/>
  <c r="H419" i="36"/>
  <c r="S423" i="1"/>
  <c r="I424" i="36" s="1"/>
  <c r="H424" i="36"/>
  <c r="S428" i="1"/>
  <c r="I429" i="36" s="1"/>
  <c r="H429" i="36"/>
  <c r="S433" i="1"/>
  <c r="I434" i="36" s="1"/>
  <c r="H434" i="36"/>
  <c r="S435" i="1"/>
  <c r="I436" i="36" s="1"/>
  <c r="H436" i="36"/>
  <c r="S439" i="1"/>
  <c r="I440" i="36" s="1"/>
  <c r="H440" i="36"/>
  <c r="S444" i="1"/>
  <c r="I445" i="36" s="1"/>
  <c r="H445" i="36"/>
  <c r="S448" i="1"/>
  <c r="I449" i="36" s="1"/>
  <c r="H449" i="36"/>
  <c r="AP424" i="1"/>
  <c r="AP399" i="1"/>
  <c r="Y412" i="1"/>
  <c r="X419" i="1"/>
  <c r="X373" i="1"/>
  <c r="AP374" i="1"/>
  <c r="AP375" i="1"/>
  <c r="X377" i="1"/>
  <c r="AP378" i="1"/>
  <c r="AP379" i="1"/>
  <c r="X381" i="1"/>
  <c r="AP382" i="1"/>
  <c r="AP383" i="1"/>
  <c r="X385" i="1"/>
  <c r="AP386" i="1"/>
  <c r="AP387" i="1"/>
  <c r="X389" i="1"/>
  <c r="AP390" i="1"/>
  <c r="X401" i="1"/>
  <c r="AO405" i="1"/>
  <c r="Y413" i="1"/>
  <c r="X437" i="1"/>
  <c r="AP370" i="1"/>
  <c r="AP371" i="1"/>
  <c r="Y373" i="1"/>
  <c r="Y374" i="1"/>
  <c r="Y377" i="1"/>
  <c r="Y378" i="1"/>
  <c r="Y381" i="1"/>
  <c r="Y382" i="1"/>
  <c r="Y385" i="1"/>
  <c r="Y386" i="1"/>
  <c r="Y389" i="1"/>
  <c r="Y390" i="1"/>
  <c r="Y393" i="1"/>
  <c r="Y394" i="1"/>
  <c r="AO406" i="1"/>
  <c r="AP410" i="1"/>
  <c r="Y428" i="1"/>
  <c r="AO397" i="1"/>
  <c r="Y419" i="1"/>
  <c r="AP421" i="1"/>
  <c r="X423" i="1"/>
  <c r="Y417" i="1"/>
  <c r="Y420" i="1"/>
  <c r="Y423" i="1"/>
  <c r="AP425" i="1"/>
  <c r="X427" i="1"/>
  <c r="AO430" i="1"/>
  <c r="AO432" i="1"/>
  <c r="Y440" i="1"/>
  <c r="X441" i="1"/>
  <c r="X396" i="1"/>
  <c r="Y397" i="1"/>
  <c r="AP398" i="1"/>
  <c r="X400" i="1"/>
  <c r="AP428" i="1"/>
  <c r="Y401" i="1"/>
  <c r="Y402" i="1"/>
  <c r="AP406" i="1"/>
  <c r="AP407" i="1"/>
  <c r="X409" i="1"/>
  <c r="Y416" i="1"/>
  <c r="AP420" i="1"/>
  <c r="Y424" i="1"/>
  <c r="Y427" i="1"/>
  <c r="X435" i="1"/>
  <c r="AP447" i="1"/>
  <c r="Y432" i="1"/>
  <c r="AP443" i="1"/>
  <c r="AO444" i="1"/>
  <c r="AP437" i="1"/>
  <c r="AO438" i="1"/>
  <c r="X447" i="1"/>
  <c r="X430" i="1"/>
  <c r="Y431" i="1"/>
  <c r="AO431" i="1"/>
  <c r="AP432" i="1"/>
  <c r="AO435" i="1"/>
  <c r="B450" i="40"/>
  <c r="C450" i="40"/>
  <c r="D450" i="40"/>
  <c r="E450" i="40"/>
  <c r="B451" i="40"/>
  <c r="C451" i="40"/>
  <c r="D451" i="40"/>
  <c r="E451" i="40"/>
  <c r="B452" i="40"/>
  <c r="C452" i="40"/>
  <c r="D452" i="40"/>
  <c r="E452" i="40"/>
  <c r="B453" i="40"/>
  <c r="C453" i="40"/>
  <c r="D453" i="40"/>
  <c r="E453" i="40"/>
  <c r="B454" i="40"/>
  <c r="C454" i="40"/>
  <c r="D454" i="40"/>
  <c r="E454" i="40"/>
  <c r="B455" i="40"/>
  <c r="C455" i="40"/>
  <c r="D455" i="40"/>
  <c r="E455" i="40"/>
  <c r="B456" i="40"/>
  <c r="C456" i="40"/>
  <c r="D456" i="40"/>
  <c r="E456" i="40"/>
  <c r="B457" i="40"/>
  <c r="C457" i="40"/>
  <c r="D457" i="40"/>
  <c r="E457" i="40"/>
  <c r="B458" i="40"/>
  <c r="C458" i="40"/>
  <c r="D458" i="40"/>
  <c r="E458" i="40"/>
  <c r="B459" i="40"/>
  <c r="C459" i="40"/>
  <c r="D459" i="40"/>
  <c r="E459" i="40"/>
  <c r="B460" i="40"/>
  <c r="C460" i="40"/>
  <c r="D460" i="40"/>
  <c r="E460" i="40"/>
  <c r="B461" i="40"/>
  <c r="C461" i="40"/>
  <c r="D461" i="40"/>
  <c r="E461" i="40"/>
  <c r="B462" i="40"/>
  <c r="C462" i="40"/>
  <c r="D462" i="40"/>
  <c r="E462" i="40"/>
  <c r="B463" i="40"/>
  <c r="C463" i="40"/>
  <c r="D463" i="40"/>
  <c r="E463" i="40"/>
  <c r="B464" i="40"/>
  <c r="C464" i="40"/>
  <c r="D464" i="40"/>
  <c r="E464" i="40"/>
  <c r="B465" i="40"/>
  <c r="C465" i="40"/>
  <c r="D465" i="40"/>
  <c r="E465" i="40"/>
  <c r="B466" i="40"/>
  <c r="C466" i="40"/>
  <c r="D466" i="40"/>
  <c r="E466" i="40"/>
  <c r="B467" i="40"/>
  <c r="C467" i="40"/>
  <c r="D467" i="40"/>
  <c r="E467" i="40"/>
  <c r="B468" i="40"/>
  <c r="C468" i="40"/>
  <c r="D468" i="40"/>
  <c r="E468" i="40"/>
  <c r="B469" i="40"/>
  <c r="C469" i="40"/>
  <c r="D469" i="40"/>
  <c r="E469" i="40"/>
  <c r="B470" i="40"/>
  <c r="C470" i="40"/>
  <c r="D470" i="40"/>
  <c r="E470" i="40"/>
  <c r="B471" i="40"/>
  <c r="C471" i="40"/>
  <c r="D471" i="40"/>
  <c r="E471" i="40"/>
  <c r="B472" i="40"/>
  <c r="C472" i="40"/>
  <c r="D472" i="40"/>
  <c r="E472" i="40"/>
  <c r="B473" i="40"/>
  <c r="C473" i="40"/>
  <c r="D473" i="40"/>
  <c r="E473" i="40"/>
  <c r="B474" i="40"/>
  <c r="C474" i="40"/>
  <c r="D474" i="40"/>
  <c r="E474" i="40"/>
  <c r="B475" i="40"/>
  <c r="C475" i="40"/>
  <c r="D475" i="40"/>
  <c r="E475" i="40"/>
  <c r="B476" i="40"/>
  <c r="C476" i="40"/>
  <c r="D476" i="40"/>
  <c r="E476" i="40"/>
  <c r="B477" i="40"/>
  <c r="C477" i="40"/>
  <c r="D477" i="40"/>
  <c r="E477" i="40"/>
  <c r="B478" i="40"/>
  <c r="C478" i="40"/>
  <c r="D478" i="40"/>
  <c r="E478" i="40"/>
  <c r="B479" i="40"/>
  <c r="C479" i="40"/>
  <c r="D479" i="40"/>
  <c r="E479" i="40"/>
  <c r="B480" i="40"/>
  <c r="C480" i="40"/>
  <c r="D480" i="40"/>
  <c r="E480" i="40"/>
  <c r="B481" i="40"/>
  <c r="C481" i="40"/>
  <c r="D481" i="40"/>
  <c r="E481" i="40"/>
  <c r="B482" i="40"/>
  <c r="C482" i="40"/>
  <c r="D482" i="40"/>
  <c r="E482" i="40"/>
  <c r="B483" i="40"/>
  <c r="C483" i="40"/>
  <c r="D483" i="40"/>
  <c r="E483" i="40"/>
  <c r="B484" i="40"/>
  <c r="C484" i="40"/>
  <c r="D484" i="40"/>
  <c r="E484" i="40"/>
  <c r="B485" i="40"/>
  <c r="C485" i="40"/>
  <c r="D485" i="40"/>
  <c r="E485" i="40"/>
  <c r="B486" i="40"/>
  <c r="C486" i="40"/>
  <c r="D486" i="40"/>
  <c r="E486" i="40"/>
  <c r="B487" i="40"/>
  <c r="C487" i="40"/>
  <c r="D487" i="40"/>
  <c r="E487" i="40"/>
  <c r="B488" i="40"/>
  <c r="C488" i="40"/>
  <c r="D488" i="40"/>
  <c r="E488" i="40"/>
  <c r="F488" i="40"/>
  <c r="B489" i="40"/>
  <c r="C489" i="40"/>
  <c r="D489" i="40"/>
  <c r="E489" i="40"/>
  <c r="B490" i="40"/>
  <c r="C490" i="40"/>
  <c r="D490" i="40"/>
  <c r="E490" i="40"/>
  <c r="B491" i="40"/>
  <c r="C491" i="40"/>
  <c r="D491" i="40"/>
  <c r="E491" i="40"/>
  <c r="B492" i="40"/>
  <c r="C492" i="40"/>
  <c r="D492" i="40"/>
  <c r="E492" i="40"/>
  <c r="B493" i="40"/>
  <c r="C493" i="40"/>
  <c r="D493" i="40"/>
  <c r="E493" i="40"/>
  <c r="B494" i="40"/>
  <c r="C494" i="40"/>
  <c r="D494" i="40"/>
  <c r="E494" i="40"/>
  <c r="B495" i="40"/>
  <c r="C495" i="40"/>
  <c r="D495" i="40"/>
  <c r="E495" i="40"/>
  <c r="B496" i="40"/>
  <c r="C496" i="40"/>
  <c r="D496" i="40"/>
  <c r="E496" i="40"/>
  <c r="B497" i="40"/>
  <c r="C497" i="40"/>
  <c r="D497" i="40"/>
  <c r="E497" i="40"/>
  <c r="B498" i="40"/>
  <c r="C498" i="40"/>
  <c r="D498" i="40"/>
  <c r="E498" i="40"/>
  <c r="B499" i="40"/>
  <c r="C499" i="40"/>
  <c r="D499" i="40"/>
  <c r="E499" i="40"/>
  <c r="B500" i="40"/>
  <c r="C500" i="40"/>
  <c r="D500" i="40"/>
  <c r="E500" i="40"/>
  <c r="B501" i="40"/>
  <c r="C501" i="40"/>
  <c r="D501" i="40"/>
  <c r="E501" i="40"/>
  <c r="B502" i="40"/>
  <c r="C502" i="40"/>
  <c r="D502" i="40"/>
  <c r="E502" i="40"/>
  <c r="B503" i="40"/>
  <c r="C503" i="40"/>
  <c r="D503" i="40"/>
  <c r="E503" i="40"/>
  <c r="B504" i="40"/>
  <c r="C504" i="40"/>
  <c r="D504" i="40"/>
  <c r="E504" i="40"/>
  <c r="B505" i="40"/>
  <c r="C505" i="40"/>
  <c r="D505" i="40"/>
  <c r="E505" i="40"/>
  <c r="B506" i="40"/>
  <c r="C506" i="40"/>
  <c r="D506" i="40"/>
  <c r="E506" i="40"/>
  <c r="B507" i="40"/>
  <c r="C507" i="40"/>
  <c r="D507" i="40"/>
  <c r="E507" i="40"/>
  <c r="B508" i="40"/>
  <c r="C508" i="40"/>
  <c r="D508" i="40"/>
  <c r="E508" i="40"/>
  <c r="B509" i="40"/>
  <c r="C509" i="40"/>
  <c r="D509" i="40"/>
  <c r="E509" i="40"/>
  <c r="B510" i="40"/>
  <c r="C510" i="40"/>
  <c r="D510" i="40"/>
  <c r="E510" i="40"/>
  <c r="B511" i="40"/>
  <c r="C511" i="40"/>
  <c r="D511" i="40"/>
  <c r="E511" i="40"/>
  <c r="B512" i="40"/>
  <c r="C512" i="40"/>
  <c r="D512" i="40"/>
  <c r="E512" i="40"/>
  <c r="B513" i="40"/>
  <c r="C513" i="40"/>
  <c r="D513" i="40"/>
  <c r="E513" i="40"/>
  <c r="B514" i="40"/>
  <c r="C514" i="40"/>
  <c r="D514" i="40"/>
  <c r="E514" i="40"/>
  <c r="B515" i="40"/>
  <c r="C515" i="40"/>
  <c r="D515" i="40"/>
  <c r="E515" i="40"/>
  <c r="B516" i="40"/>
  <c r="C516" i="40"/>
  <c r="D516" i="40"/>
  <c r="E516" i="40"/>
  <c r="B517" i="40"/>
  <c r="C517" i="40"/>
  <c r="D517" i="40"/>
  <c r="E517" i="40"/>
  <c r="B518" i="40"/>
  <c r="C518" i="40"/>
  <c r="D518" i="40"/>
  <c r="E518" i="40"/>
  <c r="B519" i="40"/>
  <c r="C519" i="40"/>
  <c r="D519" i="40"/>
  <c r="E519" i="40"/>
  <c r="B520" i="40"/>
  <c r="C520" i="40"/>
  <c r="D520" i="40"/>
  <c r="E520" i="40"/>
  <c r="B521" i="40"/>
  <c r="C521" i="40"/>
  <c r="D521" i="40"/>
  <c r="E521" i="40"/>
  <c r="B522" i="40"/>
  <c r="C522" i="40"/>
  <c r="D522" i="40"/>
  <c r="E522" i="40"/>
  <c r="B523" i="40"/>
  <c r="C523" i="40"/>
  <c r="D523" i="40"/>
  <c r="E523" i="40"/>
  <c r="B524" i="40"/>
  <c r="C524" i="40"/>
  <c r="D524" i="40"/>
  <c r="E524" i="40"/>
  <c r="B525" i="40"/>
  <c r="C525" i="40"/>
  <c r="D525" i="40"/>
  <c r="E525" i="40"/>
  <c r="B526" i="40"/>
  <c r="C526" i="40"/>
  <c r="D526" i="40"/>
  <c r="E526" i="40"/>
  <c r="B527" i="40"/>
  <c r="C527" i="40"/>
  <c r="D527" i="40"/>
  <c r="E527" i="40"/>
  <c r="B448" i="40"/>
  <c r="C448" i="40"/>
  <c r="D448" i="40"/>
  <c r="E448" i="40"/>
  <c r="F448" i="40"/>
  <c r="B449" i="40"/>
  <c r="C449" i="40"/>
  <c r="D449" i="40"/>
  <c r="E449" i="40"/>
  <c r="C13" i="36"/>
  <c r="D13" i="36"/>
  <c r="E13" i="36"/>
  <c r="C14" i="36"/>
  <c r="D14" i="36"/>
  <c r="E14" i="36"/>
  <c r="C15" i="36"/>
  <c r="D15" i="36"/>
  <c r="E15" i="36"/>
  <c r="C16" i="36"/>
  <c r="D16" i="36"/>
  <c r="E16" i="36"/>
  <c r="C17" i="36"/>
  <c r="D17" i="36"/>
  <c r="E17" i="36"/>
  <c r="C18" i="36"/>
  <c r="D18" i="36"/>
  <c r="E18" i="36"/>
  <c r="C19" i="36"/>
  <c r="D19" i="36"/>
  <c r="E19" i="36"/>
  <c r="C20" i="36"/>
  <c r="D20" i="36"/>
  <c r="E20" i="36"/>
  <c r="C21" i="36"/>
  <c r="D21" i="36"/>
  <c r="E21" i="36"/>
  <c r="C22" i="36"/>
  <c r="D22" i="36"/>
  <c r="E22" i="36"/>
  <c r="C23" i="36"/>
  <c r="D23" i="36"/>
  <c r="E23" i="36"/>
  <c r="C24" i="36"/>
  <c r="D24" i="36"/>
  <c r="E24" i="36"/>
  <c r="C25" i="36"/>
  <c r="D25" i="36"/>
  <c r="E25" i="36"/>
  <c r="C26" i="36"/>
  <c r="D26" i="36"/>
  <c r="E26" i="36"/>
  <c r="C27" i="36"/>
  <c r="D27" i="36"/>
  <c r="E27" i="36"/>
  <c r="C28" i="36"/>
  <c r="D28" i="36"/>
  <c r="E28" i="36"/>
  <c r="C29" i="36"/>
  <c r="D29" i="36"/>
  <c r="E29" i="36"/>
  <c r="C30" i="36"/>
  <c r="D30" i="36"/>
  <c r="E30" i="36"/>
  <c r="C31" i="36"/>
  <c r="D31" i="36"/>
  <c r="E31" i="36"/>
  <c r="C32" i="36"/>
  <c r="D32" i="36"/>
  <c r="E32" i="36"/>
  <c r="C33" i="36"/>
  <c r="D33" i="36"/>
  <c r="E33" i="36"/>
  <c r="C34" i="36"/>
  <c r="D34" i="36"/>
  <c r="E34" i="36"/>
  <c r="C35" i="36"/>
  <c r="D35" i="36"/>
  <c r="E35" i="36"/>
  <c r="C36" i="36"/>
  <c r="D36" i="36"/>
  <c r="E36" i="36"/>
  <c r="C37" i="36"/>
  <c r="D37" i="36"/>
  <c r="E37" i="36"/>
  <c r="C38" i="36"/>
  <c r="D38" i="36"/>
  <c r="E38" i="36"/>
  <c r="C39" i="36"/>
  <c r="D39" i="36"/>
  <c r="E39" i="36"/>
  <c r="C40" i="36"/>
  <c r="D40" i="36"/>
  <c r="E40" i="36"/>
  <c r="C41" i="36"/>
  <c r="D41" i="36"/>
  <c r="E41" i="36"/>
  <c r="C42" i="36"/>
  <c r="D42" i="36"/>
  <c r="E42" i="36"/>
  <c r="C43" i="36"/>
  <c r="D43" i="36"/>
  <c r="E43" i="36"/>
  <c r="C44" i="36"/>
  <c r="D44" i="36"/>
  <c r="E44" i="36"/>
  <c r="C45" i="36"/>
  <c r="D45" i="36"/>
  <c r="E45" i="36"/>
  <c r="C46" i="36"/>
  <c r="D46" i="36"/>
  <c r="E46" i="36"/>
  <c r="C47" i="36"/>
  <c r="D47" i="36"/>
  <c r="E47" i="36"/>
  <c r="C48" i="36"/>
  <c r="D48" i="36"/>
  <c r="E48" i="36"/>
  <c r="C49" i="36"/>
  <c r="D49" i="36"/>
  <c r="E49" i="36"/>
  <c r="C50" i="36"/>
  <c r="D50" i="36"/>
  <c r="E50" i="36"/>
  <c r="C51" i="36"/>
  <c r="D51" i="36"/>
  <c r="E51" i="36"/>
  <c r="C52" i="36"/>
  <c r="D52" i="36"/>
  <c r="E52" i="36"/>
  <c r="C53" i="36"/>
  <c r="D53" i="36"/>
  <c r="E53" i="36"/>
  <c r="C54" i="36"/>
  <c r="D54" i="36"/>
  <c r="E54" i="36"/>
  <c r="C55" i="36"/>
  <c r="D55" i="36"/>
  <c r="E55" i="36"/>
  <c r="C56" i="36"/>
  <c r="D56" i="36"/>
  <c r="E56" i="36"/>
  <c r="C57" i="36"/>
  <c r="D57" i="36"/>
  <c r="E57" i="36"/>
  <c r="C58" i="36"/>
  <c r="D58" i="36"/>
  <c r="E58" i="36"/>
  <c r="C59" i="36"/>
  <c r="D59" i="36"/>
  <c r="E59" i="36"/>
  <c r="C60" i="36"/>
  <c r="D60" i="36"/>
  <c r="E60" i="36"/>
  <c r="C61" i="36"/>
  <c r="D61" i="36"/>
  <c r="E61" i="36"/>
  <c r="C62" i="36"/>
  <c r="D62" i="36"/>
  <c r="E62" i="36"/>
  <c r="C63" i="36"/>
  <c r="D63" i="36"/>
  <c r="E63" i="36"/>
  <c r="C64" i="36"/>
  <c r="D64" i="36"/>
  <c r="E64" i="36"/>
  <c r="C65" i="36"/>
  <c r="D65" i="36"/>
  <c r="E65" i="36"/>
  <c r="C66" i="36"/>
  <c r="D66" i="36"/>
  <c r="E66" i="36"/>
  <c r="C67" i="36"/>
  <c r="D67" i="36"/>
  <c r="E67" i="36"/>
  <c r="C68" i="36"/>
  <c r="D68" i="36"/>
  <c r="E68" i="36"/>
  <c r="C69" i="36"/>
  <c r="D69" i="36"/>
  <c r="E69" i="36"/>
  <c r="C70" i="36"/>
  <c r="D70" i="36"/>
  <c r="E70" i="36"/>
  <c r="C71" i="36"/>
  <c r="D71" i="36"/>
  <c r="E71" i="36"/>
  <c r="C72" i="36"/>
  <c r="D72" i="36"/>
  <c r="E72" i="36"/>
  <c r="C73" i="36"/>
  <c r="D73" i="36"/>
  <c r="E73" i="36"/>
  <c r="C74" i="36"/>
  <c r="D74" i="36"/>
  <c r="E74" i="36"/>
  <c r="C75" i="36"/>
  <c r="D75" i="36"/>
  <c r="E75" i="36"/>
  <c r="C76" i="36"/>
  <c r="D76" i="36"/>
  <c r="E76" i="36"/>
  <c r="C77" i="36"/>
  <c r="D77" i="36"/>
  <c r="E77" i="36"/>
  <c r="C78" i="36"/>
  <c r="D78" i="36"/>
  <c r="E78" i="36"/>
  <c r="C79" i="36"/>
  <c r="D79" i="36"/>
  <c r="E79" i="36"/>
  <c r="C80" i="36"/>
  <c r="D80" i="36"/>
  <c r="E80" i="36"/>
  <c r="C81" i="36"/>
  <c r="D81" i="36"/>
  <c r="E81" i="36"/>
  <c r="C82" i="36"/>
  <c r="D82" i="36"/>
  <c r="E82" i="36"/>
  <c r="C83" i="36"/>
  <c r="D83" i="36"/>
  <c r="E83" i="36"/>
  <c r="C84" i="36"/>
  <c r="D84" i="36"/>
  <c r="E84" i="36"/>
  <c r="C85" i="36"/>
  <c r="D85" i="36"/>
  <c r="E85" i="36"/>
  <c r="C86" i="36"/>
  <c r="D86" i="36"/>
  <c r="E86" i="36"/>
  <c r="C87" i="36"/>
  <c r="D87" i="36"/>
  <c r="E87" i="36"/>
  <c r="C88" i="36"/>
  <c r="D88" i="36"/>
  <c r="E88" i="36"/>
  <c r="C89" i="36"/>
  <c r="D89" i="36"/>
  <c r="E89" i="36"/>
  <c r="C90" i="36"/>
  <c r="D90" i="36"/>
  <c r="E90" i="36"/>
  <c r="C91" i="36"/>
  <c r="D91" i="36"/>
  <c r="E91" i="36"/>
  <c r="C92" i="36"/>
  <c r="D92" i="36"/>
  <c r="E92" i="36"/>
  <c r="C93" i="36"/>
  <c r="D93" i="36"/>
  <c r="E93" i="36"/>
  <c r="C94" i="36"/>
  <c r="D94" i="36"/>
  <c r="E94" i="36"/>
  <c r="C95" i="36"/>
  <c r="D95" i="36"/>
  <c r="E95" i="36"/>
  <c r="C96" i="36"/>
  <c r="D96" i="36"/>
  <c r="E96" i="36"/>
  <c r="C97" i="36"/>
  <c r="D97" i="36"/>
  <c r="E97" i="36"/>
  <c r="C98" i="36"/>
  <c r="D98" i="36"/>
  <c r="E98" i="36"/>
  <c r="C99" i="36"/>
  <c r="D99" i="36"/>
  <c r="E99" i="36"/>
  <c r="C100" i="36"/>
  <c r="D100" i="36"/>
  <c r="E100" i="36"/>
  <c r="C101" i="36"/>
  <c r="D101" i="36"/>
  <c r="E101" i="36"/>
  <c r="C102" i="36"/>
  <c r="D102" i="36"/>
  <c r="E102" i="36"/>
  <c r="C103" i="36"/>
  <c r="D103" i="36"/>
  <c r="E103" i="36"/>
  <c r="C104" i="36"/>
  <c r="D104" i="36"/>
  <c r="E104" i="36"/>
  <c r="C105" i="36"/>
  <c r="D105" i="36"/>
  <c r="E105" i="36"/>
  <c r="C106" i="36"/>
  <c r="D106" i="36"/>
  <c r="E106" i="36"/>
  <c r="C107" i="36"/>
  <c r="D107" i="36"/>
  <c r="E107" i="36"/>
  <c r="C108" i="36"/>
  <c r="D108" i="36"/>
  <c r="E108" i="36"/>
  <c r="C109" i="36"/>
  <c r="D109" i="36"/>
  <c r="E109" i="36"/>
  <c r="C110" i="36"/>
  <c r="D110" i="36"/>
  <c r="E110" i="36"/>
  <c r="C111" i="36"/>
  <c r="D111" i="36"/>
  <c r="E111" i="36"/>
  <c r="C112" i="36"/>
  <c r="D112" i="36"/>
  <c r="E112" i="36"/>
  <c r="C113" i="36"/>
  <c r="D113" i="36"/>
  <c r="E113" i="36"/>
  <c r="C114" i="36"/>
  <c r="D114" i="36"/>
  <c r="E114" i="36"/>
  <c r="C115" i="36"/>
  <c r="D115" i="36"/>
  <c r="E115" i="36"/>
  <c r="C116" i="36"/>
  <c r="D116" i="36"/>
  <c r="E116" i="36"/>
  <c r="C117" i="36"/>
  <c r="D117" i="36"/>
  <c r="E117" i="36"/>
  <c r="C118" i="36"/>
  <c r="D118" i="36"/>
  <c r="E118" i="36"/>
  <c r="C119" i="36"/>
  <c r="D119" i="36"/>
  <c r="E119" i="36"/>
  <c r="C120" i="36"/>
  <c r="D120" i="36"/>
  <c r="E120" i="36"/>
  <c r="C121" i="36"/>
  <c r="D121" i="36"/>
  <c r="E121" i="36"/>
  <c r="C122" i="36"/>
  <c r="D122" i="36"/>
  <c r="E122" i="36"/>
  <c r="C123" i="36"/>
  <c r="D123" i="36"/>
  <c r="E123" i="36"/>
  <c r="C124" i="36"/>
  <c r="D124" i="36"/>
  <c r="E124" i="36"/>
  <c r="C125" i="36"/>
  <c r="D125" i="36"/>
  <c r="E125" i="36"/>
  <c r="C126" i="36"/>
  <c r="D126" i="36"/>
  <c r="E126" i="36"/>
  <c r="C127" i="36"/>
  <c r="D127" i="36"/>
  <c r="E127" i="36"/>
  <c r="C128" i="36"/>
  <c r="D128" i="36"/>
  <c r="E128" i="36"/>
  <c r="C129" i="36"/>
  <c r="D129" i="36"/>
  <c r="E129" i="36"/>
  <c r="C130" i="36"/>
  <c r="D130" i="36"/>
  <c r="E130" i="36"/>
  <c r="C131" i="36"/>
  <c r="D131" i="36"/>
  <c r="E131" i="36"/>
  <c r="C132" i="36"/>
  <c r="D132" i="36"/>
  <c r="E132" i="36"/>
  <c r="C133" i="36"/>
  <c r="D133" i="36"/>
  <c r="E133" i="36"/>
  <c r="C134" i="36"/>
  <c r="D134" i="36"/>
  <c r="E134" i="36"/>
  <c r="C135" i="36"/>
  <c r="D135" i="36"/>
  <c r="E135" i="36"/>
  <c r="C136" i="36"/>
  <c r="D136" i="36"/>
  <c r="E136" i="36"/>
  <c r="C137" i="36"/>
  <c r="D137" i="36"/>
  <c r="E137" i="36"/>
  <c r="C138" i="36"/>
  <c r="D138" i="36"/>
  <c r="E138" i="36"/>
  <c r="C139" i="36"/>
  <c r="D139" i="36"/>
  <c r="E139" i="36"/>
  <c r="C140" i="36"/>
  <c r="D140" i="36"/>
  <c r="E140" i="36"/>
  <c r="C141" i="36"/>
  <c r="D141" i="36"/>
  <c r="E141" i="36"/>
  <c r="C142" i="36"/>
  <c r="D142" i="36"/>
  <c r="E142" i="36"/>
  <c r="C143" i="36"/>
  <c r="D143" i="36"/>
  <c r="E143" i="36"/>
  <c r="C144" i="36"/>
  <c r="D144" i="36"/>
  <c r="E144" i="36"/>
  <c r="C145" i="36"/>
  <c r="D145" i="36"/>
  <c r="E145" i="36"/>
  <c r="C146" i="36"/>
  <c r="D146" i="36"/>
  <c r="E146" i="36"/>
  <c r="C147" i="36"/>
  <c r="D147" i="36"/>
  <c r="E147" i="36"/>
  <c r="C148" i="36"/>
  <c r="D148" i="36"/>
  <c r="E148" i="36"/>
  <c r="C149" i="36"/>
  <c r="D149" i="36"/>
  <c r="E149" i="36"/>
  <c r="C150" i="36"/>
  <c r="D150" i="36"/>
  <c r="E150" i="36"/>
  <c r="C151" i="36"/>
  <c r="D151" i="36"/>
  <c r="E151" i="36"/>
  <c r="C152" i="36"/>
  <c r="D152" i="36"/>
  <c r="E152" i="36"/>
  <c r="C153" i="36"/>
  <c r="D153" i="36"/>
  <c r="E153" i="36"/>
  <c r="C154" i="36"/>
  <c r="D154" i="36"/>
  <c r="E154" i="36"/>
  <c r="C155" i="36"/>
  <c r="D155" i="36"/>
  <c r="E155" i="36"/>
  <c r="C156" i="36"/>
  <c r="D156" i="36"/>
  <c r="E156" i="36"/>
  <c r="C157" i="36"/>
  <c r="D157" i="36"/>
  <c r="E157" i="36"/>
  <c r="C158" i="36"/>
  <c r="D158" i="36"/>
  <c r="E158" i="36"/>
  <c r="C159" i="36"/>
  <c r="D159" i="36"/>
  <c r="E159" i="36"/>
  <c r="C160" i="36"/>
  <c r="D160" i="36"/>
  <c r="E160" i="36"/>
  <c r="C161" i="36"/>
  <c r="D161" i="36"/>
  <c r="E161" i="36"/>
  <c r="C162" i="36"/>
  <c r="D162" i="36"/>
  <c r="E162" i="36"/>
  <c r="C163" i="36"/>
  <c r="D163" i="36"/>
  <c r="E163" i="36"/>
  <c r="C164" i="36"/>
  <c r="D164" i="36"/>
  <c r="E164" i="36"/>
  <c r="C165" i="36"/>
  <c r="D165" i="36"/>
  <c r="E165" i="36"/>
  <c r="C166" i="36"/>
  <c r="D166" i="36"/>
  <c r="E166" i="36"/>
  <c r="C167" i="36"/>
  <c r="D167" i="36"/>
  <c r="E167" i="36"/>
  <c r="C168" i="36"/>
  <c r="D168" i="36"/>
  <c r="E168" i="36"/>
  <c r="C169" i="36"/>
  <c r="D169" i="36"/>
  <c r="E169" i="36"/>
  <c r="C170" i="36"/>
  <c r="D170" i="36"/>
  <c r="E170" i="36"/>
  <c r="C171" i="36"/>
  <c r="D171" i="36"/>
  <c r="E171" i="36"/>
  <c r="C172" i="36"/>
  <c r="D172" i="36"/>
  <c r="E172" i="36"/>
  <c r="C173" i="36"/>
  <c r="D173" i="36"/>
  <c r="E173" i="36"/>
  <c r="C174" i="36"/>
  <c r="D174" i="36"/>
  <c r="E174" i="36"/>
  <c r="C175" i="36"/>
  <c r="D175" i="36"/>
  <c r="E175" i="36"/>
  <c r="C176" i="36"/>
  <c r="D176" i="36"/>
  <c r="E176" i="36"/>
  <c r="C177" i="36"/>
  <c r="D177" i="36"/>
  <c r="E177" i="36"/>
  <c r="C178" i="36"/>
  <c r="D178" i="36"/>
  <c r="E178" i="36"/>
  <c r="C179" i="36"/>
  <c r="D179" i="36"/>
  <c r="E179" i="36"/>
  <c r="C180" i="36"/>
  <c r="D180" i="36"/>
  <c r="E180" i="36"/>
  <c r="C181" i="36"/>
  <c r="D181" i="36"/>
  <c r="E181" i="36"/>
  <c r="C182" i="36"/>
  <c r="D182" i="36"/>
  <c r="E182" i="36"/>
  <c r="C183" i="36"/>
  <c r="D183" i="36"/>
  <c r="E183" i="36"/>
  <c r="C184" i="36"/>
  <c r="D184" i="36"/>
  <c r="E184" i="36"/>
  <c r="C185" i="36"/>
  <c r="D185" i="36"/>
  <c r="E185" i="36"/>
  <c r="C186" i="36"/>
  <c r="D186" i="36"/>
  <c r="E186" i="36"/>
  <c r="C187" i="36"/>
  <c r="D187" i="36"/>
  <c r="E187" i="36"/>
  <c r="C188" i="36"/>
  <c r="D188" i="36"/>
  <c r="E188" i="36"/>
  <c r="C189" i="36"/>
  <c r="D189" i="36"/>
  <c r="E189" i="36"/>
  <c r="C190" i="36"/>
  <c r="D190" i="36"/>
  <c r="E190" i="36"/>
  <c r="C191" i="36"/>
  <c r="D191" i="36"/>
  <c r="E191" i="36"/>
  <c r="C192" i="36"/>
  <c r="D192" i="36"/>
  <c r="E192" i="36"/>
  <c r="C193" i="36"/>
  <c r="D193" i="36"/>
  <c r="E193" i="36"/>
  <c r="C194" i="36"/>
  <c r="D194" i="36"/>
  <c r="E194" i="36"/>
  <c r="C195" i="36"/>
  <c r="D195" i="36"/>
  <c r="E195" i="36"/>
  <c r="C196" i="36"/>
  <c r="D196" i="36"/>
  <c r="E196" i="36"/>
  <c r="C197" i="36"/>
  <c r="D197" i="36"/>
  <c r="E197" i="36"/>
  <c r="C198" i="36"/>
  <c r="D198" i="36"/>
  <c r="E198" i="36"/>
  <c r="C199" i="36"/>
  <c r="D199" i="36"/>
  <c r="E199" i="36"/>
  <c r="C200" i="36"/>
  <c r="D200" i="36"/>
  <c r="E200" i="36"/>
  <c r="C201" i="36"/>
  <c r="D201" i="36"/>
  <c r="E201" i="36"/>
  <c r="C202" i="36"/>
  <c r="D202" i="36"/>
  <c r="E202" i="36"/>
  <c r="C203" i="36"/>
  <c r="D203" i="36"/>
  <c r="E203" i="36"/>
  <c r="C204" i="36"/>
  <c r="D204" i="36"/>
  <c r="E204" i="36"/>
  <c r="C205" i="36"/>
  <c r="D205" i="36"/>
  <c r="E205" i="36"/>
  <c r="C206" i="36"/>
  <c r="D206" i="36"/>
  <c r="E206" i="36"/>
  <c r="C207" i="36"/>
  <c r="D207" i="36"/>
  <c r="E207" i="36"/>
  <c r="C208" i="36"/>
  <c r="D208" i="36"/>
  <c r="E208" i="36"/>
  <c r="C209" i="36"/>
  <c r="D209" i="36"/>
  <c r="E209" i="36"/>
  <c r="C210" i="36"/>
  <c r="D210" i="36"/>
  <c r="E210" i="36"/>
  <c r="C211" i="36"/>
  <c r="D211" i="36"/>
  <c r="E211" i="36"/>
  <c r="C212" i="36"/>
  <c r="D212" i="36"/>
  <c r="E212" i="36"/>
  <c r="C213" i="36"/>
  <c r="D213" i="36"/>
  <c r="E213" i="36"/>
  <c r="C214" i="36"/>
  <c r="D214" i="36"/>
  <c r="E214" i="36"/>
  <c r="C215" i="36"/>
  <c r="D215" i="36"/>
  <c r="E215" i="36"/>
  <c r="C216" i="36"/>
  <c r="D216" i="36"/>
  <c r="E216" i="36"/>
  <c r="C217" i="36"/>
  <c r="D217" i="36"/>
  <c r="E217" i="36"/>
  <c r="C218" i="36"/>
  <c r="D218" i="36"/>
  <c r="E218" i="36"/>
  <c r="C219" i="36"/>
  <c r="D219" i="36"/>
  <c r="E219" i="36"/>
  <c r="C220" i="36"/>
  <c r="D220" i="36"/>
  <c r="E220" i="36"/>
  <c r="C221" i="36"/>
  <c r="D221" i="36"/>
  <c r="E221" i="36"/>
  <c r="C222" i="36"/>
  <c r="D222" i="36"/>
  <c r="E222" i="36"/>
  <c r="C223" i="36"/>
  <c r="D223" i="36"/>
  <c r="E223" i="36"/>
  <c r="C224" i="36"/>
  <c r="D224" i="36"/>
  <c r="E224" i="36"/>
  <c r="C225" i="36"/>
  <c r="D225" i="36"/>
  <c r="E225" i="36"/>
  <c r="C226" i="36"/>
  <c r="D226" i="36"/>
  <c r="E226" i="36"/>
  <c r="C227" i="36"/>
  <c r="D227" i="36"/>
  <c r="E227" i="36"/>
  <c r="C228" i="36"/>
  <c r="D228" i="36"/>
  <c r="E228" i="36"/>
  <c r="C229" i="36"/>
  <c r="D229" i="36"/>
  <c r="E229" i="36"/>
  <c r="C230" i="36"/>
  <c r="D230" i="36"/>
  <c r="E230" i="36"/>
  <c r="C231" i="36"/>
  <c r="D231" i="36"/>
  <c r="E231" i="36"/>
  <c r="C232" i="36"/>
  <c r="D232" i="36"/>
  <c r="E232" i="36"/>
  <c r="C233" i="36"/>
  <c r="D233" i="36"/>
  <c r="E233" i="36"/>
  <c r="C234" i="36"/>
  <c r="D234" i="36"/>
  <c r="E234" i="36"/>
  <c r="C235" i="36"/>
  <c r="D235" i="36"/>
  <c r="E235" i="36"/>
  <c r="C236" i="36"/>
  <c r="D236" i="36"/>
  <c r="E236" i="36"/>
  <c r="C237" i="36"/>
  <c r="D237" i="36"/>
  <c r="E237" i="36"/>
  <c r="C238" i="36"/>
  <c r="D238" i="36"/>
  <c r="E238" i="36"/>
  <c r="C239" i="36"/>
  <c r="D239" i="36"/>
  <c r="E239" i="36"/>
  <c r="C240" i="36"/>
  <c r="D240" i="36"/>
  <c r="E240" i="36"/>
  <c r="C241" i="36"/>
  <c r="D241" i="36"/>
  <c r="E241" i="36"/>
  <c r="C242" i="36"/>
  <c r="D242" i="36"/>
  <c r="E242" i="36"/>
  <c r="C243" i="36"/>
  <c r="D243" i="36"/>
  <c r="E243" i="36"/>
  <c r="C244" i="36"/>
  <c r="D244" i="36"/>
  <c r="E244" i="36"/>
  <c r="C245" i="36"/>
  <c r="D245" i="36"/>
  <c r="E245" i="36"/>
  <c r="C246" i="36"/>
  <c r="D246" i="36"/>
  <c r="E246" i="36"/>
  <c r="C247" i="36"/>
  <c r="D247" i="36"/>
  <c r="E247" i="36"/>
  <c r="C248" i="36"/>
  <c r="D248" i="36"/>
  <c r="E248" i="36"/>
  <c r="C249" i="36"/>
  <c r="D249" i="36"/>
  <c r="E249" i="36"/>
  <c r="C250" i="36"/>
  <c r="D250" i="36"/>
  <c r="E250" i="36"/>
  <c r="C251" i="36"/>
  <c r="D251" i="36"/>
  <c r="E251" i="36"/>
  <c r="C252" i="36"/>
  <c r="D252" i="36"/>
  <c r="E252" i="36"/>
  <c r="C253" i="36"/>
  <c r="D253" i="36"/>
  <c r="E253" i="36"/>
  <c r="C254" i="36"/>
  <c r="D254" i="36"/>
  <c r="E254" i="36"/>
  <c r="C255" i="36"/>
  <c r="D255" i="36"/>
  <c r="E255" i="36"/>
  <c r="C256" i="36"/>
  <c r="D256" i="36"/>
  <c r="E256" i="36"/>
  <c r="C257" i="36"/>
  <c r="D257" i="36"/>
  <c r="E257" i="36"/>
  <c r="C258" i="36"/>
  <c r="D258" i="36"/>
  <c r="E258" i="36"/>
  <c r="C259" i="36"/>
  <c r="D259" i="36"/>
  <c r="E259" i="36"/>
  <c r="C260" i="36"/>
  <c r="D260" i="36"/>
  <c r="E260" i="36"/>
  <c r="C261" i="36"/>
  <c r="D261" i="36"/>
  <c r="E261" i="36"/>
  <c r="C262" i="36"/>
  <c r="D262" i="36"/>
  <c r="E262" i="36"/>
  <c r="C263" i="36"/>
  <c r="D263" i="36"/>
  <c r="E263" i="36"/>
  <c r="C264" i="36"/>
  <c r="D264" i="36"/>
  <c r="E264" i="36"/>
  <c r="C265" i="36"/>
  <c r="D265" i="36"/>
  <c r="E265" i="36"/>
  <c r="C266" i="36"/>
  <c r="D266" i="36"/>
  <c r="E266" i="36"/>
  <c r="C267" i="36"/>
  <c r="D267" i="36"/>
  <c r="E267" i="36"/>
  <c r="C268" i="36"/>
  <c r="D268" i="36"/>
  <c r="E268" i="36"/>
  <c r="C269" i="36"/>
  <c r="D269" i="36"/>
  <c r="E269" i="36"/>
  <c r="C270" i="36"/>
  <c r="D270" i="36"/>
  <c r="E270" i="36"/>
  <c r="C271" i="36"/>
  <c r="D271" i="36"/>
  <c r="E271" i="36"/>
  <c r="C272" i="36"/>
  <c r="D272" i="36"/>
  <c r="E272" i="36"/>
  <c r="C273" i="36"/>
  <c r="D273" i="36"/>
  <c r="E273" i="36"/>
  <c r="C274" i="36"/>
  <c r="D274" i="36"/>
  <c r="E274" i="36"/>
  <c r="C275" i="36"/>
  <c r="D275" i="36"/>
  <c r="E275" i="36"/>
  <c r="C276" i="36"/>
  <c r="D276" i="36"/>
  <c r="E276" i="36"/>
  <c r="C277" i="36"/>
  <c r="D277" i="36"/>
  <c r="E277" i="36"/>
  <c r="C278" i="36"/>
  <c r="D278" i="36"/>
  <c r="E278" i="36"/>
  <c r="C279" i="36"/>
  <c r="D279" i="36"/>
  <c r="E279" i="36"/>
  <c r="C280" i="36"/>
  <c r="D280" i="36"/>
  <c r="E280" i="36"/>
  <c r="C281" i="36"/>
  <c r="D281" i="36"/>
  <c r="E281" i="36"/>
  <c r="C282" i="36"/>
  <c r="D282" i="36"/>
  <c r="E282" i="36"/>
  <c r="C283" i="36"/>
  <c r="D283" i="36"/>
  <c r="E283" i="36"/>
  <c r="C284" i="36"/>
  <c r="D284" i="36"/>
  <c r="E284" i="36"/>
  <c r="C285" i="36"/>
  <c r="D285" i="36"/>
  <c r="E285" i="36"/>
  <c r="C286" i="36"/>
  <c r="D286" i="36"/>
  <c r="E286" i="36"/>
  <c r="C287" i="36"/>
  <c r="D287" i="36"/>
  <c r="E287" i="36"/>
  <c r="C288" i="36"/>
  <c r="D288" i="36"/>
  <c r="E288" i="36"/>
  <c r="C289" i="36"/>
  <c r="D289" i="36"/>
  <c r="E289" i="36"/>
  <c r="C290" i="36"/>
  <c r="D290" i="36"/>
  <c r="E290" i="36"/>
  <c r="C291" i="36"/>
  <c r="D291" i="36"/>
  <c r="E291" i="36"/>
  <c r="C292" i="36"/>
  <c r="D292" i="36"/>
  <c r="E292" i="36"/>
  <c r="C293" i="36"/>
  <c r="D293" i="36"/>
  <c r="E293" i="36"/>
  <c r="C294" i="36"/>
  <c r="D294" i="36"/>
  <c r="E294" i="36"/>
  <c r="C295" i="36"/>
  <c r="D295" i="36"/>
  <c r="E295" i="36"/>
  <c r="C296" i="36"/>
  <c r="D296" i="36"/>
  <c r="E296" i="36"/>
  <c r="C297" i="36"/>
  <c r="D297" i="36"/>
  <c r="E297" i="36"/>
  <c r="C298" i="36"/>
  <c r="D298" i="36"/>
  <c r="E298" i="36"/>
  <c r="C299" i="36"/>
  <c r="D299" i="36"/>
  <c r="E299" i="36"/>
  <c r="C300" i="36"/>
  <c r="D300" i="36"/>
  <c r="E300" i="36"/>
  <c r="C301" i="36"/>
  <c r="D301" i="36"/>
  <c r="E301" i="36"/>
  <c r="C302" i="36"/>
  <c r="D302" i="36"/>
  <c r="E302" i="36"/>
  <c r="C303" i="36"/>
  <c r="D303" i="36"/>
  <c r="E303" i="36"/>
  <c r="C304" i="36"/>
  <c r="D304" i="36"/>
  <c r="E304" i="36"/>
  <c r="C305" i="36"/>
  <c r="D305" i="36"/>
  <c r="E305" i="36"/>
  <c r="C306" i="36"/>
  <c r="D306" i="36"/>
  <c r="E306" i="36"/>
  <c r="C307" i="36"/>
  <c r="D307" i="36"/>
  <c r="E307" i="36"/>
  <c r="C308" i="36"/>
  <c r="D308" i="36"/>
  <c r="E308" i="36"/>
  <c r="C309" i="36"/>
  <c r="D309" i="36"/>
  <c r="E309" i="36"/>
  <c r="C310" i="36"/>
  <c r="D310" i="36"/>
  <c r="E310" i="36"/>
  <c r="C311" i="36"/>
  <c r="D311" i="36"/>
  <c r="E311" i="36"/>
  <c r="C312" i="36"/>
  <c r="D312" i="36"/>
  <c r="E312" i="36"/>
  <c r="C313" i="36"/>
  <c r="D313" i="36"/>
  <c r="E313" i="36"/>
  <c r="C314" i="36"/>
  <c r="D314" i="36"/>
  <c r="E314" i="36"/>
  <c r="C315" i="36"/>
  <c r="D315" i="36"/>
  <c r="E315" i="36"/>
  <c r="C316" i="36"/>
  <c r="D316" i="36"/>
  <c r="E316" i="36"/>
  <c r="C317" i="36"/>
  <c r="D317" i="36"/>
  <c r="E317" i="36"/>
  <c r="C318" i="36"/>
  <c r="D318" i="36"/>
  <c r="E318" i="36"/>
  <c r="C319" i="36"/>
  <c r="D319" i="36"/>
  <c r="E319" i="36"/>
  <c r="C320" i="36"/>
  <c r="D320" i="36"/>
  <c r="E320" i="36"/>
  <c r="C321" i="36"/>
  <c r="D321" i="36"/>
  <c r="E321" i="36"/>
  <c r="C322" i="36"/>
  <c r="D322" i="36"/>
  <c r="E322" i="36"/>
  <c r="C323" i="36"/>
  <c r="D323" i="36"/>
  <c r="E323" i="36"/>
  <c r="C324" i="36"/>
  <c r="D324" i="36"/>
  <c r="E324" i="36"/>
  <c r="C325" i="36"/>
  <c r="D325" i="36"/>
  <c r="E325" i="36"/>
  <c r="C326" i="36"/>
  <c r="D326" i="36"/>
  <c r="E326" i="36"/>
  <c r="C327" i="36"/>
  <c r="D327" i="36"/>
  <c r="E327" i="36"/>
  <c r="C328" i="36"/>
  <c r="D328" i="36"/>
  <c r="E328" i="36"/>
  <c r="C329" i="36"/>
  <c r="D329" i="36"/>
  <c r="E329" i="36"/>
  <c r="C330" i="36"/>
  <c r="D330" i="36"/>
  <c r="E330" i="36"/>
  <c r="C331" i="36"/>
  <c r="D331" i="36"/>
  <c r="E331" i="36"/>
  <c r="C332" i="36"/>
  <c r="D332" i="36"/>
  <c r="E332" i="36"/>
  <c r="C333" i="36"/>
  <c r="D333" i="36"/>
  <c r="E333" i="36"/>
  <c r="C334" i="36"/>
  <c r="D334" i="36"/>
  <c r="E334" i="36"/>
  <c r="C335" i="36"/>
  <c r="D335" i="36"/>
  <c r="E335" i="36"/>
  <c r="C336" i="36"/>
  <c r="D336" i="36"/>
  <c r="E336" i="36"/>
  <c r="C337" i="36"/>
  <c r="D337" i="36"/>
  <c r="E337" i="36"/>
  <c r="C338" i="36"/>
  <c r="D338" i="36"/>
  <c r="E338" i="36"/>
  <c r="C339" i="36"/>
  <c r="D339" i="36"/>
  <c r="E339" i="36"/>
  <c r="C340" i="36"/>
  <c r="D340" i="36"/>
  <c r="E340" i="36"/>
  <c r="C341" i="36"/>
  <c r="D341" i="36"/>
  <c r="E341" i="36"/>
  <c r="C342" i="36"/>
  <c r="D342" i="36"/>
  <c r="E342" i="36"/>
  <c r="C343" i="36"/>
  <c r="D343" i="36"/>
  <c r="E343" i="36"/>
  <c r="C344" i="36"/>
  <c r="D344" i="36"/>
  <c r="E344" i="36"/>
  <c r="C345" i="36"/>
  <c r="D345" i="36"/>
  <c r="E345" i="36"/>
  <c r="C346" i="36"/>
  <c r="D346" i="36"/>
  <c r="E346" i="36"/>
  <c r="C347" i="36"/>
  <c r="D347" i="36"/>
  <c r="E347" i="36"/>
  <c r="C348" i="36"/>
  <c r="D348" i="36"/>
  <c r="E348" i="36"/>
  <c r="C349" i="36"/>
  <c r="D349" i="36"/>
  <c r="E349" i="36"/>
  <c r="C350" i="36"/>
  <c r="D350" i="36"/>
  <c r="E350" i="36"/>
  <c r="C351" i="36"/>
  <c r="D351" i="36"/>
  <c r="E351" i="36"/>
  <c r="C352" i="36"/>
  <c r="D352" i="36"/>
  <c r="E352" i="36"/>
  <c r="C353" i="36"/>
  <c r="D353" i="36"/>
  <c r="E353" i="36"/>
  <c r="C354" i="36"/>
  <c r="D354" i="36"/>
  <c r="E354" i="36"/>
  <c r="C355" i="36"/>
  <c r="D355" i="36"/>
  <c r="E355" i="36"/>
  <c r="C356" i="36"/>
  <c r="D356" i="36"/>
  <c r="E356" i="36"/>
  <c r="C357" i="36"/>
  <c r="D357" i="36"/>
  <c r="E357" i="36"/>
  <c r="C358" i="36"/>
  <c r="D358" i="36"/>
  <c r="E358" i="36"/>
  <c r="C359" i="36"/>
  <c r="D359" i="36"/>
  <c r="E359" i="36"/>
  <c r="C360" i="36"/>
  <c r="D360" i="36"/>
  <c r="E360" i="36"/>
  <c r="C361" i="36"/>
  <c r="D361" i="36"/>
  <c r="E361" i="36"/>
  <c r="C362" i="36"/>
  <c r="D362" i="36"/>
  <c r="E362" i="36"/>
  <c r="C363" i="36"/>
  <c r="D363" i="36"/>
  <c r="E363" i="36"/>
  <c r="C364" i="36"/>
  <c r="D364" i="36"/>
  <c r="E364" i="36"/>
  <c r="C365" i="36"/>
  <c r="D365" i="36"/>
  <c r="E365" i="36"/>
  <c r="C366" i="36"/>
  <c r="D366" i="36"/>
  <c r="E366" i="36"/>
  <c r="C367" i="36"/>
  <c r="D367" i="36"/>
  <c r="E367" i="36"/>
  <c r="C368" i="36"/>
  <c r="D368" i="36"/>
  <c r="E368" i="36"/>
  <c r="C369" i="36"/>
  <c r="D369" i="36"/>
  <c r="E369" i="36"/>
  <c r="C370" i="36"/>
  <c r="D370" i="36"/>
  <c r="E370" i="36"/>
  <c r="C12" i="36"/>
  <c r="D12" i="36"/>
  <c r="E12" i="36"/>
  <c r="D450" i="1"/>
  <c r="F450" i="1"/>
  <c r="D451" i="1"/>
  <c r="E451" i="1"/>
  <c r="C451" i="1" s="1"/>
  <c r="F451" i="1"/>
  <c r="D452" i="1"/>
  <c r="E452" i="1"/>
  <c r="F452" i="1"/>
  <c r="D453" i="1"/>
  <c r="E453" i="1"/>
  <c r="F453" i="1"/>
  <c r="D454" i="1"/>
  <c r="E454" i="1"/>
  <c r="F454" i="1"/>
  <c r="D455" i="1"/>
  <c r="E455" i="1"/>
  <c r="F455" i="1"/>
  <c r="D456" i="1"/>
  <c r="E456" i="1"/>
  <c r="F456" i="1"/>
  <c r="D457" i="1"/>
  <c r="E457" i="1"/>
  <c r="F457" i="1"/>
  <c r="D458" i="1"/>
  <c r="E458" i="1"/>
  <c r="F458" i="1"/>
  <c r="D459" i="1"/>
  <c r="E459" i="1"/>
  <c r="F459" i="1"/>
  <c r="D460" i="1"/>
  <c r="E460" i="1"/>
  <c r="F460" i="1"/>
  <c r="D461" i="1"/>
  <c r="E461" i="1"/>
  <c r="F461" i="1"/>
  <c r="D462" i="1"/>
  <c r="E462" i="1"/>
  <c r="F462" i="1"/>
  <c r="D463" i="1"/>
  <c r="E463" i="1"/>
  <c r="F463" i="1"/>
  <c r="D464" i="1"/>
  <c r="E464" i="1"/>
  <c r="F464" i="1"/>
  <c r="D465" i="1"/>
  <c r="E465" i="1"/>
  <c r="F465" i="1"/>
  <c r="D466" i="1"/>
  <c r="E466" i="1"/>
  <c r="F466" i="1"/>
  <c r="D467" i="1"/>
  <c r="E467" i="1"/>
  <c r="F467" i="1"/>
  <c r="D468" i="1"/>
  <c r="E468" i="1"/>
  <c r="F468" i="1"/>
  <c r="D469" i="1"/>
  <c r="E469" i="1"/>
  <c r="F469" i="1"/>
  <c r="D470" i="1"/>
  <c r="E470" i="1"/>
  <c r="F470" i="1"/>
  <c r="D471" i="1"/>
  <c r="E471" i="1"/>
  <c r="F471" i="1"/>
  <c r="D472" i="1"/>
  <c r="E472" i="1"/>
  <c r="F472" i="1"/>
  <c r="D473" i="1"/>
  <c r="E473" i="1"/>
  <c r="F473" i="1"/>
  <c r="D474" i="1"/>
  <c r="E474" i="1"/>
  <c r="F474" i="1"/>
  <c r="D475" i="1"/>
  <c r="E475" i="1"/>
  <c r="F475" i="1"/>
  <c r="D476" i="1"/>
  <c r="E476" i="1"/>
  <c r="F476" i="1"/>
  <c r="D477" i="1"/>
  <c r="E477" i="1"/>
  <c r="F477" i="1"/>
  <c r="D478" i="1"/>
  <c r="E478" i="1"/>
  <c r="F478" i="1"/>
  <c r="D479" i="1"/>
  <c r="E479" i="1"/>
  <c r="F479" i="1"/>
  <c r="D480" i="1"/>
  <c r="E480" i="1"/>
  <c r="F480" i="1"/>
  <c r="D481" i="1"/>
  <c r="E481" i="1"/>
  <c r="F481" i="1"/>
  <c r="D482" i="1"/>
  <c r="E482" i="1"/>
  <c r="F482" i="1"/>
  <c r="D483" i="1"/>
  <c r="E483" i="1"/>
  <c r="F483" i="1"/>
  <c r="D484" i="1"/>
  <c r="E484" i="1"/>
  <c r="F484" i="1"/>
  <c r="D485" i="1"/>
  <c r="E485" i="1"/>
  <c r="F485" i="1"/>
  <c r="D486" i="1"/>
  <c r="E486" i="1"/>
  <c r="F486" i="1"/>
  <c r="D487" i="1"/>
  <c r="E487" i="1"/>
  <c r="F487" i="1"/>
  <c r="D488" i="1"/>
  <c r="E488" i="1"/>
  <c r="F488" i="1"/>
  <c r="D489" i="1"/>
  <c r="E489" i="1"/>
  <c r="F489" i="1"/>
  <c r="D490" i="1"/>
  <c r="E490" i="1"/>
  <c r="F490" i="1"/>
  <c r="D491" i="1"/>
  <c r="E491" i="1"/>
  <c r="C491" i="1" s="1"/>
  <c r="F491" i="1"/>
  <c r="D492" i="1"/>
  <c r="E492" i="1"/>
  <c r="F492" i="1"/>
  <c r="D493" i="1"/>
  <c r="E493" i="1"/>
  <c r="F493" i="1"/>
  <c r="D494" i="1"/>
  <c r="E494" i="1"/>
  <c r="F494" i="1"/>
  <c r="D495" i="1"/>
  <c r="E495" i="1"/>
  <c r="F495" i="1"/>
  <c r="D496" i="1"/>
  <c r="E496" i="1"/>
  <c r="F496" i="1"/>
  <c r="D497" i="1"/>
  <c r="E497" i="1"/>
  <c r="F497" i="1"/>
  <c r="D498" i="1"/>
  <c r="E498" i="1"/>
  <c r="F498" i="1"/>
  <c r="D499" i="1"/>
  <c r="E499" i="1"/>
  <c r="F499" i="1"/>
  <c r="D500" i="1"/>
  <c r="E500" i="1"/>
  <c r="F500" i="1"/>
  <c r="D501" i="1"/>
  <c r="E501" i="1"/>
  <c r="F501" i="1"/>
  <c r="D502" i="1"/>
  <c r="E502" i="1"/>
  <c r="F502" i="1"/>
  <c r="D503" i="1"/>
  <c r="E503" i="1"/>
  <c r="F503" i="1"/>
  <c r="D504" i="1"/>
  <c r="E504" i="1"/>
  <c r="F504" i="1"/>
  <c r="D505" i="1"/>
  <c r="E505" i="1"/>
  <c r="F505" i="1"/>
  <c r="D506" i="1"/>
  <c r="E506" i="1"/>
  <c r="F506" i="1"/>
  <c r="D507" i="1"/>
  <c r="E507" i="1"/>
  <c r="F507" i="1"/>
  <c r="D508" i="1"/>
  <c r="E508" i="1"/>
  <c r="F508" i="1"/>
  <c r="D509" i="1"/>
  <c r="E509" i="1"/>
  <c r="F509" i="1"/>
  <c r="D510" i="1"/>
  <c r="E510" i="1"/>
  <c r="F510" i="1"/>
  <c r="D511" i="1"/>
  <c r="E511" i="1"/>
  <c r="F511" i="1"/>
  <c r="D512" i="1"/>
  <c r="E512" i="1"/>
  <c r="F512" i="1"/>
  <c r="D513" i="1"/>
  <c r="E513" i="1"/>
  <c r="F513" i="1"/>
  <c r="D514" i="1"/>
  <c r="E514" i="1"/>
  <c r="F514" i="1"/>
  <c r="D515" i="1"/>
  <c r="E515" i="1"/>
  <c r="F515" i="1"/>
  <c r="D516" i="1"/>
  <c r="E516" i="1"/>
  <c r="F516" i="1"/>
  <c r="D517" i="1"/>
  <c r="E517" i="1"/>
  <c r="F517" i="1"/>
  <c r="D518" i="1"/>
  <c r="E518" i="1"/>
  <c r="F518" i="1"/>
  <c r="D519" i="1"/>
  <c r="E519" i="1"/>
  <c r="F519" i="1"/>
  <c r="D520" i="1"/>
  <c r="E520" i="1"/>
  <c r="F520" i="1"/>
  <c r="D521" i="1"/>
  <c r="E521" i="1"/>
  <c r="F521" i="1"/>
  <c r="D522" i="1"/>
  <c r="E522" i="1"/>
  <c r="F522" i="1"/>
  <c r="D523" i="1"/>
  <c r="E523" i="1"/>
  <c r="F523" i="1"/>
  <c r="D524" i="1"/>
  <c r="E524" i="1"/>
  <c r="F524" i="1"/>
  <c r="D525" i="1"/>
  <c r="E525" i="1"/>
  <c r="F525" i="1"/>
  <c r="D526" i="1"/>
  <c r="E526" i="1"/>
  <c r="F526" i="1"/>
  <c r="D527" i="1"/>
  <c r="E527" i="1"/>
  <c r="F527" i="1"/>
  <c r="D528" i="1"/>
  <c r="E528" i="1"/>
  <c r="F528" i="1"/>
  <c r="D529" i="1"/>
  <c r="E529" i="1"/>
  <c r="F529" i="1"/>
  <c r="AL529" i="1"/>
  <c r="AP529" i="1" s="1"/>
  <c r="AK529" i="1"/>
  <c r="AO529" i="1" s="1"/>
  <c r="U529" i="1"/>
  <c r="Y529" i="1" s="1"/>
  <c r="T529" i="1"/>
  <c r="X529" i="1" s="1"/>
  <c r="R529" i="1"/>
  <c r="AL528" i="1"/>
  <c r="AP528" i="1" s="1"/>
  <c r="AK528" i="1"/>
  <c r="AO528" i="1" s="1"/>
  <c r="U528" i="1"/>
  <c r="Y528" i="1" s="1"/>
  <c r="T528" i="1"/>
  <c r="X528" i="1" s="1"/>
  <c r="R528" i="1"/>
  <c r="AL527" i="1"/>
  <c r="AP527" i="1" s="1"/>
  <c r="AK527" i="1"/>
  <c r="AO527" i="1" s="1"/>
  <c r="U527" i="1"/>
  <c r="Y527" i="1" s="1"/>
  <c r="T527" i="1"/>
  <c r="X527" i="1" s="1"/>
  <c r="R527" i="1"/>
  <c r="AL526" i="1"/>
  <c r="AP526" i="1" s="1"/>
  <c r="AK526" i="1"/>
  <c r="U526" i="1"/>
  <c r="T526" i="1"/>
  <c r="X526" i="1" s="1"/>
  <c r="R526" i="1"/>
  <c r="AL525" i="1"/>
  <c r="AP525" i="1" s="1"/>
  <c r="AK525" i="1"/>
  <c r="AO525" i="1" s="1"/>
  <c r="U525" i="1"/>
  <c r="Y525" i="1" s="1"/>
  <c r="T525" i="1"/>
  <c r="R525" i="1"/>
  <c r="AL524" i="1"/>
  <c r="AP524" i="1" s="1"/>
  <c r="AK524" i="1"/>
  <c r="AO524" i="1" s="1"/>
  <c r="U524" i="1"/>
  <c r="Y524" i="1" s="1"/>
  <c r="T524" i="1"/>
  <c r="X524" i="1" s="1"/>
  <c r="R524" i="1"/>
  <c r="AL523" i="1"/>
  <c r="AP523" i="1" s="1"/>
  <c r="AK523" i="1"/>
  <c r="AO523" i="1" s="1"/>
  <c r="U523" i="1"/>
  <c r="Y523" i="1" s="1"/>
  <c r="T523" i="1"/>
  <c r="X523" i="1" s="1"/>
  <c r="R523" i="1"/>
  <c r="AL522" i="1"/>
  <c r="AP522" i="1" s="1"/>
  <c r="AK522" i="1"/>
  <c r="U522" i="1"/>
  <c r="Y522" i="1" s="1"/>
  <c r="T522" i="1"/>
  <c r="X522" i="1" s="1"/>
  <c r="R522" i="1"/>
  <c r="AL521" i="1"/>
  <c r="AP521" i="1" s="1"/>
  <c r="AK521" i="1"/>
  <c r="AO521" i="1" s="1"/>
  <c r="U521" i="1"/>
  <c r="Y521" i="1" s="1"/>
  <c r="T521" i="1"/>
  <c r="R521" i="1"/>
  <c r="AL520" i="1"/>
  <c r="AP520" i="1" s="1"/>
  <c r="AK520" i="1"/>
  <c r="AO520" i="1" s="1"/>
  <c r="U520" i="1"/>
  <c r="Y520" i="1" s="1"/>
  <c r="T520" i="1"/>
  <c r="X520" i="1" s="1"/>
  <c r="R520" i="1"/>
  <c r="AL519" i="1"/>
  <c r="AP519" i="1" s="1"/>
  <c r="AK519" i="1"/>
  <c r="AO519" i="1" s="1"/>
  <c r="U519" i="1"/>
  <c r="Y519" i="1" s="1"/>
  <c r="T519" i="1"/>
  <c r="X519" i="1" s="1"/>
  <c r="R519" i="1"/>
  <c r="AL518" i="1"/>
  <c r="AP518" i="1" s="1"/>
  <c r="AK518" i="1"/>
  <c r="U518" i="1"/>
  <c r="Y518" i="1" s="1"/>
  <c r="T518" i="1"/>
  <c r="X518" i="1" s="1"/>
  <c r="R518" i="1"/>
  <c r="AL517" i="1"/>
  <c r="AP517" i="1" s="1"/>
  <c r="AK517" i="1"/>
  <c r="AO517" i="1" s="1"/>
  <c r="U517" i="1"/>
  <c r="Y517" i="1" s="1"/>
  <c r="T517" i="1"/>
  <c r="X517" i="1" s="1"/>
  <c r="R517" i="1"/>
  <c r="AL516" i="1"/>
  <c r="AP516" i="1" s="1"/>
  <c r="AK516" i="1"/>
  <c r="AO516" i="1" s="1"/>
  <c r="U516" i="1"/>
  <c r="Y516" i="1" s="1"/>
  <c r="T516" i="1"/>
  <c r="X516" i="1" s="1"/>
  <c r="R516" i="1"/>
  <c r="AL515" i="1"/>
  <c r="AP515" i="1" s="1"/>
  <c r="AK515" i="1"/>
  <c r="AO515" i="1" s="1"/>
  <c r="U515" i="1"/>
  <c r="Y515" i="1" s="1"/>
  <c r="T515" i="1"/>
  <c r="X515" i="1" s="1"/>
  <c r="R515" i="1"/>
  <c r="AL514" i="1"/>
  <c r="AP514" i="1" s="1"/>
  <c r="AK514" i="1"/>
  <c r="AO514" i="1" s="1"/>
  <c r="U514" i="1"/>
  <c r="Y514" i="1" s="1"/>
  <c r="T514" i="1"/>
  <c r="X514" i="1" s="1"/>
  <c r="R514" i="1"/>
  <c r="AL513" i="1"/>
  <c r="AP513" i="1" s="1"/>
  <c r="AK513" i="1"/>
  <c r="U513" i="1"/>
  <c r="T513" i="1"/>
  <c r="X513" i="1" s="1"/>
  <c r="R513" i="1"/>
  <c r="AL512" i="1"/>
  <c r="AP512" i="1" s="1"/>
  <c r="AK512" i="1"/>
  <c r="AO512" i="1" s="1"/>
  <c r="U512" i="1"/>
  <c r="Y512" i="1" s="1"/>
  <c r="T512" i="1"/>
  <c r="R512" i="1"/>
  <c r="AL511" i="1"/>
  <c r="AK511" i="1"/>
  <c r="AO511" i="1" s="1"/>
  <c r="U511" i="1"/>
  <c r="Y511" i="1" s="1"/>
  <c r="T511" i="1"/>
  <c r="X511" i="1" s="1"/>
  <c r="R511" i="1"/>
  <c r="AL510" i="1"/>
  <c r="AK510" i="1"/>
  <c r="AO510" i="1" s="1"/>
  <c r="U510" i="1"/>
  <c r="Y510" i="1" s="1"/>
  <c r="T510" i="1"/>
  <c r="X510" i="1" s="1"/>
  <c r="R510" i="1"/>
  <c r="AL509" i="1"/>
  <c r="AP509" i="1" s="1"/>
  <c r="AK509" i="1"/>
  <c r="U509" i="1"/>
  <c r="T509" i="1"/>
  <c r="X509" i="1" s="1"/>
  <c r="R509" i="1"/>
  <c r="AL508" i="1"/>
  <c r="AP508" i="1" s="1"/>
  <c r="AK508" i="1"/>
  <c r="AO508" i="1" s="1"/>
  <c r="U508" i="1"/>
  <c r="Y508" i="1" s="1"/>
  <c r="T508" i="1"/>
  <c r="R508" i="1"/>
  <c r="AL507" i="1"/>
  <c r="AK507" i="1"/>
  <c r="AO507" i="1" s="1"/>
  <c r="U507" i="1"/>
  <c r="Y507" i="1" s="1"/>
  <c r="T507" i="1"/>
  <c r="X507" i="1" s="1"/>
  <c r="R507" i="1"/>
  <c r="AL506" i="1"/>
  <c r="AK506" i="1"/>
  <c r="AO506" i="1" s="1"/>
  <c r="U506" i="1"/>
  <c r="Y506" i="1" s="1"/>
  <c r="T506" i="1"/>
  <c r="X506" i="1" s="1"/>
  <c r="R506" i="1"/>
  <c r="AL505" i="1"/>
  <c r="AP505" i="1" s="1"/>
  <c r="AK505" i="1"/>
  <c r="U505" i="1"/>
  <c r="T505" i="1"/>
  <c r="R505" i="1"/>
  <c r="AL504" i="1"/>
  <c r="AP504" i="1" s="1"/>
  <c r="AK504" i="1"/>
  <c r="AO504" i="1" s="1"/>
  <c r="U504" i="1"/>
  <c r="Y504" i="1" s="1"/>
  <c r="T504" i="1"/>
  <c r="R504" i="1"/>
  <c r="AL503" i="1"/>
  <c r="AK503" i="1"/>
  <c r="AO503" i="1" s="1"/>
  <c r="U503" i="1"/>
  <c r="Y503" i="1" s="1"/>
  <c r="T503" i="1"/>
  <c r="X503" i="1" s="1"/>
  <c r="R503" i="1"/>
  <c r="AL502" i="1"/>
  <c r="AK502" i="1"/>
  <c r="AO502" i="1" s="1"/>
  <c r="U502" i="1"/>
  <c r="T502" i="1"/>
  <c r="X502" i="1" s="1"/>
  <c r="R502" i="1"/>
  <c r="AL501" i="1"/>
  <c r="AP501" i="1" s="1"/>
  <c r="AK501" i="1"/>
  <c r="U501" i="1"/>
  <c r="T501" i="1"/>
  <c r="R501" i="1"/>
  <c r="AL500" i="1"/>
  <c r="AP500" i="1" s="1"/>
  <c r="AK500" i="1"/>
  <c r="AO500" i="1" s="1"/>
  <c r="U500" i="1"/>
  <c r="Y500" i="1" s="1"/>
  <c r="T500" i="1"/>
  <c r="R500" i="1"/>
  <c r="AL499" i="1"/>
  <c r="AK499" i="1"/>
  <c r="AO499" i="1" s="1"/>
  <c r="U499" i="1"/>
  <c r="Y499" i="1" s="1"/>
  <c r="T499" i="1"/>
  <c r="X499" i="1" s="1"/>
  <c r="R499" i="1"/>
  <c r="AL498" i="1"/>
  <c r="AK498" i="1"/>
  <c r="U498" i="1"/>
  <c r="T498" i="1"/>
  <c r="X498" i="1" s="1"/>
  <c r="R498" i="1"/>
  <c r="AL497" i="1"/>
  <c r="AP497" i="1" s="1"/>
  <c r="AK497" i="1"/>
  <c r="U497" i="1"/>
  <c r="T497" i="1"/>
  <c r="R497" i="1"/>
  <c r="AL496" i="1"/>
  <c r="AP496" i="1" s="1"/>
  <c r="AK496" i="1"/>
  <c r="AO496" i="1" s="1"/>
  <c r="U496" i="1"/>
  <c r="Y496" i="1" s="1"/>
  <c r="T496" i="1"/>
  <c r="R496" i="1"/>
  <c r="AL495" i="1"/>
  <c r="AK495" i="1"/>
  <c r="AO495" i="1" s="1"/>
  <c r="U495" i="1"/>
  <c r="Y495" i="1" s="1"/>
  <c r="T495" i="1"/>
  <c r="X495" i="1" s="1"/>
  <c r="R495" i="1"/>
  <c r="AL494" i="1"/>
  <c r="AK494" i="1"/>
  <c r="AO494" i="1" s="1"/>
  <c r="U494" i="1"/>
  <c r="Y494" i="1" s="1"/>
  <c r="T494" i="1"/>
  <c r="X494" i="1" s="1"/>
  <c r="R494" i="1"/>
  <c r="AL493" i="1"/>
  <c r="AP493" i="1" s="1"/>
  <c r="AK493" i="1"/>
  <c r="U493" i="1"/>
  <c r="T493" i="1"/>
  <c r="X493" i="1" s="1"/>
  <c r="R493" i="1"/>
  <c r="AL492" i="1"/>
  <c r="AP492" i="1" s="1"/>
  <c r="AK492" i="1"/>
  <c r="AO492" i="1" s="1"/>
  <c r="U492" i="1"/>
  <c r="Y492" i="1" s="1"/>
  <c r="T492" i="1"/>
  <c r="R492" i="1"/>
  <c r="AL491" i="1"/>
  <c r="AK491" i="1"/>
  <c r="AO491" i="1" s="1"/>
  <c r="U491" i="1"/>
  <c r="Y491" i="1" s="1"/>
  <c r="T491" i="1"/>
  <c r="X491" i="1" s="1"/>
  <c r="R491" i="1"/>
  <c r="AL490" i="1"/>
  <c r="AK490" i="1"/>
  <c r="AO490" i="1" s="1"/>
  <c r="U490" i="1"/>
  <c r="Y490" i="1" s="1"/>
  <c r="T490" i="1"/>
  <c r="X490" i="1" s="1"/>
  <c r="R490" i="1"/>
  <c r="F489" i="40" l="1"/>
  <c r="J368" i="14"/>
  <c r="F370" i="40"/>
  <c r="F373" i="36"/>
  <c r="J409" i="14"/>
  <c r="F414" i="36"/>
  <c r="F411" i="40"/>
  <c r="S492" i="1"/>
  <c r="I493" i="36" s="1"/>
  <c r="H493" i="36"/>
  <c r="S496" i="1"/>
  <c r="I497" i="36" s="1"/>
  <c r="H497" i="36"/>
  <c r="S500" i="1"/>
  <c r="I501" i="36" s="1"/>
  <c r="H501" i="36"/>
  <c r="S509" i="1"/>
  <c r="I510" i="36" s="1"/>
  <c r="H510" i="36"/>
  <c r="S515" i="1"/>
  <c r="I516" i="36" s="1"/>
  <c r="H516" i="36"/>
  <c r="S528" i="1"/>
  <c r="I529" i="36" s="1"/>
  <c r="H529" i="36"/>
  <c r="S490" i="1"/>
  <c r="I491" i="36" s="1"/>
  <c r="H491" i="36"/>
  <c r="S491" i="1"/>
  <c r="I492" i="36" s="1"/>
  <c r="H492" i="36"/>
  <c r="S495" i="1"/>
  <c r="I496" i="36" s="1"/>
  <c r="H496" i="36"/>
  <c r="S499" i="1"/>
  <c r="I500" i="36" s="1"/>
  <c r="H500" i="36"/>
  <c r="S503" i="1"/>
  <c r="I504" i="36" s="1"/>
  <c r="H504" i="36"/>
  <c r="S508" i="1"/>
  <c r="I509" i="36" s="1"/>
  <c r="H509" i="36"/>
  <c r="S514" i="1"/>
  <c r="I515" i="36" s="1"/>
  <c r="H515" i="36"/>
  <c r="S518" i="1"/>
  <c r="I519" i="36" s="1"/>
  <c r="H519" i="36"/>
  <c r="S523" i="1"/>
  <c r="I524" i="36" s="1"/>
  <c r="H524" i="36"/>
  <c r="S527" i="1"/>
  <c r="I528" i="36" s="1"/>
  <c r="H528" i="36"/>
  <c r="S510" i="1"/>
  <c r="I511" i="36" s="1"/>
  <c r="H511" i="36"/>
  <c r="S520" i="1"/>
  <c r="I521" i="36" s="1"/>
  <c r="H521" i="36"/>
  <c r="S524" i="1"/>
  <c r="I525" i="36" s="1"/>
  <c r="H525" i="36"/>
  <c r="S494" i="1"/>
  <c r="I495" i="36" s="1"/>
  <c r="H495" i="36"/>
  <c r="S498" i="1"/>
  <c r="I499" i="36" s="1"/>
  <c r="H499" i="36"/>
  <c r="S502" i="1"/>
  <c r="I503" i="36" s="1"/>
  <c r="H503" i="36"/>
  <c r="S506" i="1"/>
  <c r="I507" i="36" s="1"/>
  <c r="H507" i="36"/>
  <c r="S507" i="1"/>
  <c r="I508" i="36" s="1"/>
  <c r="H508" i="36"/>
  <c r="S513" i="1"/>
  <c r="I514" i="36" s="1"/>
  <c r="H514" i="36"/>
  <c r="S517" i="1"/>
  <c r="I518" i="36" s="1"/>
  <c r="H518" i="36"/>
  <c r="S522" i="1"/>
  <c r="I523" i="36" s="1"/>
  <c r="H523" i="36"/>
  <c r="S526" i="1"/>
  <c r="I527" i="36" s="1"/>
  <c r="H527" i="36"/>
  <c r="S504" i="1"/>
  <c r="I505" i="36" s="1"/>
  <c r="H505" i="36"/>
  <c r="S511" i="1"/>
  <c r="I512" i="36" s="1"/>
  <c r="H512" i="36"/>
  <c r="S519" i="1"/>
  <c r="I520" i="36" s="1"/>
  <c r="H520" i="36"/>
  <c r="S493" i="1"/>
  <c r="I494" i="36" s="1"/>
  <c r="H494" i="36"/>
  <c r="S497" i="1"/>
  <c r="I498" i="36" s="1"/>
  <c r="H498" i="36"/>
  <c r="S501" i="1"/>
  <c r="I502" i="36" s="1"/>
  <c r="H502" i="36"/>
  <c r="S505" i="1"/>
  <c r="I506" i="36" s="1"/>
  <c r="H506" i="36"/>
  <c r="S512" i="1"/>
  <c r="I513" i="36" s="1"/>
  <c r="H513" i="36"/>
  <c r="S516" i="1"/>
  <c r="I517" i="36" s="1"/>
  <c r="H517" i="36"/>
  <c r="S521" i="1"/>
  <c r="I522" i="36" s="1"/>
  <c r="H522" i="36"/>
  <c r="S525" i="1"/>
  <c r="I526" i="36" s="1"/>
  <c r="H526" i="36"/>
  <c r="S529" i="1"/>
  <c r="I530" i="36" s="1"/>
  <c r="H530" i="36"/>
  <c r="J447" i="14"/>
  <c r="F453" i="36" s="1"/>
  <c r="F449" i="40"/>
  <c r="C492" i="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452" i="1"/>
  <c r="C453" i="1" s="1"/>
  <c r="C454" i="1" s="1"/>
  <c r="C455" i="1" s="1"/>
  <c r="C456" i="1" s="1"/>
  <c r="C457" i="1" s="1"/>
  <c r="C458" i="1" s="1"/>
  <c r="C459" i="1" s="1"/>
  <c r="C460" i="1" s="1"/>
  <c r="C461" i="1" s="1"/>
  <c r="C462" i="1" s="1"/>
  <c r="C463" i="1" s="1"/>
  <c r="C464" i="1" s="1"/>
  <c r="C465" i="1" s="1"/>
  <c r="C466" i="1" s="1"/>
  <c r="C467" i="1" s="1"/>
  <c r="C468" i="1" s="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AP491" i="1"/>
  <c r="AO498" i="1"/>
  <c r="AP490" i="1"/>
  <c r="X492" i="1"/>
  <c r="Y493" i="1"/>
  <c r="AO493" i="1"/>
  <c r="AP494" i="1"/>
  <c r="X496" i="1"/>
  <c r="Y497" i="1"/>
  <c r="AO497" i="1"/>
  <c r="AP498" i="1"/>
  <c r="X500" i="1"/>
  <c r="Y501" i="1"/>
  <c r="AO501" i="1"/>
  <c r="AP502" i="1"/>
  <c r="AP507" i="1"/>
  <c r="Y526" i="1"/>
  <c r="AP495" i="1"/>
  <c r="X497" i="1"/>
  <c r="Y498" i="1"/>
  <c r="AP499" i="1"/>
  <c r="X501" i="1"/>
  <c r="Y502" i="1"/>
  <c r="X505" i="1"/>
  <c r="AO518" i="1"/>
  <c r="AO522" i="1"/>
  <c r="AO526" i="1"/>
  <c r="AP503" i="1"/>
  <c r="AP511" i="1"/>
  <c r="X521" i="1"/>
  <c r="X525" i="1"/>
  <c r="X504" i="1"/>
  <c r="Y505" i="1"/>
  <c r="AO505" i="1"/>
  <c r="AP506" i="1"/>
  <c r="X508" i="1"/>
  <c r="Y509" i="1"/>
  <c r="AO509" i="1"/>
  <c r="AP510" i="1"/>
  <c r="X512" i="1"/>
  <c r="Y513" i="1"/>
  <c r="AO513" i="1"/>
  <c r="B329" i="40"/>
  <c r="C329" i="40"/>
  <c r="D329" i="40"/>
  <c r="E329" i="40"/>
  <c r="B330" i="40"/>
  <c r="C330" i="40"/>
  <c r="D330" i="40"/>
  <c r="E330" i="40"/>
  <c r="B331" i="40"/>
  <c r="C331" i="40"/>
  <c r="D331" i="40"/>
  <c r="E331" i="40"/>
  <c r="B332" i="40"/>
  <c r="C332" i="40"/>
  <c r="D332" i="40"/>
  <c r="E332" i="40"/>
  <c r="B333" i="40"/>
  <c r="C333" i="40"/>
  <c r="D333" i="40"/>
  <c r="E333" i="40"/>
  <c r="B334" i="40"/>
  <c r="C334" i="40"/>
  <c r="D334" i="40"/>
  <c r="E334" i="40"/>
  <c r="B335" i="40"/>
  <c r="C335" i="40"/>
  <c r="D335" i="40"/>
  <c r="E335" i="40"/>
  <c r="B336" i="40"/>
  <c r="C336" i="40"/>
  <c r="D336" i="40"/>
  <c r="E336" i="40"/>
  <c r="B337" i="40"/>
  <c r="C337" i="40"/>
  <c r="D337" i="40"/>
  <c r="E337" i="40"/>
  <c r="B338" i="40"/>
  <c r="C338" i="40"/>
  <c r="D338" i="40"/>
  <c r="E338" i="40"/>
  <c r="B339" i="40"/>
  <c r="C339" i="40"/>
  <c r="D339" i="40"/>
  <c r="E339" i="40"/>
  <c r="B340" i="40"/>
  <c r="C340" i="40"/>
  <c r="D340" i="40"/>
  <c r="E340" i="40"/>
  <c r="B341" i="40"/>
  <c r="C341" i="40"/>
  <c r="D341" i="40"/>
  <c r="E341" i="40"/>
  <c r="B342" i="40"/>
  <c r="C342" i="40"/>
  <c r="D342" i="40"/>
  <c r="E342" i="40"/>
  <c r="B343" i="40"/>
  <c r="C343" i="40"/>
  <c r="D343" i="40"/>
  <c r="E343" i="40"/>
  <c r="B344" i="40"/>
  <c r="C344" i="40"/>
  <c r="D344" i="40"/>
  <c r="E344" i="40"/>
  <c r="B345" i="40"/>
  <c r="C345" i="40"/>
  <c r="D345" i="40"/>
  <c r="E345" i="40"/>
  <c r="B346" i="40"/>
  <c r="C346" i="40"/>
  <c r="D346" i="40"/>
  <c r="E346" i="40"/>
  <c r="B347" i="40"/>
  <c r="C347" i="40"/>
  <c r="D347" i="40"/>
  <c r="E347" i="40"/>
  <c r="B348" i="40"/>
  <c r="C348" i="40"/>
  <c r="D348" i="40"/>
  <c r="E348" i="40"/>
  <c r="B349" i="40"/>
  <c r="C349" i="40"/>
  <c r="D349" i="40"/>
  <c r="E349" i="40"/>
  <c r="B350" i="40"/>
  <c r="C350" i="40"/>
  <c r="D350" i="40"/>
  <c r="E350" i="40"/>
  <c r="B351" i="40"/>
  <c r="C351" i="40"/>
  <c r="D351" i="40"/>
  <c r="E351" i="40"/>
  <c r="B352" i="40"/>
  <c r="C352" i="40"/>
  <c r="D352" i="40"/>
  <c r="E352" i="40"/>
  <c r="B353" i="40"/>
  <c r="C353" i="40"/>
  <c r="D353" i="40"/>
  <c r="E353" i="40"/>
  <c r="B354" i="40"/>
  <c r="C354" i="40"/>
  <c r="D354" i="40"/>
  <c r="E354" i="40"/>
  <c r="B355" i="40"/>
  <c r="C355" i="40"/>
  <c r="D355" i="40"/>
  <c r="E355" i="40"/>
  <c r="B356" i="40"/>
  <c r="C356" i="40"/>
  <c r="D356" i="40"/>
  <c r="E356" i="40"/>
  <c r="B357" i="40"/>
  <c r="C357" i="40"/>
  <c r="D357" i="40"/>
  <c r="E357" i="40"/>
  <c r="B358" i="40"/>
  <c r="C358" i="40"/>
  <c r="D358" i="40"/>
  <c r="E358" i="40"/>
  <c r="B359" i="40"/>
  <c r="C359" i="40"/>
  <c r="D359" i="40"/>
  <c r="E359" i="40"/>
  <c r="B360" i="40"/>
  <c r="C360" i="40"/>
  <c r="D360" i="40"/>
  <c r="E360" i="40"/>
  <c r="B361" i="40"/>
  <c r="C361" i="40"/>
  <c r="D361" i="40"/>
  <c r="E361" i="40"/>
  <c r="B362" i="40"/>
  <c r="C362" i="40"/>
  <c r="D362" i="40"/>
  <c r="E362" i="40"/>
  <c r="B363" i="40"/>
  <c r="C363" i="40"/>
  <c r="D363" i="40"/>
  <c r="E363" i="40"/>
  <c r="B364" i="40"/>
  <c r="C364" i="40"/>
  <c r="D364" i="40"/>
  <c r="E364" i="40"/>
  <c r="B365" i="40"/>
  <c r="C365" i="40"/>
  <c r="D365" i="40"/>
  <c r="E365" i="40"/>
  <c r="B366" i="40"/>
  <c r="C366" i="40"/>
  <c r="D366" i="40"/>
  <c r="E366" i="40"/>
  <c r="B367" i="40"/>
  <c r="C367" i="40"/>
  <c r="D367" i="40"/>
  <c r="E367" i="40"/>
  <c r="R451" i="1"/>
  <c r="H452" i="36" s="1"/>
  <c r="T451" i="1"/>
  <c r="X451" i="1" s="1"/>
  <c r="U451" i="1"/>
  <c r="Y451" i="1" s="1"/>
  <c r="AK451" i="1"/>
  <c r="AO451" i="1" s="1"/>
  <c r="AL451" i="1"/>
  <c r="AP451" i="1" s="1"/>
  <c r="R452" i="1"/>
  <c r="H453" i="36" s="1"/>
  <c r="T452" i="1"/>
  <c r="X452" i="1" s="1"/>
  <c r="U452" i="1"/>
  <c r="AK452" i="1"/>
  <c r="AO452" i="1" s="1"/>
  <c r="AL452" i="1"/>
  <c r="AP452" i="1" s="1"/>
  <c r="R453" i="1"/>
  <c r="H454" i="36" s="1"/>
  <c r="T453" i="1"/>
  <c r="X453" i="1" s="1"/>
  <c r="U453" i="1"/>
  <c r="Y453" i="1" s="1"/>
  <c r="AK453" i="1"/>
  <c r="AO453" i="1" s="1"/>
  <c r="AL453" i="1"/>
  <c r="R454" i="1"/>
  <c r="H455" i="36" s="1"/>
  <c r="T454" i="1"/>
  <c r="X454" i="1" s="1"/>
  <c r="U454" i="1"/>
  <c r="Y454" i="1" s="1"/>
  <c r="AK454" i="1"/>
  <c r="AO454" i="1" s="1"/>
  <c r="AL454" i="1"/>
  <c r="AP454" i="1" s="1"/>
  <c r="R455" i="1"/>
  <c r="H456" i="36" s="1"/>
  <c r="T455" i="1"/>
  <c r="U455" i="1"/>
  <c r="Y455" i="1" s="1"/>
  <c r="AK455" i="1"/>
  <c r="AO455" i="1" s="1"/>
  <c r="AL455" i="1"/>
  <c r="AP455" i="1" s="1"/>
  <c r="R456" i="1"/>
  <c r="H457" i="36" s="1"/>
  <c r="T456" i="1"/>
  <c r="X456" i="1" s="1"/>
  <c r="U456" i="1"/>
  <c r="Y456" i="1" s="1"/>
  <c r="AK456" i="1"/>
  <c r="AL456" i="1"/>
  <c r="AP456" i="1" s="1"/>
  <c r="R457" i="1"/>
  <c r="H458" i="36" s="1"/>
  <c r="T457" i="1"/>
  <c r="X457" i="1" s="1"/>
  <c r="U457" i="1"/>
  <c r="Y457" i="1" s="1"/>
  <c r="AK457" i="1"/>
  <c r="AO457" i="1" s="1"/>
  <c r="AL457" i="1"/>
  <c r="AP457" i="1" s="1"/>
  <c r="R458" i="1"/>
  <c r="H459" i="36" s="1"/>
  <c r="T458" i="1"/>
  <c r="X458" i="1" s="1"/>
  <c r="U458" i="1"/>
  <c r="Y458" i="1" s="1"/>
  <c r="AK458" i="1"/>
  <c r="AO458" i="1" s="1"/>
  <c r="AL458" i="1"/>
  <c r="AP458" i="1" s="1"/>
  <c r="R459" i="1"/>
  <c r="H460" i="36" s="1"/>
  <c r="T459" i="1"/>
  <c r="U459" i="1"/>
  <c r="Y459" i="1" s="1"/>
  <c r="AK459" i="1"/>
  <c r="AO459" i="1" s="1"/>
  <c r="AL459" i="1"/>
  <c r="AP459" i="1" s="1"/>
  <c r="R460" i="1"/>
  <c r="H461" i="36" s="1"/>
  <c r="T460" i="1"/>
  <c r="X460" i="1" s="1"/>
  <c r="U460" i="1"/>
  <c r="Y460" i="1" s="1"/>
  <c r="AK460" i="1"/>
  <c r="AL460" i="1"/>
  <c r="AP460" i="1" s="1"/>
  <c r="R461" i="1"/>
  <c r="H462" i="36" s="1"/>
  <c r="T461" i="1"/>
  <c r="X461" i="1" s="1"/>
  <c r="U461" i="1"/>
  <c r="Y461" i="1" s="1"/>
  <c r="AK461" i="1"/>
  <c r="AO461" i="1" s="1"/>
  <c r="AL461" i="1"/>
  <c r="AP461" i="1" s="1"/>
  <c r="R462" i="1"/>
  <c r="H463" i="36" s="1"/>
  <c r="T462" i="1"/>
  <c r="X462" i="1" s="1"/>
  <c r="U462" i="1"/>
  <c r="Y462" i="1" s="1"/>
  <c r="AK462" i="1"/>
  <c r="AO462" i="1" s="1"/>
  <c r="AL462" i="1"/>
  <c r="AP462" i="1" s="1"/>
  <c r="R463" i="1"/>
  <c r="H464" i="36" s="1"/>
  <c r="T463" i="1"/>
  <c r="U463" i="1"/>
  <c r="Y463" i="1" s="1"/>
  <c r="AK463" i="1"/>
  <c r="AO463" i="1" s="1"/>
  <c r="AL463" i="1"/>
  <c r="AP463" i="1" s="1"/>
  <c r="R464" i="1"/>
  <c r="H465" i="36" s="1"/>
  <c r="T464" i="1"/>
  <c r="X464" i="1" s="1"/>
  <c r="U464" i="1"/>
  <c r="Y464" i="1" s="1"/>
  <c r="AK464" i="1"/>
  <c r="AL464" i="1"/>
  <c r="AP464" i="1" s="1"/>
  <c r="R465" i="1"/>
  <c r="H466" i="36" s="1"/>
  <c r="T465" i="1"/>
  <c r="X465" i="1" s="1"/>
  <c r="U465" i="1"/>
  <c r="Y465" i="1" s="1"/>
  <c r="AK465" i="1"/>
  <c r="AO465" i="1" s="1"/>
  <c r="AL465" i="1"/>
  <c r="R466" i="1"/>
  <c r="H467" i="36" s="1"/>
  <c r="T466" i="1"/>
  <c r="X466" i="1" s="1"/>
  <c r="U466" i="1"/>
  <c r="Y466" i="1" s="1"/>
  <c r="AK466" i="1"/>
  <c r="AO466" i="1" s="1"/>
  <c r="AL466" i="1"/>
  <c r="AP466" i="1" s="1"/>
  <c r="R467" i="1"/>
  <c r="H468" i="36" s="1"/>
  <c r="T467" i="1"/>
  <c r="U467" i="1"/>
  <c r="Y467" i="1" s="1"/>
  <c r="AK467" i="1"/>
  <c r="AO467" i="1" s="1"/>
  <c r="AL467" i="1"/>
  <c r="AP467" i="1" s="1"/>
  <c r="R468" i="1"/>
  <c r="H469" i="36" s="1"/>
  <c r="T468" i="1"/>
  <c r="X468" i="1" s="1"/>
  <c r="U468" i="1"/>
  <c r="AK468" i="1"/>
  <c r="AL468" i="1"/>
  <c r="AP468" i="1" s="1"/>
  <c r="R469" i="1"/>
  <c r="H470" i="36" s="1"/>
  <c r="T469" i="1"/>
  <c r="X469" i="1" s="1"/>
  <c r="U469" i="1"/>
  <c r="Y469" i="1" s="1"/>
  <c r="AK469" i="1"/>
  <c r="AO469" i="1" s="1"/>
  <c r="AL469" i="1"/>
  <c r="R470" i="1"/>
  <c r="H471" i="36" s="1"/>
  <c r="T470" i="1"/>
  <c r="X470" i="1" s="1"/>
  <c r="U470" i="1"/>
  <c r="Y470" i="1" s="1"/>
  <c r="AK470" i="1"/>
  <c r="AO470" i="1" s="1"/>
  <c r="AL470" i="1"/>
  <c r="AP470" i="1" s="1"/>
  <c r="R471" i="1"/>
  <c r="H472" i="36" s="1"/>
  <c r="T471" i="1"/>
  <c r="U471" i="1"/>
  <c r="Y471" i="1" s="1"/>
  <c r="AK471" i="1"/>
  <c r="AO471" i="1" s="1"/>
  <c r="AL471" i="1"/>
  <c r="AP471" i="1" s="1"/>
  <c r="R472" i="1"/>
  <c r="H473" i="36" s="1"/>
  <c r="T472" i="1"/>
  <c r="X472" i="1" s="1"/>
  <c r="U472" i="1"/>
  <c r="AK472" i="1"/>
  <c r="AL472" i="1"/>
  <c r="AP472" i="1" s="1"/>
  <c r="R473" i="1"/>
  <c r="H474" i="36" s="1"/>
  <c r="T473" i="1"/>
  <c r="X473" i="1" s="1"/>
  <c r="U473" i="1"/>
  <c r="Y473" i="1" s="1"/>
  <c r="AK473" i="1"/>
  <c r="AO473" i="1" s="1"/>
  <c r="AL473" i="1"/>
  <c r="R474" i="1"/>
  <c r="H475" i="36" s="1"/>
  <c r="T474" i="1"/>
  <c r="X474" i="1" s="1"/>
  <c r="U474" i="1"/>
  <c r="Y474" i="1" s="1"/>
  <c r="AK474" i="1"/>
  <c r="AO474" i="1" s="1"/>
  <c r="AL474" i="1"/>
  <c r="AP474" i="1" s="1"/>
  <c r="R475" i="1"/>
  <c r="H476" i="36" s="1"/>
  <c r="T475" i="1"/>
  <c r="U475" i="1"/>
  <c r="Y475" i="1" s="1"/>
  <c r="AK475" i="1"/>
  <c r="AO475" i="1" s="1"/>
  <c r="AL475" i="1"/>
  <c r="AP475" i="1" s="1"/>
  <c r="R476" i="1"/>
  <c r="H477" i="36" s="1"/>
  <c r="T476" i="1"/>
  <c r="X476" i="1" s="1"/>
  <c r="U476" i="1"/>
  <c r="AK476" i="1"/>
  <c r="AL476" i="1"/>
  <c r="AP476" i="1" s="1"/>
  <c r="R477" i="1"/>
  <c r="H478" i="36" s="1"/>
  <c r="T477" i="1"/>
  <c r="X477" i="1" s="1"/>
  <c r="U477" i="1"/>
  <c r="Y477" i="1" s="1"/>
  <c r="AK477" i="1"/>
  <c r="AO477" i="1" s="1"/>
  <c r="AL477" i="1"/>
  <c r="R478" i="1"/>
  <c r="H479" i="36" s="1"/>
  <c r="T478" i="1"/>
  <c r="X478" i="1" s="1"/>
  <c r="U478" i="1"/>
  <c r="Y478" i="1" s="1"/>
  <c r="AK478" i="1"/>
  <c r="AO478" i="1" s="1"/>
  <c r="AL478" i="1"/>
  <c r="AP478" i="1" s="1"/>
  <c r="R479" i="1"/>
  <c r="H480" i="36" s="1"/>
  <c r="T479" i="1"/>
  <c r="U479" i="1"/>
  <c r="Y479" i="1" s="1"/>
  <c r="AK479" i="1"/>
  <c r="AO479" i="1" s="1"/>
  <c r="AL479" i="1"/>
  <c r="AP479" i="1" s="1"/>
  <c r="R480" i="1"/>
  <c r="H481" i="36" s="1"/>
  <c r="T480" i="1"/>
  <c r="X480" i="1" s="1"/>
  <c r="U480" i="1"/>
  <c r="Y480" i="1" s="1"/>
  <c r="AK480" i="1"/>
  <c r="AL480" i="1"/>
  <c r="T481" i="1"/>
  <c r="X481" i="1" s="1"/>
  <c r="U481" i="1"/>
  <c r="Y481" i="1" s="1"/>
  <c r="AK481" i="1"/>
  <c r="AO481" i="1" s="1"/>
  <c r="AL481" i="1"/>
  <c r="T482" i="1"/>
  <c r="X482" i="1" s="1"/>
  <c r="U482" i="1"/>
  <c r="Y482" i="1" s="1"/>
  <c r="AK482" i="1"/>
  <c r="AO482" i="1" s="1"/>
  <c r="AL482" i="1"/>
  <c r="AP482" i="1" s="1"/>
  <c r="R483" i="1"/>
  <c r="H484" i="36" s="1"/>
  <c r="T483" i="1"/>
  <c r="U483" i="1"/>
  <c r="AK483" i="1"/>
  <c r="AL483" i="1"/>
  <c r="AP483" i="1" s="1"/>
  <c r="AO483" i="1"/>
  <c r="R484" i="1"/>
  <c r="H485" i="36" s="1"/>
  <c r="T484" i="1"/>
  <c r="X484" i="1" s="1"/>
  <c r="U484" i="1"/>
  <c r="Y484" i="1" s="1"/>
  <c r="AK484" i="1"/>
  <c r="AL484" i="1"/>
  <c r="AP484" i="1" s="1"/>
  <c r="R485" i="1"/>
  <c r="H486" i="36" s="1"/>
  <c r="T485" i="1"/>
  <c r="X485" i="1" s="1"/>
  <c r="U485" i="1"/>
  <c r="Y485" i="1" s="1"/>
  <c r="AK485" i="1"/>
  <c r="AO485" i="1" s="1"/>
  <c r="AL485" i="1"/>
  <c r="R486" i="1"/>
  <c r="H487" i="36" s="1"/>
  <c r="T486" i="1"/>
  <c r="U486" i="1"/>
  <c r="Y486" i="1" s="1"/>
  <c r="AK486" i="1"/>
  <c r="AO486" i="1" s="1"/>
  <c r="AL486" i="1"/>
  <c r="AP486" i="1" s="1"/>
  <c r="R487" i="1"/>
  <c r="H488" i="36" s="1"/>
  <c r="T487" i="1"/>
  <c r="U487" i="1"/>
  <c r="AK487" i="1"/>
  <c r="AO487" i="1" s="1"/>
  <c r="AL487" i="1"/>
  <c r="AP487" i="1" s="1"/>
  <c r="R488" i="1"/>
  <c r="H489" i="36" s="1"/>
  <c r="T488" i="1"/>
  <c r="X488" i="1" s="1"/>
  <c r="U488" i="1"/>
  <c r="AK488" i="1"/>
  <c r="AO488" i="1" s="1"/>
  <c r="AL488" i="1"/>
  <c r="AP488" i="1" s="1"/>
  <c r="R489" i="1"/>
  <c r="H490" i="36" s="1"/>
  <c r="T489" i="1"/>
  <c r="X489" i="1" s="1"/>
  <c r="U489" i="1"/>
  <c r="Y489" i="1" s="1"/>
  <c r="AK489" i="1"/>
  <c r="AO489" i="1" s="1"/>
  <c r="AL489" i="1"/>
  <c r="AP489" i="1" s="1"/>
  <c r="D361" i="1"/>
  <c r="E361" i="1"/>
  <c r="F361" i="1"/>
  <c r="R361" i="1"/>
  <c r="T361" i="1"/>
  <c r="X361" i="1" s="1"/>
  <c r="U361" i="1"/>
  <c r="Y361" i="1" s="1"/>
  <c r="AK361" i="1"/>
  <c r="AL361" i="1"/>
  <c r="AP361" i="1" s="1"/>
  <c r="D362" i="1"/>
  <c r="E362" i="1"/>
  <c r="F362" i="1"/>
  <c r="R362" i="1"/>
  <c r="T362" i="1"/>
  <c r="X362" i="1" s="1"/>
  <c r="U362" i="1"/>
  <c r="Y362" i="1" s="1"/>
  <c r="AK362" i="1"/>
  <c r="AO362" i="1" s="1"/>
  <c r="AL362" i="1"/>
  <c r="AP362" i="1" s="1"/>
  <c r="D363" i="1"/>
  <c r="E363" i="1"/>
  <c r="F363" i="1"/>
  <c r="R363" i="1"/>
  <c r="T363" i="1"/>
  <c r="X363" i="1" s="1"/>
  <c r="U363" i="1"/>
  <c r="Y363" i="1" s="1"/>
  <c r="AK363" i="1"/>
  <c r="AO363" i="1" s="1"/>
  <c r="AL363" i="1"/>
  <c r="AP363" i="1" s="1"/>
  <c r="D364" i="1"/>
  <c r="E364" i="1"/>
  <c r="F364" i="1"/>
  <c r="R364" i="1"/>
  <c r="T364" i="1"/>
  <c r="U364" i="1"/>
  <c r="Y364" i="1" s="1"/>
  <c r="AK364" i="1"/>
  <c r="AO364" i="1" s="1"/>
  <c r="AL364" i="1"/>
  <c r="AP364" i="1" s="1"/>
  <c r="D365" i="1"/>
  <c r="E365" i="1"/>
  <c r="F365" i="1"/>
  <c r="R365" i="1"/>
  <c r="T365" i="1"/>
  <c r="X365" i="1" s="1"/>
  <c r="U365" i="1"/>
  <c r="Y365" i="1" s="1"/>
  <c r="AK365" i="1"/>
  <c r="AL365" i="1"/>
  <c r="AP365" i="1" s="1"/>
  <c r="D366" i="1"/>
  <c r="E366" i="1"/>
  <c r="F366" i="1"/>
  <c r="R366" i="1"/>
  <c r="T366" i="1"/>
  <c r="X366" i="1" s="1"/>
  <c r="U366" i="1"/>
  <c r="Y366" i="1" s="1"/>
  <c r="AK366" i="1"/>
  <c r="AO366" i="1" s="1"/>
  <c r="AL366" i="1"/>
  <c r="AP366" i="1" s="1"/>
  <c r="D367" i="1"/>
  <c r="E367" i="1"/>
  <c r="F367" i="1"/>
  <c r="R367" i="1"/>
  <c r="T367" i="1"/>
  <c r="X367" i="1" s="1"/>
  <c r="U367" i="1"/>
  <c r="Y367" i="1" s="1"/>
  <c r="AK367" i="1"/>
  <c r="AO367" i="1" s="1"/>
  <c r="AL367" i="1"/>
  <c r="AP367" i="1" s="1"/>
  <c r="D368" i="1"/>
  <c r="E368" i="1"/>
  <c r="F368" i="1"/>
  <c r="R368" i="1"/>
  <c r="T368" i="1"/>
  <c r="U368" i="1"/>
  <c r="Y368" i="1" s="1"/>
  <c r="AK368" i="1"/>
  <c r="AO368" i="1" s="1"/>
  <c r="AL368" i="1"/>
  <c r="AP368" i="1" s="1"/>
  <c r="D369" i="1"/>
  <c r="E369" i="1"/>
  <c r="F369" i="1"/>
  <c r="R369" i="1"/>
  <c r="T369" i="1"/>
  <c r="X369" i="1" s="1"/>
  <c r="U369" i="1"/>
  <c r="Y369" i="1" s="1"/>
  <c r="AK369" i="1"/>
  <c r="AO369" i="1" s="1"/>
  <c r="AL369" i="1"/>
  <c r="AP369" i="1" s="1"/>
  <c r="T450" i="1"/>
  <c r="U450" i="1"/>
  <c r="Y450" i="1" s="1"/>
  <c r="AK450" i="1"/>
  <c r="AL450" i="1"/>
  <c r="AP450" i="1" s="1"/>
  <c r="B328" i="40"/>
  <c r="C328" i="40"/>
  <c r="D328" i="40"/>
  <c r="E328" i="40"/>
  <c r="F328" i="40"/>
  <c r="B294" i="40"/>
  <c r="C294" i="40"/>
  <c r="D294" i="40"/>
  <c r="E294" i="40"/>
  <c r="B295" i="40"/>
  <c r="C295" i="40"/>
  <c r="D295" i="40"/>
  <c r="E295" i="40"/>
  <c r="B296" i="40"/>
  <c r="C296" i="40"/>
  <c r="D296" i="40"/>
  <c r="E296" i="40"/>
  <c r="B297" i="40"/>
  <c r="C297" i="40"/>
  <c r="D297" i="40"/>
  <c r="E297" i="40"/>
  <c r="B298" i="40"/>
  <c r="C298" i="40"/>
  <c r="D298" i="40"/>
  <c r="E298" i="40"/>
  <c r="B299" i="40"/>
  <c r="C299" i="40"/>
  <c r="D299" i="40"/>
  <c r="E299" i="40"/>
  <c r="B300" i="40"/>
  <c r="C300" i="40"/>
  <c r="D300" i="40"/>
  <c r="E300" i="40"/>
  <c r="B301" i="40"/>
  <c r="C301" i="40"/>
  <c r="D301" i="40"/>
  <c r="E301" i="40"/>
  <c r="B302" i="40"/>
  <c r="C302" i="40"/>
  <c r="D302" i="40"/>
  <c r="E302" i="40"/>
  <c r="B303" i="40"/>
  <c r="C303" i="40"/>
  <c r="D303" i="40"/>
  <c r="E303" i="40"/>
  <c r="B304" i="40"/>
  <c r="C304" i="40"/>
  <c r="D304" i="40"/>
  <c r="E304" i="40"/>
  <c r="B305" i="40"/>
  <c r="C305" i="40"/>
  <c r="D305" i="40"/>
  <c r="E305" i="40"/>
  <c r="B306" i="40"/>
  <c r="C306" i="40"/>
  <c r="D306" i="40"/>
  <c r="E306" i="40"/>
  <c r="B307" i="40"/>
  <c r="C307" i="40"/>
  <c r="D307" i="40"/>
  <c r="E307" i="40"/>
  <c r="B308" i="40"/>
  <c r="C308" i="40"/>
  <c r="D308" i="40"/>
  <c r="E308" i="40"/>
  <c r="B309" i="40"/>
  <c r="C309" i="40"/>
  <c r="D309" i="40"/>
  <c r="E309" i="40"/>
  <c r="B310" i="40"/>
  <c r="C310" i="40"/>
  <c r="D310" i="40"/>
  <c r="E310" i="40"/>
  <c r="B311" i="40"/>
  <c r="C311" i="40"/>
  <c r="D311" i="40"/>
  <c r="E311" i="40"/>
  <c r="B312" i="40"/>
  <c r="C312" i="40"/>
  <c r="D312" i="40"/>
  <c r="E312" i="40"/>
  <c r="B313" i="40"/>
  <c r="C313" i="40"/>
  <c r="D313" i="40"/>
  <c r="E313" i="40"/>
  <c r="B314" i="40"/>
  <c r="C314" i="40"/>
  <c r="D314" i="40"/>
  <c r="E314" i="40"/>
  <c r="B315" i="40"/>
  <c r="C315" i="40"/>
  <c r="D315" i="40"/>
  <c r="E315" i="40"/>
  <c r="B316" i="40"/>
  <c r="C316" i="40"/>
  <c r="D316" i="40"/>
  <c r="E316" i="40"/>
  <c r="B317" i="40"/>
  <c r="C317" i="40"/>
  <c r="D317" i="40"/>
  <c r="E317" i="40"/>
  <c r="B318" i="40"/>
  <c r="C318" i="40"/>
  <c r="D318" i="40"/>
  <c r="E318" i="40"/>
  <c r="B319" i="40"/>
  <c r="C319" i="40"/>
  <c r="D319" i="40"/>
  <c r="E319" i="40"/>
  <c r="B320" i="40"/>
  <c r="C320" i="40"/>
  <c r="D320" i="40"/>
  <c r="E320" i="40"/>
  <c r="B321" i="40"/>
  <c r="C321" i="40"/>
  <c r="D321" i="40"/>
  <c r="E321" i="40"/>
  <c r="B322" i="40"/>
  <c r="C322" i="40"/>
  <c r="D322" i="40"/>
  <c r="E322" i="40"/>
  <c r="B323" i="40"/>
  <c r="C323" i="40"/>
  <c r="D323" i="40"/>
  <c r="E323" i="40"/>
  <c r="B324" i="40"/>
  <c r="C324" i="40"/>
  <c r="D324" i="40"/>
  <c r="E324" i="40"/>
  <c r="B325" i="40"/>
  <c r="C325" i="40"/>
  <c r="D325" i="40"/>
  <c r="E325" i="40"/>
  <c r="B326" i="40"/>
  <c r="C326" i="40"/>
  <c r="D326" i="40"/>
  <c r="E326" i="40"/>
  <c r="B327" i="40"/>
  <c r="C327" i="40"/>
  <c r="D327" i="40"/>
  <c r="E327" i="40"/>
  <c r="B289" i="40"/>
  <c r="C289" i="40"/>
  <c r="D289" i="40"/>
  <c r="E289" i="40"/>
  <c r="B290" i="40"/>
  <c r="C290" i="40"/>
  <c r="D290" i="40"/>
  <c r="E290" i="40"/>
  <c r="B291" i="40"/>
  <c r="C291" i="40"/>
  <c r="D291" i="40"/>
  <c r="E291" i="40"/>
  <c r="B292" i="40"/>
  <c r="C292" i="40"/>
  <c r="D292" i="40"/>
  <c r="E292" i="40"/>
  <c r="B293" i="40"/>
  <c r="C293" i="40"/>
  <c r="D293" i="40"/>
  <c r="E293" i="40"/>
  <c r="B288" i="40"/>
  <c r="C288" i="40"/>
  <c r="D288" i="40"/>
  <c r="E288" i="40"/>
  <c r="B250" i="40"/>
  <c r="C250" i="40"/>
  <c r="D250" i="40"/>
  <c r="E250" i="40"/>
  <c r="B251" i="40"/>
  <c r="C251" i="40"/>
  <c r="D251" i="40"/>
  <c r="E251" i="40"/>
  <c r="B252" i="40"/>
  <c r="C252" i="40"/>
  <c r="D252" i="40"/>
  <c r="E252" i="40"/>
  <c r="B253" i="40"/>
  <c r="C253" i="40"/>
  <c r="D253" i="40"/>
  <c r="E253" i="40"/>
  <c r="B254" i="40"/>
  <c r="C254" i="40"/>
  <c r="D254" i="40"/>
  <c r="E254" i="40"/>
  <c r="B255" i="40"/>
  <c r="C255" i="40"/>
  <c r="D255" i="40"/>
  <c r="E255" i="40"/>
  <c r="B256" i="40"/>
  <c r="C256" i="40"/>
  <c r="D256" i="40"/>
  <c r="E256" i="40"/>
  <c r="B257" i="40"/>
  <c r="C257" i="40"/>
  <c r="D257" i="40"/>
  <c r="E257" i="40"/>
  <c r="B258" i="40"/>
  <c r="C258" i="40"/>
  <c r="D258" i="40"/>
  <c r="E258" i="40"/>
  <c r="B259" i="40"/>
  <c r="C259" i="40"/>
  <c r="D259" i="40"/>
  <c r="E259" i="40"/>
  <c r="B260" i="40"/>
  <c r="C260" i="40"/>
  <c r="D260" i="40"/>
  <c r="E260" i="40"/>
  <c r="B261" i="40"/>
  <c r="C261" i="40"/>
  <c r="D261" i="40"/>
  <c r="E261" i="40"/>
  <c r="B262" i="40"/>
  <c r="C262" i="40"/>
  <c r="D262" i="40"/>
  <c r="E262" i="40"/>
  <c r="B263" i="40"/>
  <c r="C263" i="40"/>
  <c r="D263" i="40"/>
  <c r="E263" i="40"/>
  <c r="B264" i="40"/>
  <c r="C264" i="40"/>
  <c r="D264" i="40"/>
  <c r="E264" i="40"/>
  <c r="B265" i="40"/>
  <c r="C265" i="40"/>
  <c r="D265" i="40"/>
  <c r="E265" i="40"/>
  <c r="B266" i="40"/>
  <c r="C266" i="40"/>
  <c r="D266" i="40"/>
  <c r="E266" i="40"/>
  <c r="B267" i="40"/>
  <c r="C267" i="40"/>
  <c r="D267" i="40"/>
  <c r="E267" i="40"/>
  <c r="B268" i="40"/>
  <c r="C268" i="40"/>
  <c r="D268" i="40"/>
  <c r="E268" i="40"/>
  <c r="B269" i="40"/>
  <c r="C269" i="40"/>
  <c r="D269" i="40"/>
  <c r="E269" i="40"/>
  <c r="B270" i="40"/>
  <c r="C270" i="40"/>
  <c r="D270" i="40"/>
  <c r="E270" i="40"/>
  <c r="B271" i="40"/>
  <c r="C271" i="40"/>
  <c r="D271" i="40"/>
  <c r="E271" i="40"/>
  <c r="B272" i="40"/>
  <c r="C272" i="40"/>
  <c r="D272" i="40"/>
  <c r="E272" i="40"/>
  <c r="B273" i="40"/>
  <c r="C273" i="40"/>
  <c r="D273" i="40"/>
  <c r="E273" i="40"/>
  <c r="B274" i="40"/>
  <c r="C274" i="40"/>
  <c r="D274" i="40"/>
  <c r="E274" i="40"/>
  <c r="B275" i="40"/>
  <c r="C275" i="40"/>
  <c r="D275" i="40"/>
  <c r="E275" i="40"/>
  <c r="B276" i="40"/>
  <c r="C276" i="40"/>
  <c r="D276" i="40"/>
  <c r="E276" i="40"/>
  <c r="B277" i="40"/>
  <c r="C277" i="40"/>
  <c r="D277" i="40"/>
  <c r="E277" i="40"/>
  <c r="B278" i="40"/>
  <c r="C278" i="40"/>
  <c r="D278" i="40"/>
  <c r="E278" i="40"/>
  <c r="B279" i="40"/>
  <c r="C279" i="40"/>
  <c r="D279" i="40"/>
  <c r="E279" i="40"/>
  <c r="B280" i="40"/>
  <c r="C280" i="40"/>
  <c r="D280" i="40"/>
  <c r="E280" i="40"/>
  <c r="B281" i="40"/>
  <c r="C281" i="40"/>
  <c r="D281" i="40"/>
  <c r="E281" i="40"/>
  <c r="B282" i="40"/>
  <c r="C282" i="40"/>
  <c r="D282" i="40"/>
  <c r="E282" i="40"/>
  <c r="B283" i="40"/>
  <c r="C283" i="40"/>
  <c r="D283" i="40"/>
  <c r="E283" i="40"/>
  <c r="B284" i="40"/>
  <c r="C284" i="40"/>
  <c r="D284" i="40"/>
  <c r="E284" i="40"/>
  <c r="B285" i="40"/>
  <c r="C285" i="40"/>
  <c r="D285" i="40"/>
  <c r="E285" i="40"/>
  <c r="B286" i="40"/>
  <c r="C286" i="40"/>
  <c r="D286" i="40"/>
  <c r="E286" i="40"/>
  <c r="B287" i="40"/>
  <c r="C287" i="40"/>
  <c r="D287" i="40"/>
  <c r="E287" i="40"/>
  <c r="B248" i="40"/>
  <c r="C248" i="40"/>
  <c r="D248" i="40"/>
  <c r="E248" i="40"/>
  <c r="B249" i="40"/>
  <c r="C249" i="40"/>
  <c r="D249" i="40"/>
  <c r="E249" i="40"/>
  <c r="B209" i="40"/>
  <c r="C209" i="40"/>
  <c r="D209" i="40"/>
  <c r="E209" i="40"/>
  <c r="B210" i="40"/>
  <c r="C210" i="40"/>
  <c r="D210" i="40"/>
  <c r="E210" i="40"/>
  <c r="B211" i="40"/>
  <c r="C211" i="40"/>
  <c r="D211" i="40"/>
  <c r="E211" i="40"/>
  <c r="B212" i="40"/>
  <c r="C212" i="40"/>
  <c r="D212" i="40"/>
  <c r="E212" i="40"/>
  <c r="B213" i="40"/>
  <c r="C213" i="40"/>
  <c r="D213" i="40"/>
  <c r="E213" i="40"/>
  <c r="B214" i="40"/>
  <c r="C214" i="40"/>
  <c r="D214" i="40"/>
  <c r="E214" i="40"/>
  <c r="B215" i="40"/>
  <c r="C215" i="40"/>
  <c r="D215" i="40"/>
  <c r="E215" i="40"/>
  <c r="B216" i="40"/>
  <c r="C216" i="40"/>
  <c r="D216" i="40"/>
  <c r="E216" i="40"/>
  <c r="B217" i="40"/>
  <c r="C217" i="40"/>
  <c r="D217" i="40"/>
  <c r="E217" i="40"/>
  <c r="B218" i="40"/>
  <c r="C218" i="40"/>
  <c r="D218" i="40"/>
  <c r="E218" i="40"/>
  <c r="B219" i="40"/>
  <c r="C219" i="40"/>
  <c r="D219" i="40"/>
  <c r="E219" i="40"/>
  <c r="B220" i="40"/>
  <c r="C220" i="40"/>
  <c r="D220" i="40"/>
  <c r="E220" i="40"/>
  <c r="B221" i="40"/>
  <c r="C221" i="40"/>
  <c r="D221" i="40"/>
  <c r="E221" i="40"/>
  <c r="B222" i="40"/>
  <c r="C222" i="40"/>
  <c r="D222" i="40"/>
  <c r="E222" i="40"/>
  <c r="B223" i="40"/>
  <c r="C223" i="40"/>
  <c r="D223" i="40"/>
  <c r="E223" i="40"/>
  <c r="B224" i="40"/>
  <c r="C224" i="40"/>
  <c r="D224" i="40"/>
  <c r="E224" i="40"/>
  <c r="B225" i="40"/>
  <c r="C225" i="40"/>
  <c r="D225" i="40"/>
  <c r="E225" i="40"/>
  <c r="B226" i="40"/>
  <c r="C226" i="40"/>
  <c r="D226" i="40"/>
  <c r="E226" i="40"/>
  <c r="B227" i="40"/>
  <c r="C227" i="40"/>
  <c r="D227" i="40"/>
  <c r="E227" i="40"/>
  <c r="B228" i="40"/>
  <c r="C228" i="40"/>
  <c r="D228" i="40"/>
  <c r="E228" i="40"/>
  <c r="B229" i="40"/>
  <c r="C229" i="40"/>
  <c r="D229" i="40"/>
  <c r="E229" i="40"/>
  <c r="B230" i="40"/>
  <c r="C230" i="40"/>
  <c r="D230" i="40"/>
  <c r="E230" i="40"/>
  <c r="B231" i="40"/>
  <c r="C231" i="40"/>
  <c r="D231" i="40"/>
  <c r="E231" i="40"/>
  <c r="B232" i="40"/>
  <c r="C232" i="40"/>
  <c r="D232" i="40"/>
  <c r="E232" i="40"/>
  <c r="B233" i="40"/>
  <c r="C233" i="40"/>
  <c r="D233" i="40"/>
  <c r="E233" i="40"/>
  <c r="B234" i="40"/>
  <c r="C234" i="40"/>
  <c r="D234" i="40"/>
  <c r="E234" i="40"/>
  <c r="B235" i="40"/>
  <c r="C235" i="40"/>
  <c r="D235" i="40"/>
  <c r="E235" i="40"/>
  <c r="B236" i="40"/>
  <c r="C236" i="40"/>
  <c r="D236" i="40"/>
  <c r="E236" i="40"/>
  <c r="B237" i="40"/>
  <c r="C237" i="40"/>
  <c r="D237" i="40"/>
  <c r="E237" i="40"/>
  <c r="B238" i="40"/>
  <c r="C238" i="40"/>
  <c r="D238" i="40"/>
  <c r="E238" i="40"/>
  <c r="B239" i="40"/>
  <c r="C239" i="40"/>
  <c r="D239" i="40"/>
  <c r="E239" i="40"/>
  <c r="B240" i="40"/>
  <c r="C240" i="40"/>
  <c r="D240" i="40"/>
  <c r="E240" i="40"/>
  <c r="B241" i="40"/>
  <c r="C241" i="40"/>
  <c r="D241" i="40"/>
  <c r="E241" i="40"/>
  <c r="B242" i="40"/>
  <c r="C242" i="40"/>
  <c r="D242" i="40"/>
  <c r="E242" i="40"/>
  <c r="B243" i="40"/>
  <c r="C243" i="40"/>
  <c r="D243" i="40"/>
  <c r="E243" i="40"/>
  <c r="B244" i="40"/>
  <c r="C244" i="40"/>
  <c r="D244" i="40"/>
  <c r="E244" i="40"/>
  <c r="B245" i="40"/>
  <c r="C245" i="40"/>
  <c r="D245" i="40"/>
  <c r="E245" i="40"/>
  <c r="B246" i="40"/>
  <c r="C246" i="40"/>
  <c r="D246" i="40"/>
  <c r="E246" i="40"/>
  <c r="B247" i="40"/>
  <c r="C247" i="40"/>
  <c r="D247" i="40"/>
  <c r="E247" i="40"/>
  <c r="J410" i="14" l="1"/>
  <c r="F412" i="40"/>
  <c r="F415" i="36"/>
  <c r="J369" i="14"/>
  <c r="F374" i="36"/>
  <c r="F371" i="40"/>
  <c r="J448" i="14"/>
  <c r="F454" i="36" s="1"/>
  <c r="F450" i="40"/>
  <c r="S484" i="1"/>
  <c r="I485" i="36" s="1"/>
  <c r="S483" i="1"/>
  <c r="I484" i="36" s="1"/>
  <c r="S455" i="1"/>
  <c r="I456" i="36" s="1"/>
  <c r="S489" i="1"/>
  <c r="I490" i="36" s="1"/>
  <c r="S488" i="1"/>
  <c r="I489" i="36" s="1"/>
  <c r="S487" i="1"/>
  <c r="I488" i="36" s="1"/>
  <c r="S485" i="1"/>
  <c r="I486" i="36" s="1"/>
  <c r="S474" i="1"/>
  <c r="I475" i="36" s="1"/>
  <c r="S470" i="1"/>
  <c r="I471" i="36" s="1"/>
  <c r="S469" i="1"/>
  <c r="I470" i="36" s="1"/>
  <c r="S466" i="1"/>
  <c r="I467" i="36" s="1"/>
  <c r="S463" i="1"/>
  <c r="I464" i="36" s="1"/>
  <c r="S461" i="1"/>
  <c r="I462" i="36" s="1"/>
  <c r="S456" i="1"/>
  <c r="I457" i="36" s="1"/>
  <c r="S453" i="1"/>
  <c r="I454" i="36" s="1"/>
  <c r="S465" i="1"/>
  <c r="I466" i="36" s="1"/>
  <c r="S460" i="1"/>
  <c r="I461" i="36" s="1"/>
  <c r="S458" i="1"/>
  <c r="I459" i="36" s="1"/>
  <c r="S452" i="1"/>
  <c r="I453" i="36" s="1"/>
  <c r="S369" i="1"/>
  <c r="I370" i="36" s="1"/>
  <c r="H370" i="36"/>
  <c r="S366" i="1"/>
  <c r="I367" i="36" s="1"/>
  <c r="H367" i="36"/>
  <c r="S364" i="1"/>
  <c r="I365" i="36" s="1"/>
  <c r="H365" i="36"/>
  <c r="S361" i="1"/>
  <c r="I362" i="36" s="1"/>
  <c r="H362" i="36"/>
  <c r="S486" i="1"/>
  <c r="I487" i="36" s="1"/>
  <c r="S480" i="1"/>
  <c r="I481" i="36" s="1"/>
  <c r="S479" i="1"/>
  <c r="I480" i="36" s="1"/>
  <c r="S478" i="1"/>
  <c r="I479" i="36" s="1"/>
  <c r="S476" i="1"/>
  <c r="I477" i="36" s="1"/>
  <c r="S475" i="1"/>
  <c r="I476" i="36" s="1"/>
  <c r="S471" i="1"/>
  <c r="I472" i="36" s="1"/>
  <c r="S468" i="1"/>
  <c r="I469" i="36" s="1"/>
  <c r="S467" i="1"/>
  <c r="I468" i="36" s="1"/>
  <c r="S454" i="1"/>
  <c r="I455" i="36" s="1"/>
  <c r="S368" i="1"/>
  <c r="I369" i="36" s="1"/>
  <c r="H369" i="36"/>
  <c r="S365" i="1"/>
  <c r="I366" i="36" s="1"/>
  <c r="H366" i="36"/>
  <c r="S363" i="1"/>
  <c r="I364" i="36" s="1"/>
  <c r="H364" i="36"/>
  <c r="S462" i="1"/>
  <c r="I463" i="36" s="1"/>
  <c r="S457" i="1"/>
  <c r="I458" i="36" s="1"/>
  <c r="S367" i="1"/>
  <c r="I368" i="36" s="1"/>
  <c r="H368" i="36"/>
  <c r="S362" i="1"/>
  <c r="I363" i="36" s="1"/>
  <c r="H363" i="36"/>
  <c r="S477" i="1"/>
  <c r="I478" i="36" s="1"/>
  <c r="S473" i="1"/>
  <c r="I474" i="36" s="1"/>
  <c r="S472" i="1"/>
  <c r="I473" i="36" s="1"/>
  <c r="S464" i="1"/>
  <c r="I465" i="36" s="1"/>
  <c r="S459" i="1"/>
  <c r="I460" i="36" s="1"/>
  <c r="S451" i="1"/>
  <c r="I452" i="36" s="1"/>
  <c r="Y452" i="1"/>
  <c r="Y488" i="1"/>
  <c r="Y487" i="1"/>
  <c r="AP485" i="1"/>
  <c r="AO484" i="1"/>
  <c r="Y483" i="1"/>
  <c r="AP480" i="1"/>
  <c r="AO476" i="1"/>
  <c r="X475" i="1"/>
  <c r="AO472" i="1"/>
  <c r="X471" i="1"/>
  <c r="AO468" i="1"/>
  <c r="X467" i="1"/>
  <c r="AO464" i="1"/>
  <c r="X463" i="1"/>
  <c r="AO460" i="1"/>
  <c r="X459" i="1"/>
  <c r="AO456" i="1"/>
  <c r="X455" i="1"/>
  <c r="AP453" i="1"/>
  <c r="X487" i="1"/>
  <c r="X486" i="1"/>
  <c r="X483" i="1"/>
  <c r="AP481" i="1"/>
  <c r="AO480" i="1"/>
  <c r="X479" i="1"/>
  <c r="AP477" i="1"/>
  <c r="Y476" i="1"/>
  <c r="AP473" i="1"/>
  <c r="Y472" i="1"/>
  <c r="AP469" i="1"/>
  <c r="Y468" i="1"/>
  <c r="AP465" i="1"/>
  <c r="X450" i="1"/>
  <c r="AO450" i="1"/>
  <c r="AO365" i="1"/>
  <c r="X364" i="1"/>
  <c r="AO361" i="1"/>
  <c r="X368" i="1"/>
  <c r="D332" i="1"/>
  <c r="E332" i="1"/>
  <c r="F332" i="1"/>
  <c r="R332" i="1"/>
  <c r="T332" i="1"/>
  <c r="X332" i="1" s="1"/>
  <c r="U332" i="1"/>
  <c r="Y332" i="1" s="1"/>
  <c r="AK332" i="1"/>
  <c r="AL332" i="1"/>
  <c r="AP332" i="1" s="1"/>
  <c r="D333" i="1"/>
  <c r="E333" i="1"/>
  <c r="F333" i="1"/>
  <c r="R333" i="1"/>
  <c r="T333" i="1"/>
  <c r="X333" i="1" s="1"/>
  <c r="U333" i="1"/>
  <c r="AK333" i="1"/>
  <c r="AO333" i="1" s="1"/>
  <c r="AL333" i="1"/>
  <c r="D334" i="1"/>
  <c r="E334" i="1"/>
  <c r="F334" i="1"/>
  <c r="R334" i="1"/>
  <c r="T334" i="1"/>
  <c r="U334" i="1"/>
  <c r="Y334" i="1" s="1"/>
  <c r="AK334" i="1"/>
  <c r="AL334" i="1"/>
  <c r="AP334" i="1" s="1"/>
  <c r="D335" i="1"/>
  <c r="E335" i="1"/>
  <c r="F335" i="1"/>
  <c r="R335" i="1"/>
  <c r="T335" i="1"/>
  <c r="X335" i="1" s="1"/>
  <c r="U335" i="1"/>
  <c r="AK335" i="1"/>
  <c r="AO335" i="1" s="1"/>
  <c r="AL335" i="1"/>
  <c r="AP335" i="1" s="1"/>
  <c r="D336" i="1"/>
  <c r="E336" i="1"/>
  <c r="F336" i="1"/>
  <c r="R336" i="1"/>
  <c r="T336" i="1"/>
  <c r="U336" i="1"/>
  <c r="Y336" i="1" s="1"/>
  <c r="AK336" i="1"/>
  <c r="AO336" i="1" s="1"/>
  <c r="AL336" i="1"/>
  <c r="AP336" i="1" s="1"/>
  <c r="D337" i="1"/>
  <c r="E337" i="1"/>
  <c r="F337" i="1"/>
  <c r="R337" i="1"/>
  <c r="T337" i="1"/>
  <c r="U337" i="1"/>
  <c r="Y337" i="1" s="1"/>
  <c r="AK337" i="1"/>
  <c r="AO337" i="1" s="1"/>
  <c r="AL337" i="1"/>
  <c r="AP337" i="1" s="1"/>
  <c r="D338" i="1"/>
  <c r="E338" i="1"/>
  <c r="F338" i="1"/>
  <c r="R338" i="1"/>
  <c r="T338" i="1"/>
  <c r="X338" i="1" s="1"/>
  <c r="U338" i="1"/>
  <c r="Y338" i="1" s="1"/>
  <c r="AK338" i="1"/>
  <c r="AO338" i="1" s="1"/>
  <c r="AL338" i="1"/>
  <c r="D339" i="1"/>
  <c r="E339" i="1"/>
  <c r="F339" i="1"/>
  <c r="R339" i="1"/>
  <c r="T339" i="1"/>
  <c r="X339" i="1" s="1"/>
  <c r="U339" i="1"/>
  <c r="Y339" i="1" s="1"/>
  <c r="AK339" i="1"/>
  <c r="AO339" i="1" s="1"/>
  <c r="AL339" i="1"/>
  <c r="AP339" i="1" s="1"/>
  <c r="D340" i="1"/>
  <c r="E340" i="1"/>
  <c r="F340" i="1"/>
  <c r="R340" i="1"/>
  <c r="T340" i="1"/>
  <c r="U340" i="1"/>
  <c r="AK340" i="1"/>
  <c r="AL340" i="1"/>
  <c r="AP340" i="1" s="1"/>
  <c r="D341" i="1"/>
  <c r="E341" i="1"/>
  <c r="F341" i="1"/>
  <c r="R341" i="1"/>
  <c r="T341" i="1"/>
  <c r="X341" i="1" s="1"/>
  <c r="U341" i="1"/>
  <c r="AK341" i="1"/>
  <c r="AO341" i="1" s="1"/>
  <c r="AL341" i="1"/>
  <c r="D342" i="1"/>
  <c r="E342" i="1"/>
  <c r="F342" i="1"/>
  <c r="R342" i="1"/>
  <c r="T342" i="1"/>
  <c r="X342" i="1" s="1"/>
  <c r="U342" i="1"/>
  <c r="Y342" i="1" s="1"/>
  <c r="AK342" i="1"/>
  <c r="AL342" i="1"/>
  <c r="AP342" i="1" s="1"/>
  <c r="D343" i="1"/>
  <c r="E343" i="1"/>
  <c r="F343" i="1"/>
  <c r="R343" i="1"/>
  <c r="T343" i="1"/>
  <c r="X343" i="1" s="1"/>
  <c r="U343" i="1"/>
  <c r="AK343" i="1"/>
  <c r="AO343" i="1" s="1"/>
  <c r="AL343" i="1"/>
  <c r="AP343" i="1" s="1"/>
  <c r="D344" i="1"/>
  <c r="E344" i="1"/>
  <c r="F344" i="1"/>
  <c r="R344" i="1"/>
  <c r="T344" i="1"/>
  <c r="U344" i="1"/>
  <c r="Y344" i="1" s="1"/>
  <c r="AK344" i="1"/>
  <c r="AO344" i="1" s="1"/>
  <c r="AL344" i="1"/>
  <c r="AP344" i="1" s="1"/>
  <c r="D345" i="1"/>
  <c r="E345" i="1"/>
  <c r="F345" i="1"/>
  <c r="R345" i="1"/>
  <c r="T345" i="1"/>
  <c r="U345" i="1"/>
  <c r="Y345" i="1" s="1"/>
  <c r="AK345" i="1"/>
  <c r="AL345" i="1"/>
  <c r="D346" i="1"/>
  <c r="E346" i="1"/>
  <c r="F346" i="1"/>
  <c r="R346" i="1"/>
  <c r="T346" i="1"/>
  <c r="X346" i="1" s="1"/>
  <c r="U346" i="1"/>
  <c r="Y346" i="1" s="1"/>
  <c r="AK346" i="1"/>
  <c r="AO346" i="1" s="1"/>
  <c r="AL346" i="1"/>
  <c r="D347" i="1"/>
  <c r="E347" i="1"/>
  <c r="F347" i="1"/>
  <c r="R347" i="1"/>
  <c r="T347" i="1"/>
  <c r="X347" i="1" s="1"/>
  <c r="U347" i="1"/>
  <c r="Y347" i="1" s="1"/>
  <c r="AK347" i="1"/>
  <c r="AO347" i="1" s="1"/>
  <c r="AL347" i="1"/>
  <c r="AP347" i="1" s="1"/>
  <c r="D348" i="1"/>
  <c r="E348" i="1"/>
  <c r="F348" i="1"/>
  <c r="R348" i="1"/>
  <c r="T348" i="1"/>
  <c r="U348" i="1"/>
  <c r="Y348" i="1" s="1"/>
  <c r="AK348" i="1"/>
  <c r="AO348" i="1" s="1"/>
  <c r="AL348" i="1"/>
  <c r="AP348" i="1" s="1"/>
  <c r="D349" i="1"/>
  <c r="E349" i="1"/>
  <c r="F349" i="1"/>
  <c r="R349" i="1"/>
  <c r="T349" i="1"/>
  <c r="X349" i="1" s="1"/>
  <c r="U349" i="1"/>
  <c r="AK349" i="1"/>
  <c r="AL349" i="1"/>
  <c r="AP349" i="1" s="1"/>
  <c r="D350" i="1"/>
  <c r="E350" i="1"/>
  <c r="F350" i="1"/>
  <c r="R350" i="1"/>
  <c r="T350" i="1"/>
  <c r="X350" i="1" s="1"/>
  <c r="U350" i="1"/>
  <c r="Y350" i="1" s="1"/>
  <c r="AK350" i="1"/>
  <c r="AO350" i="1" s="1"/>
  <c r="AL350" i="1"/>
  <c r="AP350" i="1" s="1"/>
  <c r="D351" i="1"/>
  <c r="E351" i="1"/>
  <c r="F351" i="1"/>
  <c r="R351" i="1"/>
  <c r="T351" i="1"/>
  <c r="U351" i="1"/>
  <c r="Y351" i="1" s="1"/>
  <c r="AK351" i="1"/>
  <c r="AO351" i="1" s="1"/>
  <c r="AL351" i="1"/>
  <c r="AP351" i="1" s="1"/>
  <c r="D352" i="1"/>
  <c r="E352" i="1"/>
  <c r="F352" i="1"/>
  <c r="R352" i="1"/>
  <c r="T352" i="1"/>
  <c r="X352" i="1" s="1"/>
  <c r="U352" i="1"/>
  <c r="AK352" i="1"/>
  <c r="AO352" i="1" s="1"/>
  <c r="AL352" i="1"/>
  <c r="AP352" i="1" s="1"/>
  <c r="D353" i="1"/>
  <c r="E353" i="1"/>
  <c r="F353" i="1"/>
  <c r="R353" i="1"/>
  <c r="T353" i="1"/>
  <c r="X353" i="1" s="1"/>
  <c r="U353" i="1"/>
  <c r="AK353" i="1"/>
  <c r="AO353" i="1" s="1"/>
  <c r="AL353" i="1"/>
  <c r="AP353" i="1" s="1"/>
  <c r="D354" i="1"/>
  <c r="E354" i="1"/>
  <c r="F354" i="1"/>
  <c r="R354" i="1"/>
  <c r="T354" i="1"/>
  <c r="X354" i="1" s="1"/>
  <c r="U354" i="1"/>
  <c r="Y354" i="1" s="1"/>
  <c r="AK354" i="1"/>
  <c r="AO354" i="1" s="1"/>
  <c r="AL354" i="1"/>
  <c r="D355" i="1"/>
  <c r="E355" i="1"/>
  <c r="F355" i="1"/>
  <c r="R355" i="1"/>
  <c r="T355" i="1"/>
  <c r="U355" i="1"/>
  <c r="Y355" i="1" s="1"/>
  <c r="AK355" i="1"/>
  <c r="AO355" i="1" s="1"/>
  <c r="AL355" i="1"/>
  <c r="AP355" i="1" s="1"/>
  <c r="D356" i="1"/>
  <c r="E356" i="1"/>
  <c r="F356" i="1"/>
  <c r="R356" i="1"/>
  <c r="T356" i="1"/>
  <c r="U356" i="1"/>
  <c r="AK356" i="1"/>
  <c r="AL356" i="1"/>
  <c r="AP356" i="1" s="1"/>
  <c r="D357" i="1"/>
  <c r="E357" i="1"/>
  <c r="F357" i="1"/>
  <c r="R357" i="1"/>
  <c r="T357" i="1"/>
  <c r="X357" i="1" s="1"/>
  <c r="U357" i="1"/>
  <c r="Y357" i="1" s="1"/>
  <c r="AK357" i="1"/>
  <c r="AL357" i="1"/>
  <c r="AP357" i="1" s="1"/>
  <c r="D358" i="1"/>
  <c r="E358" i="1"/>
  <c r="F358" i="1"/>
  <c r="R358" i="1"/>
  <c r="T358" i="1"/>
  <c r="X358" i="1" s="1"/>
  <c r="U358" i="1"/>
  <c r="Y358" i="1" s="1"/>
  <c r="AK358" i="1"/>
  <c r="AO358" i="1" s="1"/>
  <c r="AL358" i="1"/>
  <c r="AP358" i="1" s="1"/>
  <c r="D359" i="1"/>
  <c r="E359" i="1"/>
  <c r="F359" i="1"/>
  <c r="R359" i="1"/>
  <c r="T359" i="1"/>
  <c r="U359" i="1"/>
  <c r="Y359" i="1" s="1"/>
  <c r="AK359" i="1"/>
  <c r="AO359" i="1" s="1"/>
  <c r="AL359" i="1"/>
  <c r="AP359" i="1" s="1"/>
  <c r="D360" i="1"/>
  <c r="E360" i="1"/>
  <c r="F360" i="1"/>
  <c r="R360" i="1"/>
  <c r="T360" i="1"/>
  <c r="X360" i="1" s="1"/>
  <c r="U360" i="1"/>
  <c r="Y360" i="1" s="1"/>
  <c r="AK360" i="1"/>
  <c r="AL360" i="1"/>
  <c r="AP360" i="1" s="1"/>
  <c r="D324" i="1"/>
  <c r="E324" i="1"/>
  <c r="F324" i="1"/>
  <c r="R324" i="1"/>
  <c r="T324" i="1"/>
  <c r="X324" i="1" s="1"/>
  <c r="U324" i="1"/>
  <c r="Y324" i="1" s="1"/>
  <c r="AK324" i="1"/>
  <c r="AO324" i="1" s="1"/>
  <c r="AL324" i="1"/>
  <c r="AP324" i="1" s="1"/>
  <c r="D325" i="1"/>
  <c r="E325" i="1"/>
  <c r="F325" i="1"/>
  <c r="R325" i="1"/>
  <c r="T325" i="1"/>
  <c r="X325" i="1" s="1"/>
  <c r="U325" i="1"/>
  <c r="Y325" i="1" s="1"/>
  <c r="AK325" i="1"/>
  <c r="AO325" i="1" s="1"/>
  <c r="AL325" i="1"/>
  <c r="AP325" i="1" s="1"/>
  <c r="D326" i="1"/>
  <c r="E326" i="1"/>
  <c r="F326" i="1"/>
  <c r="R326" i="1"/>
  <c r="T326" i="1"/>
  <c r="X326" i="1" s="1"/>
  <c r="U326" i="1"/>
  <c r="Y326" i="1" s="1"/>
  <c r="AK326" i="1"/>
  <c r="AO326" i="1" s="1"/>
  <c r="AL326" i="1"/>
  <c r="AP326" i="1" s="1"/>
  <c r="D327" i="1"/>
  <c r="E327" i="1"/>
  <c r="F327" i="1"/>
  <c r="R327" i="1"/>
  <c r="T327" i="1"/>
  <c r="X327" i="1" s="1"/>
  <c r="U327" i="1"/>
  <c r="Y327" i="1" s="1"/>
  <c r="AK327" i="1"/>
  <c r="AL327" i="1"/>
  <c r="D328" i="1"/>
  <c r="E328" i="1"/>
  <c r="F328" i="1"/>
  <c r="R328" i="1"/>
  <c r="T328" i="1"/>
  <c r="X328" i="1" s="1"/>
  <c r="U328" i="1"/>
  <c r="Y328" i="1" s="1"/>
  <c r="AK328" i="1"/>
  <c r="AO328" i="1" s="1"/>
  <c r="AL328" i="1"/>
  <c r="AP328" i="1" s="1"/>
  <c r="D329" i="1"/>
  <c r="E329" i="1"/>
  <c r="F329" i="1"/>
  <c r="R329" i="1"/>
  <c r="T329" i="1"/>
  <c r="X329" i="1" s="1"/>
  <c r="U329" i="1"/>
  <c r="Y329" i="1" s="1"/>
  <c r="AK329" i="1"/>
  <c r="AO329" i="1" s="1"/>
  <c r="AL329" i="1"/>
  <c r="AP329" i="1" s="1"/>
  <c r="J370" i="14" l="1"/>
  <c r="F372" i="40"/>
  <c r="F375" i="36"/>
  <c r="F413" i="40"/>
  <c r="F416" i="36"/>
  <c r="J411" i="14"/>
  <c r="J449" i="14"/>
  <c r="F455" i="36" s="1"/>
  <c r="F451" i="40"/>
  <c r="S359" i="1"/>
  <c r="I360" i="36" s="1"/>
  <c r="H360" i="36"/>
  <c r="S355" i="1"/>
  <c r="I356" i="36" s="1"/>
  <c r="H356" i="36"/>
  <c r="S345" i="1"/>
  <c r="I346" i="36" s="1"/>
  <c r="H346" i="36"/>
  <c r="S343" i="1"/>
  <c r="I344" i="36" s="1"/>
  <c r="H344" i="36"/>
  <c r="S327" i="1"/>
  <c r="I328" i="36" s="1"/>
  <c r="H328" i="36"/>
  <c r="S353" i="1"/>
  <c r="I354" i="36" s="1"/>
  <c r="H354" i="36"/>
  <c r="S350" i="1"/>
  <c r="I351" i="36" s="1"/>
  <c r="H351" i="36"/>
  <c r="S337" i="1"/>
  <c r="I338" i="36" s="1"/>
  <c r="H338" i="36"/>
  <c r="S336" i="1"/>
  <c r="I337" i="36" s="1"/>
  <c r="H337" i="36"/>
  <c r="S349" i="1"/>
  <c r="I350" i="36" s="1"/>
  <c r="H350" i="36"/>
  <c r="S341" i="1"/>
  <c r="I342" i="36" s="1"/>
  <c r="H342" i="36"/>
  <c r="S329" i="1"/>
  <c r="I330" i="36" s="1"/>
  <c r="H330" i="36"/>
  <c r="S325" i="1"/>
  <c r="I326" i="36" s="1"/>
  <c r="H326" i="36"/>
  <c r="S360" i="1"/>
  <c r="I361" i="36" s="1"/>
  <c r="H361" i="36"/>
  <c r="S358" i="1"/>
  <c r="I359" i="36" s="1"/>
  <c r="H359" i="36"/>
  <c r="S356" i="1"/>
  <c r="I357" i="36" s="1"/>
  <c r="H357" i="36"/>
  <c r="S351" i="1"/>
  <c r="I352" i="36" s="1"/>
  <c r="H352" i="36"/>
  <c r="S348" i="1"/>
  <c r="I349" i="36" s="1"/>
  <c r="H349" i="36"/>
  <c r="S346" i="1"/>
  <c r="I347" i="36" s="1"/>
  <c r="H347" i="36"/>
  <c r="S344" i="1"/>
  <c r="I345" i="36" s="1"/>
  <c r="H345" i="36"/>
  <c r="S342" i="1"/>
  <c r="I343" i="36" s="1"/>
  <c r="H343" i="36"/>
  <c r="S340" i="1"/>
  <c r="I341" i="36" s="1"/>
  <c r="H341" i="36"/>
  <c r="S338" i="1"/>
  <c r="I339" i="36" s="1"/>
  <c r="H339" i="36"/>
  <c r="S335" i="1"/>
  <c r="I336" i="36" s="1"/>
  <c r="H336" i="36"/>
  <c r="S334" i="1"/>
  <c r="I335" i="36" s="1"/>
  <c r="H335" i="36"/>
  <c r="S333" i="1"/>
  <c r="I334" i="36" s="1"/>
  <c r="H334" i="36"/>
  <c r="S332" i="1"/>
  <c r="I333" i="36" s="1"/>
  <c r="H333" i="36"/>
  <c r="S357" i="1"/>
  <c r="I358" i="36" s="1"/>
  <c r="H358" i="36"/>
  <c r="S352" i="1"/>
  <c r="I353" i="36" s="1"/>
  <c r="H353" i="36"/>
  <c r="S347" i="1"/>
  <c r="I348" i="36" s="1"/>
  <c r="H348" i="36"/>
  <c r="S339" i="1"/>
  <c r="I340" i="36" s="1"/>
  <c r="H340" i="36"/>
  <c r="S328" i="1"/>
  <c r="I329" i="36" s="1"/>
  <c r="H329" i="36"/>
  <c r="S326" i="1"/>
  <c r="I327" i="36" s="1"/>
  <c r="H327" i="36"/>
  <c r="S324" i="1"/>
  <c r="I325" i="36" s="1"/>
  <c r="H325" i="36"/>
  <c r="S354" i="1"/>
  <c r="I355" i="36" s="1"/>
  <c r="H355" i="36"/>
  <c r="X355" i="1"/>
  <c r="AO334" i="1"/>
  <c r="AO360" i="1"/>
  <c r="X359" i="1"/>
  <c r="AO340" i="1"/>
  <c r="X337" i="1"/>
  <c r="AP333" i="1"/>
  <c r="AO356" i="1"/>
  <c r="Y352" i="1"/>
  <c r="X351" i="1"/>
  <c r="AO349" i="1"/>
  <c r="Y343" i="1"/>
  <c r="AO332" i="1"/>
  <c r="Y356" i="1"/>
  <c r="X345" i="1"/>
  <c r="AP345" i="1"/>
  <c r="AO342" i="1"/>
  <c r="AP341" i="1"/>
  <c r="Y340" i="1"/>
  <c r="Y335" i="1"/>
  <c r="X334" i="1"/>
  <c r="AP346" i="1"/>
  <c r="AO357" i="1"/>
  <c r="X356" i="1"/>
  <c r="AP354" i="1"/>
  <c r="Y353" i="1"/>
  <c r="AO345" i="1"/>
  <c r="X344" i="1"/>
  <c r="AP338" i="1"/>
  <c r="Y333" i="1"/>
  <c r="X348" i="1"/>
  <c r="X340" i="1"/>
  <c r="Y349" i="1"/>
  <c r="Y341" i="1"/>
  <c r="X336" i="1"/>
  <c r="AP327" i="1"/>
  <c r="AO327" i="1"/>
  <c r="D252" i="1"/>
  <c r="E252" i="1"/>
  <c r="F252" i="1"/>
  <c r="R252" i="1"/>
  <c r="H253" i="36" s="1"/>
  <c r="T252" i="1"/>
  <c r="U252" i="1"/>
  <c r="Y252" i="1" s="1"/>
  <c r="AK252" i="1"/>
  <c r="AO252" i="1" s="1"/>
  <c r="AL252" i="1"/>
  <c r="AP252" i="1" s="1"/>
  <c r="D253" i="1"/>
  <c r="E253" i="1"/>
  <c r="F253" i="1"/>
  <c r="R253" i="1"/>
  <c r="H254" i="36" s="1"/>
  <c r="T253" i="1"/>
  <c r="U253" i="1"/>
  <c r="AK253" i="1"/>
  <c r="AO253" i="1" s="1"/>
  <c r="AL253" i="1"/>
  <c r="AP253" i="1" s="1"/>
  <c r="D254" i="1"/>
  <c r="E254" i="1"/>
  <c r="F254" i="1"/>
  <c r="R254" i="1"/>
  <c r="H255" i="36" s="1"/>
  <c r="T254" i="1"/>
  <c r="X254" i="1" s="1"/>
  <c r="U254" i="1"/>
  <c r="Y254" i="1" s="1"/>
  <c r="AK254" i="1"/>
  <c r="AL254" i="1"/>
  <c r="D255" i="1"/>
  <c r="E255" i="1"/>
  <c r="F255" i="1"/>
  <c r="R255" i="1"/>
  <c r="H256" i="36" s="1"/>
  <c r="T255" i="1"/>
  <c r="X255" i="1" s="1"/>
  <c r="U255" i="1"/>
  <c r="Y255" i="1" s="1"/>
  <c r="AK255" i="1"/>
  <c r="AO255" i="1" s="1"/>
  <c r="AL255" i="1"/>
  <c r="AP255" i="1" s="1"/>
  <c r="D256" i="1"/>
  <c r="E256" i="1"/>
  <c r="F256" i="1"/>
  <c r="R256" i="1"/>
  <c r="H257" i="36" s="1"/>
  <c r="T256" i="1"/>
  <c r="X256" i="1" s="1"/>
  <c r="U256" i="1"/>
  <c r="Y256" i="1" s="1"/>
  <c r="AK256" i="1"/>
  <c r="AO256" i="1" s="1"/>
  <c r="AL256" i="1"/>
  <c r="AP256" i="1" s="1"/>
  <c r="D257" i="1"/>
  <c r="E257" i="1"/>
  <c r="F257" i="1"/>
  <c r="R257" i="1"/>
  <c r="H258" i="36" s="1"/>
  <c r="T257" i="1"/>
  <c r="X257" i="1" s="1"/>
  <c r="U257" i="1"/>
  <c r="Y257" i="1" s="1"/>
  <c r="AK257" i="1"/>
  <c r="AL257" i="1"/>
  <c r="AP257" i="1" s="1"/>
  <c r="D258" i="1"/>
  <c r="E258" i="1"/>
  <c r="F258" i="1"/>
  <c r="R258" i="1"/>
  <c r="H259" i="36" s="1"/>
  <c r="T258" i="1"/>
  <c r="X258" i="1" s="1"/>
  <c r="U258" i="1"/>
  <c r="AK258" i="1"/>
  <c r="AO258" i="1" s="1"/>
  <c r="AL258" i="1"/>
  <c r="AP258" i="1" s="1"/>
  <c r="D259" i="1"/>
  <c r="E259" i="1"/>
  <c r="F259" i="1"/>
  <c r="R259" i="1"/>
  <c r="H260" i="36" s="1"/>
  <c r="T259" i="1"/>
  <c r="X259" i="1" s="1"/>
  <c r="U259" i="1"/>
  <c r="Y259" i="1" s="1"/>
  <c r="AK259" i="1"/>
  <c r="AO259" i="1" s="1"/>
  <c r="AL259" i="1"/>
  <c r="D260" i="1"/>
  <c r="E260" i="1"/>
  <c r="F260" i="1"/>
  <c r="R260" i="1"/>
  <c r="H261" i="36" s="1"/>
  <c r="T260" i="1"/>
  <c r="U260" i="1"/>
  <c r="Y260" i="1" s="1"/>
  <c r="AK260" i="1"/>
  <c r="AO260" i="1" s="1"/>
  <c r="AL260" i="1"/>
  <c r="AP260" i="1" s="1"/>
  <c r="D261" i="1"/>
  <c r="E261" i="1"/>
  <c r="F261" i="1"/>
  <c r="R261" i="1"/>
  <c r="H262" i="36" s="1"/>
  <c r="T261" i="1"/>
  <c r="U261" i="1"/>
  <c r="AK261" i="1"/>
  <c r="AO261" i="1" s="1"/>
  <c r="AL261" i="1"/>
  <c r="AP261" i="1" s="1"/>
  <c r="D262" i="1"/>
  <c r="E262" i="1"/>
  <c r="F262" i="1"/>
  <c r="R262" i="1"/>
  <c r="H263" i="36" s="1"/>
  <c r="T262" i="1"/>
  <c r="X262" i="1" s="1"/>
  <c r="U262" i="1"/>
  <c r="Y262" i="1" s="1"/>
  <c r="AK262" i="1"/>
  <c r="AL262" i="1"/>
  <c r="AP262" i="1" s="1"/>
  <c r="D263" i="1"/>
  <c r="E263" i="1"/>
  <c r="F263" i="1"/>
  <c r="R263" i="1"/>
  <c r="H264" i="36" s="1"/>
  <c r="T263" i="1"/>
  <c r="X263" i="1" s="1"/>
  <c r="U263" i="1"/>
  <c r="Y263" i="1" s="1"/>
  <c r="AK263" i="1"/>
  <c r="AO263" i="1" s="1"/>
  <c r="AL263" i="1"/>
  <c r="D264" i="1"/>
  <c r="E264" i="1"/>
  <c r="F264" i="1"/>
  <c r="R264" i="1"/>
  <c r="H265" i="36" s="1"/>
  <c r="T264" i="1"/>
  <c r="U264" i="1"/>
  <c r="Y264" i="1" s="1"/>
  <c r="AK264" i="1"/>
  <c r="AO264" i="1" s="1"/>
  <c r="AL264" i="1"/>
  <c r="AP264" i="1" s="1"/>
  <c r="D265" i="1"/>
  <c r="E265" i="1"/>
  <c r="F265" i="1"/>
  <c r="R265" i="1"/>
  <c r="H266" i="36" s="1"/>
  <c r="T265" i="1"/>
  <c r="U265" i="1"/>
  <c r="AK265" i="1"/>
  <c r="AO265" i="1" s="1"/>
  <c r="AL265" i="1"/>
  <c r="AP265" i="1" s="1"/>
  <c r="D266" i="1"/>
  <c r="E266" i="1"/>
  <c r="F266" i="1"/>
  <c r="R266" i="1"/>
  <c r="H267" i="36" s="1"/>
  <c r="T266" i="1"/>
  <c r="X266" i="1" s="1"/>
  <c r="U266" i="1"/>
  <c r="Y266" i="1" s="1"/>
  <c r="AK266" i="1"/>
  <c r="AL266" i="1"/>
  <c r="AP266" i="1" s="1"/>
  <c r="D267" i="1"/>
  <c r="E267" i="1"/>
  <c r="F267" i="1"/>
  <c r="R267" i="1"/>
  <c r="H268" i="36" s="1"/>
  <c r="T267" i="1"/>
  <c r="X267" i="1" s="1"/>
  <c r="U267" i="1"/>
  <c r="Y267" i="1" s="1"/>
  <c r="AK267" i="1"/>
  <c r="AO267" i="1" s="1"/>
  <c r="AL267" i="1"/>
  <c r="D268" i="1"/>
  <c r="E268" i="1"/>
  <c r="F268" i="1"/>
  <c r="R268" i="1"/>
  <c r="H269" i="36" s="1"/>
  <c r="T268" i="1"/>
  <c r="X268" i="1" s="1"/>
  <c r="U268" i="1"/>
  <c r="Y268" i="1" s="1"/>
  <c r="AK268" i="1"/>
  <c r="AO268" i="1" s="1"/>
  <c r="AL268" i="1"/>
  <c r="AP268" i="1" s="1"/>
  <c r="D269" i="1"/>
  <c r="E269" i="1"/>
  <c r="F269" i="1"/>
  <c r="R269" i="1"/>
  <c r="H270" i="36" s="1"/>
  <c r="T269" i="1"/>
  <c r="U269" i="1"/>
  <c r="AK269" i="1"/>
  <c r="AO269" i="1" s="1"/>
  <c r="AL269" i="1"/>
  <c r="AP269" i="1" s="1"/>
  <c r="D270" i="1"/>
  <c r="E270" i="1"/>
  <c r="F270" i="1"/>
  <c r="R270" i="1"/>
  <c r="H271" i="36" s="1"/>
  <c r="T270" i="1"/>
  <c r="X270" i="1" s="1"/>
  <c r="U270" i="1"/>
  <c r="Y270" i="1" s="1"/>
  <c r="AK270" i="1"/>
  <c r="AL270" i="1"/>
  <c r="D271" i="1"/>
  <c r="E271" i="1"/>
  <c r="F271" i="1"/>
  <c r="R271" i="1"/>
  <c r="H272" i="36" s="1"/>
  <c r="T271" i="1"/>
  <c r="X271" i="1" s="1"/>
  <c r="U271" i="1"/>
  <c r="Y271" i="1" s="1"/>
  <c r="AK271" i="1"/>
  <c r="AO271" i="1" s="1"/>
  <c r="AL271" i="1"/>
  <c r="AP271" i="1" s="1"/>
  <c r="D272" i="1"/>
  <c r="E272" i="1"/>
  <c r="F272" i="1"/>
  <c r="R272" i="1"/>
  <c r="H273" i="36" s="1"/>
  <c r="T272" i="1"/>
  <c r="X272" i="1" s="1"/>
  <c r="U272" i="1"/>
  <c r="Y272" i="1" s="1"/>
  <c r="AK272" i="1"/>
  <c r="AO272" i="1" s="1"/>
  <c r="AL272" i="1"/>
  <c r="AP272" i="1" s="1"/>
  <c r="D273" i="1"/>
  <c r="E273" i="1"/>
  <c r="F273" i="1"/>
  <c r="R273" i="1"/>
  <c r="H274" i="36" s="1"/>
  <c r="T273" i="1"/>
  <c r="X273" i="1" s="1"/>
  <c r="U273" i="1"/>
  <c r="Y273" i="1" s="1"/>
  <c r="AK273" i="1"/>
  <c r="AL273" i="1"/>
  <c r="AP273" i="1" s="1"/>
  <c r="D274" i="1"/>
  <c r="E274" i="1"/>
  <c r="F274" i="1"/>
  <c r="R274" i="1"/>
  <c r="H275" i="36" s="1"/>
  <c r="T274" i="1"/>
  <c r="X274" i="1" s="1"/>
  <c r="U274" i="1"/>
  <c r="AK274" i="1"/>
  <c r="AO274" i="1" s="1"/>
  <c r="AL274" i="1"/>
  <c r="D275" i="1"/>
  <c r="E275" i="1"/>
  <c r="F275" i="1"/>
  <c r="R275" i="1"/>
  <c r="H276" i="36" s="1"/>
  <c r="T275" i="1"/>
  <c r="X275" i="1" s="1"/>
  <c r="U275" i="1"/>
  <c r="Y275" i="1" s="1"/>
  <c r="AK275" i="1"/>
  <c r="AO275" i="1" s="1"/>
  <c r="AL275" i="1"/>
  <c r="AP275" i="1" s="1"/>
  <c r="D276" i="1"/>
  <c r="E276" i="1"/>
  <c r="F276" i="1"/>
  <c r="R276" i="1"/>
  <c r="H277" i="36" s="1"/>
  <c r="T276" i="1"/>
  <c r="X276" i="1" s="1"/>
  <c r="U276" i="1"/>
  <c r="Y276" i="1" s="1"/>
  <c r="AK276" i="1"/>
  <c r="AO276" i="1" s="1"/>
  <c r="AL276" i="1"/>
  <c r="AP276" i="1" s="1"/>
  <c r="D277" i="1"/>
  <c r="E277" i="1"/>
  <c r="F277" i="1"/>
  <c r="R277" i="1"/>
  <c r="H278" i="36" s="1"/>
  <c r="T277" i="1"/>
  <c r="X277" i="1" s="1"/>
  <c r="U277" i="1"/>
  <c r="Y277" i="1" s="1"/>
  <c r="AK277" i="1"/>
  <c r="AL277" i="1"/>
  <c r="AP277" i="1" s="1"/>
  <c r="D278" i="1"/>
  <c r="E278" i="1"/>
  <c r="F278" i="1"/>
  <c r="R278" i="1"/>
  <c r="H279" i="36" s="1"/>
  <c r="T278" i="1"/>
  <c r="X278" i="1" s="1"/>
  <c r="U278" i="1"/>
  <c r="AK278" i="1"/>
  <c r="AO278" i="1" s="1"/>
  <c r="AL278" i="1"/>
  <c r="D279" i="1"/>
  <c r="E279" i="1"/>
  <c r="F279" i="1"/>
  <c r="R279" i="1"/>
  <c r="H280" i="36" s="1"/>
  <c r="T279" i="1"/>
  <c r="X279" i="1" s="1"/>
  <c r="U279" i="1"/>
  <c r="Y279" i="1" s="1"/>
  <c r="AK279" i="1"/>
  <c r="AO279" i="1" s="1"/>
  <c r="AL279" i="1"/>
  <c r="AP279" i="1" s="1"/>
  <c r="D280" i="1"/>
  <c r="E280" i="1"/>
  <c r="F280" i="1"/>
  <c r="R280" i="1"/>
  <c r="H281" i="36" s="1"/>
  <c r="T280" i="1"/>
  <c r="X280" i="1" s="1"/>
  <c r="U280" i="1"/>
  <c r="Y280" i="1" s="1"/>
  <c r="AK280" i="1"/>
  <c r="AO280" i="1" s="1"/>
  <c r="AL280" i="1"/>
  <c r="AP280" i="1" s="1"/>
  <c r="D281" i="1"/>
  <c r="E281" i="1"/>
  <c r="F281" i="1"/>
  <c r="R281" i="1"/>
  <c r="H282" i="36" s="1"/>
  <c r="T281" i="1"/>
  <c r="X281" i="1" s="1"/>
  <c r="U281" i="1"/>
  <c r="Y281" i="1" s="1"/>
  <c r="AK281" i="1"/>
  <c r="AL281" i="1"/>
  <c r="AP281" i="1" s="1"/>
  <c r="D282" i="1"/>
  <c r="E282" i="1"/>
  <c r="F282" i="1"/>
  <c r="R282" i="1"/>
  <c r="H283" i="36" s="1"/>
  <c r="T282" i="1"/>
  <c r="X282" i="1" s="1"/>
  <c r="U282" i="1"/>
  <c r="AK282" i="1"/>
  <c r="AO282" i="1" s="1"/>
  <c r="AL282" i="1"/>
  <c r="D283" i="1"/>
  <c r="E283" i="1"/>
  <c r="F283" i="1"/>
  <c r="R283" i="1"/>
  <c r="H284" i="36" s="1"/>
  <c r="T283" i="1"/>
  <c r="X283" i="1" s="1"/>
  <c r="U283" i="1"/>
  <c r="Y283" i="1" s="1"/>
  <c r="AK283" i="1"/>
  <c r="AO283" i="1" s="1"/>
  <c r="AL283" i="1"/>
  <c r="AP283" i="1" s="1"/>
  <c r="D284" i="1"/>
  <c r="E284" i="1"/>
  <c r="F284" i="1"/>
  <c r="R284" i="1"/>
  <c r="H285" i="36" s="1"/>
  <c r="T284" i="1"/>
  <c r="X284" i="1" s="1"/>
  <c r="U284" i="1"/>
  <c r="Y284" i="1" s="1"/>
  <c r="AK284" i="1"/>
  <c r="AO284" i="1" s="1"/>
  <c r="AL284" i="1"/>
  <c r="AP284" i="1" s="1"/>
  <c r="D285" i="1"/>
  <c r="E285" i="1"/>
  <c r="F285" i="1"/>
  <c r="R285" i="1"/>
  <c r="H286" i="36" s="1"/>
  <c r="T285" i="1"/>
  <c r="U285" i="1"/>
  <c r="Y285" i="1" s="1"/>
  <c r="AK285" i="1"/>
  <c r="AO285" i="1" s="1"/>
  <c r="AL285" i="1"/>
  <c r="AP285" i="1" s="1"/>
  <c r="D286" i="1"/>
  <c r="E286" i="1"/>
  <c r="F286" i="1"/>
  <c r="R286" i="1"/>
  <c r="H287" i="36" s="1"/>
  <c r="T286" i="1"/>
  <c r="X286" i="1" s="1"/>
  <c r="U286" i="1"/>
  <c r="Y286" i="1" s="1"/>
  <c r="AK286" i="1"/>
  <c r="AO286" i="1" s="1"/>
  <c r="AL286" i="1"/>
  <c r="AP286" i="1" s="1"/>
  <c r="D287" i="1"/>
  <c r="E287" i="1"/>
  <c r="F287" i="1"/>
  <c r="R287" i="1"/>
  <c r="H288" i="36" s="1"/>
  <c r="T287" i="1"/>
  <c r="X287" i="1" s="1"/>
  <c r="U287" i="1"/>
  <c r="Y287" i="1" s="1"/>
  <c r="AK287" i="1"/>
  <c r="AO287" i="1" s="1"/>
  <c r="AL287" i="1"/>
  <c r="AP287" i="1" s="1"/>
  <c r="D288" i="1"/>
  <c r="E288" i="1"/>
  <c r="F288" i="1"/>
  <c r="R288" i="1"/>
  <c r="H289" i="36" s="1"/>
  <c r="T288" i="1"/>
  <c r="U288" i="1"/>
  <c r="Y288" i="1" s="1"/>
  <c r="AK288" i="1"/>
  <c r="AO288" i="1" s="1"/>
  <c r="AL288" i="1"/>
  <c r="AP288" i="1" s="1"/>
  <c r="D289" i="1"/>
  <c r="E289" i="1"/>
  <c r="F289" i="1"/>
  <c r="R289" i="1"/>
  <c r="H290" i="36" s="1"/>
  <c r="T289" i="1"/>
  <c r="U289" i="1"/>
  <c r="Y289" i="1" s="1"/>
  <c r="AK289" i="1"/>
  <c r="AO289" i="1" s="1"/>
  <c r="AL289" i="1"/>
  <c r="AP289" i="1" s="1"/>
  <c r="E251" i="1"/>
  <c r="C251" i="1" s="1"/>
  <c r="D251" i="1"/>
  <c r="D311" i="1"/>
  <c r="E311" i="1"/>
  <c r="F311" i="1"/>
  <c r="R311" i="1"/>
  <c r="T311" i="1"/>
  <c r="X311" i="1" s="1"/>
  <c r="U311" i="1"/>
  <c r="Y311" i="1" s="1"/>
  <c r="AK311" i="1"/>
  <c r="AO311" i="1" s="1"/>
  <c r="AL311" i="1"/>
  <c r="AP311" i="1" s="1"/>
  <c r="D312" i="1"/>
  <c r="E312" i="1"/>
  <c r="F312" i="1"/>
  <c r="R312" i="1"/>
  <c r="H313" i="36" s="1"/>
  <c r="T312" i="1"/>
  <c r="X312" i="1" s="1"/>
  <c r="U312" i="1"/>
  <c r="Y312" i="1" s="1"/>
  <c r="AK312" i="1"/>
  <c r="AL312" i="1"/>
  <c r="AP312" i="1" s="1"/>
  <c r="D313" i="1"/>
  <c r="E313" i="1"/>
  <c r="F313" i="1"/>
  <c r="R313" i="1"/>
  <c r="H314" i="36" s="1"/>
  <c r="T313" i="1"/>
  <c r="X313" i="1" s="1"/>
  <c r="U313" i="1"/>
  <c r="Y313" i="1" s="1"/>
  <c r="AK313" i="1"/>
  <c r="AO313" i="1" s="1"/>
  <c r="AL313" i="1"/>
  <c r="AP313" i="1" s="1"/>
  <c r="D314" i="1"/>
  <c r="E314" i="1"/>
  <c r="F314" i="1"/>
  <c r="R314" i="1"/>
  <c r="H315" i="36" s="1"/>
  <c r="T314" i="1"/>
  <c r="X314" i="1" s="1"/>
  <c r="U314" i="1"/>
  <c r="Y314" i="1" s="1"/>
  <c r="AK314" i="1"/>
  <c r="AO314" i="1" s="1"/>
  <c r="AL314" i="1"/>
  <c r="AP314" i="1" s="1"/>
  <c r="D315" i="1"/>
  <c r="E315" i="1"/>
  <c r="F315" i="1"/>
  <c r="R315" i="1"/>
  <c r="H316" i="36" s="1"/>
  <c r="T315" i="1"/>
  <c r="X315" i="1" s="1"/>
  <c r="U315" i="1"/>
  <c r="Y315" i="1" s="1"/>
  <c r="AK315" i="1"/>
  <c r="AO315" i="1" s="1"/>
  <c r="AL315" i="1"/>
  <c r="AP315" i="1" s="1"/>
  <c r="D316" i="1"/>
  <c r="E316" i="1"/>
  <c r="F316" i="1"/>
  <c r="R316" i="1"/>
  <c r="H317" i="36" s="1"/>
  <c r="T316" i="1"/>
  <c r="X316" i="1" s="1"/>
  <c r="U316" i="1"/>
  <c r="Y316" i="1" s="1"/>
  <c r="AK316" i="1"/>
  <c r="AL316" i="1"/>
  <c r="AP316" i="1" s="1"/>
  <c r="D317" i="1"/>
  <c r="E317" i="1"/>
  <c r="F317" i="1"/>
  <c r="R317" i="1"/>
  <c r="H318" i="36" s="1"/>
  <c r="T317" i="1"/>
  <c r="X317" i="1" s="1"/>
  <c r="U317" i="1"/>
  <c r="Y317" i="1" s="1"/>
  <c r="AK317" i="1"/>
  <c r="AO317" i="1" s="1"/>
  <c r="AL317" i="1"/>
  <c r="AP317" i="1" s="1"/>
  <c r="D318" i="1"/>
  <c r="E318" i="1"/>
  <c r="F318" i="1"/>
  <c r="R318" i="1"/>
  <c r="H319" i="36" s="1"/>
  <c r="T318" i="1"/>
  <c r="X318" i="1" s="1"/>
  <c r="U318" i="1"/>
  <c r="Y318" i="1" s="1"/>
  <c r="AK318" i="1"/>
  <c r="AO318" i="1" s="1"/>
  <c r="AL318" i="1"/>
  <c r="AP318" i="1" s="1"/>
  <c r="D319" i="1"/>
  <c r="E319" i="1"/>
  <c r="F319" i="1"/>
  <c r="R319" i="1"/>
  <c r="H320" i="36" s="1"/>
  <c r="T319" i="1"/>
  <c r="X319" i="1" s="1"/>
  <c r="U319" i="1"/>
  <c r="Y319" i="1" s="1"/>
  <c r="AK319" i="1"/>
  <c r="AO319" i="1" s="1"/>
  <c r="AL319" i="1"/>
  <c r="AP319" i="1" s="1"/>
  <c r="D320" i="1"/>
  <c r="E320" i="1"/>
  <c r="F320" i="1"/>
  <c r="R320" i="1"/>
  <c r="H321" i="36" s="1"/>
  <c r="T320" i="1"/>
  <c r="X320" i="1" s="1"/>
  <c r="U320" i="1"/>
  <c r="Y320" i="1" s="1"/>
  <c r="AK320" i="1"/>
  <c r="AL320" i="1"/>
  <c r="AP320" i="1" s="1"/>
  <c r="D321" i="1"/>
  <c r="E321" i="1"/>
  <c r="F321" i="1"/>
  <c r="R321" i="1"/>
  <c r="H322" i="36" s="1"/>
  <c r="T321" i="1"/>
  <c r="X321" i="1" s="1"/>
  <c r="U321" i="1"/>
  <c r="Y321" i="1" s="1"/>
  <c r="AK321" i="1"/>
  <c r="AO321" i="1" s="1"/>
  <c r="AL321" i="1"/>
  <c r="AP321" i="1" s="1"/>
  <c r="D322" i="1"/>
  <c r="E322" i="1"/>
  <c r="F322" i="1"/>
  <c r="R322" i="1"/>
  <c r="H323" i="36" s="1"/>
  <c r="T322" i="1"/>
  <c r="X322" i="1" s="1"/>
  <c r="U322" i="1"/>
  <c r="Y322" i="1" s="1"/>
  <c r="AK322" i="1"/>
  <c r="AO322" i="1" s="1"/>
  <c r="AL322" i="1"/>
  <c r="AP322" i="1" s="1"/>
  <c r="D323" i="1"/>
  <c r="E323" i="1"/>
  <c r="F323" i="1"/>
  <c r="R323" i="1"/>
  <c r="H324" i="36" s="1"/>
  <c r="T323" i="1"/>
  <c r="X323" i="1" s="1"/>
  <c r="U323" i="1"/>
  <c r="Y323" i="1" s="1"/>
  <c r="AK323" i="1"/>
  <c r="AO323" i="1" s="1"/>
  <c r="AL323" i="1"/>
  <c r="AP323" i="1" s="1"/>
  <c r="D237" i="1"/>
  <c r="E237" i="1"/>
  <c r="F237" i="1"/>
  <c r="R237" i="1"/>
  <c r="T237" i="1"/>
  <c r="X237" i="1" s="1"/>
  <c r="U237" i="1"/>
  <c r="Y237" i="1" s="1"/>
  <c r="AK237" i="1"/>
  <c r="AL237" i="1"/>
  <c r="AP237" i="1" s="1"/>
  <c r="D238" i="1"/>
  <c r="E238" i="1"/>
  <c r="F238" i="1"/>
  <c r="R238" i="1"/>
  <c r="T238" i="1"/>
  <c r="X238" i="1" s="1"/>
  <c r="U238" i="1"/>
  <c r="Y238" i="1" s="1"/>
  <c r="AK238" i="1"/>
  <c r="AO238" i="1" s="1"/>
  <c r="AL238" i="1"/>
  <c r="AP238" i="1" s="1"/>
  <c r="D239" i="1"/>
  <c r="E239" i="1"/>
  <c r="F239" i="1"/>
  <c r="R239" i="1"/>
  <c r="T239" i="1"/>
  <c r="U239" i="1"/>
  <c r="Y239" i="1" s="1"/>
  <c r="AK239" i="1"/>
  <c r="AL239" i="1"/>
  <c r="D240" i="1"/>
  <c r="E240" i="1"/>
  <c r="F240" i="1"/>
  <c r="R240" i="1"/>
  <c r="T240" i="1"/>
  <c r="X240" i="1" s="1"/>
  <c r="U240" i="1"/>
  <c r="Y240" i="1" s="1"/>
  <c r="AK240" i="1"/>
  <c r="AO240" i="1" s="1"/>
  <c r="AL240" i="1"/>
  <c r="AP240" i="1" s="1"/>
  <c r="D241" i="1"/>
  <c r="E241" i="1"/>
  <c r="F241" i="1"/>
  <c r="R241" i="1"/>
  <c r="T241" i="1"/>
  <c r="U241" i="1"/>
  <c r="Y241" i="1" s="1"/>
  <c r="AK241" i="1"/>
  <c r="AO241" i="1" s="1"/>
  <c r="AL241" i="1"/>
  <c r="AP241" i="1" s="1"/>
  <c r="D242" i="1"/>
  <c r="E242" i="1"/>
  <c r="F242" i="1"/>
  <c r="R242" i="1"/>
  <c r="T242" i="1"/>
  <c r="X242" i="1" s="1"/>
  <c r="U242" i="1"/>
  <c r="Y242" i="1" s="1"/>
  <c r="AK242" i="1"/>
  <c r="AL242" i="1"/>
  <c r="AP242" i="1" s="1"/>
  <c r="D243" i="1"/>
  <c r="E243" i="1"/>
  <c r="F243" i="1"/>
  <c r="R243" i="1"/>
  <c r="T243" i="1"/>
  <c r="U243" i="1"/>
  <c r="Y243" i="1" s="1"/>
  <c r="AK243" i="1"/>
  <c r="AL243" i="1"/>
  <c r="D244" i="1"/>
  <c r="E244" i="1"/>
  <c r="F244" i="1"/>
  <c r="R244" i="1"/>
  <c r="T244" i="1"/>
  <c r="X244" i="1" s="1"/>
  <c r="U244" i="1"/>
  <c r="Y244" i="1" s="1"/>
  <c r="AK244" i="1"/>
  <c r="AO244" i="1" s="1"/>
  <c r="AL244" i="1"/>
  <c r="AP244" i="1" s="1"/>
  <c r="D245" i="1"/>
  <c r="E245" i="1"/>
  <c r="F245" i="1"/>
  <c r="R245" i="1"/>
  <c r="T245" i="1"/>
  <c r="X245" i="1" s="1"/>
  <c r="U245" i="1"/>
  <c r="Y245" i="1" s="1"/>
  <c r="AK245" i="1"/>
  <c r="AO245" i="1" s="1"/>
  <c r="AL245" i="1"/>
  <c r="D246" i="1"/>
  <c r="E246" i="1"/>
  <c r="F246" i="1"/>
  <c r="R246" i="1"/>
  <c r="T246" i="1"/>
  <c r="X246" i="1" s="1"/>
  <c r="U246" i="1"/>
  <c r="Y246" i="1" s="1"/>
  <c r="AK246" i="1"/>
  <c r="AO246" i="1" s="1"/>
  <c r="AL246" i="1"/>
  <c r="AP246" i="1" s="1"/>
  <c r="D247" i="1"/>
  <c r="E247" i="1"/>
  <c r="F247" i="1"/>
  <c r="R247" i="1"/>
  <c r="T247" i="1"/>
  <c r="X247" i="1" s="1"/>
  <c r="U247" i="1"/>
  <c r="Y247" i="1" s="1"/>
  <c r="AK247" i="1"/>
  <c r="AO247" i="1" s="1"/>
  <c r="AL247" i="1"/>
  <c r="D248" i="1"/>
  <c r="E248" i="1"/>
  <c r="F248" i="1"/>
  <c r="R248" i="1"/>
  <c r="T248" i="1"/>
  <c r="X248" i="1" s="1"/>
  <c r="U248" i="1"/>
  <c r="AK248" i="1"/>
  <c r="AO248" i="1" s="1"/>
  <c r="AL248" i="1"/>
  <c r="AP248" i="1" s="1"/>
  <c r="D249" i="1"/>
  <c r="E249" i="1"/>
  <c r="F249" i="1"/>
  <c r="R249" i="1"/>
  <c r="T249" i="1"/>
  <c r="X249" i="1" s="1"/>
  <c r="U249" i="1"/>
  <c r="AK249" i="1"/>
  <c r="AO249" i="1" s="1"/>
  <c r="AL249" i="1"/>
  <c r="AP249" i="1" s="1"/>
  <c r="F251" i="1"/>
  <c r="R251" i="1"/>
  <c r="T251" i="1"/>
  <c r="X251" i="1" s="1"/>
  <c r="U251" i="1"/>
  <c r="AK251" i="1"/>
  <c r="AL251" i="1"/>
  <c r="AP251" i="1" s="1"/>
  <c r="J412" i="14" l="1"/>
  <c r="F414" i="40"/>
  <c r="F417" i="36"/>
  <c r="J371" i="14"/>
  <c r="F373" i="40"/>
  <c r="F376" i="36"/>
  <c r="J450" i="14"/>
  <c r="F456" i="36" s="1"/>
  <c r="F452" i="40"/>
  <c r="S249" i="1"/>
  <c r="I250" i="36" s="1"/>
  <c r="H250" i="36"/>
  <c r="S247" i="1"/>
  <c r="I248" i="36" s="1"/>
  <c r="H248" i="36"/>
  <c r="S245" i="1"/>
  <c r="I246" i="36" s="1"/>
  <c r="H246" i="36"/>
  <c r="S243" i="1"/>
  <c r="I244" i="36" s="1"/>
  <c r="H244" i="36"/>
  <c r="S241" i="1"/>
  <c r="I242" i="36" s="1"/>
  <c r="H242" i="36"/>
  <c r="S239" i="1"/>
  <c r="I240" i="36" s="1"/>
  <c r="H240" i="36"/>
  <c r="S237" i="1"/>
  <c r="I238" i="36" s="1"/>
  <c r="H238" i="36"/>
  <c r="S311" i="1"/>
  <c r="I312" i="36" s="1"/>
  <c r="H312" i="36"/>
  <c r="S251" i="1"/>
  <c r="I252" i="36" s="1"/>
  <c r="H252" i="36"/>
  <c r="S248" i="1"/>
  <c r="I249" i="36" s="1"/>
  <c r="H249" i="36"/>
  <c r="S246" i="1"/>
  <c r="I247" i="36" s="1"/>
  <c r="H247" i="36"/>
  <c r="S244" i="1"/>
  <c r="I245" i="36" s="1"/>
  <c r="H245" i="36"/>
  <c r="S242" i="1"/>
  <c r="I243" i="36" s="1"/>
  <c r="H243" i="36"/>
  <c r="S240" i="1"/>
  <c r="I241" i="36" s="1"/>
  <c r="H241" i="36"/>
  <c r="S238" i="1"/>
  <c r="I239" i="36" s="1"/>
  <c r="H239" i="36"/>
  <c r="S321" i="1"/>
  <c r="I322" i="36" s="1"/>
  <c r="S280" i="1"/>
  <c r="I281" i="36" s="1"/>
  <c r="S278" i="1"/>
  <c r="I279" i="36" s="1"/>
  <c r="S260" i="1"/>
  <c r="I261" i="36" s="1"/>
  <c r="S323" i="1"/>
  <c r="I324" i="36" s="1"/>
  <c r="S320" i="1"/>
  <c r="I321" i="36" s="1"/>
  <c r="S315" i="1"/>
  <c r="I316" i="36" s="1"/>
  <c r="S284" i="1"/>
  <c r="I285" i="36" s="1"/>
  <c r="S283" i="1"/>
  <c r="I284" i="36" s="1"/>
  <c r="S281" i="1"/>
  <c r="I282" i="36" s="1"/>
  <c r="S277" i="1"/>
  <c r="I278" i="36" s="1"/>
  <c r="S276" i="1"/>
  <c r="I277" i="36" s="1"/>
  <c r="S271" i="1"/>
  <c r="I272" i="36" s="1"/>
  <c r="S270" i="1"/>
  <c r="I271" i="36" s="1"/>
  <c r="S263" i="1"/>
  <c r="I264" i="36" s="1"/>
  <c r="S253" i="1"/>
  <c r="I254" i="36" s="1"/>
  <c r="S252" i="1"/>
  <c r="I253" i="36" s="1"/>
  <c r="S313" i="1"/>
  <c r="I314" i="36" s="1"/>
  <c r="S312" i="1"/>
  <c r="I313" i="36" s="1"/>
  <c r="S285" i="1"/>
  <c r="I286" i="36" s="1"/>
  <c r="S272" i="1"/>
  <c r="I273" i="36" s="1"/>
  <c r="S264" i="1"/>
  <c r="I265" i="36" s="1"/>
  <c r="S261" i="1"/>
  <c r="I262" i="36" s="1"/>
  <c r="S258" i="1"/>
  <c r="I259" i="36" s="1"/>
  <c r="S257" i="1"/>
  <c r="I258" i="36" s="1"/>
  <c r="S254" i="1"/>
  <c r="I255" i="36" s="1"/>
  <c r="S317" i="1"/>
  <c r="I318" i="36" s="1"/>
  <c r="S316" i="1"/>
  <c r="I317" i="36" s="1"/>
  <c r="S314" i="1"/>
  <c r="I315" i="36" s="1"/>
  <c r="S289" i="1"/>
  <c r="I290" i="36" s="1"/>
  <c r="S288" i="1"/>
  <c r="I289" i="36" s="1"/>
  <c r="S286" i="1"/>
  <c r="I287" i="36" s="1"/>
  <c r="S275" i="1"/>
  <c r="I276" i="36" s="1"/>
  <c r="S274" i="1"/>
  <c r="I275" i="36" s="1"/>
  <c r="S273" i="1"/>
  <c r="I274" i="36" s="1"/>
  <c r="S269" i="1"/>
  <c r="I270" i="36" s="1"/>
  <c r="S268" i="1"/>
  <c r="I269" i="36" s="1"/>
  <c r="S262" i="1"/>
  <c r="I263" i="36" s="1"/>
  <c r="S256" i="1"/>
  <c r="I257" i="36" s="1"/>
  <c r="S318" i="1"/>
  <c r="I319" i="36" s="1"/>
  <c r="S282" i="1"/>
  <c r="I283" i="36" s="1"/>
  <c r="S279" i="1"/>
  <c r="I280" i="36" s="1"/>
  <c r="S322" i="1"/>
  <c r="I323" i="36" s="1"/>
  <c r="S319" i="1"/>
  <c r="I320" i="36" s="1"/>
  <c r="S287" i="1"/>
  <c r="I288" i="36" s="1"/>
  <c r="S267" i="1"/>
  <c r="I268" i="36" s="1"/>
  <c r="S266" i="1"/>
  <c r="I267" i="36" s="1"/>
  <c r="S265" i="1"/>
  <c r="I266" i="36" s="1"/>
  <c r="S259" i="1"/>
  <c r="I260" i="36" s="1"/>
  <c r="S255" i="1"/>
  <c r="I256" i="36" s="1"/>
  <c r="C252" i="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X289" i="1"/>
  <c r="X288" i="1"/>
  <c r="X285" i="1"/>
  <c r="Y282" i="1"/>
  <c r="AO281" i="1"/>
  <c r="Y278" i="1"/>
  <c r="AO277" i="1"/>
  <c r="Y274" i="1"/>
  <c r="AO273" i="1"/>
  <c r="AP270" i="1"/>
  <c r="Y269" i="1"/>
  <c r="AP267" i="1"/>
  <c r="AO266" i="1"/>
  <c r="Y265" i="1"/>
  <c r="AP263" i="1"/>
  <c r="AO262" i="1"/>
  <c r="Y261" i="1"/>
  <c r="AP259" i="1"/>
  <c r="AP282" i="1"/>
  <c r="AP278" i="1"/>
  <c r="AP274" i="1"/>
  <c r="AO270" i="1"/>
  <c r="X269" i="1"/>
  <c r="X265" i="1"/>
  <c r="X264" i="1"/>
  <c r="X261" i="1"/>
  <c r="X260" i="1"/>
  <c r="Y258" i="1"/>
  <c r="AO257" i="1"/>
  <c r="AP254" i="1"/>
  <c r="Y253" i="1"/>
  <c r="X252" i="1"/>
  <c r="AO254" i="1"/>
  <c r="X253" i="1"/>
  <c r="AO316" i="1"/>
  <c r="AO312" i="1"/>
  <c r="AO320" i="1"/>
  <c r="AO237" i="1"/>
  <c r="AP245" i="1"/>
  <c r="AO239" i="1"/>
  <c r="X243" i="1"/>
  <c r="Y249" i="1"/>
  <c r="AO251" i="1"/>
  <c r="Y248" i="1"/>
  <c r="AO243" i="1"/>
  <c r="X239" i="1"/>
  <c r="AP243" i="1"/>
  <c r="AP247" i="1"/>
  <c r="AO242" i="1"/>
  <c r="X241" i="1"/>
  <c r="AP239" i="1"/>
  <c r="Y251" i="1"/>
  <c r="J413" i="14" l="1"/>
  <c r="F415" i="40"/>
  <c r="F418" i="36"/>
  <c r="J372" i="14"/>
  <c r="F374" i="40"/>
  <c r="F377" i="36"/>
  <c r="J451" i="14"/>
  <c r="F457" i="36" s="1"/>
  <c r="F453" i="40"/>
  <c r="B170" i="40"/>
  <c r="C170" i="40"/>
  <c r="D170" i="40"/>
  <c r="E170" i="40"/>
  <c r="B171" i="40"/>
  <c r="C171" i="40"/>
  <c r="D171" i="40"/>
  <c r="E171" i="40"/>
  <c r="B172" i="40"/>
  <c r="C172" i="40"/>
  <c r="D172" i="40"/>
  <c r="E172" i="40"/>
  <c r="B173" i="40"/>
  <c r="C173" i="40"/>
  <c r="D173" i="40"/>
  <c r="E173" i="40"/>
  <c r="B174" i="40"/>
  <c r="C174" i="40"/>
  <c r="D174" i="40"/>
  <c r="E174" i="40"/>
  <c r="B175" i="40"/>
  <c r="C175" i="40"/>
  <c r="D175" i="40"/>
  <c r="E175" i="40"/>
  <c r="B176" i="40"/>
  <c r="C176" i="40"/>
  <c r="D176" i="40"/>
  <c r="E176" i="40"/>
  <c r="B177" i="40"/>
  <c r="C177" i="40"/>
  <c r="D177" i="40"/>
  <c r="E177" i="40"/>
  <c r="B178" i="40"/>
  <c r="C178" i="40"/>
  <c r="D178" i="40"/>
  <c r="E178" i="40"/>
  <c r="B179" i="40"/>
  <c r="C179" i="40"/>
  <c r="D179" i="40"/>
  <c r="E179" i="40"/>
  <c r="B180" i="40"/>
  <c r="C180" i="40"/>
  <c r="D180" i="40"/>
  <c r="E180" i="40"/>
  <c r="B181" i="40"/>
  <c r="C181" i="40"/>
  <c r="D181" i="40"/>
  <c r="E181" i="40"/>
  <c r="B182" i="40"/>
  <c r="C182" i="40"/>
  <c r="D182" i="40"/>
  <c r="E182" i="40"/>
  <c r="B183" i="40"/>
  <c r="C183" i="40"/>
  <c r="D183" i="40"/>
  <c r="E183" i="40"/>
  <c r="B184" i="40"/>
  <c r="C184" i="40"/>
  <c r="D184" i="40"/>
  <c r="E184" i="40"/>
  <c r="B185" i="40"/>
  <c r="C185" i="40"/>
  <c r="D185" i="40"/>
  <c r="E185" i="40"/>
  <c r="B186" i="40"/>
  <c r="C186" i="40"/>
  <c r="D186" i="40"/>
  <c r="E186" i="40"/>
  <c r="B187" i="40"/>
  <c r="C187" i="40"/>
  <c r="D187" i="40"/>
  <c r="E187" i="40"/>
  <c r="B188" i="40"/>
  <c r="C188" i="40"/>
  <c r="D188" i="40"/>
  <c r="E188" i="40"/>
  <c r="B189" i="40"/>
  <c r="C189" i="40"/>
  <c r="D189" i="40"/>
  <c r="E189" i="40"/>
  <c r="B190" i="40"/>
  <c r="C190" i="40"/>
  <c r="D190" i="40"/>
  <c r="E190" i="40"/>
  <c r="B191" i="40"/>
  <c r="C191" i="40"/>
  <c r="D191" i="40"/>
  <c r="E191" i="40"/>
  <c r="B192" i="40"/>
  <c r="C192" i="40"/>
  <c r="D192" i="40"/>
  <c r="E192" i="40"/>
  <c r="B193" i="40"/>
  <c r="C193" i="40"/>
  <c r="D193" i="40"/>
  <c r="E193" i="40"/>
  <c r="B194" i="40"/>
  <c r="C194" i="40"/>
  <c r="D194" i="40"/>
  <c r="E194" i="40"/>
  <c r="B195" i="40"/>
  <c r="C195" i="40"/>
  <c r="D195" i="40"/>
  <c r="E195" i="40"/>
  <c r="B196" i="40"/>
  <c r="C196" i="40"/>
  <c r="D196" i="40"/>
  <c r="E196" i="40"/>
  <c r="B197" i="40"/>
  <c r="C197" i="40"/>
  <c r="D197" i="40"/>
  <c r="E197" i="40"/>
  <c r="B198" i="40"/>
  <c r="C198" i="40"/>
  <c r="D198" i="40"/>
  <c r="E198" i="40"/>
  <c r="B199" i="40"/>
  <c r="C199" i="40"/>
  <c r="D199" i="40"/>
  <c r="E199" i="40"/>
  <c r="B200" i="40"/>
  <c r="C200" i="40"/>
  <c r="D200" i="40"/>
  <c r="E200" i="40"/>
  <c r="B201" i="40"/>
  <c r="C201" i="40"/>
  <c r="D201" i="40"/>
  <c r="E201" i="40"/>
  <c r="B202" i="40"/>
  <c r="C202" i="40"/>
  <c r="D202" i="40"/>
  <c r="E202" i="40"/>
  <c r="B203" i="40"/>
  <c r="C203" i="40"/>
  <c r="D203" i="40"/>
  <c r="E203" i="40"/>
  <c r="B204" i="40"/>
  <c r="C204" i="40"/>
  <c r="D204" i="40"/>
  <c r="E204" i="40"/>
  <c r="B205" i="40"/>
  <c r="C205" i="40"/>
  <c r="D205" i="40"/>
  <c r="E205" i="40"/>
  <c r="B206" i="40"/>
  <c r="C206" i="40"/>
  <c r="D206" i="40"/>
  <c r="E206" i="40"/>
  <c r="B207" i="40"/>
  <c r="C207" i="40"/>
  <c r="D207" i="40"/>
  <c r="E207" i="40"/>
  <c r="B130" i="40"/>
  <c r="C130" i="40"/>
  <c r="D130" i="40"/>
  <c r="E130" i="40"/>
  <c r="B131" i="40"/>
  <c r="C131" i="40"/>
  <c r="D131" i="40"/>
  <c r="E131" i="40"/>
  <c r="B132" i="40"/>
  <c r="C132" i="40"/>
  <c r="D132" i="40"/>
  <c r="E132" i="40"/>
  <c r="B133" i="40"/>
  <c r="C133" i="40"/>
  <c r="D133" i="40"/>
  <c r="E133" i="40"/>
  <c r="B134" i="40"/>
  <c r="C134" i="40"/>
  <c r="D134" i="40"/>
  <c r="E134" i="40"/>
  <c r="B135" i="40"/>
  <c r="C135" i="40"/>
  <c r="D135" i="40"/>
  <c r="E135" i="40"/>
  <c r="B136" i="40"/>
  <c r="C136" i="40"/>
  <c r="D136" i="40"/>
  <c r="E136" i="40"/>
  <c r="B137" i="40"/>
  <c r="C137" i="40"/>
  <c r="D137" i="40"/>
  <c r="E137" i="40"/>
  <c r="B138" i="40"/>
  <c r="C138" i="40"/>
  <c r="D138" i="40"/>
  <c r="E138" i="40"/>
  <c r="B139" i="40"/>
  <c r="C139" i="40"/>
  <c r="D139" i="40"/>
  <c r="E139" i="40"/>
  <c r="B140" i="40"/>
  <c r="C140" i="40"/>
  <c r="D140" i="40"/>
  <c r="E140" i="40"/>
  <c r="B141" i="40"/>
  <c r="C141" i="40"/>
  <c r="D141" i="40"/>
  <c r="E141" i="40"/>
  <c r="B142" i="40"/>
  <c r="C142" i="40"/>
  <c r="D142" i="40"/>
  <c r="E142" i="40"/>
  <c r="B143" i="40"/>
  <c r="C143" i="40"/>
  <c r="D143" i="40"/>
  <c r="E143" i="40"/>
  <c r="B144" i="40"/>
  <c r="C144" i="40"/>
  <c r="D144" i="40"/>
  <c r="E144" i="40"/>
  <c r="B145" i="40"/>
  <c r="C145" i="40"/>
  <c r="D145" i="40"/>
  <c r="E145" i="40"/>
  <c r="B146" i="40"/>
  <c r="C146" i="40"/>
  <c r="D146" i="40"/>
  <c r="E146" i="40"/>
  <c r="B147" i="40"/>
  <c r="C147" i="40"/>
  <c r="D147" i="40"/>
  <c r="E147" i="40"/>
  <c r="B148" i="40"/>
  <c r="C148" i="40"/>
  <c r="D148" i="40"/>
  <c r="E148" i="40"/>
  <c r="B149" i="40"/>
  <c r="C149" i="40"/>
  <c r="D149" i="40"/>
  <c r="E149" i="40"/>
  <c r="B150" i="40"/>
  <c r="C150" i="40"/>
  <c r="D150" i="40"/>
  <c r="E150" i="40"/>
  <c r="B151" i="40"/>
  <c r="C151" i="40"/>
  <c r="D151" i="40"/>
  <c r="E151" i="40"/>
  <c r="B152" i="40"/>
  <c r="C152" i="40"/>
  <c r="D152" i="40"/>
  <c r="E152" i="40"/>
  <c r="B153" i="40"/>
  <c r="C153" i="40"/>
  <c r="D153" i="40"/>
  <c r="E153" i="40"/>
  <c r="B154" i="40"/>
  <c r="C154" i="40"/>
  <c r="D154" i="40"/>
  <c r="E154" i="40"/>
  <c r="B155" i="40"/>
  <c r="C155" i="40"/>
  <c r="D155" i="40"/>
  <c r="E155" i="40"/>
  <c r="B156" i="40"/>
  <c r="C156" i="40"/>
  <c r="D156" i="40"/>
  <c r="E156" i="40"/>
  <c r="B157" i="40"/>
  <c r="C157" i="40"/>
  <c r="D157" i="40"/>
  <c r="E157" i="40"/>
  <c r="B158" i="40"/>
  <c r="C158" i="40"/>
  <c r="D158" i="40"/>
  <c r="E158" i="40"/>
  <c r="B159" i="40"/>
  <c r="C159" i="40"/>
  <c r="D159" i="40"/>
  <c r="E159" i="40"/>
  <c r="B160" i="40"/>
  <c r="C160" i="40"/>
  <c r="D160" i="40"/>
  <c r="E160" i="40"/>
  <c r="B161" i="40"/>
  <c r="C161" i="40"/>
  <c r="D161" i="40"/>
  <c r="E161" i="40"/>
  <c r="B162" i="40"/>
  <c r="C162" i="40"/>
  <c r="D162" i="40"/>
  <c r="E162" i="40"/>
  <c r="B163" i="40"/>
  <c r="C163" i="40"/>
  <c r="D163" i="40"/>
  <c r="E163" i="40"/>
  <c r="B164" i="40"/>
  <c r="C164" i="40"/>
  <c r="D164" i="40"/>
  <c r="E164" i="40"/>
  <c r="B165" i="40"/>
  <c r="C165" i="40"/>
  <c r="D165" i="40"/>
  <c r="E165" i="40"/>
  <c r="B166" i="40"/>
  <c r="C166" i="40"/>
  <c r="D166" i="40"/>
  <c r="E166" i="40"/>
  <c r="B167" i="40"/>
  <c r="C167" i="40"/>
  <c r="D167" i="40"/>
  <c r="E167" i="40"/>
  <c r="B90" i="40"/>
  <c r="C90" i="40"/>
  <c r="D90" i="40"/>
  <c r="E90" i="40"/>
  <c r="B91" i="40"/>
  <c r="C91" i="40"/>
  <c r="D91" i="40"/>
  <c r="E91" i="40"/>
  <c r="B92" i="40"/>
  <c r="C92" i="40"/>
  <c r="D92" i="40"/>
  <c r="E92" i="40"/>
  <c r="B93" i="40"/>
  <c r="C93" i="40"/>
  <c r="D93" i="40"/>
  <c r="E93" i="40"/>
  <c r="B94" i="40"/>
  <c r="C94" i="40"/>
  <c r="D94" i="40"/>
  <c r="E94" i="40"/>
  <c r="B95" i="40"/>
  <c r="C95" i="40"/>
  <c r="D95" i="40"/>
  <c r="E95" i="40"/>
  <c r="B96" i="40"/>
  <c r="C96" i="40"/>
  <c r="D96" i="40"/>
  <c r="E96" i="40"/>
  <c r="B97" i="40"/>
  <c r="C97" i="40"/>
  <c r="D97" i="40"/>
  <c r="E97" i="40"/>
  <c r="B98" i="40"/>
  <c r="C98" i="40"/>
  <c r="D98" i="40"/>
  <c r="E98" i="40"/>
  <c r="B99" i="40"/>
  <c r="C99" i="40"/>
  <c r="D99" i="40"/>
  <c r="E99" i="40"/>
  <c r="B100" i="40"/>
  <c r="C100" i="40"/>
  <c r="D100" i="40"/>
  <c r="E100" i="40"/>
  <c r="B101" i="40"/>
  <c r="C101" i="40"/>
  <c r="D101" i="40"/>
  <c r="E101" i="40"/>
  <c r="B102" i="40"/>
  <c r="C102" i="40"/>
  <c r="D102" i="40"/>
  <c r="E102" i="40"/>
  <c r="B103" i="40"/>
  <c r="C103" i="40"/>
  <c r="D103" i="40"/>
  <c r="E103" i="40"/>
  <c r="B104" i="40"/>
  <c r="C104" i="40"/>
  <c r="D104" i="40"/>
  <c r="E104" i="40"/>
  <c r="B105" i="40"/>
  <c r="C105" i="40"/>
  <c r="D105" i="40"/>
  <c r="E105" i="40"/>
  <c r="B106" i="40"/>
  <c r="C106" i="40"/>
  <c r="D106" i="40"/>
  <c r="E106" i="40"/>
  <c r="B107" i="40"/>
  <c r="C107" i="40"/>
  <c r="D107" i="40"/>
  <c r="E107" i="40"/>
  <c r="B108" i="40"/>
  <c r="C108" i="40"/>
  <c r="D108" i="40"/>
  <c r="E108" i="40"/>
  <c r="B109" i="40"/>
  <c r="C109" i="40"/>
  <c r="D109" i="40"/>
  <c r="E109" i="40"/>
  <c r="B110" i="40"/>
  <c r="C110" i="40"/>
  <c r="D110" i="40"/>
  <c r="E110" i="40"/>
  <c r="B111" i="40"/>
  <c r="C111" i="40"/>
  <c r="D111" i="40"/>
  <c r="E111" i="40"/>
  <c r="B112" i="40"/>
  <c r="C112" i="40"/>
  <c r="D112" i="40"/>
  <c r="E112" i="40"/>
  <c r="B113" i="40"/>
  <c r="C113" i="40"/>
  <c r="D113" i="40"/>
  <c r="E113" i="40"/>
  <c r="B114" i="40"/>
  <c r="C114" i="40"/>
  <c r="D114" i="40"/>
  <c r="E114" i="40"/>
  <c r="B115" i="40"/>
  <c r="C115" i="40"/>
  <c r="D115" i="40"/>
  <c r="E115" i="40"/>
  <c r="B116" i="40"/>
  <c r="C116" i="40"/>
  <c r="D116" i="40"/>
  <c r="E116" i="40"/>
  <c r="B117" i="40"/>
  <c r="C117" i="40"/>
  <c r="D117" i="40"/>
  <c r="E117" i="40"/>
  <c r="B118" i="40"/>
  <c r="C118" i="40"/>
  <c r="D118" i="40"/>
  <c r="E118" i="40"/>
  <c r="B119" i="40"/>
  <c r="C119" i="40"/>
  <c r="D119" i="40"/>
  <c r="E119" i="40"/>
  <c r="B120" i="40"/>
  <c r="C120" i="40"/>
  <c r="D120" i="40"/>
  <c r="E120" i="40"/>
  <c r="B121" i="40"/>
  <c r="C121" i="40"/>
  <c r="D121" i="40"/>
  <c r="E121" i="40"/>
  <c r="B122" i="40"/>
  <c r="C122" i="40"/>
  <c r="D122" i="40"/>
  <c r="E122" i="40"/>
  <c r="B123" i="40"/>
  <c r="C123" i="40"/>
  <c r="D123" i="40"/>
  <c r="E123" i="40"/>
  <c r="B124" i="40"/>
  <c r="C124" i="40"/>
  <c r="D124" i="40"/>
  <c r="E124" i="40"/>
  <c r="B125" i="40"/>
  <c r="C125" i="40"/>
  <c r="D125" i="40"/>
  <c r="E125" i="40"/>
  <c r="B126" i="40"/>
  <c r="C126" i="40"/>
  <c r="D126" i="40"/>
  <c r="E126" i="40"/>
  <c r="B127" i="40"/>
  <c r="C127" i="40"/>
  <c r="D127" i="40"/>
  <c r="E127" i="40"/>
  <c r="B80" i="40"/>
  <c r="C80" i="40"/>
  <c r="D80" i="40"/>
  <c r="E80" i="40"/>
  <c r="B81" i="40"/>
  <c r="C81" i="40"/>
  <c r="D81" i="40"/>
  <c r="E81" i="40"/>
  <c r="B82" i="40"/>
  <c r="C82" i="40"/>
  <c r="D82" i="40"/>
  <c r="E82" i="40"/>
  <c r="B83" i="40"/>
  <c r="C83" i="40"/>
  <c r="D83" i="40"/>
  <c r="E83" i="40"/>
  <c r="B84" i="40"/>
  <c r="C84" i="40"/>
  <c r="D84" i="40"/>
  <c r="E84" i="40"/>
  <c r="B85" i="40"/>
  <c r="C85" i="40"/>
  <c r="D85" i="40"/>
  <c r="E85" i="40"/>
  <c r="B86" i="40"/>
  <c r="C86" i="40"/>
  <c r="D86" i="40"/>
  <c r="E86" i="40"/>
  <c r="B87" i="40"/>
  <c r="C87" i="40"/>
  <c r="D87" i="40"/>
  <c r="E87" i="40"/>
  <c r="D79" i="40"/>
  <c r="B77" i="40"/>
  <c r="C77" i="40"/>
  <c r="D77" i="40"/>
  <c r="E77" i="40"/>
  <c r="B78" i="40"/>
  <c r="C78" i="40"/>
  <c r="D78" i="40"/>
  <c r="E78" i="40"/>
  <c r="B79" i="40"/>
  <c r="C79" i="40"/>
  <c r="E79" i="40"/>
  <c r="B50" i="40"/>
  <c r="C50" i="40"/>
  <c r="D50" i="40"/>
  <c r="E50" i="40"/>
  <c r="B51" i="40"/>
  <c r="C51" i="40"/>
  <c r="D51" i="40"/>
  <c r="E51" i="40"/>
  <c r="B52" i="40"/>
  <c r="C52" i="40"/>
  <c r="D52" i="40"/>
  <c r="E52" i="40"/>
  <c r="B53" i="40"/>
  <c r="C53" i="40"/>
  <c r="D53" i="40"/>
  <c r="E53" i="40"/>
  <c r="B54" i="40"/>
  <c r="C54" i="40"/>
  <c r="D54" i="40"/>
  <c r="E54" i="40"/>
  <c r="B55" i="40"/>
  <c r="C55" i="40"/>
  <c r="D55" i="40"/>
  <c r="E55" i="40"/>
  <c r="B56" i="40"/>
  <c r="C56" i="40"/>
  <c r="D56" i="40"/>
  <c r="E56" i="40"/>
  <c r="B57" i="40"/>
  <c r="C57" i="40"/>
  <c r="D57" i="40"/>
  <c r="E57" i="40"/>
  <c r="B58" i="40"/>
  <c r="C58" i="40"/>
  <c r="D58" i="40"/>
  <c r="E58" i="40"/>
  <c r="B59" i="40"/>
  <c r="C59" i="40"/>
  <c r="D59" i="40"/>
  <c r="E59" i="40"/>
  <c r="B60" i="40"/>
  <c r="C60" i="40"/>
  <c r="D60" i="40"/>
  <c r="E60" i="40"/>
  <c r="B61" i="40"/>
  <c r="C61" i="40"/>
  <c r="D61" i="40"/>
  <c r="E61" i="40"/>
  <c r="B62" i="40"/>
  <c r="C62" i="40"/>
  <c r="D62" i="40"/>
  <c r="E62" i="40"/>
  <c r="B63" i="40"/>
  <c r="C63" i="40"/>
  <c r="D63" i="40"/>
  <c r="E63" i="40"/>
  <c r="B64" i="40"/>
  <c r="C64" i="40"/>
  <c r="D64" i="40"/>
  <c r="E64" i="40"/>
  <c r="B65" i="40"/>
  <c r="C65" i="40"/>
  <c r="D65" i="40"/>
  <c r="E65" i="40"/>
  <c r="B66" i="40"/>
  <c r="C66" i="40"/>
  <c r="D66" i="40"/>
  <c r="E66" i="40"/>
  <c r="B67" i="40"/>
  <c r="C67" i="40"/>
  <c r="D67" i="40"/>
  <c r="E67" i="40"/>
  <c r="B68" i="40"/>
  <c r="C68" i="40"/>
  <c r="D68" i="40"/>
  <c r="E68" i="40"/>
  <c r="B69" i="40"/>
  <c r="C69" i="40"/>
  <c r="D69" i="40"/>
  <c r="E69" i="40"/>
  <c r="B70" i="40"/>
  <c r="C70" i="40"/>
  <c r="D70" i="40"/>
  <c r="E70" i="40"/>
  <c r="B71" i="40"/>
  <c r="C71" i="40"/>
  <c r="D71" i="40"/>
  <c r="E71" i="40"/>
  <c r="B72" i="40"/>
  <c r="C72" i="40"/>
  <c r="D72" i="40"/>
  <c r="E72" i="40"/>
  <c r="B73" i="40"/>
  <c r="C73" i="40"/>
  <c r="D73" i="40"/>
  <c r="E73" i="40"/>
  <c r="B74" i="40"/>
  <c r="C74" i="40"/>
  <c r="D74" i="40"/>
  <c r="E74" i="40"/>
  <c r="B75" i="40"/>
  <c r="C75" i="40"/>
  <c r="D75" i="40"/>
  <c r="E75" i="40"/>
  <c r="B76" i="40"/>
  <c r="C76" i="40"/>
  <c r="D76" i="40"/>
  <c r="E76" i="40"/>
  <c r="B46" i="40"/>
  <c r="C46" i="40"/>
  <c r="D46" i="40"/>
  <c r="E46" i="40"/>
  <c r="B47" i="40"/>
  <c r="C47" i="40"/>
  <c r="D47" i="40"/>
  <c r="E47" i="40"/>
  <c r="B42" i="40"/>
  <c r="C42" i="40"/>
  <c r="D42" i="40"/>
  <c r="E42" i="40"/>
  <c r="B43" i="40"/>
  <c r="C43" i="40"/>
  <c r="D43" i="40"/>
  <c r="E43" i="40"/>
  <c r="B44" i="40"/>
  <c r="C44" i="40"/>
  <c r="D44" i="40"/>
  <c r="E44" i="40"/>
  <c r="B45" i="40"/>
  <c r="C45" i="40"/>
  <c r="D45" i="40"/>
  <c r="E45" i="40"/>
  <c r="D227" i="1"/>
  <c r="E227" i="1"/>
  <c r="F227" i="1"/>
  <c r="R227" i="1"/>
  <c r="T227" i="1"/>
  <c r="X227" i="1" s="1"/>
  <c r="U227" i="1"/>
  <c r="Y227" i="1" s="1"/>
  <c r="AK227" i="1"/>
  <c r="AO227" i="1" s="1"/>
  <c r="AL227" i="1"/>
  <c r="AP227" i="1" s="1"/>
  <c r="D228" i="1"/>
  <c r="E228" i="1"/>
  <c r="F228" i="1"/>
  <c r="R228" i="1"/>
  <c r="T228" i="1"/>
  <c r="X228" i="1" s="1"/>
  <c r="U228" i="1"/>
  <c r="Y228" i="1" s="1"/>
  <c r="AK228" i="1"/>
  <c r="AO228" i="1" s="1"/>
  <c r="AL228" i="1"/>
  <c r="AP228" i="1" s="1"/>
  <c r="D229" i="1"/>
  <c r="E229" i="1"/>
  <c r="F229" i="1"/>
  <c r="R229" i="1"/>
  <c r="T229" i="1"/>
  <c r="X229" i="1" s="1"/>
  <c r="U229" i="1"/>
  <c r="Y229" i="1" s="1"/>
  <c r="AK229" i="1"/>
  <c r="AO229" i="1" s="1"/>
  <c r="AL229" i="1"/>
  <c r="AP229" i="1" s="1"/>
  <c r="D230" i="1"/>
  <c r="E230" i="1"/>
  <c r="F230" i="1"/>
  <c r="R230" i="1"/>
  <c r="T230" i="1"/>
  <c r="X230" i="1" s="1"/>
  <c r="U230" i="1"/>
  <c r="Y230" i="1" s="1"/>
  <c r="AK230" i="1"/>
  <c r="AO230" i="1" s="1"/>
  <c r="AL230" i="1"/>
  <c r="AP230" i="1" s="1"/>
  <c r="D231" i="1"/>
  <c r="E231" i="1"/>
  <c r="F231" i="1"/>
  <c r="R231" i="1"/>
  <c r="T231" i="1"/>
  <c r="X231" i="1" s="1"/>
  <c r="U231" i="1"/>
  <c r="Y231" i="1" s="1"/>
  <c r="AK231" i="1"/>
  <c r="AO231" i="1" s="1"/>
  <c r="AL231" i="1"/>
  <c r="AP231" i="1" s="1"/>
  <c r="D232" i="1"/>
  <c r="E232" i="1"/>
  <c r="F232" i="1"/>
  <c r="R232" i="1"/>
  <c r="T232" i="1"/>
  <c r="X232" i="1" s="1"/>
  <c r="U232" i="1"/>
  <c r="Y232" i="1" s="1"/>
  <c r="AK232" i="1"/>
  <c r="AO232" i="1" s="1"/>
  <c r="AL232" i="1"/>
  <c r="AP232" i="1" s="1"/>
  <c r="D233" i="1"/>
  <c r="E233" i="1"/>
  <c r="F233" i="1"/>
  <c r="R233" i="1"/>
  <c r="T233" i="1"/>
  <c r="X233" i="1" s="1"/>
  <c r="U233" i="1"/>
  <c r="Y233" i="1" s="1"/>
  <c r="AK233" i="1"/>
  <c r="AO233" i="1" s="1"/>
  <c r="AL233" i="1"/>
  <c r="AP233" i="1" s="1"/>
  <c r="D234" i="1"/>
  <c r="E234" i="1"/>
  <c r="F234" i="1"/>
  <c r="R234" i="1"/>
  <c r="T234" i="1"/>
  <c r="X234" i="1" s="1"/>
  <c r="U234" i="1"/>
  <c r="Y234" i="1" s="1"/>
  <c r="AK234" i="1"/>
  <c r="AO234" i="1" s="1"/>
  <c r="AL234" i="1"/>
  <c r="AP234" i="1" s="1"/>
  <c r="D235" i="1"/>
  <c r="E235" i="1"/>
  <c r="F235" i="1"/>
  <c r="R235" i="1"/>
  <c r="T235" i="1"/>
  <c r="U235" i="1"/>
  <c r="Y235" i="1" s="1"/>
  <c r="AK235" i="1"/>
  <c r="AO235" i="1" s="1"/>
  <c r="AL235" i="1"/>
  <c r="AP235" i="1" s="1"/>
  <c r="D236" i="1"/>
  <c r="E236" i="1"/>
  <c r="F236" i="1"/>
  <c r="R236" i="1"/>
  <c r="T236" i="1"/>
  <c r="X236" i="1" s="1"/>
  <c r="U236" i="1"/>
  <c r="AK236" i="1"/>
  <c r="AL236" i="1"/>
  <c r="AP236" i="1" s="1"/>
  <c r="D225" i="1"/>
  <c r="E225" i="1"/>
  <c r="F225" i="1"/>
  <c r="R225" i="1"/>
  <c r="T225" i="1"/>
  <c r="U225" i="1"/>
  <c r="Y225" i="1" s="1"/>
  <c r="AK225" i="1"/>
  <c r="AO225" i="1" s="1"/>
  <c r="AL225" i="1"/>
  <c r="AP225" i="1" s="1"/>
  <c r="D226" i="1"/>
  <c r="E226" i="1"/>
  <c r="F226" i="1"/>
  <c r="R226" i="1"/>
  <c r="T226" i="1"/>
  <c r="X226" i="1" s="1"/>
  <c r="U226" i="1"/>
  <c r="Y226" i="1" s="1"/>
  <c r="AK226" i="1"/>
  <c r="AO226" i="1" s="1"/>
  <c r="AL226" i="1"/>
  <c r="AP226" i="1" s="1"/>
  <c r="D191" i="1"/>
  <c r="E191" i="1"/>
  <c r="F191" i="1"/>
  <c r="R191" i="1"/>
  <c r="T191" i="1"/>
  <c r="X191" i="1" s="1"/>
  <c r="U191" i="1"/>
  <c r="Y191" i="1" s="1"/>
  <c r="AK191" i="1"/>
  <c r="AO191" i="1" s="1"/>
  <c r="AL191" i="1"/>
  <c r="AP191" i="1" s="1"/>
  <c r="D192" i="1"/>
  <c r="E192" i="1"/>
  <c r="F192" i="1"/>
  <c r="R192" i="1"/>
  <c r="T192" i="1"/>
  <c r="X192" i="1" s="1"/>
  <c r="U192" i="1"/>
  <c r="Y192" i="1" s="1"/>
  <c r="AK192" i="1"/>
  <c r="AO192" i="1" s="1"/>
  <c r="AL192" i="1"/>
  <c r="AP192" i="1" s="1"/>
  <c r="D193" i="1"/>
  <c r="E193" i="1"/>
  <c r="F193" i="1"/>
  <c r="R193" i="1"/>
  <c r="T193" i="1"/>
  <c r="X193" i="1" s="1"/>
  <c r="U193" i="1"/>
  <c r="Y193" i="1" s="1"/>
  <c r="AK193" i="1"/>
  <c r="AO193" i="1" s="1"/>
  <c r="AL193" i="1"/>
  <c r="AP193" i="1" s="1"/>
  <c r="D194" i="1"/>
  <c r="E194" i="1"/>
  <c r="F194" i="1"/>
  <c r="R194" i="1"/>
  <c r="T194" i="1"/>
  <c r="X194" i="1" s="1"/>
  <c r="U194" i="1"/>
  <c r="Y194" i="1" s="1"/>
  <c r="AK194" i="1"/>
  <c r="AO194" i="1" s="1"/>
  <c r="AL194" i="1"/>
  <c r="AP194" i="1" s="1"/>
  <c r="D195" i="1"/>
  <c r="E195" i="1"/>
  <c r="F195" i="1"/>
  <c r="R195" i="1"/>
  <c r="T195" i="1"/>
  <c r="X195" i="1" s="1"/>
  <c r="U195" i="1"/>
  <c r="Y195" i="1" s="1"/>
  <c r="AK195" i="1"/>
  <c r="AO195" i="1" s="1"/>
  <c r="AL195" i="1"/>
  <c r="AP195" i="1" s="1"/>
  <c r="D196" i="1"/>
  <c r="E196" i="1"/>
  <c r="F196" i="1"/>
  <c r="R196" i="1"/>
  <c r="T196" i="1"/>
  <c r="X196" i="1" s="1"/>
  <c r="U196" i="1"/>
  <c r="Y196" i="1" s="1"/>
  <c r="AK196" i="1"/>
  <c r="AL196" i="1"/>
  <c r="AP196" i="1" s="1"/>
  <c r="D197" i="1"/>
  <c r="E197" i="1"/>
  <c r="F197" i="1"/>
  <c r="R197" i="1"/>
  <c r="T197" i="1"/>
  <c r="X197" i="1" s="1"/>
  <c r="U197" i="1"/>
  <c r="Y197" i="1" s="1"/>
  <c r="AK197" i="1"/>
  <c r="AO197" i="1" s="1"/>
  <c r="AL197" i="1"/>
  <c r="AP197" i="1" s="1"/>
  <c r="D198" i="1"/>
  <c r="E198" i="1"/>
  <c r="F198" i="1"/>
  <c r="R198" i="1"/>
  <c r="T198" i="1"/>
  <c r="X198" i="1" s="1"/>
  <c r="U198" i="1"/>
  <c r="Y198" i="1" s="1"/>
  <c r="AK198" i="1"/>
  <c r="AO198" i="1" s="1"/>
  <c r="AL198" i="1"/>
  <c r="AP198" i="1" s="1"/>
  <c r="D199" i="1"/>
  <c r="E199" i="1"/>
  <c r="F199" i="1"/>
  <c r="R199" i="1"/>
  <c r="T199" i="1"/>
  <c r="X199" i="1" s="1"/>
  <c r="U199" i="1"/>
  <c r="Y199" i="1" s="1"/>
  <c r="AK199" i="1"/>
  <c r="AO199" i="1" s="1"/>
  <c r="AL199" i="1"/>
  <c r="AP199" i="1" s="1"/>
  <c r="D200" i="1"/>
  <c r="E200" i="1"/>
  <c r="F200" i="1"/>
  <c r="R200" i="1"/>
  <c r="T200" i="1"/>
  <c r="X200" i="1" s="1"/>
  <c r="U200" i="1"/>
  <c r="Y200" i="1" s="1"/>
  <c r="AK200" i="1"/>
  <c r="AO200" i="1" s="1"/>
  <c r="AL200" i="1"/>
  <c r="AP200" i="1" s="1"/>
  <c r="D201" i="1"/>
  <c r="E201" i="1"/>
  <c r="F201" i="1"/>
  <c r="R201" i="1"/>
  <c r="T201" i="1"/>
  <c r="X201" i="1" s="1"/>
  <c r="U201" i="1"/>
  <c r="Y201" i="1" s="1"/>
  <c r="AK201" i="1"/>
  <c r="AO201" i="1" s="1"/>
  <c r="AL201" i="1"/>
  <c r="AP201" i="1" s="1"/>
  <c r="D202" i="1"/>
  <c r="E202" i="1"/>
  <c r="F202" i="1"/>
  <c r="R202" i="1"/>
  <c r="T202" i="1"/>
  <c r="X202" i="1" s="1"/>
  <c r="U202" i="1"/>
  <c r="Y202" i="1" s="1"/>
  <c r="AK202" i="1"/>
  <c r="AO202" i="1" s="1"/>
  <c r="AL202" i="1"/>
  <c r="AP202" i="1" s="1"/>
  <c r="D203" i="1"/>
  <c r="E203" i="1"/>
  <c r="F203" i="1"/>
  <c r="R203" i="1"/>
  <c r="T203" i="1"/>
  <c r="X203" i="1" s="1"/>
  <c r="U203" i="1"/>
  <c r="Y203" i="1" s="1"/>
  <c r="AK203" i="1"/>
  <c r="AO203" i="1" s="1"/>
  <c r="AL203" i="1"/>
  <c r="AP203" i="1" s="1"/>
  <c r="D204" i="1"/>
  <c r="E204" i="1"/>
  <c r="F204" i="1"/>
  <c r="R204" i="1"/>
  <c r="T204" i="1"/>
  <c r="X204" i="1" s="1"/>
  <c r="U204" i="1"/>
  <c r="Y204" i="1" s="1"/>
  <c r="AK204" i="1"/>
  <c r="AO204" i="1" s="1"/>
  <c r="AL204" i="1"/>
  <c r="AP204" i="1" s="1"/>
  <c r="D205" i="1"/>
  <c r="E205" i="1"/>
  <c r="F205" i="1"/>
  <c r="R205" i="1"/>
  <c r="T205" i="1"/>
  <c r="X205" i="1" s="1"/>
  <c r="U205" i="1"/>
  <c r="Y205" i="1" s="1"/>
  <c r="AK205" i="1"/>
  <c r="AO205" i="1" s="1"/>
  <c r="AL205" i="1"/>
  <c r="AP205" i="1" s="1"/>
  <c r="D206" i="1"/>
  <c r="E206" i="1"/>
  <c r="F206" i="1"/>
  <c r="R206" i="1"/>
  <c r="T206" i="1"/>
  <c r="X206" i="1" s="1"/>
  <c r="U206" i="1"/>
  <c r="Y206" i="1" s="1"/>
  <c r="AK206" i="1"/>
  <c r="AO206" i="1" s="1"/>
  <c r="AL206" i="1"/>
  <c r="AP206" i="1" s="1"/>
  <c r="D207" i="1"/>
  <c r="E207" i="1"/>
  <c r="F207" i="1"/>
  <c r="R207" i="1"/>
  <c r="T207" i="1"/>
  <c r="X207" i="1" s="1"/>
  <c r="U207" i="1"/>
  <c r="Y207" i="1" s="1"/>
  <c r="AK207" i="1"/>
  <c r="AO207" i="1" s="1"/>
  <c r="AL207" i="1"/>
  <c r="AP207" i="1" s="1"/>
  <c r="D208" i="1"/>
  <c r="E208" i="1"/>
  <c r="F208" i="1"/>
  <c r="R208" i="1"/>
  <c r="T208" i="1"/>
  <c r="X208" i="1" s="1"/>
  <c r="U208" i="1"/>
  <c r="AK208" i="1"/>
  <c r="AL208" i="1"/>
  <c r="AP208" i="1" s="1"/>
  <c r="D209" i="1"/>
  <c r="E209" i="1"/>
  <c r="F209" i="1"/>
  <c r="R209" i="1"/>
  <c r="T209" i="1"/>
  <c r="X209" i="1" s="1"/>
  <c r="U209" i="1"/>
  <c r="Y209" i="1" s="1"/>
  <c r="AK209" i="1"/>
  <c r="AO209" i="1" s="1"/>
  <c r="AL209" i="1"/>
  <c r="D189" i="1"/>
  <c r="E189" i="1"/>
  <c r="F189" i="1"/>
  <c r="R189" i="1"/>
  <c r="T189" i="1"/>
  <c r="U189" i="1"/>
  <c r="Y189" i="1" s="1"/>
  <c r="AK189" i="1"/>
  <c r="AO189" i="1" s="1"/>
  <c r="AL189" i="1"/>
  <c r="AP189" i="1" s="1"/>
  <c r="D190" i="1"/>
  <c r="E190" i="1"/>
  <c r="F190" i="1"/>
  <c r="R190" i="1"/>
  <c r="T190" i="1"/>
  <c r="X190" i="1" s="1"/>
  <c r="U190" i="1"/>
  <c r="Y190" i="1" s="1"/>
  <c r="AK190" i="1"/>
  <c r="AO190" i="1" s="1"/>
  <c r="AL190" i="1"/>
  <c r="AP190" i="1" s="1"/>
  <c r="D155" i="1"/>
  <c r="E155" i="1"/>
  <c r="F155" i="1"/>
  <c r="R155" i="1"/>
  <c r="T155" i="1"/>
  <c r="X155" i="1" s="1"/>
  <c r="U155" i="1"/>
  <c r="Y155" i="1" s="1"/>
  <c r="AK155" i="1"/>
  <c r="AO155" i="1" s="1"/>
  <c r="AL155" i="1"/>
  <c r="AP155" i="1" s="1"/>
  <c r="D156" i="1"/>
  <c r="E156" i="1"/>
  <c r="F156" i="1"/>
  <c r="R156" i="1"/>
  <c r="T156" i="1"/>
  <c r="X156" i="1" s="1"/>
  <c r="U156" i="1"/>
  <c r="Y156" i="1" s="1"/>
  <c r="AK156" i="1"/>
  <c r="AO156" i="1" s="1"/>
  <c r="AL156" i="1"/>
  <c r="AP156" i="1" s="1"/>
  <c r="D157" i="1"/>
  <c r="E157" i="1"/>
  <c r="F157" i="1"/>
  <c r="R157" i="1"/>
  <c r="T157" i="1"/>
  <c r="X157" i="1" s="1"/>
  <c r="U157" i="1"/>
  <c r="Y157" i="1" s="1"/>
  <c r="AK157" i="1"/>
  <c r="AO157" i="1" s="1"/>
  <c r="AL157" i="1"/>
  <c r="AP157" i="1" s="1"/>
  <c r="D158" i="1"/>
  <c r="E158" i="1"/>
  <c r="F158" i="1"/>
  <c r="R158" i="1"/>
  <c r="T158" i="1"/>
  <c r="X158" i="1" s="1"/>
  <c r="U158" i="1"/>
  <c r="Y158" i="1" s="1"/>
  <c r="AK158" i="1"/>
  <c r="AO158" i="1" s="1"/>
  <c r="AL158" i="1"/>
  <c r="AP158" i="1" s="1"/>
  <c r="D159" i="1"/>
  <c r="E159" i="1"/>
  <c r="F159" i="1"/>
  <c r="R159" i="1"/>
  <c r="T159" i="1"/>
  <c r="X159" i="1" s="1"/>
  <c r="U159" i="1"/>
  <c r="Y159" i="1" s="1"/>
  <c r="AK159" i="1"/>
  <c r="AO159" i="1" s="1"/>
  <c r="AL159" i="1"/>
  <c r="AP159" i="1" s="1"/>
  <c r="D160" i="1"/>
  <c r="E160" i="1"/>
  <c r="F160" i="1"/>
  <c r="R160" i="1"/>
  <c r="T160" i="1"/>
  <c r="X160" i="1" s="1"/>
  <c r="U160" i="1"/>
  <c r="Y160" i="1" s="1"/>
  <c r="AK160" i="1"/>
  <c r="AO160" i="1" s="1"/>
  <c r="AL160" i="1"/>
  <c r="AP160" i="1" s="1"/>
  <c r="D161" i="1"/>
  <c r="E161" i="1"/>
  <c r="F161" i="1"/>
  <c r="R161" i="1"/>
  <c r="T161" i="1"/>
  <c r="X161" i="1" s="1"/>
  <c r="U161" i="1"/>
  <c r="Y161" i="1" s="1"/>
  <c r="AK161" i="1"/>
  <c r="AO161" i="1" s="1"/>
  <c r="AL161" i="1"/>
  <c r="AP161" i="1" s="1"/>
  <c r="D162" i="1"/>
  <c r="E162" i="1"/>
  <c r="F162" i="1"/>
  <c r="R162" i="1"/>
  <c r="T162" i="1"/>
  <c r="X162" i="1" s="1"/>
  <c r="U162" i="1"/>
  <c r="Y162" i="1" s="1"/>
  <c r="AK162" i="1"/>
  <c r="AO162" i="1" s="1"/>
  <c r="AL162" i="1"/>
  <c r="AP162" i="1" s="1"/>
  <c r="D163" i="1"/>
  <c r="E163" i="1"/>
  <c r="F163" i="1"/>
  <c r="R163" i="1"/>
  <c r="T163" i="1"/>
  <c r="X163" i="1" s="1"/>
  <c r="U163" i="1"/>
  <c r="Y163" i="1" s="1"/>
  <c r="AK163" i="1"/>
  <c r="AO163" i="1" s="1"/>
  <c r="AL163" i="1"/>
  <c r="AP163" i="1" s="1"/>
  <c r="D164" i="1"/>
  <c r="E164" i="1"/>
  <c r="F164" i="1"/>
  <c r="R164" i="1"/>
  <c r="T164" i="1"/>
  <c r="X164" i="1" s="1"/>
  <c r="U164" i="1"/>
  <c r="AK164" i="1"/>
  <c r="AL164" i="1"/>
  <c r="AP164" i="1" s="1"/>
  <c r="D165" i="1"/>
  <c r="E165" i="1"/>
  <c r="F165" i="1"/>
  <c r="R165" i="1"/>
  <c r="T165" i="1"/>
  <c r="X165" i="1" s="1"/>
  <c r="U165" i="1"/>
  <c r="Y165" i="1" s="1"/>
  <c r="AK165" i="1"/>
  <c r="AO165" i="1" s="1"/>
  <c r="AL165" i="1"/>
  <c r="D166" i="1"/>
  <c r="E166" i="1"/>
  <c r="F166" i="1"/>
  <c r="R166" i="1"/>
  <c r="T166" i="1"/>
  <c r="X166" i="1" s="1"/>
  <c r="U166" i="1"/>
  <c r="Y166" i="1" s="1"/>
  <c r="AK166" i="1"/>
  <c r="AO166" i="1" s="1"/>
  <c r="AL166" i="1"/>
  <c r="AP166" i="1" s="1"/>
  <c r="D167" i="1"/>
  <c r="E167" i="1"/>
  <c r="F167" i="1"/>
  <c r="R167" i="1"/>
  <c r="T167" i="1"/>
  <c r="X167" i="1" s="1"/>
  <c r="U167" i="1"/>
  <c r="Y167" i="1" s="1"/>
  <c r="AK167" i="1"/>
  <c r="AO167" i="1" s="1"/>
  <c r="AL167" i="1"/>
  <c r="AP167" i="1" s="1"/>
  <c r="D168" i="1"/>
  <c r="E168" i="1"/>
  <c r="F168" i="1"/>
  <c r="R168" i="1"/>
  <c r="T168" i="1"/>
  <c r="X168" i="1" s="1"/>
  <c r="U168" i="1"/>
  <c r="Y168" i="1" s="1"/>
  <c r="AK168" i="1"/>
  <c r="AL168" i="1"/>
  <c r="AP168" i="1" s="1"/>
  <c r="D169" i="1"/>
  <c r="E169" i="1"/>
  <c r="F169" i="1"/>
  <c r="R169" i="1"/>
  <c r="T169" i="1"/>
  <c r="X169" i="1" s="1"/>
  <c r="U169" i="1"/>
  <c r="Y169" i="1" s="1"/>
  <c r="AK169" i="1"/>
  <c r="AO169" i="1" s="1"/>
  <c r="AL169" i="1"/>
  <c r="AP169" i="1" s="1"/>
  <c r="D153" i="1"/>
  <c r="E153" i="1"/>
  <c r="F153" i="1"/>
  <c r="R153" i="1"/>
  <c r="T153" i="1"/>
  <c r="X153" i="1" s="1"/>
  <c r="U153" i="1"/>
  <c r="Y153" i="1" s="1"/>
  <c r="AK153" i="1"/>
  <c r="AO153" i="1" s="1"/>
  <c r="AL153" i="1"/>
  <c r="AP153" i="1" s="1"/>
  <c r="D154" i="1"/>
  <c r="E154" i="1"/>
  <c r="F154" i="1"/>
  <c r="R154" i="1"/>
  <c r="T154" i="1"/>
  <c r="X154" i="1" s="1"/>
  <c r="U154" i="1"/>
  <c r="Y154" i="1" s="1"/>
  <c r="AK154" i="1"/>
  <c r="AL154" i="1"/>
  <c r="AP154" i="1" s="1"/>
  <c r="D119" i="1"/>
  <c r="E119" i="1"/>
  <c r="F119" i="1"/>
  <c r="R119" i="1"/>
  <c r="T119" i="1"/>
  <c r="X119" i="1" s="1"/>
  <c r="U119" i="1"/>
  <c r="Y119" i="1" s="1"/>
  <c r="AK119" i="1"/>
  <c r="AO119" i="1" s="1"/>
  <c r="AL119" i="1"/>
  <c r="AP119" i="1" s="1"/>
  <c r="D120" i="1"/>
  <c r="E120" i="1"/>
  <c r="F120" i="1"/>
  <c r="R120" i="1"/>
  <c r="T120" i="1"/>
  <c r="X120" i="1" s="1"/>
  <c r="U120" i="1"/>
  <c r="Y120" i="1" s="1"/>
  <c r="AK120" i="1"/>
  <c r="AO120" i="1" s="1"/>
  <c r="AL120" i="1"/>
  <c r="AP120" i="1" s="1"/>
  <c r="D121" i="1"/>
  <c r="E121" i="1"/>
  <c r="F121" i="1"/>
  <c r="R121" i="1"/>
  <c r="T121" i="1"/>
  <c r="X121" i="1" s="1"/>
  <c r="U121" i="1"/>
  <c r="Y121" i="1" s="1"/>
  <c r="AK121" i="1"/>
  <c r="AO121" i="1" s="1"/>
  <c r="AL121" i="1"/>
  <c r="AP121" i="1" s="1"/>
  <c r="D122" i="1"/>
  <c r="E122" i="1"/>
  <c r="F122" i="1"/>
  <c r="R122" i="1"/>
  <c r="T122" i="1"/>
  <c r="X122" i="1" s="1"/>
  <c r="U122" i="1"/>
  <c r="Y122" i="1" s="1"/>
  <c r="AK122" i="1"/>
  <c r="AO122" i="1" s="1"/>
  <c r="AL122" i="1"/>
  <c r="AP122" i="1" s="1"/>
  <c r="D123" i="1"/>
  <c r="E123" i="1"/>
  <c r="F123" i="1"/>
  <c r="R123" i="1"/>
  <c r="T123" i="1"/>
  <c r="X123" i="1" s="1"/>
  <c r="U123" i="1"/>
  <c r="Y123" i="1" s="1"/>
  <c r="AK123" i="1"/>
  <c r="AO123" i="1" s="1"/>
  <c r="AL123" i="1"/>
  <c r="AP123" i="1" s="1"/>
  <c r="D124" i="1"/>
  <c r="E124" i="1"/>
  <c r="F124" i="1"/>
  <c r="R124" i="1"/>
  <c r="T124" i="1"/>
  <c r="X124" i="1" s="1"/>
  <c r="U124" i="1"/>
  <c r="Y124" i="1" s="1"/>
  <c r="AK124" i="1"/>
  <c r="AL124" i="1"/>
  <c r="AP124" i="1" s="1"/>
  <c r="D125" i="1"/>
  <c r="E125" i="1"/>
  <c r="F125" i="1"/>
  <c r="R125" i="1"/>
  <c r="T125" i="1"/>
  <c r="X125" i="1" s="1"/>
  <c r="U125" i="1"/>
  <c r="Y125" i="1" s="1"/>
  <c r="AK125" i="1"/>
  <c r="AO125" i="1" s="1"/>
  <c r="AL125" i="1"/>
  <c r="AP125" i="1" s="1"/>
  <c r="D126" i="1"/>
  <c r="E126" i="1"/>
  <c r="F126" i="1"/>
  <c r="R126" i="1"/>
  <c r="T126" i="1"/>
  <c r="X126" i="1" s="1"/>
  <c r="U126" i="1"/>
  <c r="Y126" i="1" s="1"/>
  <c r="AK126" i="1"/>
  <c r="AO126" i="1" s="1"/>
  <c r="AL126" i="1"/>
  <c r="AP126" i="1" s="1"/>
  <c r="D127" i="1"/>
  <c r="E127" i="1"/>
  <c r="F127" i="1"/>
  <c r="R127" i="1"/>
  <c r="T127" i="1"/>
  <c r="X127" i="1" s="1"/>
  <c r="U127" i="1"/>
  <c r="Y127" i="1" s="1"/>
  <c r="AK127" i="1"/>
  <c r="AO127" i="1" s="1"/>
  <c r="AL127" i="1"/>
  <c r="AP127" i="1" s="1"/>
  <c r="D128" i="1"/>
  <c r="E128" i="1"/>
  <c r="F128" i="1"/>
  <c r="R128" i="1"/>
  <c r="T128" i="1"/>
  <c r="X128" i="1" s="1"/>
  <c r="U128" i="1"/>
  <c r="Y128" i="1" s="1"/>
  <c r="AK128" i="1"/>
  <c r="AO128" i="1" s="1"/>
  <c r="AL128" i="1"/>
  <c r="AP128" i="1" s="1"/>
  <c r="D129" i="1"/>
  <c r="E129" i="1"/>
  <c r="F129" i="1"/>
  <c r="R129" i="1"/>
  <c r="T129" i="1"/>
  <c r="X129" i="1" s="1"/>
  <c r="U129" i="1"/>
  <c r="Y129" i="1" s="1"/>
  <c r="AK129" i="1"/>
  <c r="AO129" i="1" s="1"/>
  <c r="AL129" i="1"/>
  <c r="AP129" i="1" s="1"/>
  <c r="D117" i="1"/>
  <c r="E117" i="1"/>
  <c r="F117" i="1"/>
  <c r="R117" i="1"/>
  <c r="T117" i="1"/>
  <c r="X117" i="1" s="1"/>
  <c r="U117" i="1"/>
  <c r="Y117" i="1" s="1"/>
  <c r="AK117" i="1"/>
  <c r="AO117" i="1" s="1"/>
  <c r="AL117" i="1"/>
  <c r="AP117" i="1" s="1"/>
  <c r="D118" i="1"/>
  <c r="E118" i="1"/>
  <c r="F118" i="1"/>
  <c r="R118" i="1"/>
  <c r="T118" i="1"/>
  <c r="X118" i="1" s="1"/>
  <c r="U118" i="1"/>
  <c r="Y118" i="1" s="1"/>
  <c r="AK118" i="1"/>
  <c r="AO118" i="1" s="1"/>
  <c r="AL118" i="1"/>
  <c r="AP118" i="1" s="1"/>
  <c r="D83" i="1"/>
  <c r="E83" i="1"/>
  <c r="F83" i="1"/>
  <c r="R83" i="1"/>
  <c r="T83" i="1"/>
  <c r="U83" i="1"/>
  <c r="Y83" i="1" s="1"/>
  <c r="AK83" i="1"/>
  <c r="AO83" i="1" s="1"/>
  <c r="AL83" i="1"/>
  <c r="AP83" i="1" s="1"/>
  <c r="D84" i="1"/>
  <c r="E84" i="1"/>
  <c r="F84" i="1"/>
  <c r="R84" i="1"/>
  <c r="T84" i="1"/>
  <c r="X84" i="1" s="1"/>
  <c r="U84" i="1"/>
  <c r="AK84" i="1"/>
  <c r="AL84" i="1"/>
  <c r="AP84" i="1" s="1"/>
  <c r="D85" i="1"/>
  <c r="E85" i="1"/>
  <c r="F85" i="1"/>
  <c r="R85" i="1"/>
  <c r="T85" i="1"/>
  <c r="X85" i="1" s="1"/>
  <c r="U85" i="1"/>
  <c r="Y85" i="1" s="1"/>
  <c r="AK85" i="1"/>
  <c r="AO85" i="1" s="1"/>
  <c r="AL85" i="1"/>
  <c r="AP85" i="1" s="1"/>
  <c r="D86" i="1"/>
  <c r="E86" i="1"/>
  <c r="F86" i="1"/>
  <c r="R86" i="1"/>
  <c r="T86" i="1"/>
  <c r="X86" i="1" s="1"/>
  <c r="U86" i="1"/>
  <c r="Y86" i="1" s="1"/>
  <c r="AK86" i="1"/>
  <c r="AO86" i="1" s="1"/>
  <c r="AL86" i="1"/>
  <c r="AP86" i="1" s="1"/>
  <c r="D87" i="1"/>
  <c r="E87" i="1"/>
  <c r="F87" i="1"/>
  <c r="R87" i="1"/>
  <c r="T87" i="1"/>
  <c r="X87" i="1" s="1"/>
  <c r="U87" i="1"/>
  <c r="Y87" i="1" s="1"/>
  <c r="AK87" i="1"/>
  <c r="AO87" i="1" s="1"/>
  <c r="AL87" i="1"/>
  <c r="AP87" i="1" s="1"/>
  <c r="D88" i="1"/>
  <c r="E88" i="1"/>
  <c r="F88" i="1"/>
  <c r="R88" i="1"/>
  <c r="T88" i="1"/>
  <c r="X88" i="1" s="1"/>
  <c r="U88" i="1"/>
  <c r="AK88" i="1"/>
  <c r="AO88" i="1" s="1"/>
  <c r="AL88" i="1"/>
  <c r="AP88" i="1" s="1"/>
  <c r="D89" i="1"/>
  <c r="E89" i="1"/>
  <c r="F89" i="1"/>
  <c r="R89" i="1"/>
  <c r="T89" i="1"/>
  <c r="X89" i="1" s="1"/>
  <c r="U89" i="1"/>
  <c r="Y89" i="1" s="1"/>
  <c r="AK89" i="1"/>
  <c r="AO89" i="1" s="1"/>
  <c r="AL89" i="1"/>
  <c r="AP89" i="1" s="1"/>
  <c r="D81" i="1"/>
  <c r="E81" i="1"/>
  <c r="F81" i="1"/>
  <c r="R81" i="1"/>
  <c r="T81" i="1"/>
  <c r="X81" i="1" s="1"/>
  <c r="U81" i="1"/>
  <c r="Y81" i="1" s="1"/>
  <c r="AK81" i="1"/>
  <c r="AO81" i="1" s="1"/>
  <c r="AL81" i="1"/>
  <c r="AP81" i="1" s="1"/>
  <c r="D82" i="1"/>
  <c r="E82" i="1"/>
  <c r="F82" i="1"/>
  <c r="R82" i="1"/>
  <c r="T82" i="1"/>
  <c r="X82" i="1" s="1"/>
  <c r="U82" i="1"/>
  <c r="AK82" i="1"/>
  <c r="AO82" i="1" s="1"/>
  <c r="AL82" i="1"/>
  <c r="AP82" i="1" s="1"/>
  <c r="D48" i="1"/>
  <c r="E48" i="1"/>
  <c r="F48" i="1"/>
  <c r="R48" i="1"/>
  <c r="T48" i="1"/>
  <c r="X48" i="1" s="1"/>
  <c r="U48" i="1"/>
  <c r="Y48" i="1" s="1"/>
  <c r="AK48" i="1"/>
  <c r="AO48" i="1" s="1"/>
  <c r="AL48" i="1"/>
  <c r="AP48" i="1" s="1"/>
  <c r="D49" i="1"/>
  <c r="E49" i="1"/>
  <c r="F49" i="1"/>
  <c r="R49" i="1"/>
  <c r="T49" i="1"/>
  <c r="X49" i="1" s="1"/>
  <c r="U49" i="1"/>
  <c r="Y49" i="1" s="1"/>
  <c r="AK49" i="1"/>
  <c r="AO49" i="1" s="1"/>
  <c r="AL49" i="1"/>
  <c r="AP49" i="1" s="1"/>
  <c r="D45" i="1"/>
  <c r="E45" i="1"/>
  <c r="F45" i="1"/>
  <c r="R45" i="1"/>
  <c r="T45" i="1"/>
  <c r="U45" i="1"/>
  <c r="Y45" i="1" s="1"/>
  <c r="AK45" i="1"/>
  <c r="AO45" i="1" s="1"/>
  <c r="AL45" i="1"/>
  <c r="AP45" i="1" s="1"/>
  <c r="D46" i="1"/>
  <c r="E46" i="1"/>
  <c r="F46" i="1"/>
  <c r="R46" i="1"/>
  <c r="T46" i="1"/>
  <c r="X46" i="1" s="1"/>
  <c r="U46" i="1"/>
  <c r="Y46" i="1" s="1"/>
  <c r="AK46" i="1"/>
  <c r="AO46" i="1" s="1"/>
  <c r="AL46" i="1"/>
  <c r="AP46" i="1" s="1"/>
  <c r="D47" i="1"/>
  <c r="E47" i="1"/>
  <c r="F47" i="1"/>
  <c r="R47" i="1"/>
  <c r="T47" i="1"/>
  <c r="X47" i="1" s="1"/>
  <c r="U47" i="1"/>
  <c r="Y47" i="1" s="1"/>
  <c r="AK47" i="1"/>
  <c r="AO47" i="1" s="1"/>
  <c r="AL47" i="1"/>
  <c r="AP47" i="1" s="1"/>
  <c r="J245" i="14"/>
  <c r="J205" i="14"/>
  <c r="F211" i="36" s="1"/>
  <c r="J165" i="14"/>
  <c r="F171" i="36" s="1"/>
  <c r="J125" i="14"/>
  <c r="F131" i="36" s="1"/>
  <c r="J45" i="14"/>
  <c r="F51" i="36" s="1"/>
  <c r="F251" i="36" l="1"/>
  <c r="F248" i="40"/>
  <c r="J373" i="14"/>
  <c r="F375" i="40"/>
  <c r="F378" i="36"/>
  <c r="J414" i="14"/>
  <c r="F419" i="36"/>
  <c r="F416" i="40"/>
  <c r="J452" i="14"/>
  <c r="F458" i="36" s="1"/>
  <c r="F454" i="40"/>
  <c r="S126" i="1"/>
  <c r="I127" i="36" s="1"/>
  <c r="H127" i="36"/>
  <c r="S209" i="1"/>
  <c r="I210" i="36" s="1"/>
  <c r="H210" i="36"/>
  <c r="S203" i="1"/>
  <c r="I204" i="36" s="1"/>
  <c r="H204" i="36"/>
  <c r="S201" i="1"/>
  <c r="I202" i="36" s="1"/>
  <c r="H202" i="36"/>
  <c r="S199" i="1"/>
  <c r="I200" i="36" s="1"/>
  <c r="H200" i="36"/>
  <c r="S87" i="1"/>
  <c r="I88" i="36" s="1"/>
  <c r="H88" i="36"/>
  <c r="S164" i="1"/>
  <c r="I165" i="36" s="1"/>
  <c r="H165" i="36"/>
  <c r="S160" i="1"/>
  <c r="I161" i="36" s="1"/>
  <c r="H161" i="36"/>
  <c r="S207" i="1"/>
  <c r="I208" i="36" s="1"/>
  <c r="H208" i="36"/>
  <c r="S205" i="1"/>
  <c r="I206" i="36" s="1"/>
  <c r="H206" i="36"/>
  <c r="S86" i="1"/>
  <c r="I87" i="36" s="1"/>
  <c r="H87" i="36"/>
  <c r="S85" i="1"/>
  <c r="I86" i="36" s="1"/>
  <c r="H86" i="36"/>
  <c r="S84" i="1"/>
  <c r="I85" i="36" s="1"/>
  <c r="H85" i="36"/>
  <c r="S83" i="1"/>
  <c r="I84" i="36" s="1"/>
  <c r="H84" i="36"/>
  <c r="S118" i="1"/>
  <c r="I119" i="36" s="1"/>
  <c r="H119" i="36"/>
  <c r="S117" i="1"/>
  <c r="I118" i="36" s="1"/>
  <c r="H118" i="36"/>
  <c r="S125" i="1"/>
  <c r="I126" i="36" s="1"/>
  <c r="H126" i="36"/>
  <c r="S124" i="1"/>
  <c r="I125" i="36" s="1"/>
  <c r="H125" i="36"/>
  <c r="S123" i="1"/>
  <c r="I124" i="36" s="1"/>
  <c r="H124" i="36"/>
  <c r="S122" i="1"/>
  <c r="I123" i="36" s="1"/>
  <c r="H123" i="36"/>
  <c r="S121" i="1"/>
  <c r="I122" i="36" s="1"/>
  <c r="H122" i="36"/>
  <c r="S120" i="1"/>
  <c r="I121" i="36" s="1"/>
  <c r="H121" i="36"/>
  <c r="S119" i="1"/>
  <c r="I120" i="36" s="1"/>
  <c r="H120" i="36"/>
  <c r="S154" i="1"/>
  <c r="I155" i="36" s="1"/>
  <c r="H155" i="36"/>
  <c r="S153" i="1"/>
  <c r="I154" i="36" s="1"/>
  <c r="H154" i="36"/>
  <c r="S198" i="1"/>
  <c r="I199" i="36" s="1"/>
  <c r="H199" i="36"/>
  <c r="S197" i="1"/>
  <c r="I198" i="36" s="1"/>
  <c r="H198" i="36"/>
  <c r="S196" i="1"/>
  <c r="I197" i="36" s="1"/>
  <c r="H197" i="36"/>
  <c r="S195" i="1"/>
  <c r="I196" i="36" s="1"/>
  <c r="H196" i="36"/>
  <c r="S194" i="1"/>
  <c r="I195" i="36" s="1"/>
  <c r="H195" i="36"/>
  <c r="S193" i="1"/>
  <c r="I194" i="36" s="1"/>
  <c r="H194" i="36"/>
  <c r="S192" i="1"/>
  <c r="I193" i="36" s="1"/>
  <c r="H193" i="36"/>
  <c r="S191" i="1"/>
  <c r="I192" i="36" s="1"/>
  <c r="H192" i="36"/>
  <c r="S226" i="1"/>
  <c r="I227" i="36" s="1"/>
  <c r="H227" i="36"/>
  <c r="S225" i="1"/>
  <c r="I226" i="36" s="1"/>
  <c r="H226" i="36"/>
  <c r="S236" i="1"/>
  <c r="I237" i="36" s="1"/>
  <c r="H237" i="36"/>
  <c r="S235" i="1"/>
  <c r="I236" i="36" s="1"/>
  <c r="H236" i="36"/>
  <c r="S234" i="1"/>
  <c r="I235" i="36" s="1"/>
  <c r="H235" i="36"/>
  <c r="S233" i="1"/>
  <c r="I234" i="36" s="1"/>
  <c r="H234" i="36"/>
  <c r="S232" i="1"/>
  <c r="I233" i="36" s="1"/>
  <c r="H233" i="36"/>
  <c r="S231" i="1"/>
  <c r="I232" i="36" s="1"/>
  <c r="H232" i="36"/>
  <c r="S230" i="1"/>
  <c r="I231" i="36" s="1"/>
  <c r="H231" i="36"/>
  <c r="S229" i="1"/>
  <c r="I230" i="36" s="1"/>
  <c r="H230" i="36"/>
  <c r="S228" i="1"/>
  <c r="I229" i="36" s="1"/>
  <c r="H229" i="36"/>
  <c r="S227" i="1"/>
  <c r="I228" i="36" s="1"/>
  <c r="H228" i="36"/>
  <c r="S49" i="1"/>
  <c r="I50" i="36" s="1"/>
  <c r="H50" i="36"/>
  <c r="S128" i="1"/>
  <c r="I129" i="36" s="1"/>
  <c r="H129" i="36"/>
  <c r="S168" i="1"/>
  <c r="I169" i="36" s="1"/>
  <c r="H169" i="36"/>
  <c r="S162" i="1"/>
  <c r="I163" i="36" s="1"/>
  <c r="H163" i="36"/>
  <c r="S46" i="1"/>
  <c r="I47" i="36" s="1"/>
  <c r="H47" i="36"/>
  <c r="S48" i="1"/>
  <c r="I49" i="36" s="1"/>
  <c r="H49" i="36"/>
  <c r="S88" i="1"/>
  <c r="I89" i="36" s="1"/>
  <c r="H89" i="36"/>
  <c r="S129" i="1"/>
  <c r="I130" i="36" s="1"/>
  <c r="H130" i="36"/>
  <c r="S127" i="1"/>
  <c r="I128" i="36" s="1"/>
  <c r="H128" i="36"/>
  <c r="S169" i="1"/>
  <c r="I170" i="36" s="1"/>
  <c r="H170" i="36"/>
  <c r="S167" i="1"/>
  <c r="I168" i="36" s="1"/>
  <c r="H168" i="36"/>
  <c r="S165" i="1"/>
  <c r="I166" i="36" s="1"/>
  <c r="H166" i="36"/>
  <c r="S163" i="1"/>
  <c r="I164" i="36" s="1"/>
  <c r="H164" i="36"/>
  <c r="S161" i="1"/>
  <c r="I162" i="36" s="1"/>
  <c r="H162" i="36"/>
  <c r="S159" i="1"/>
  <c r="I160" i="36" s="1"/>
  <c r="H160" i="36"/>
  <c r="S208" i="1"/>
  <c r="I209" i="36" s="1"/>
  <c r="H209" i="36"/>
  <c r="S206" i="1"/>
  <c r="I207" i="36" s="1"/>
  <c r="H207" i="36"/>
  <c r="S204" i="1"/>
  <c r="I205" i="36" s="1"/>
  <c r="H205" i="36"/>
  <c r="S202" i="1"/>
  <c r="I203" i="36" s="1"/>
  <c r="H203" i="36"/>
  <c r="S200" i="1"/>
  <c r="I201" i="36" s="1"/>
  <c r="H201" i="36"/>
  <c r="S47" i="1"/>
  <c r="I48" i="36" s="1"/>
  <c r="H48" i="36"/>
  <c r="S89" i="1"/>
  <c r="I90" i="36" s="1"/>
  <c r="H90" i="36"/>
  <c r="S166" i="1"/>
  <c r="I167" i="36" s="1"/>
  <c r="H167" i="36"/>
  <c r="S45" i="1"/>
  <c r="I46" i="36" s="1"/>
  <c r="H46" i="36"/>
  <c r="S82" i="1"/>
  <c r="I83" i="36" s="1"/>
  <c r="H83" i="36"/>
  <c r="S81" i="1"/>
  <c r="I82" i="36" s="1"/>
  <c r="H82" i="36"/>
  <c r="S158" i="1"/>
  <c r="I159" i="36" s="1"/>
  <c r="H159" i="36"/>
  <c r="S157" i="1"/>
  <c r="I158" i="36" s="1"/>
  <c r="H158" i="36"/>
  <c r="S156" i="1"/>
  <c r="I157" i="36" s="1"/>
  <c r="H157" i="36"/>
  <c r="S155" i="1"/>
  <c r="I156" i="36" s="1"/>
  <c r="H156" i="36"/>
  <c r="S190" i="1"/>
  <c r="I191" i="36" s="1"/>
  <c r="H191" i="36"/>
  <c r="S189" i="1"/>
  <c r="I190" i="36" s="1"/>
  <c r="H190" i="36"/>
  <c r="Y236" i="1"/>
  <c r="AO236" i="1"/>
  <c r="X235" i="1"/>
  <c r="X225" i="1"/>
  <c r="AP209" i="1"/>
  <c r="Y208" i="1"/>
  <c r="AO208" i="1"/>
  <c r="AO196" i="1"/>
  <c r="X189" i="1"/>
  <c r="AO168" i="1"/>
  <c r="AP165" i="1"/>
  <c r="AO164" i="1"/>
  <c r="Y164" i="1"/>
  <c r="AO154" i="1"/>
  <c r="AO124" i="1"/>
  <c r="Y88" i="1"/>
  <c r="AO84" i="1"/>
  <c r="Y84" i="1"/>
  <c r="X83" i="1"/>
  <c r="Y82" i="1"/>
  <c r="X45" i="1"/>
  <c r="J415" i="14" l="1"/>
  <c r="F420" i="36"/>
  <c r="F417" i="40"/>
  <c r="J374" i="14"/>
  <c r="F379" i="36"/>
  <c r="F376" i="40"/>
  <c r="J453" i="14"/>
  <c r="F459" i="36" s="1"/>
  <c r="F455" i="40"/>
  <c r="M8" i="40"/>
  <c r="J375" i="14" l="1"/>
  <c r="F380" i="36"/>
  <c r="F377" i="40"/>
  <c r="J416" i="14"/>
  <c r="F418" i="40"/>
  <c r="F421" i="36"/>
  <c r="J454" i="14"/>
  <c r="F460" i="36" s="1"/>
  <c r="F456" i="40"/>
  <c r="L8" i="40"/>
  <c r="K8" i="40"/>
  <c r="J8" i="40"/>
  <c r="I8" i="40"/>
  <c r="H8" i="40"/>
  <c r="G8" i="40"/>
  <c r="G4" i="40"/>
  <c r="B9" i="40"/>
  <c r="C9" i="40"/>
  <c r="D9" i="40"/>
  <c r="E9" i="40"/>
  <c r="B10" i="40"/>
  <c r="C10" i="40"/>
  <c r="D10" i="40"/>
  <c r="E10" i="40"/>
  <c r="B11" i="40"/>
  <c r="C11" i="40"/>
  <c r="D11" i="40"/>
  <c r="E11" i="40"/>
  <c r="B12" i="40"/>
  <c r="C12" i="40"/>
  <c r="D12" i="40"/>
  <c r="E12" i="40"/>
  <c r="B13" i="40"/>
  <c r="C13" i="40"/>
  <c r="D13" i="40"/>
  <c r="E13" i="40"/>
  <c r="B14" i="40"/>
  <c r="C14" i="40"/>
  <c r="D14" i="40"/>
  <c r="E14" i="40"/>
  <c r="B15" i="40"/>
  <c r="C15" i="40"/>
  <c r="D15" i="40"/>
  <c r="E15" i="40"/>
  <c r="B16" i="40"/>
  <c r="C16" i="40"/>
  <c r="D16" i="40"/>
  <c r="E16" i="40"/>
  <c r="B17" i="40"/>
  <c r="C17" i="40"/>
  <c r="D17" i="40"/>
  <c r="E17" i="40"/>
  <c r="B18" i="40"/>
  <c r="C18" i="40"/>
  <c r="D18" i="40"/>
  <c r="E18" i="40"/>
  <c r="B19" i="40"/>
  <c r="C19" i="40"/>
  <c r="D19" i="40"/>
  <c r="E19" i="40"/>
  <c r="B20" i="40"/>
  <c r="C20" i="40"/>
  <c r="D20" i="40"/>
  <c r="E20" i="40"/>
  <c r="B21" i="40"/>
  <c r="C21" i="40"/>
  <c r="D21" i="40"/>
  <c r="E21" i="40"/>
  <c r="B22" i="40"/>
  <c r="C22" i="40"/>
  <c r="D22" i="40"/>
  <c r="E22" i="40"/>
  <c r="B23" i="40"/>
  <c r="C23" i="40"/>
  <c r="D23" i="40"/>
  <c r="E23" i="40"/>
  <c r="B24" i="40"/>
  <c r="C24" i="40"/>
  <c r="D24" i="40"/>
  <c r="E24" i="40"/>
  <c r="B25" i="40"/>
  <c r="C25" i="40"/>
  <c r="D25" i="40"/>
  <c r="E25" i="40"/>
  <c r="B26" i="40"/>
  <c r="C26" i="40"/>
  <c r="D26" i="40"/>
  <c r="E26" i="40"/>
  <c r="B27" i="40"/>
  <c r="C27" i="40"/>
  <c r="D27" i="40"/>
  <c r="E27" i="40"/>
  <c r="B28" i="40"/>
  <c r="C28" i="40"/>
  <c r="D28" i="40"/>
  <c r="E28" i="40"/>
  <c r="B29" i="40"/>
  <c r="C29" i="40"/>
  <c r="D29" i="40"/>
  <c r="E29" i="40"/>
  <c r="B30" i="40"/>
  <c r="C30" i="40"/>
  <c r="D30" i="40"/>
  <c r="E30" i="40"/>
  <c r="B31" i="40"/>
  <c r="C31" i="40"/>
  <c r="D31" i="40"/>
  <c r="E31" i="40"/>
  <c r="B32" i="40"/>
  <c r="C32" i="40"/>
  <c r="D32" i="40"/>
  <c r="E32" i="40"/>
  <c r="B33" i="40"/>
  <c r="C33" i="40"/>
  <c r="D33" i="40"/>
  <c r="E33" i="40"/>
  <c r="B34" i="40"/>
  <c r="C34" i="40"/>
  <c r="D34" i="40"/>
  <c r="E34" i="40"/>
  <c r="B35" i="40"/>
  <c r="C35" i="40"/>
  <c r="D35" i="40"/>
  <c r="E35" i="40"/>
  <c r="B36" i="40"/>
  <c r="C36" i="40"/>
  <c r="D36" i="40"/>
  <c r="E36" i="40"/>
  <c r="B37" i="40"/>
  <c r="C37" i="40"/>
  <c r="D37" i="40"/>
  <c r="E37" i="40"/>
  <c r="B38" i="40"/>
  <c r="C38" i="40"/>
  <c r="D38" i="40"/>
  <c r="E38" i="40"/>
  <c r="B39" i="40"/>
  <c r="C39" i="40"/>
  <c r="D39" i="40"/>
  <c r="E39" i="40"/>
  <c r="B40" i="40"/>
  <c r="C40" i="40"/>
  <c r="D40" i="40"/>
  <c r="E40" i="40"/>
  <c r="B41" i="40"/>
  <c r="C41" i="40"/>
  <c r="D41" i="40"/>
  <c r="E41" i="40"/>
  <c r="B48" i="40"/>
  <c r="C48" i="40"/>
  <c r="D48" i="40"/>
  <c r="E48" i="40"/>
  <c r="B49" i="40"/>
  <c r="C49" i="40"/>
  <c r="D49" i="40"/>
  <c r="E49" i="40"/>
  <c r="B88" i="40"/>
  <c r="C88" i="40"/>
  <c r="D88" i="40"/>
  <c r="E88" i="40"/>
  <c r="B89" i="40"/>
  <c r="C89" i="40"/>
  <c r="D89" i="40"/>
  <c r="E89" i="40"/>
  <c r="B128" i="40"/>
  <c r="C128" i="40"/>
  <c r="D128" i="40"/>
  <c r="E128" i="40"/>
  <c r="B129" i="40"/>
  <c r="C129" i="40"/>
  <c r="D129" i="40"/>
  <c r="E129" i="40"/>
  <c r="B168" i="40"/>
  <c r="C168" i="40"/>
  <c r="D168" i="40"/>
  <c r="E168" i="40"/>
  <c r="B169" i="40"/>
  <c r="C169" i="40"/>
  <c r="D169" i="40"/>
  <c r="E169" i="40"/>
  <c r="B208" i="40"/>
  <c r="C208" i="40"/>
  <c r="D208" i="40"/>
  <c r="E208" i="40"/>
  <c r="E8" i="40"/>
  <c r="D8" i="40"/>
  <c r="C8" i="40"/>
  <c r="B8" i="40"/>
  <c r="J376" i="14" l="1"/>
  <c r="F378" i="40"/>
  <c r="F381" i="36"/>
  <c r="J417" i="14"/>
  <c r="F422" i="36"/>
  <c r="F419" i="40"/>
  <c r="J455" i="14"/>
  <c r="F461" i="36" s="1"/>
  <c r="F457" i="40"/>
  <c r="J285" i="14"/>
  <c r="J377" i="14" l="1"/>
  <c r="F382" i="36"/>
  <c r="F379" i="40"/>
  <c r="J418" i="14"/>
  <c r="F420" i="40"/>
  <c r="F423" i="36"/>
  <c r="F291" i="36"/>
  <c r="F288" i="40"/>
  <c r="J456" i="14"/>
  <c r="F462" i="36" s="1"/>
  <c r="F458" i="40"/>
  <c r="J326" i="14"/>
  <c r="AL331" i="1"/>
  <c r="AP331" i="1" s="1"/>
  <c r="AK331" i="1"/>
  <c r="AO331" i="1" s="1"/>
  <c r="AL330" i="1"/>
  <c r="AP330" i="1" s="1"/>
  <c r="AK330" i="1"/>
  <c r="AL310" i="1"/>
  <c r="AP310" i="1" s="1"/>
  <c r="AK310" i="1"/>
  <c r="AO310" i="1" s="1"/>
  <c r="AL309" i="1"/>
  <c r="AP309" i="1" s="1"/>
  <c r="AK309" i="1"/>
  <c r="AL308" i="1"/>
  <c r="AP308" i="1" s="1"/>
  <c r="AK308" i="1"/>
  <c r="AL307" i="1"/>
  <c r="AK307" i="1"/>
  <c r="AO307" i="1" s="1"/>
  <c r="AL306" i="1"/>
  <c r="AP306" i="1" s="1"/>
  <c r="AK306" i="1"/>
  <c r="AO306" i="1" s="1"/>
  <c r="AL305" i="1"/>
  <c r="AP305" i="1" s="1"/>
  <c r="AK305" i="1"/>
  <c r="AL304" i="1"/>
  <c r="AK304" i="1"/>
  <c r="AL303" i="1"/>
  <c r="AK303" i="1"/>
  <c r="AO303" i="1" s="1"/>
  <c r="AL302" i="1"/>
  <c r="AP302" i="1" s="1"/>
  <c r="AK302" i="1"/>
  <c r="AL301" i="1"/>
  <c r="AP301" i="1" s="1"/>
  <c r="AK301" i="1"/>
  <c r="AL300" i="1"/>
  <c r="AP300" i="1" s="1"/>
  <c r="AK300" i="1"/>
  <c r="AL299" i="1"/>
  <c r="AK299" i="1"/>
  <c r="AL298" i="1"/>
  <c r="AK298" i="1"/>
  <c r="AO298" i="1" s="1"/>
  <c r="AL297" i="1"/>
  <c r="AK297" i="1"/>
  <c r="AL296" i="1"/>
  <c r="AK296" i="1"/>
  <c r="AL295" i="1"/>
  <c r="AK295" i="1"/>
  <c r="AO295" i="1" s="1"/>
  <c r="AL294" i="1"/>
  <c r="AP294" i="1" s="1"/>
  <c r="AK294" i="1"/>
  <c r="AO294" i="1" s="1"/>
  <c r="AL293" i="1"/>
  <c r="AP293" i="1" s="1"/>
  <c r="AK293" i="1"/>
  <c r="AL292" i="1"/>
  <c r="AP292" i="1" s="1"/>
  <c r="AK292" i="1"/>
  <c r="AL291" i="1"/>
  <c r="AK291" i="1"/>
  <c r="AO291" i="1" s="1"/>
  <c r="AL290" i="1"/>
  <c r="AP290" i="1" s="1"/>
  <c r="AK290" i="1"/>
  <c r="AO290" i="1" s="1"/>
  <c r="AL250" i="1"/>
  <c r="AP250" i="1" s="1"/>
  <c r="AK250" i="1"/>
  <c r="AO250" i="1" s="1"/>
  <c r="AL224" i="1"/>
  <c r="AP224" i="1" s="1"/>
  <c r="AK224" i="1"/>
  <c r="AL223" i="1"/>
  <c r="AK223" i="1"/>
  <c r="AL222" i="1"/>
  <c r="AK222" i="1"/>
  <c r="AO222" i="1" s="1"/>
  <c r="AL221" i="1"/>
  <c r="AK221" i="1"/>
  <c r="AL220" i="1"/>
  <c r="AK220" i="1"/>
  <c r="AL219" i="1"/>
  <c r="AK219" i="1"/>
  <c r="AO219" i="1" s="1"/>
  <c r="AL218" i="1"/>
  <c r="AP218" i="1" s="1"/>
  <c r="AK218" i="1"/>
  <c r="AO218" i="1" s="1"/>
  <c r="AL217" i="1"/>
  <c r="AP217" i="1" s="1"/>
  <c r="AK217" i="1"/>
  <c r="AL216" i="1"/>
  <c r="AP216" i="1" s="1"/>
  <c r="AK216" i="1"/>
  <c r="AL215" i="1"/>
  <c r="AK215" i="1"/>
  <c r="AO215" i="1" s="1"/>
  <c r="AL214" i="1"/>
  <c r="AP214" i="1" s="1"/>
  <c r="AK214" i="1"/>
  <c r="AO214" i="1" s="1"/>
  <c r="AL213" i="1"/>
  <c r="AK213" i="1"/>
  <c r="AL212" i="1"/>
  <c r="AK212" i="1"/>
  <c r="AL211" i="1"/>
  <c r="AK211" i="1"/>
  <c r="AL210" i="1"/>
  <c r="AP210" i="1" s="1"/>
  <c r="AK210" i="1"/>
  <c r="AO210" i="1" s="1"/>
  <c r="AL188" i="1"/>
  <c r="AK188" i="1"/>
  <c r="AO188" i="1" s="1"/>
  <c r="AL187" i="1"/>
  <c r="AK187" i="1"/>
  <c r="AO187" i="1" s="1"/>
  <c r="AL186" i="1"/>
  <c r="AP186" i="1" s="1"/>
  <c r="AK186" i="1"/>
  <c r="AO186" i="1" s="1"/>
  <c r="AL185" i="1"/>
  <c r="AP185" i="1" s="1"/>
  <c r="AK185" i="1"/>
  <c r="AL184" i="1"/>
  <c r="AP184" i="1" s="1"/>
  <c r="AK184" i="1"/>
  <c r="AL183" i="1"/>
  <c r="AK183" i="1"/>
  <c r="AO183" i="1" s="1"/>
  <c r="AL182" i="1"/>
  <c r="AP182" i="1" s="1"/>
  <c r="AK182" i="1"/>
  <c r="AO182" i="1" s="1"/>
  <c r="AL181" i="1"/>
  <c r="AP181" i="1" s="1"/>
  <c r="AK181" i="1"/>
  <c r="AL180" i="1"/>
  <c r="AK180" i="1"/>
  <c r="AO180" i="1" s="1"/>
  <c r="AL179" i="1"/>
  <c r="AK179" i="1"/>
  <c r="AO179" i="1" s="1"/>
  <c r="AL178" i="1"/>
  <c r="AP178" i="1" s="1"/>
  <c r="AK178" i="1"/>
  <c r="AO178" i="1" s="1"/>
  <c r="AL177" i="1"/>
  <c r="AP177" i="1" s="1"/>
  <c r="AK177" i="1"/>
  <c r="AL176" i="1"/>
  <c r="AP176" i="1" s="1"/>
  <c r="AK176" i="1"/>
  <c r="AL175" i="1"/>
  <c r="AK175" i="1"/>
  <c r="AO175" i="1" s="1"/>
  <c r="AL174" i="1"/>
  <c r="AP174" i="1" s="1"/>
  <c r="AK174" i="1"/>
  <c r="AO174" i="1" s="1"/>
  <c r="AL173" i="1"/>
  <c r="AK173" i="1"/>
  <c r="AL172" i="1"/>
  <c r="AP172" i="1" s="1"/>
  <c r="AK172" i="1"/>
  <c r="AL171" i="1"/>
  <c r="AP171" i="1" s="1"/>
  <c r="AK171" i="1"/>
  <c r="AO171" i="1" s="1"/>
  <c r="AL170" i="1"/>
  <c r="AP170" i="1" s="1"/>
  <c r="AK170" i="1"/>
  <c r="AO170" i="1" s="1"/>
  <c r="AL152" i="1"/>
  <c r="AK152" i="1"/>
  <c r="AO152" i="1" s="1"/>
  <c r="AL151" i="1"/>
  <c r="AK151" i="1"/>
  <c r="AO151" i="1" s="1"/>
  <c r="AL150" i="1"/>
  <c r="AP150" i="1" s="1"/>
  <c r="AK150" i="1"/>
  <c r="AO150" i="1" s="1"/>
  <c r="AL149" i="1"/>
  <c r="AP149" i="1" s="1"/>
  <c r="AK149" i="1"/>
  <c r="AL148" i="1"/>
  <c r="AK148" i="1"/>
  <c r="AL147" i="1"/>
  <c r="AP147" i="1" s="1"/>
  <c r="AK147" i="1"/>
  <c r="AO147" i="1" s="1"/>
  <c r="AL146" i="1"/>
  <c r="AP146" i="1" s="1"/>
  <c r="AK146" i="1"/>
  <c r="AL145" i="1"/>
  <c r="AP145" i="1" s="1"/>
  <c r="AK145" i="1"/>
  <c r="AO145" i="1" s="1"/>
  <c r="AL144" i="1"/>
  <c r="AP144" i="1" s="1"/>
  <c r="AK144" i="1"/>
  <c r="AO144" i="1" s="1"/>
  <c r="AL143" i="1"/>
  <c r="AK143" i="1"/>
  <c r="AO143" i="1" s="1"/>
  <c r="AL142" i="1"/>
  <c r="AP142" i="1" s="1"/>
  <c r="AK142" i="1"/>
  <c r="AO142" i="1" s="1"/>
  <c r="AL141" i="1"/>
  <c r="AK141" i="1"/>
  <c r="AL140" i="1"/>
  <c r="AK140" i="1"/>
  <c r="AL139" i="1"/>
  <c r="AP139" i="1" s="1"/>
  <c r="AK139" i="1"/>
  <c r="AO139" i="1" s="1"/>
  <c r="AL138" i="1"/>
  <c r="AP138" i="1" s="1"/>
  <c r="AK138" i="1"/>
  <c r="AO138" i="1" s="1"/>
  <c r="AL137" i="1"/>
  <c r="AP137" i="1" s="1"/>
  <c r="AK137" i="1"/>
  <c r="AL136" i="1"/>
  <c r="AP136" i="1" s="1"/>
  <c r="AK136" i="1"/>
  <c r="AO136" i="1" s="1"/>
  <c r="AL135" i="1"/>
  <c r="AK135" i="1"/>
  <c r="AO135" i="1" s="1"/>
  <c r="AL134" i="1"/>
  <c r="AP134" i="1" s="1"/>
  <c r="AK134" i="1"/>
  <c r="AO134" i="1" s="1"/>
  <c r="AL133" i="1"/>
  <c r="AK133" i="1"/>
  <c r="AL132" i="1"/>
  <c r="AP132" i="1" s="1"/>
  <c r="AK132" i="1"/>
  <c r="AL131" i="1"/>
  <c r="AP131" i="1" s="1"/>
  <c r="AK131" i="1"/>
  <c r="AO131" i="1" s="1"/>
  <c r="AL130" i="1"/>
  <c r="AP130" i="1" s="1"/>
  <c r="AK130" i="1"/>
  <c r="AO130" i="1" s="1"/>
  <c r="AL116" i="1"/>
  <c r="AK116" i="1"/>
  <c r="AL115" i="1"/>
  <c r="AP115" i="1" s="1"/>
  <c r="AK115" i="1"/>
  <c r="AO115" i="1" s="1"/>
  <c r="AL114" i="1"/>
  <c r="AP114" i="1" s="1"/>
  <c r="AK114" i="1"/>
  <c r="AL113" i="1"/>
  <c r="AP113" i="1" s="1"/>
  <c r="AK113" i="1"/>
  <c r="AO113" i="1" s="1"/>
  <c r="AL112" i="1"/>
  <c r="AP112" i="1" s="1"/>
  <c r="AK112" i="1"/>
  <c r="AO112" i="1" s="1"/>
  <c r="AL111" i="1"/>
  <c r="AK111" i="1"/>
  <c r="AO111" i="1" s="1"/>
  <c r="AL110" i="1"/>
  <c r="AP110" i="1" s="1"/>
  <c r="AK110" i="1"/>
  <c r="AO110" i="1" s="1"/>
  <c r="AL109" i="1"/>
  <c r="AK109" i="1"/>
  <c r="AL108" i="1"/>
  <c r="AK108" i="1"/>
  <c r="AL107" i="1"/>
  <c r="AP107" i="1" s="1"/>
  <c r="AK107" i="1"/>
  <c r="AO107" i="1" s="1"/>
  <c r="AL106" i="1"/>
  <c r="AP106" i="1" s="1"/>
  <c r="AK106" i="1"/>
  <c r="AO106" i="1" s="1"/>
  <c r="AL105" i="1"/>
  <c r="AP105" i="1" s="1"/>
  <c r="AK105" i="1"/>
  <c r="AO105" i="1" s="1"/>
  <c r="AL104" i="1"/>
  <c r="AK104" i="1"/>
  <c r="AO104" i="1" s="1"/>
  <c r="AL103" i="1"/>
  <c r="AK103" i="1"/>
  <c r="AO103" i="1" s="1"/>
  <c r="AL102" i="1"/>
  <c r="AP102" i="1" s="1"/>
  <c r="AK102" i="1"/>
  <c r="AO102" i="1" s="1"/>
  <c r="AL101" i="1"/>
  <c r="AK101" i="1"/>
  <c r="AL100" i="1"/>
  <c r="AP100" i="1" s="1"/>
  <c r="AK100" i="1"/>
  <c r="AL99" i="1"/>
  <c r="AP99" i="1" s="1"/>
  <c r="AK99" i="1"/>
  <c r="AO99" i="1" s="1"/>
  <c r="AL98" i="1"/>
  <c r="AP98" i="1" s="1"/>
  <c r="AK98" i="1"/>
  <c r="AO98" i="1" s="1"/>
  <c r="AL97" i="1"/>
  <c r="AP97" i="1" s="1"/>
  <c r="AK97" i="1"/>
  <c r="AO97" i="1" s="1"/>
  <c r="AL96" i="1"/>
  <c r="AK96" i="1"/>
  <c r="AO96" i="1" s="1"/>
  <c r="AL95" i="1"/>
  <c r="AK95" i="1"/>
  <c r="AO95" i="1" s="1"/>
  <c r="AL94" i="1"/>
  <c r="AP94" i="1" s="1"/>
  <c r="AK94" i="1"/>
  <c r="AO94" i="1" s="1"/>
  <c r="AL93" i="1"/>
  <c r="AK93" i="1"/>
  <c r="AL92" i="1"/>
  <c r="AK92" i="1"/>
  <c r="AL91" i="1"/>
  <c r="AP91" i="1" s="1"/>
  <c r="AK91" i="1"/>
  <c r="AO91" i="1" s="1"/>
  <c r="AL90" i="1"/>
  <c r="AP90" i="1" s="1"/>
  <c r="AK90" i="1"/>
  <c r="AL80" i="1"/>
  <c r="AP80" i="1" s="1"/>
  <c r="AK80" i="1"/>
  <c r="AO80" i="1" s="1"/>
  <c r="AL79" i="1"/>
  <c r="AK79" i="1"/>
  <c r="AL78" i="1"/>
  <c r="AK78" i="1"/>
  <c r="AO78" i="1" s="1"/>
  <c r="AL77" i="1"/>
  <c r="AP77" i="1" s="1"/>
  <c r="AK77" i="1"/>
  <c r="AO77" i="1" s="1"/>
  <c r="AL76" i="1"/>
  <c r="AP76" i="1" s="1"/>
  <c r="AK76" i="1"/>
  <c r="AO76" i="1" s="1"/>
  <c r="AL75" i="1"/>
  <c r="AK75" i="1"/>
  <c r="AL74" i="1"/>
  <c r="AK74" i="1"/>
  <c r="AO74" i="1" s="1"/>
  <c r="AL73" i="1"/>
  <c r="AP73" i="1" s="1"/>
  <c r="AK73" i="1"/>
  <c r="AO73" i="1" s="1"/>
  <c r="AL72" i="1"/>
  <c r="AP72" i="1" s="1"/>
  <c r="AK72" i="1"/>
  <c r="AO72" i="1" s="1"/>
  <c r="AL71" i="1"/>
  <c r="AK71" i="1"/>
  <c r="AL70" i="1"/>
  <c r="AK70" i="1"/>
  <c r="AO70" i="1" s="1"/>
  <c r="AL69" i="1"/>
  <c r="AP69" i="1" s="1"/>
  <c r="AK69" i="1"/>
  <c r="AO69" i="1" s="1"/>
  <c r="AL68" i="1"/>
  <c r="AP68" i="1" s="1"/>
  <c r="AK68" i="1"/>
  <c r="AO68" i="1" s="1"/>
  <c r="AL67" i="1"/>
  <c r="AK67" i="1"/>
  <c r="AL66" i="1"/>
  <c r="AK66" i="1"/>
  <c r="AO66" i="1" s="1"/>
  <c r="AL65" i="1"/>
  <c r="AP65" i="1" s="1"/>
  <c r="AK65" i="1"/>
  <c r="AO65" i="1" s="1"/>
  <c r="AL64" i="1"/>
  <c r="AK64" i="1"/>
  <c r="AO64" i="1" s="1"/>
  <c r="AL63" i="1"/>
  <c r="AK63" i="1"/>
  <c r="AL62" i="1"/>
  <c r="AK62" i="1"/>
  <c r="AO62" i="1" s="1"/>
  <c r="AL61" i="1"/>
  <c r="AP61" i="1" s="1"/>
  <c r="AK61" i="1"/>
  <c r="AO61" i="1" s="1"/>
  <c r="AL60" i="1"/>
  <c r="AP60" i="1" s="1"/>
  <c r="AK60" i="1"/>
  <c r="AO60" i="1" s="1"/>
  <c r="AL59" i="1"/>
  <c r="AK59" i="1"/>
  <c r="AL58" i="1"/>
  <c r="AK58" i="1"/>
  <c r="AO58" i="1" s="1"/>
  <c r="AL57" i="1"/>
  <c r="AP57" i="1" s="1"/>
  <c r="AK57" i="1"/>
  <c r="AL56" i="1"/>
  <c r="AK56" i="1"/>
  <c r="AO56" i="1" s="1"/>
  <c r="AL55" i="1"/>
  <c r="AK55" i="1"/>
  <c r="AL54" i="1"/>
  <c r="AK54" i="1"/>
  <c r="AO54" i="1" s="1"/>
  <c r="AL53" i="1"/>
  <c r="AP53" i="1" s="1"/>
  <c r="AK53" i="1"/>
  <c r="AO53" i="1" s="1"/>
  <c r="AL52" i="1"/>
  <c r="AK52" i="1"/>
  <c r="AO52" i="1" s="1"/>
  <c r="AL51" i="1"/>
  <c r="AK51" i="1"/>
  <c r="AL50" i="1"/>
  <c r="AK50" i="1"/>
  <c r="AO50" i="1" s="1"/>
  <c r="AL44" i="1"/>
  <c r="AP44" i="1" s="1"/>
  <c r="AK44" i="1"/>
  <c r="AO44" i="1" s="1"/>
  <c r="AL43" i="1"/>
  <c r="AK43" i="1"/>
  <c r="AL42" i="1"/>
  <c r="AK42" i="1"/>
  <c r="AO42" i="1" s="1"/>
  <c r="AL41" i="1"/>
  <c r="AP41" i="1" s="1"/>
  <c r="AK41" i="1"/>
  <c r="AO41" i="1" s="1"/>
  <c r="AL40" i="1"/>
  <c r="AP40" i="1" s="1"/>
  <c r="AK40" i="1"/>
  <c r="AO40" i="1" s="1"/>
  <c r="AL39" i="1"/>
  <c r="AK39" i="1"/>
  <c r="AL38" i="1"/>
  <c r="AK38" i="1"/>
  <c r="AO38" i="1" s="1"/>
  <c r="AL37" i="1"/>
  <c r="AP37" i="1" s="1"/>
  <c r="AK37" i="1"/>
  <c r="AO37" i="1" s="1"/>
  <c r="AL36" i="1"/>
  <c r="AP36" i="1" s="1"/>
  <c r="AK36" i="1"/>
  <c r="AO36" i="1" s="1"/>
  <c r="AL35" i="1"/>
  <c r="AP35" i="1" s="1"/>
  <c r="AK35" i="1"/>
  <c r="AL34" i="1"/>
  <c r="AK34" i="1"/>
  <c r="AO34" i="1" s="1"/>
  <c r="AL33" i="1"/>
  <c r="AP33" i="1" s="1"/>
  <c r="AK33" i="1"/>
  <c r="AO33" i="1" s="1"/>
  <c r="AL32" i="1"/>
  <c r="AP32" i="1" s="1"/>
  <c r="AK32" i="1"/>
  <c r="AO32" i="1" s="1"/>
  <c r="AL31" i="1"/>
  <c r="AK31" i="1"/>
  <c r="AL30" i="1"/>
  <c r="AK30" i="1"/>
  <c r="AO30" i="1" s="1"/>
  <c r="AL29" i="1"/>
  <c r="AP29" i="1" s="1"/>
  <c r="AK29" i="1"/>
  <c r="AO29" i="1" s="1"/>
  <c r="AL28" i="1"/>
  <c r="AP28" i="1" s="1"/>
  <c r="AK28" i="1"/>
  <c r="AO28" i="1" s="1"/>
  <c r="AL27" i="1"/>
  <c r="AP27" i="1" s="1"/>
  <c r="AK27" i="1"/>
  <c r="AO27" i="1" s="1"/>
  <c r="AL26" i="1"/>
  <c r="AP26" i="1" s="1"/>
  <c r="AK26" i="1"/>
  <c r="AO26" i="1" s="1"/>
  <c r="AL25" i="1"/>
  <c r="AP25" i="1" s="1"/>
  <c r="AK25" i="1"/>
  <c r="AO25" i="1" s="1"/>
  <c r="AL24" i="1"/>
  <c r="AP24" i="1" s="1"/>
  <c r="AK24" i="1"/>
  <c r="AL23" i="1"/>
  <c r="AK23" i="1"/>
  <c r="AO23" i="1" s="1"/>
  <c r="AL22" i="1"/>
  <c r="AP22" i="1" s="1"/>
  <c r="AK22" i="1"/>
  <c r="AO22" i="1" s="1"/>
  <c r="AL21" i="1"/>
  <c r="AP21" i="1" s="1"/>
  <c r="AK21" i="1"/>
  <c r="AO21" i="1" s="1"/>
  <c r="AL20" i="1"/>
  <c r="AP20" i="1" s="1"/>
  <c r="AK20" i="1"/>
  <c r="AL19" i="1"/>
  <c r="AK19" i="1"/>
  <c r="AO19" i="1" s="1"/>
  <c r="AL18" i="1"/>
  <c r="AP18" i="1" s="1"/>
  <c r="AK18" i="1"/>
  <c r="AO18" i="1" s="1"/>
  <c r="AL17" i="1"/>
  <c r="AP17" i="1" s="1"/>
  <c r="AK17" i="1"/>
  <c r="AO17" i="1" s="1"/>
  <c r="AL16" i="1"/>
  <c r="AP16" i="1" s="1"/>
  <c r="AK16" i="1"/>
  <c r="AL15" i="1"/>
  <c r="AK15" i="1"/>
  <c r="AO15" i="1" s="1"/>
  <c r="AL14" i="1"/>
  <c r="AK14" i="1"/>
  <c r="AO14" i="1" s="1"/>
  <c r="AL13" i="1"/>
  <c r="AP13" i="1" s="1"/>
  <c r="AK13" i="1"/>
  <c r="AO13" i="1" s="1"/>
  <c r="AL12" i="1"/>
  <c r="AP12" i="1" s="1"/>
  <c r="AK12" i="1"/>
  <c r="AL11" i="1"/>
  <c r="AK11" i="1"/>
  <c r="AO11" i="1" s="1"/>
  <c r="J419" i="14" l="1"/>
  <c r="F421" i="40"/>
  <c r="F424" i="36"/>
  <c r="F329" i="40"/>
  <c r="F332" i="36"/>
  <c r="J378" i="14"/>
  <c r="F380" i="40"/>
  <c r="F383" i="36"/>
  <c r="J457" i="14"/>
  <c r="F463" i="36" s="1"/>
  <c r="F459" i="40"/>
  <c r="AP51" i="1"/>
  <c r="AP63" i="1"/>
  <c r="AP43" i="1"/>
  <c r="AP56" i="1"/>
  <c r="AP55" i="1"/>
  <c r="AP31" i="1"/>
  <c r="AP39" i="1"/>
  <c r="AP52" i="1"/>
  <c r="AO57" i="1"/>
  <c r="AP64" i="1"/>
  <c r="AP220" i="1"/>
  <c r="AO223" i="1"/>
  <c r="AP298" i="1"/>
  <c r="AO302" i="1"/>
  <c r="AP71" i="1"/>
  <c r="AP79" i="1"/>
  <c r="AP297" i="1"/>
  <c r="AO330" i="1"/>
  <c r="AP180" i="1"/>
  <c r="AP188" i="1"/>
  <c r="AP213" i="1"/>
  <c r="AP222" i="1"/>
  <c r="AP296" i="1"/>
  <c r="AO299" i="1"/>
  <c r="AP59" i="1"/>
  <c r="AP67" i="1"/>
  <c r="AP75" i="1"/>
  <c r="AO90" i="1"/>
  <c r="AP96" i="1"/>
  <c r="AP104" i="1"/>
  <c r="AO137" i="1"/>
  <c r="AP140" i="1"/>
  <c r="AP152" i="1"/>
  <c r="AO176" i="1"/>
  <c r="AO184" i="1"/>
  <c r="AO211" i="1"/>
  <c r="AP212" i="1"/>
  <c r="AP221" i="1"/>
  <c r="J327" i="14"/>
  <c r="AP304" i="1"/>
  <c r="J487" i="14"/>
  <c r="AP95" i="1"/>
  <c r="AO116" i="1"/>
  <c r="AO148" i="1"/>
  <c r="AO177" i="1"/>
  <c r="AP183" i="1"/>
  <c r="AP307" i="1"/>
  <c r="AP11" i="1"/>
  <c r="AO12" i="1"/>
  <c r="AP19" i="1"/>
  <c r="AP92" i="1"/>
  <c r="AO93" i="1"/>
  <c r="AO108" i="1"/>
  <c r="AP109" i="1"/>
  <c r="AO140" i="1"/>
  <c r="AP151" i="1"/>
  <c r="AO172" i="1"/>
  <c r="AP173" i="1"/>
  <c r="AP187" i="1"/>
  <c r="AP211" i="1"/>
  <c r="AP30" i="1"/>
  <c r="AP34" i="1"/>
  <c r="AP38" i="1"/>
  <c r="AP42" i="1"/>
  <c r="AP50" i="1"/>
  <c r="AP54" i="1"/>
  <c r="AP58" i="1"/>
  <c r="AP62" i="1"/>
  <c r="AP66" i="1"/>
  <c r="AP70" i="1"/>
  <c r="AP74" i="1"/>
  <c r="AP78" i="1"/>
  <c r="AO100" i="1"/>
  <c r="AP101" i="1"/>
  <c r="AP111" i="1"/>
  <c r="AP116" i="1"/>
  <c r="AO132" i="1"/>
  <c r="AP133" i="1"/>
  <c r="AP143" i="1"/>
  <c r="AP148" i="1"/>
  <c r="AO149" i="1"/>
  <c r="AP175" i="1"/>
  <c r="AO185" i="1"/>
  <c r="AP14" i="1"/>
  <c r="AO101" i="1"/>
  <c r="AO133" i="1"/>
  <c r="AP215" i="1"/>
  <c r="AP291" i="1"/>
  <c r="AP15" i="1"/>
  <c r="AO16" i="1"/>
  <c r="AO20" i="1"/>
  <c r="AP23" i="1"/>
  <c r="AO24" i="1"/>
  <c r="AP141" i="1"/>
  <c r="AO181" i="1"/>
  <c r="AP303" i="1"/>
  <c r="AO31" i="1"/>
  <c r="AO35" i="1"/>
  <c r="AO39" i="1"/>
  <c r="AO43" i="1"/>
  <c r="AO51" i="1"/>
  <c r="AO55" i="1"/>
  <c r="AO59" i="1"/>
  <c r="AO63" i="1"/>
  <c r="AO67" i="1"/>
  <c r="AO71" i="1"/>
  <c r="AO75" i="1"/>
  <c r="AO79" i="1"/>
  <c r="AO92" i="1"/>
  <c r="AP93" i="1"/>
  <c r="AP103" i="1"/>
  <c r="AP108" i="1"/>
  <c r="AO109" i="1"/>
  <c r="AO114" i="1"/>
  <c r="AP135" i="1"/>
  <c r="AO141" i="1"/>
  <c r="AO146" i="1"/>
  <c r="AO173" i="1"/>
  <c r="AP179" i="1"/>
  <c r="AP223" i="1"/>
  <c r="AP299" i="1"/>
  <c r="AP219" i="1"/>
  <c r="AP295" i="1"/>
  <c r="AO213" i="1"/>
  <c r="AO217" i="1"/>
  <c r="AO221" i="1"/>
  <c r="AO293" i="1"/>
  <c r="AO297" i="1"/>
  <c r="AO301" i="1"/>
  <c r="AO305" i="1"/>
  <c r="AO309" i="1"/>
  <c r="AO212" i="1"/>
  <c r="AO216" i="1"/>
  <c r="AO220" i="1"/>
  <c r="AO224" i="1"/>
  <c r="AO292" i="1"/>
  <c r="AO296" i="1"/>
  <c r="AO300" i="1"/>
  <c r="AO304" i="1"/>
  <c r="AO308" i="1"/>
  <c r="J379" i="14" l="1"/>
  <c r="F381" i="40"/>
  <c r="F384" i="36"/>
  <c r="F490" i="40"/>
  <c r="F493" i="36"/>
  <c r="F330" i="40"/>
  <c r="F333" i="36"/>
  <c r="J420" i="14"/>
  <c r="F422" i="40"/>
  <c r="F425" i="36"/>
  <c r="J458" i="14"/>
  <c r="F464" i="36" s="1"/>
  <c r="F460" i="40"/>
  <c r="J328" i="14"/>
  <c r="J488" i="14"/>
  <c r="J380" i="14" l="1"/>
  <c r="F382" i="40"/>
  <c r="F385" i="36"/>
  <c r="J421" i="14"/>
  <c r="F423" i="40"/>
  <c r="F426" i="36"/>
  <c r="F491" i="40"/>
  <c r="F494" i="36"/>
  <c r="F331" i="40"/>
  <c r="F334" i="36"/>
  <c r="J459" i="14"/>
  <c r="F465" i="36" s="1"/>
  <c r="F461" i="40"/>
  <c r="J489" i="14"/>
  <c r="J329" i="14"/>
  <c r="D3" i="1"/>
  <c r="G546" i="1" s="1"/>
  <c r="I547" i="1" s="1"/>
  <c r="J381" i="14" l="1"/>
  <c r="F383" i="40"/>
  <c r="F386" i="36"/>
  <c r="F332" i="40"/>
  <c r="F335" i="36"/>
  <c r="F492" i="40"/>
  <c r="F495" i="36"/>
  <c r="J422" i="14"/>
  <c r="F427" i="36"/>
  <c r="F424" i="40"/>
  <c r="J460" i="14"/>
  <c r="F466" i="36" s="1"/>
  <c r="F462" i="40"/>
  <c r="J46" i="14"/>
  <c r="F52" i="36" s="1"/>
  <c r="F48" i="40"/>
  <c r="J330" i="14"/>
  <c r="J490" i="14"/>
  <c r="AA546" i="1"/>
  <c r="AC547" i="1" s="1"/>
  <c r="I546" i="1"/>
  <c r="E5" i="1"/>
  <c r="J382" i="14" l="1"/>
  <c r="F387" i="36"/>
  <c r="F384" i="40"/>
  <c r="F493" i="40"/>
  <c r="F496" i="36"/>
  <c r="J423" i="14"/>
  <c r="F428" i="36"/>
  <c r="F425" i="40"/>
  <c r="F333" i="40"/>
  <c r="F336" i="36"/>
  <c r="J461" i="14"/>
  <c r="F467" i="36" s="1"/>
  <c r="F463" i="40"/>
  <c r="J491" i="14"/>
  <c r="J331" i="14"/>
  <c r="J47" i="14"/>
  <c r="F49" i="40"/>
  <c r="AC546" i="1"/>
  <c r="AC545" i="1" s="1"/>
  <c r="AA544" i="1" s="1"/>
  <c r="G545" i="1"/>
  <c r="I545" i="1"/>
  <c r="G544" i="1" s="1"/>
  <c r="D15" i="20"/>
  <c r="F50" i="40" l="1"/>
  <c r="F53" i="36"/>
  <c r="F494" i="40"/>
  <c r="F497" i="36"/>
  <c r="J424" i="14"/>
  <c r="F426" i="40"/>
  <c r="F429" i="36"/>
  <c r="F334" i="40"/>
  <c r="F337" i="36"/>
  <c r="J383" i="14"/>
  <c r="F388" i="36"/>
  <c r="F385" i="40"/>
  <c r="J462" i="14"/>
  <c r="F468" i="36" s="1"/>
  <c r="F464" i="40"/>
  <c r="A7" i="20"/>
  <c r="A13" i="20"/>
  <c r="C14" i="20" s="1"/>
  <c r="J332" i="14"/>
  <c r="J48" i="14"/>
  <c r="J492" i="14"/>
  <c r="C9" i="39"/>
  <c r="R331" i="1"/>
  <c r="H332" i="36" s="1"/>
  <c r="R330" i="1"/>
  <c r="H331" i="36" s="1"/>
  <c r="R310" i="1"/>
  <c r="H311" i="36" s="1"/>
  <c r="R309" i="1"/>
  <c r="H310" i="36" s="1"/>
  <c r="R308" i="1"/>
  <c r="H309" i="36" s="1"/>
  <c r="R307" i="1"/>
  <c r="H308" i="36" s="1"/>
  <c r="R306" i="1"/>
  <c r="H307" i="36" s="1"/>
  <c r="R305" i="1"/>
  <c r="H306" i="36" s="1"/>
  <c r="R304" i="1"/>
  <c r="H305" i="36" s="1"/>
  <c r="R303" i="1"/>
  <c r="H304" i="36" s="1"/>
  <c r="R302" i="1"/>
  <c r="H303" i="36" s="1"/>
  <c r="R301" i="1"/>
  <c r="H302" i="36" s="1"/>
  <c r="R300" i="1"/>
  <c r="H301" i="36" s="1"/>
  <c r="R299" i="1"/>
  <c r="H300" i="36" s="1"/>
  <c r="R298" i="1"/>
  <c r="H299" i="36" s="1"/>
  <c r="R297" i="1"/>
  <c r="H298" i="36" s="1"/>
  <c r="R296" i="1"/>
  <c r="H297" i="36" s="1"/>
  <c r="R295" i="1"/>
  <c r="H296" i="36" s="1"/>
  <c r="R294" i="1"/>
  <c r="H295" i="36" s="1"/>
  <c r="R293" i="1"/>
  <c r="H294" i="36" s="1"/>
  <c r="R292" i="1"/>
  <c r="H293" i="36" s="1"/>
  <c r="R291" i="1"/>
  <c r="H292" i="36" s="1"/>
  <c r="R290" i="1"/>
  <c r="H291" i="36" s="1"/>
  <c r="R250" i="1"/>
  <c r="H251" i="36" s="1"/>
  <c r="R224" i="1"/>
  <c r="H225" i="36" s="1"/>
  <c r="R223" i="1"/>
  <c r="H224" i="36" s="1"/>
  <c r="R222" i="1"/>
  <c r="H223" i="36" s="1"/>
  <c r="R221" i="1"/>
  <c r="H222" i="36" s="1"/>
  <c r="R220" i="1"/>
  <c r="H221" i="36" s="1"/>
  <c r="R219" i="1"/>
  <c r="H220" i="36" s="1"/>
  <c r="R218" i="1"/>
  <c r="H219" i="36" s="1"/>
  <c r="R217" i="1"/>
  <c r="H218" i="36" s="1"/>
  <c r="R216" i="1"/>
  <c r="H217" i="36" s="1"/>
  <c r="R215" i="1"/>
  <c r="H216" i="36" s="1"/>
  <c r="R214" i="1"/>
  <c r="H215" i="36" s="1"/>
  <c r="R213" i="1"/>
  <c r="H214" i="36" s="1"/>
  <c r="R212" i="1"/>
  <c r="H213" i="36" s="1"/>
  <c r="R211" i="1"/>
  <c r="H212" i="36" s="1"/>
  <c r="R210" i="1"/>
  <c r="H211" i="36" s="1"/>
  <c r="R186" i="1"/>
  <c r="H187" i="36" s="1"/>
  <c r="R185" i="1"/>
  <c r="H186" i="36" s="1"/>
  <c r="R184" i="1"/>
  <c r="H185" i="36" s="1"/>
  <c r="R183" i="1"/>
  <c r="H184" i="36" s="1"/>
  <c r="R182" i="1"/>
  <c r="H183" i="36" s="1"/>
  <c r="R181" i="1"/>
  <c r="H182" i="36" s="1"/>
  <c r="R180" i="1"/>
  <c r="H181" i="36" s="1"/>
  <c r="R179" i="1"/>
  <c r="H180" i="36" s="1"/>
  <c r="R178" i="1"/>
  <c r="H179" i="36" s="1"/>
  <c r="R177" i="1"/>
  <c r="H178" i="36" s="1"/>
  <c r="R176" i="1"/>
  <c r="H177" i="36" s="1"/>
  <c r="R175" i="1"/>
  <c r="H176" i="36" s="1"/>
  <c r="R174" i="1"/>
  <c r="H175" i="36" s="1"/>
  <c r="R173" i="1"/>
  <c r="H174" i="36" s="1"/>
  <c r="R172" i="1"/>
  <c r="H173" i="36" s="1"/>
  <c r="R171" i="1"/>
  <c r="H172" i="36" s="1"/>
  <c r="R170" i="1"/>
  <c r="H171" i="36" s="1"/>
  <c r="R152" i="1"/>
  <c r="H153" i="36" s="1"/>
  <c r="R151" i="1"/>
  <c r="H152" i="36" s="1"/>
  <c r="R150" i="1"/>
  <c r="H151" i="36" s="1"/>
  <c r="R149" i="1"/>
  <c r="H150" i="36" s="1"/>
  <c r="R148" i="1"/>
  <c r="H149" i="36" s="1"/>
  <c r="R147" i="1"/>
  <c r="H148" i="36" s="1"/>
  <c r="R146" i="1"/>
  <c r="H147" i="36" s="1"/>
  <c r="R145" i="1"/>
  <c r="H146" i="36" s="1"/>
  <c r="R144" i="1"/>
  <c r="H145" i="36" s="1"/>
  <c r="R143" i="1"/>
  <c r="H144" i="36" s="1"/>
  <c r="R142" i="1"/>
  <c r="H143" i="36" s="1"/>
  <c r="R141" i="1"/>
  <c r="H142" i="36" s="1"/>
  <c r="R140" i="1"/>
  <c r="H141" i="36" s="1"/>
  <c r="R139" i="1"/>
  <c r="H140" i="36" s="1"/>
  <c r="R138" i="1"/>
  <c r="H139" i="36" s="1"/>
  <c r="R137" i="1"/>
  <c r="H138" i="36" s="1"/>
  <c r="R136" i="1"/>
  <c r="H137" i="36" s="1"/>
  <c r="R135" i="1"/>
  <c r="H136" i="36" s="1"/>
  <c r="R134" i="1"/>
  <c r="H135" i="36" s="1"/>
  <c r="R133" i="1"/>
  <c r="H134" i="36" s="1"/>
  <c r="R132" i="1"/>
  <c r="H133" i="36" s="1"/>
  <c r="R131" i="1"/>
  <c r="H132" i="36" s="1"/>
  <c r="R130" i="1"/>
  <c r="H131" i="36" s="1"/>
  <c r="R116" i="1"/>
  <c r="H117" i="36" s="1"/>
  <c r="R115" i="1"/>
  <c r="H116" i="36" s="1"/>
  <c r="R114" i="1"/>
  <c r="H115" i="36" s="1"/>
  <c r="R113" i="1"/>
  <c r="H114" i="36" s="1"/>
  <c r="R112" i="1"/>
  <c r="H113" i="36" s="1"/>
  <c r="R111" i="1"/>
  <c r="H112" i="36" s="1"/>
  <c r="R110" i="1"/>
  <c r="H111" i="36" s="1"/>
  <c r="R109" i="1"/>
  <c r="H110" i="36" s="1"/>
  <c r="R108" i="1"/>
  <c r="H109" i="36" s="1"/>
  <c r="R107" i="1"/>
  <c r="H108" i="36" s="1"/>
  <c r="R106" i="1"/>
  <c r="H107" i="36" s="1"/>
  <c r="R105" i="1"/>
  <c r="H106" i="36" s="1"/>
  <c r="R104" i="1"/>
  <c r="H105" i="36" s="1"/>
  <c r="R103" i="1"/>
  <c r="H104" i="36" s="1"/>
  <c r="R102" i="1"/>
  <c r="H103" i="36" s="1"/>
  <c r="R101" i="1"/>
  <c r="H102" i="36" s="1"/>
  <c r="R100" i="1"/>
  <c r="H101" i="36" s="1"/>
  <c r="R99" i="1"/>
  <c r="H100" i="36" s="1"/>
  <c r="R98" i="1"/>
  <c r="H99" i="36" s="1"/>
  <c r="R97" i="1"/>
  <c r="H98" i="36" s="1"/>
  <c r="R96" i="1"/>
  <c r="H97" i="36" s="1"/>
  <c r="R95" i="1"/>
  <c r="H96" i="36" s="1"/>
  <c r="R94" i="1"/>
  <c r="H95" i="36" s="1"/>
  <c r="R93" i="1"/>
  <c r="H94" i="36" s="1"/>
  <c r="R92" i="1"/>
  <c r="H93" i="36" s="1"/>
  <c r="R91" i="1"/>
  <c r="H92" i="36" s="1"/>
  <c r="R90" i="1"/>
  <c r="H91" i="36" s="1"/>
  <c r="R80" i="1"/>
  <c r="H81" i="36" s="1"/>
  <c r="R79" i="1"/>
  <c r="H80" i="36" s="1"/>
  <c r="R78" i="1"/>
  <c r="H79" i="36" s="1"/>
  <c r="R77" i="1"/>
  <c r="H78" i="36" s="1"/>
  <c r="R76" i="1"/>
  <c r="H77" i="36" s="1"/>
  <c r="R75" i="1"/>
  <c r="H76" i="36" s="1"/>
  <c r="R74" i="1"/>
  <c r="H75" i="36" s="1"/>
  <c r="R73" i="1"/>
  <c r="H74" i="36" s="1"/>
  <c r="R72" i="1"/>
  <c r="H73" i="36" s="1"/>
  <c r="R71" i="1"/>
  <c r="H72" i="36" s="1"/>
  <c r="R70" i="1"/>
  <c r="H71" i="36" s="1"/>
  <c r="R69" i="1"/>
  <c r="H70" i="36" s="1"/>
  <c r="R68" i="1"/>
  <c r="H69" i="36" s="1"/>
  <c r="R67" i="1"/>
  <c r="H68" i="36" s="1"/>
  <c r="R66" i="1"/>
  <c r="H67" i="36" s="1"/>
  <c r="R65" i="1"/>
  <c r="H66" i="36" s="1"/>
  <c r="R64" i="1"/>
  <c r="H65" i="36" s="1"/>
  <c r="R63" i="1"/>
  <c r="H64" i="36" s="1"/>
  <c r="R62" i="1"/>
  <c r="H63" i="36" s="1"/>
  <c r="R61" i="1"/>
  <c r="H62" i="36" s="1"/>
  <c r="R60" i="1"/>
  <c r="H61" i="36" s="1"/>
  <c r="R59" i="1"/>
  <c r="H60" i="36" s="1"/>
  <c r="R58" i="1"/>
  <c r="H59" i="36" s="1"/>
  <c r="R57" i="1"/>
  <c r="H58" i="36" s="1"/>
  <c r="R56" i="1"/>
  <c r="H57" i="36" s="1"/>
  <c r="R55" i="1"/>
  <c r="H56" i="36" s="1"/>
  <c r="R54" i="1"/>
  <c r="H55" i="36" s="1"/>
  <c r="R53" i="1"/>
  <c r="H54" i="36" s="1"/>
  <c r="R52" i="1"/>
  <c r="H53" i="36" s="1"/>
  <c r="R51" i="1"/>
  <c r="H52" i="36" s="1"/>
  <c r="R50" i="1"/>
  <c r="H51" i="36" s="1"/>
  <c r="R44" i="1"/>
  <c r="H45" i="36" s="1"/>
  <c r="R43" i="1"/>
  <c r="H44" i="36" s="1"/>
  <c r="R42" i="1"/>
  <c r="H43" i="36" s="1"/>
  <c r="R41" i="1"/>
  <c r="H42" i="36" s="1"/>
  <c r="R40" i="1"/>
  <c r="H41" i="36" s="1"/>
  <c r="R39" i="1"/>
  <c r="H40" i="36" s="1"/>
  <c r="R38" i="1"/>
  <c r="H39" i="36" s="1"/>
  <c r="R37" i="1"/>
  <c r="H38" i="36" s="1"/>
  <c r="R36" i="1"/>
  <c r="H37" i="36" s="1"/>
  <c r="R35" i="1"/>
  <c r="H36" i="36" s="1"/>
  <c r="R34" i="1"/>
  <c r="H35" i="36" s="1"/>
  <c r="R33" i="1"/>
  <c r="H34" i="36" s="1"/>
  <c r="R32" i="1"/>
  <c r="H33" i="36" s="1"/>
  <c r="R31" i="1"/>
  <c r="H32" i="36" s="1"/>
  <c r="R30" i="1"/>
  <c r="H31" i="36" s="1"/>
  <c r="R29" i="1"/>
  <c r="H30" i="36" s="1"/>
  <c r="R28" i="1"/>
  <c r="H29" i="36" s="1"/>
  <c r="R27" i="1"/>
  <c r="H28" i="36" s="1"/>
  <c r="R26" i="1"/>
  <c r="H27" i="36" s="1"/>
  <c r="R25" i="1"/>
  <c r="H26" i="36" s="1"/>
  <c r="R24" i="1"/>
  <c r="H25" i="36" s="1"/>
  <c r="R23" i="1"/>
  <c r="H24" i="36" s="1"/>
  <c r="R22" i="1"/>
  <c r="H23" i="36" s="1"/>
  <c r="R21" i="1"/>
  <c r="H22" i="36" s="1"/>
  <c r="R20" i="1"/>
  <c r="H21" i="36" s="1"/>
  <c r="R19" i="1"/>
  <c r="H20" i="36" s="1"/>
  <c r="R18" i="1"/>
  <c r="H19" i="36" s="1"/>
  <c r="R17" i="1"/>
  <c r="H18" i="36" s="1"/>
  <c r="R16" i="1"/>
  <c r="H17" i="36" s="1"/>
  <c r="R15" i="1"/>
  <c r="H16" i="36" s="1"/>
  <c r="R14" i="1"/>
  <c r="H15" i="36" s="1"/>
  <c r="R13" i="1"/>
  <c r="H14" i="36" s="1"/>
  <c r="J425" i="14" l="1"/>
  <c r="F430" i="36"/>
  <c r="F427" i="40"/>
  <c r="F495" i="40"/>
  <c r="F498" i="36"/>
  <c r="F51" i="40"/>
  <c r="F54" i="36"/>
  <c r="J384" i="14"/>
  <c r="F386" i="40"/>
  <c r="F389" i="36"/>
  <c r="F335" i="40"/>
  <c r="F338" i="36"/>
  <c r="J463" i="14"/>
  <c r="F469" i="36" s="1"/>
  <c r="F465" i="40"/>
  <c r="J493" i="14"/>
  <c r="J49" i="14"/>
  <c r="J333" i="14"/>
  <c r="C8" i="20"/>
  <c r="C7" i="20"/>
  <c r="S51" i="1"/>
  <c r="I52" i="36" s="1"/>
  <c r="S53" i="1"/>
  <c r="I54" i="36" s="1"/>
  <c r="S55" i="1"/>
  <c r="I56" i="36" s="1"/>
  <c r="S57" i="1"/>
  <c r="I58" i="36" s="1"/>
  <c r="S59" i="1"/>
  <c r="I60" i="36" s="1"/>
  <c r="S61" i="1"/>
  <c r="I62" i="36" s="1"/>
  <c r="S63" i="1"/>
  <c r="I64" i="36" s="1"/>
  <c r="S65" i="1"/>
  <c r="I66" i="36" s="1"/>
  <c r="S67" i="1"/>
  <c r="I68" i="36" s="1"/>
  <c r="S69" i="1"/>
  <c r="I70" i="36" s="1"/>
  <c r="S71" i="1"/>
  <c r="I72" i="36" s="1"/>
  <c r="S73" i="1"/>
  <c r="I74" i="36" s="1"/>
  <c r="S75" i="1"/>
  <c r="I76" i="36" s="1"/>
  <c r="S77" i="1"/>
  <c r="I78" i="36" s="1"/>
  <c r="S79" i="1"/>
  <c r="I80" i="36" s="1"/>
  <c r="S91" i="1"/>
  <c r="I92" i="36" s="1"/>
  <c r="S93" i="1"/>
  <c r="I94" i="36" s="1"/>
  <c r="S95" i="1"/>
  <c r="I96" i="36" s="1"/>
  <c r="S97" i="1"/>
  <c r="I98" i="36" s="1"/>
  <c r="S99" i="1"/>
  <c r="I100" i="36" s="1"/>
  <c r="S101" i="1"/>
  <c r="I102" i="36" s="1"/>
  <c r="S103" i="1"/>
  <c r="I104" i="36" s="1"/>
  <c r="S105" i="1"/>
  <c r="I106" i="36" s="1"/>
  <c r="S107" i="1"/>
  <c r="I108" i="36" s="1"/>
  <c r="S109" i="1"/>
  <c r="I110" i="36" s="1"/>
  <c r="S111" i="1"/>
  <c r="I112" i="36" s="1"/>
  <c r="S113" i="1"/>
  <c r="I114" i="36" s="1"/>
  <c r="S115" i="1"/>
  <c r="I116" i="36" s="1"/>
  <c r="S131" i="1"/>
  <c r="I132" i="36" s="1"/>
  <c r="S133" i="1"/>
  <c r="I134" i="36" s="1"/>
  <c r="S135" i="1"/>
  <c r="I136" i="36" s="1"/>
  <c r="S137" i="1"/>
  <c r="I138" i="36" s="1"/>
  <c r="S139" i="1"/>
  <c r="I140" i="36" s="1"/>
  <c r="S141" i="1"/>
  <c r="I142" i="36" s="1"/>
  <c r="S143" i="1"/>
  <c r="I144" i="36" s="1"/>
  <c r="S145" i="1"/>
  <c r="I146" i="36" s="1"/>
  <c r="S147" i="1"/>
  <c r="I148" i="36" s="1"/>
  <c r="S149" i="1"/>
  <c r="I150" i="36" s="1"/>
  <c r="S151" i="1"/>
  <c r="I152" i="36" s="1"/>
  <c r="S171" i="1"/>
  <c r="I172" i="36" s="1"/>
  <c r="S173" i="1"/>
  <c r="I174" i="36" s="1"/>
  <c r="S175" i="1"/>
  <c r="I176" i="36" s="1"/>
  <c r="S177" i="1"/>
  <c r="I178" i="36" s="1"/>
  <c r="S179" i="1"/>
  <c r="I180" i="36" s="1"/>
  <c r="S181" i="1"/>
  <c r="I182" i="36" s="1"/>
  <c r="S183" i="1"/>
  <c r="I184" i="36" s="1"/>
  <c r="S185" i="1"/>
  <c r="I186" i="36" s="1"/>
  <c r="S210" i="1"/>
  <c r="I211" i="36" s="1"/>
  <c r="S212" i="1"/>
  <c r="I213" i="36" s="1"/>
  <c r="S214" i="1"/>
  <c r="I215" i="36" s="1"/>
  <c r="S216" i="1"/>
  <c r="I217" i="36" s="1"/>
  <c r="S218" i="1"/>
  <c r="I219" i="36" s="1"/>
  <c r="S220" i="1"/>
  <c r="I221" i="36" s="1"/>
  <c r="S222" i="1"/>
  <c r="I223" i="36" s="1"/>
  <c r="S224" i="1"/>
  <c r="I225" i="36" s="1"/>
  <c r="S250" i="1"/>
  <c r="I251" i="36" s="1"/>
  <c r="S290" i="1"/>
  <c r="I291" i="36" s="1"/>
  <c r="S292" i="1"/>
  <c r="I293" i="36" s="1"/>
  <c r="S294" i="1"/>
  <c r="I295" i="36" s="1"/>
  <c r="S296" i="1"/>
  <c r="I297" i="36" s="1"/>
  <c r="S298" i="1"/>
  <c r="I299" i="36" s="1"/>
  <c r="S300" i="1"/>
  <c r="I301" i="36" s="1"/>
  <c r="S302" i="1"/>
  <c r="I303" i="36" s="1"/>
  <c r="S304" i="1"/>
  <c r="I305" i="36" s="1"/>
  <c r="S306" i="1"/>
  <c r="I307" i="36" s="1"/>
  <c r="S308" i="1"/>
  <c r="I309" i="36" s="1"/>
  <c r="S310" i="1"/>
  <c r="I311" i="36" s="1"/>
  <c r="S331" i="1"/>
  <c r="I332" i="36" s="1"/>
  <c r="S50" i="1"/>
  <c r="I51" i="36" s="1"/>
  <c r="S52" i="1"/>
  <c r="I53" i="36" s="1"/>
  <c r="S54" i="1"/>
  <c r="I55" i="36" s="1"/>
  <c r="S56" i="1"/>
  <c r="I57" i="36" s="1"/>
  <c r="S58" i="1"/>
  <c r="I59" i="36" s="1"/>
  <c r="S60" i="1"/>
  <c r="I61" i="36" s="1"/>
  <c r="S62" i="1"/>
  <c r="I63" i="36" s="1"/>
  <c r="S64" i="1"/>
  <c r="I65" i="36" s="1"/>
  <c r="S66" i="1"/>
  <c r="I67" i="36" s="1"/>
  <c r="S68" i="1"/>
  <c r="I69" i="36" s="1"/>
  <c r="S70" i="1"/>
  <c r="I71" i="36" s="1"/>
  <c r="S72" i="1"/>
  <c r="I73" i="36" s="1"/>
  <c r="S74" i="1"/>
  <c r="I75" i="36" s="1"/>
  <c r="S76" i="1"/>
  <c r="I77" i="36" s="1"/>
  <c r="S78" i="1"/>
  <c r="I79" i="36" s="1"/>
  <c r="S80" i="1"/>
  <c r="I81" i="36" s="1"/>
  <c r="S90" i="1"/>
  <c r="I91" i="36" s="1"/>
  <c r="S92" i="1"/>
  <c r="I93" i="36" s="1"/>
  <c r="S94" i="1"/>
  <c r="I95" i="36" s="1"/>
  <c r="S96" i="1"/>
  <c r="I97" i="36" s="1"/>
  <c r="S98" i="1"/>
  <c r="I99" i="36" s="1"/>
  <c r="S100" i="1"/>
  <c r="I101" i="36" s="1"/>
  <c r="S102" i="1"/>
  <c r="I103" i="36" s="1"/>
  <c r="S104" i="1"/>
  <c r="I105" i="36" s="1"/>
  <c r="S106" i="1"/>
  <c r="I107" i="36" s="1"/>
  <c r="S108" i="1"/>
  <c r="I109" i="36" s="1"/>
  <c r="S110" i="1"/>
  <c r="I111" i="36" s="1"/>
  <c r="S112" i="1"/>
  <c r="I113" i="36" s="1"/>
  <c r="S114" i="1"/>
  <c r="I115" i="36" s="1"/>
  <c r="S116" i="1"/>
  <c r="I117" i="36" s="1"/>
  <c r="S130" i="1"/>
  <c r="I131" i="36" s="1"/>
  <c r="S132" i="1"/>
  <c r="I133" i="36" s="1"/>
  <c r="S134" i="1"/>
  <c r="I135" i="36" s="1"/>
  <c r="S136" i="1"/>
  <c r="I137" i="36" s="1"/>
  <c r="S138" i="1"/>
  <c r="I139" i="36" s="1"/>
  <c r="S140" i="1"/>
  <c r="I141" i="36" s="1"/>
  <c r="S142" i="1"/>
  <c r="I143" i="36" s="1"/>
  <c r="S144" i="1"/>
  <c r="I145" i="36" s="1"/>
  <c r="S146" i="1"/>
  <c r="I147" i="36" s="1"/>
  <c r="S148" i="1"/>
  <c r="I149" i="36" s="1"/>
  <c r="S150" i="1"/>
  <c r="I151" i="36" s="1"/>
  <c r="S152" i="1"/>
  <c r="I153" i="36" s="1"/>
  <c r="S170" i="1"/>
  <c r="I171" i="36" s="1"/>
  <c r="S172" i="1"/>
  <c r="I173" i="36" s="1"/>
  <c r="S174" i="1"/>
  <c r="I175" i="36" s="1"/>
  <c r="S176" i="1"/>
  <c r="I177" i="36" s="1"/>
  <c r="S178" i="1"/>
  <c r="I179" i="36" s="1"/>
  <c r="S180" i="1"/>
  <c r="I181" i="36" s="1"/>
  <c r="S182" i="1"/>
  <c r="I183" i="36" s="1"/>
  <c r="S184" i="1"/>
  <c r="I185" i="36" s="1"/>
  <c r="S186" i="1"/>
  <c r="I187" i="36" s="1"/>
  <c r="S211" i="1"/>
  <c r="I212" i="36" s="1"/>
  <c r="S213" i="1"/>
  <c r="I214" i="36" s="1"/>
  <c r="S215" i="1"/>
  <c r="I216" i="36" s="1"/>
  <c r="S217" i="1"/>
  <c r="I218" i="36" s="1"/>
  <c r="S219" i="1"/>
  <c r="I220" i="36" s="1"/>
  <c r="S221" i="1"/>
  <c r="I222" i="36" s="1"/>
  <c r="S223" i="1"/>
  <c r="I224" i="36" s="1"/>
  <c r="S291" i="1"/>
  <c r="I292" i="36" s="1"/>
  <c r="S293" i="1"/>
  <c r="I294" i="36" s="1"/>
  <c r="S295" i="1"/>
  <c r="I296" i="36" s="1"/>
  <c r="S297" i="1"/>
  <c r="I298" i="36" s="1"/>
  <c r="S299" i="1"/>
  <c r="I300" i="36" s="1"/>
  <c r="S301" i="1"/>
  <c r="I302" i="36" s="1"/>
  <c r="S303" i="1"/>
  <c r="I304" i="36" s="1"/>
  <c r="S305" i="1"/>
  <c r="I306" i="36" s="1"/>
  <c r="S307" i="1"/>
  <c r="I308" i="36" s="1"/>
  <c r="S309" i="1"/>
  <c r="I310" i="36" s="1"/>
  <c r="S330" i="1"/>
  <c r="I331" i="36" s="1"/>
  <c r="S13" i="1"/>
  <c r="I14" i="36" s="1"/>
  <c r="S15" i="1"/>
  <c r="I16" i="36" s="1"/>
  <c r="S17" i="1"/>
  <c r="I18" i="36" s="1"/>
  <c r="S19" i="1"/>
  <c r="I20" i="36" s="1"/>
  <c r="S21" i="1"/>
  <c r="I22" i="36" s="1"/>
  <c r="S23" i="1"/>
  <c r="I24" i="36" s="1"/>
  <c r="S25" i="1"/>
  <c r="I26" i="36" s="1"/>
  <c r="S27" i="1"/>
  <c r="I28" i="36" s="1"/>
  <c r="S29" i="1"/>
  <c r="I30" i="36" s="1"/>
  <c r="S31" i="1"/>
  <c r="I32" i="36" s="1"/>
  <c r="S33" i="1"/>
  <c r="I34" i="36" s="1"/>
  <c r="S35" i="1"/>
  <c r="I36" i="36" s="1"/>
  <c r="S37" i="1"/>
  <c r="I38" i="36" s="1"/>
  <c r="S39" i="1"/>
  <c r="I40" i="36" s="1"/>
  <c r="S41" i="1"/>
  <c r="I42" i="36" s="1"/>
  <c r="S43" i="1"/>
  <c r="I44" i="36" s="1"/>
  <c r="S14" i="1"/>
  <c r="I15" i="36" s="1"/>
  <c r="S16" i="1"/>
  <c r="I17" i="36" s="1"/>
  <c r="S18" i="1"/>
  <c r="I19" i="36" s="1"/>
  <c r="S20" i="1"/>
  <c r="I21" i="36" s="1"/>
  <c r="S22" i="1"/>
  <c r="I23" i="36" s="1"/>
  <c r="S24" i="1"/>
  <c r="I25" i="36" s="1"/>
  <c r="S26" i="1"/>
  <c r="I27" i="36" s="1"/>
  <c r="S28" i="1"/>
  <c r="I29" i="36" s="1"/>
  <c r="S30" i="1"/>
  <c r="I31" i="36" s="1"/>
  <c r="S32" i="1"/>
  <c r="I33" i="36" s="1"/>
  <c r="S34" i="1"/>
  <c r="I35" i="36" s="1"/>
  <c r="S36" i="1"/>
  <c r="I37" i="36" s="1"/>
  <c r="S38" i="1"/>
  <c r="I39" i="36" s="1"/>
  <c r="S40" i="1"/>
  <c r="I41" i="36" s="1"/>
  <c r="S42" i="1"/>
  <c r="I43" i="36" s="1"/>
  <c r="S44" i="1"/>
  <c r="I45" i="36" s="1"/>
  <c r="O1" i="39"/>
  <c r="F52" i="40" l="1"/>
  <c r="F55" i="36"/>
  <c r="F496" i="40"/>
  <c r="F499" i="36"/>
  <c r="J385" i="14"/>
  <c r="F390" i="36"/>
  <c r="F387" i="40"/>
  <c r="F336" i="40"/>
  <c r="F339" i="36"/>
  <c r="J426" i="14"/>
  <c r="F428" i="40"/>
  <c r="F431" i="36"/>
  <c r="J464" i="14"/>
  <c r="F470" i="36" s="1"/>
  <c r="F466" i="40"/>
  <c r="J334" i="14"/>
  <c r="J494" i="14"/>
  <c r="A6" i="20"/>
  <c r="C6" i="20"/>
  <c r="A5" i="20" s="1"/>
  <c r="J50" i="14"/>
  <c r="J85" i="14"/>
  <c r="F91" i="36" s="1"/>
  <c r="J5" i="14"/>
  <c r="F11" i="36" s="1"/>
  <c r="L5" i="36"/>
  <c r="AJ2" i="1"/>
  <c r="R2" i="1"/>
  <c r="F497" i="40" l="1"/>
  <c r="F500" i="36"/>
  <c r="F337" i="40"/>
  <c r="F340" i="36"/>
  <c r="J386" i="14"/>
  <c r="F388" i="40"/>
  <c r="F391" i="36"/>
  <c r="F53" i="40"/>
  <c r="F56" i="36"/>
  <c r="J427" i="14"/>
  <c r="F429" i="40"/>
  <c r="F432" i="36"/>
  <c r="J465" i="14"/>
  <c r="F471" i="36" s="1"/>
  <c r="F467" i="40"/>
  <c r="J86" i="14"/>
  <c r="F92" i="36" s="1"/>
  <c r="F88" i="40"/>
  <c r="J495" i="14"/>
  <c r="J6" i="14"/>
  <c r="F12" i="36" s="1"/>
  <c r="F8" i="40"/>
  <c r="J51" i="14"/>
  <c r="J335" i="14"/>
  <c r="D330" i="28"/>
  <c r="E330" i="28"/>
  <c r="F330" i="28"/>
  <c r="D331" i="28"/>
  <c r="E331" i="28"/>
  <c r="F331" i="28"/>
  <c r="D332" i="28"/>
  <c r="E332" i="28"/>
  <c r="F332" i="28"/>
  <c r="D333" i="28"/>
  <c r="E333" i="28"/>
  <c r="F333" i="28"/>
  <c r="D334" i="28"/>
  <c r="E334" i="28"/>
  <c r="F334" i="28"/>
  <c r="D335" i="28"/>
  <c r="E335" i="28"/>
  <c r="F335" i="28"/>
  <c r="D336" i="28"/>
  <c r="E336" i="28"/>
  <c r="F336" i="28"/>
  <c r="D337" i="28"/>
  <c r="E337" i="28"/>
  <c r="F337" i="28"/>
  <c r="D338" i="28"/>
  <c r="E338" i="28"/>
  <c r="F338" i="28"/>
  <c r="D339" i="28"/>
  <c r="E339" i="28"/>
  <c r="F339" i="28"/>
  <c r="D340" i="28"/>
  <c r="E340" i="28"/>
  <c r="F340" i="28"/>
  <c r="D341" i="28"/>
  <c r="E341" i="28"/>
  <c r="F341" i="28"/>
  <c r="D342" i="28"/>
  <c r="E342" i="28"/>
  <c r="F342" i="28"/>
  <c r="D343" i="28"/>
  <c r="E343" i="28"/>
  <c r="F343" i="28"/>
  <c r="D344" i="28"/>
  <c r="E344" i="28"/>
  <c r="F344" i="28"/>
  <c r="D345" i="28"/>
  <c r="E345" i="28"/>
  <c r="F345" i="28"/>
  <c r="D346" i="28"/>
  <c r="E346" i="28"/>
  <c r="F346" i="28"/>
  <c r="D347" i="28"/>
  <c r="E347" i="28"/>
  <c r="F347" i="28"/>
  <c r="D348" i="28"/>
  <c r="E348" i="28"/>
  <c r="F348" i="28"/>
  <c r="D349" i="28"/>
  <c r="E349" i="28"/>
  <c r="F349" i="28"/>
  <c r="D350" i="28"/>
  <c r="E350" i="28"/>
  <c r="F350" i="28"/>
  <c r="D351" i="28"/>
  <c r="E351" i="28"/>
  <c r="F351" i="28"/>
  <c r="D352" i="28"/>
  <c r="E352" i="28"/>
  <c r="F352" i="28"/>
  <c r="D353" i="28"/>
  <c r="E353" i="28"/>
  <c r="F353" i="28"/>
  <c r="D354" i="28"/>
  <c r="E354" i="28"/>
  <c r="F354" i="28"/>
  <c r="D355" i="28"/>
  <c r="E355" i="28"/>
  <c r="F355" i="28"/>
  <c r="D356" i="28"/>
  <c r="E356" i="28"/>
  <c r="F356" i="28"/>
  <c r="D357" i="28"/>
  <c r="E357" i="28"/>
  <c r="F357" i="28"/>
  <c r="D358" i="28"/>
  <c r="E358" i="28"/>
  <c r="F358" i="28"/>
  <c r="D359" i="28"/>
  <c r="E359" i="28"/>
  <c r="F359" i="28"/>
  <c r="D360" i="28"/>
  <c r="E360" i="28"/>
  <c r="F360" i="28"/>
  <c r="D361" i="28"/>
  <c r="E361" i="28"/>
  <c r="F361" i="28"/>
  <c r="D362" i="28"/>
  <c r="E362" i="28"/>
  <c r="F362" i="28"/>
  <c r="D363" i="28"/>
  <c r="E363" i="28"/>
  <c r="F363" i="28"/>
  <c r="D364" i="28"/>
  <c r="E364" i="28"/>
  <c r="F364" i="28"/>
  <c r="D365" i="28"/>
  <c r="E365" i="28"/>
  <c r="F365" i="28"/>
  <c r="D366" i="28"/>
  <c r="E366" i="28"/>
  <c r="F366" i="28"/>
  <c r="D367" i="28"/>
  <c r="E367" i="28"/>
  <c r="F367" i="28"/>
  <c r="D368" i="28"/>
  <c r="E368" i="28"/>
  <c r="F368" i="28"/>
  <c r="D369" i="28"/>
  <c r="E369" i="28"/>
  <c r="F369" i="28"/>
  <c r="D290" i="28"/>
  <c r="E290" i="28"/>
  <c r="F290" i="28"/>
  <c r="D291" i="28"/>
  <c r="E291" i="28"/>
  <c r="F291" i="28"/>
  <c r="D292" i="28"/>
  <c r="E292" i="28"/>
  <c r="F292" i="28"/>
  <c r="D293" i="28"/>
  <c r="E293" i="28"/>
  <c r="F293" i="28"/>
  <c r="D294" i="28"/>
  <c r="E294" i="28"/>
  <c r="F294" i="28"/>
  <c r="D295" i="28"/>
  <c r="E295" i="28"/>
  <c r="F295" i="28"/>
  <c r="D296" i="28"/>
  <c r="E296" i="28"/>
  <c r="F296" i="28"/>
  <c r="D297" i="28"/>
  <c r="E297" i="28"/>
  <c r="F297" i="28"/>
  <c r="D298" i="28"/>
  <c r="E298" i="28"/>
  <c r="F298" i="28"/>
  <c r="D299" i="28"/>
  <c r="E299" i="28"/>
  <c r="F299" i="28"/>
  <c r="D300" i="28"/>
  <c r="E300" i="28"/>
  <c r="F300" i="28"/>
  <c r="D301" i="28"/>
  <c r="E301" i="28"/>
  <c r="F301" i="28"/>
  <c r="D302" i="28"/>
  <c r="E302" i="28"/>
  <c r="F302" i="28"/>
  <c r="D303" i="28"/>
  <c r="E303" i="28"/>
  <c r="F303" i="28"/>
  <c r="D304" i="28"/>
  <c r="E304" i="28"/>
  <c r="F304" i="28"/>
  <c r="D305" i="28"/>
  <c r="E305" i="28"/>
  <c r="F305" i="28"/>
  <c r="D306" i="28"/>
  <c r="E306" i="28"/>
  <c r="F306" i="28"/>
  <c r="D307" i="28"/>
  <c r="E307" i="28"/>
  <c r="F307" i="28"/>
  <c r="D308" i="28"/>
  <c r="E308" i="28"/>
  <c r="F308" i="28"/>
  <c r="D309" i="28"/>
  <c r="E309" i="28"/>
  <c r="F309" i="28"/>
  <c r="D310" i="28"/>
  <c r="E310" i="28"/>
  <c r="F310" i="28"/>
  <c r="D311" i="28"/>
  <c r="E311" i="28"/>
  <c r="F311" i="28"/>
  <c r="D312" i="28"/>
  <c r="E312" i="28"/>
  <c r="F312" i="28"/>
  <c r="D313" i="28"/>
  <c r="E313" i="28"/>
  <c r="F313" i="28"/>
  <c r="D314" i="28"/>
  <c r="E314" i="28"/>
  <c r="F314" i="28"/>
  <c r="D315" i="28"/>
  <c r="E315" i="28"/>
  <c r="F315" i="28"/>
  <c r="D316" i="28"/>
  <c r="E316" i="28"/>
  <c r="F316" i="28"/>
  <c r="D317" i="28"/>
  <c r="E317" i="28"/>
  <c r="F317" i="28"/>
  <c r="D318" i="28"/>
  <c r="E318" i="28"/>
  <c r="F318" i="28"/>
  <c r="D319" i="28"/>
  <c r="E319" i="28"/>
  <c r="F319" i="28"/>
  <c r="D320" i="28"/>
  <c r="E320" i="28"/>
  <c r="F320" i="28"/>
  <c r="D321" i="28"/>
  <c r="E321" i="28"/>
  <c r="F321" i="28"/>
  <c r="D322" i="28"/>
  <c r="E322" i="28"/>
  <c r="F322" i="28"/>
  <c r="D323" i="28"/>
  <c r="E323" i="28"/>
  <c r="F323" i="28"/>
  <c r="D324" i="28"/>
  <c r="E324" i="28"/>
  <c r="F324" i="28"/>
  <c r="D325" i="28"/>
  <c r="E325" i="28"/>
  <c r="F325" i="28"/>
  <c r="D326" i="28"/>
  <c r="E326" i="28"/>
  <c r="F326" i="28"/>
  <c r="D327" i="28"/>
  <c r="E327" i="28"/>
  <c r="F327" i="28"/>
  <c r="D328" i="28"/>
  <c r="E328" i="28"/>
  <c r="F328" i="28"/>
  <c r="D329" i="28"/>
  <c r="E329" i="28"/>
  <c r="F329" i="28"/>
  <c r="D13" i="28"/>
  <c r="E13" i="28"/>
  <c r="F13" i="28"/>
  <c r="D14" i="28"/>
  <c r="E14" i="28"/>
  <c r="F14" i="28"/>
  <c r="D15" i="28"/>
  <c r="E15" i="28"/>
  <c r="F15" i="28"/>
  <c r="D16" i="28"/>
  <c r="E16" i="28"/>
  <c r="F16" i="28"/>
  <c r="D17" i="28"/>
  <c r="E17" i="28"/>
  <c r="F17" i="28"/>
  <c r="D18" i="28"/>
  <c r="E18" i="28"/>
  <c r="F18" i="28"/>
  <c r="D19" i="28"/>
  <c r="E19" i="28"/>
  <c r="F19" i="28"/>
  <c r="D20" i="28"/>
  <c r="E20" i="28"/>
  <c r="F20" i="28"/>
  <c r="D21" i="28"/>
  <c r="E21" i="28"/>
  <c r="F21" i="28"/>
  <c r="D22" i="28"/>
  <c r="E22" i="28"/>
  <c r="F22" i="28"/>
  <c r="D23" i="28"/>
  <c r="E23" i="28"/>
  <c r="F23" i="28"/>
  <c r="D24" i="28"/>
  <c r="E24" i="28"/>
  <c r="F24" i="28"/>
  <c r="D25" i="28"/>
  <c r="E25" i="28"/>
  <c r="F25" i="28"/>
  <c r="D26" i="28"/>
  <c r="E26" i="28"/>
  <c r="F26" i="28"/>
  <c r="D27" i="28"/>
  <c r="E27" i="28"/>
  <c r="F27" i="28"/>
  <c r="D28" i="28"/>
  <c r="E28" i="28"/>
  <c r="F28" i="28"/>
  <c r="D29" i="28"/>
  <c r="E29" i="28"/>
  <c r="F29" i="28"/>
  <c r="D30" i="28"/>
  <c r="E30" i="28"/>
  <c r="F30" i="28"/>
  <c r="D31" i="28"/>
  <c r="E31" i="28"/>
  <c r="F31" i="28"/>
  <c r="D32" i="28"/>
  <c r="E32" i="28"/>
  <c r="F32" i="28"/>
  <c r="D33" i="28"/>
  <c r="E33" i="28"/>
  <c r="F33" i="28"/>
  <c r="D34" i="28"/>
  <c r="E34" i="28"/>
  <c r="F34" i="28"/>
  <c r="D35" i="28"/>
  <c r="E35" i="28"/>
  <c r="F35" i="28"/>
  <c r="D36" i="28"/>
  <c r="E36" i="28"/>
  <c r="F36" i="28"/>
  <c r="D37" i="28"/>
  <c r="E37" i="28"/>
  <c r="F37" i="28"/>
  <c r="D38" i="28"/>
  <c r="E38" i="28"/>
  <c r="F38" i="28"/>
  <c r="D39" i="28"/>
  <c r="E39" i="28"/>
  <c r="F39" i="28"/>
  <c r="D40" i="28"/>
  <c r="E40" i="28"/>
  <c r="F40" i="28"/>
  <c r="D41" i="28"/>
  <c r="E41" i="28"/>
  <c r="F41" i="28"/>
  <c r="D42" i="28"/>
  <c r="E42" i="28"/>
  <c r="F42" i="28"/>
  <c r="D43" i="28"/>
  <c r="E43" i="28"/>
  <c r="F43" i="28"/>
  <c r="D44" i="28"/>
  <c r="E44" i="28"/>
  <c r="F44" i="28"/>
  <c r="D45" i="28"/>
  <c r="E45" i="28"/>
  <c r="F45" i="28"/>
  <c r="D46" i="28"/>
  <c r="E46" i="28"/>
  <c r="F46" i="28"/>
  <c r="D47" i="28"/>
  <c r="E47" i="28"/>
  <c r="F47" i="28"/>
  <c r="D48" i="28"/>
  <c r="E48" i="28"/>
  <c r="F48" i="28"/>
  <c r="D49" i="28"/>
  <c r="E49" i="28"/>
  <c r="F49" i="28"/>
  <c r="D50" i="28"/>
  <c r="E50" i="28"/>
  <c r="F50" i="28"/>
  <c r="D51" i="28"/>
  <c r="E51" i="28"/>
  <c r="F51" i="28"/>
  <c r="D52" i="28"/>
  <c r="E52" i="28"/>
  <c r="F52" i="28"/>
  <c r="D53" i="28"/>
  <c r="E53" i="28"/>
  <c r="F53" i="28"/>
  <c r="D54" i="28"/>
  <c r="E54" i="28"/>
  <c r="F54" i="28"/>
  <c r="D55" i="28"/>
  <c r="E55" i="28"/>
  <c r="F55" i="28"/>
  <c r="D56" i="28"/>
  <c r="E56" i="28"/>
  <c r="F56" i="28"/>
  <c r="D57" i="28"/>
  <c r="E57" i="28"/>
  <c r="F57" i="28"/>
  <c r="D58" i="28"/>
  <c r="E58" i="28"/>
  <c r="F58" i="28"/>
  <c r="D59" i="28"/>
  <c r="E59" i="28"/>
  <c r="F59" i="28"/>
  <c r="D60" i="28"/>
  <c r="E60" i="28"/>
  <c r="F60" i="28"/>
  <c r="D61" i="28"/>
  <c r="E61" i="28"/>
  <c r="F61" i="28"/>
  <c r="D62" i="28"/>
  <c r="E62" i="28"/>
  <c r="F62" i="28"/>
  <c r="D63" i="28"/>
  <c r="E63" i="28"/>
  <c r="F63" i="28"/>
  <c r="D64" i="28"/>
  <c r="E64" i="28"/>
  <c r="F64" i="28"/>
  <c r="D65" i="28"/>
  <c r="E65" i="28"/>
  <c r="F65" i="28"/>
  <c r="D66" i="28"/>
  <c r="E66" i="28"/>
  <c r="F66" i="28"/>
  <c r="D67" i="28"/>
  <c r="E67" i="28"/>
  <c r="F67" i="28"/>
  <c r="D68" i="28"/>
  <c r="E68" i="28"/>
  <c r="F68" i="28"/>
  <c r="D69" i="28"/>
  <c r="E69" i="28"/>
  <c r="F69" i="28"/>
  <c r="D70" i="28"/>
  <c r="E70" i="28"/>
  <c r="F70" i="28"/>
  <c r="D71" i="28"/>
  <c r="E71" i="28"/>
  <c r="F71" i="28"/>
  <c r="D72" i="28"/>
  <c r="E72" i="28"/>
  <c r="F72" i="28"/>
  <c r="D73" i="28"/>
  <c r="E73" i="28"/>
  <c r="F73" i="28"/>
  <c r="D74" i="28"/>
  <c r="E74" i="28"/>
  <c r="F74" i="28"/>
  <c r="D75" i="28"/>
  <c r="E75" i="28"/>
  <c r="F75" i="28"/>
  <c r="D76" i="28"/>
  <c r="E76" i="28"/>
  <c r="F76" i="28"/>
  <c r="D77" i="28"/>
  <c r="E77" i="28"/>
  <c r="F77" i="28"/>
  <c r="D78" i="28"/>
  <c r="E78" i="28"/>
  <c r="F78" i="28"/>
  <c r="D79" i="28"/>
  <c r="E79" i="28"/>
  <c r="F79" i="28"/>
  <c r="D80" i="28"/>
  <c r="E80" i="28"/>
  <c r="F80" i="28"/>
  <c r="D81" i="28"/>
  <c r="E81" i="28"/>
  <c r="F81" i="28"/>
  <c r="D82" i="28"/>
  <c r="E82" i="28"/>
  <c r="F82" i="28"/>
  <c r="D83" i="28"/>
  <c r="E83" i="28"/>
  <c r="F83" i="28"/>
  <c r="D84" i="28"/>
  <c r="E84" i="28"/>
  <c r="F84" i="28"/>
  <c r="D85" i="28"/>
  <c r="E85" i="28"/>
  <c r="F85" i="28"/>
  <c r="D86" i="28"/>
  <c r="E86" i="28"/>
  <c r="F86" i="28"/>
  <c r="D87" i="28"/>
  <c r="E87" i="28"/>
  <c r="F87" i="28"/>
  <c r="D88" i="28"/>
  <c r="E88" i="28"/>
  <c r="F88" i="28"/>
  <c r="D89" i="28"/>
  <c r="E89" i="28"/>
  <c r="F89" i="28"/>
  <c r="D90" i="28"/>
  <c r="E90" i="28"/>
  <c r="F90" i="28"/>
  <c r="D91" i="28"/>
  <c r="E91" i="28"/>
  <c r="F91" i="28"/>
  <c r="D92" i="28"/>
  <c r="E92" i="28"/>
  <c r="F92" i="28"/>
  <c r="D93" i="28"/>
  <c r="E93" i="28"/>
  <c r="F93" i="28"/>
  <c r="D94" i="28"/>
  <c r="E94" i="28"/>
  <c r="F94" i="28"/>
  <c r="D95" i="28"/>
  <c r="E95" i="28"/>
  <c r="F95" i="28"/>
  <c r="D96" i="28"/>
  <c r="E96" i="28"/>
  <c r="F96" i="28"/>
  <c r="D97" i="28"/>
  <c r="E97" i="28"/>
  <c r="F97" i="28"/>
  <c r="D98" i="28"/>
  <c r="E98" i="28"/>
  <c r="F98" i="28"/>
  <c r="D99" i="28"/>
  <c r="E99" i="28"/>
  <c r="F99" i="28"/>
  <c r="D100" i="28"/>
  <c r="E100" i="28"/>
  <c r="F100" i="28"/>
  <c r="D101" i="28"/>
  <c r="E101" i="28"/>
  <c r="F101" i="28"/>
  <c r="D102" i="28"/>
  <c r="E102" i="28"/>
  <c r="F102" i="28"/>
  <c r="D103" i="28"/>
  <c r="E103" i="28"/>
  <c r="F103" i="28"/>
  <c r="D104" i="28"/>
  <c r="E104" i="28"/>
  <c r="F104" i="28"/>
  <c r="D105" i="28"/>
  <c r="E105" i="28"/>
  <c r="F105" i="28"/>
  <c r="D106" i="28"/>
  <c r="E106" i="28"/>
  <c r="F106" i="28"/>
  <c r="D107" i="28"/>
  <c r="E107" i="28"/>
  <c r="F107" i="28"/>
  <c r="D108" i="28"/>
  <c r="E108" i="28"/>
  <c r="F108" i="28"/>
  <c r="D109" i="28"/>
  <c r="E109" i="28"/>
  <c r="F109" i="28"/>
  <c r="D110" i="28"/>
  <c r="E110" i="28"/>
  <c r="F110" i="28"/>
  <c r="D111" i="28"/>
  <c r="E111" i="28"/>
  <c r="F111" i="28"/>
  <c r="D112" i="28"/>
  <c r="E112" i="28"/>
  <c r="F112" i="28"/>
  <c r="D113" i="28"/>
  <c r="E113" i="28"/>
  <c r="F113" i="28"/>
  <c r="D114" i="28"/>
  <c r="E114" i="28"/>
  <c r="F114" i="28"/>
  <c r="D115" i="28"/>
  <c r="E115" i="28"/>
  <c r="F115" i="28"/>
  <c r="D116" i="28"/>
  <c r="E116" i="28"/>
  <c r="F116" i="28"/>
  <c r="D117" i="28"/>
  <c r="E117" i="28"/>
  <c r="F117" i="28"/>
  <c r="D118" i="28"/>
  <c r="E118" i="28"/>
  <c r="F118" i="28"/>
  <c r="D119" i="28"/>
  <c r="E119" i="28"/>
  <c r="F119" i="28"/>
  <c r="D120" i="28"/>
  <c r="E120" i="28"/>
  <c r="F120" i="28"/>
  <c r="D121" i="28"/>
  <c r="E121" i="28"/>
  <c r="F121" i="28"/>
  <c r="D122" i="28"/>
  <c r="E122" i="28"/>
  <c r="F122" i="28"/>
  <c r="D123" i="28"/>
  <c r="E123" i="28"/>
  <c r="F123" i="28"/>
  <c r="D124" i="28"/>
  <c r="E124" i="28"/>
  <c r="F124" i="28"/>
  <c r="D125" i="28"/>
  <c r="E125" i="28"/>
  <c r="F125" i="28"/>
  <c r="D126" i="28"/>
  <c r="E126" i="28"/>
  <c r="F126" i="28"/>
  <c r="D127" i="28"/>
  <c r="E127" i="28"/>
  <c r="F127" i="28"/>
  <c r="D128" i="28"/>
  <c r="E128" i="28"/>
  <c r="F128" i="28"/>
  <c r="D129" i="28"/>
  <c r="E129" i="28"/>
  <c r="F129" i="28"/>
  <c r="D130" i="28"/>
  <c r="E130" i="28"/>
  <c r="F130" i="28"/>
  <c r="D131" i="28"/>
  <c r="E131" i="28"/>
  <c r="F131" i="28"/>
  <c r="D132" i="28"/>
  <c r="E132" i="28"/>
  <c r="F132" i="28"/>
  <c r="D133" i="28"/>
  <c r="E133" i="28"/>
  <c r="F133" i="28"/>
  <c r="D134" i="28"/>
  <c r="E134" i="28"/>
  <c r="F134" i="28"/>
  <c r="D135" i="28"/>
  <c r="E135" i="28"/>
  <c r="F135" i="28"/>
  <c r="D136" i="28"/>
  <c r="E136" i="28"/>
  <c r="F136" i="28"/>
  <c r="D137" i="28"/>
  <c r="E137" i="28"/>
  <c r="F137" i="28"/>
  <c r="D138" i="28"/>
  <c r="E138" i="28"/>
  <c r="F138" i="28"/>
  <c r="D139" i="28"/>
  <c r="E139" i="28"/>
  <c r="F139" i="28"/>
  <c r="D140" i="28"/>
  <c r="E140" i="28"/>
  <c r="F140" i="28"/>
  <c r="D141" i="28"/>
  <c r="E141" i="28"/>
  <c r="F141" i="28"/>
  <c r="D142" i="28"/>
  <c r="E142" i="28"/>
  <c r="F142" i="28"/>
  <c r="D143" i="28"/>
  <c r="E143" i="28"/>
  <c r="F143" i="28"/>
  <c r="D144" i="28"/>
  <c r="E144" i="28"/>
  <c r="F144" i="28"/>
  <c r="D145" i="28"/>
  <c r="E145" i="28"/>
  <c r="F145" i="28"/>
  <c r="D146" i="28"/>
  <c r="E146" i="28"/>
  <c r="F146" i="28"/>
  <c r="D147" i="28"/>
  <c r="E147" i="28"/>
  <c r="F147" i="28"/>
  <c r="D148" i="28"/>
  <c r="E148" i="28"/>
  <c r="F148" i="28"/>
  <c r="D149" i="28"/>
  <c r="E149" i="28"/>
  <c r="F149" i="28"/>
  <c r="D150" i="28"/>
  <c r="E150" i="28"/>
  <c r="F150" i="28"/>
  <c r="D151" i="28"/>
  <c r="E151" i="28"/>
  <c r="F151" i="28"/>
  <c r="D152" i="28"/>
  <c r="E152" i="28"/>
  <c r="F152" i="28"/>
  <c r="D153" i="28"/>
  <c r="E153" i="28"/>
  <c r="F153" i="28"/>
  <c r="D154" i="28"/>
  <c r="E154" i="28"/>
  <c r="F154" i="28"/>
  <c r="D155" i="28"/>
  <c r="E155" i="28"/>
  <c r="F155" i="28"/>
  <c r="D156" i="28"/>
  <c r="E156" i="28"/>
  <c r="F156" i="28"/>
  <c r="D157" i="28"/>
  <c r="E157" i="28"/>
  <c r="F157" i="28"/>
  <c r="D158" i="28"/>
  <c r="E158" i="28"/>
  <c r="F158" i="28"/>
  <c r="D159" i="28"/>
  <c r="E159" i="28"/>
  <c r="F159" i="28"/>
  <c r="D160" i="28"/>
  <c r="E160" i="28"/>
  <c r="F160" i="28"/>
  <c r="D161" i="28"/>
  <c r="E161" i="28"/>
  <c r="F161" i="28"/>
  <c r="D162" i="28"/>
  <c r="E162" i="28"/>
  <c r="F162" i="28"/>
  <c r="D163" i="28"/>
  <c r="E163" i="28"/>
  <c r="F163" i="28"/>
  <c r="D164" i="28"/>
  <c r="E164" i="28"/>
  <c r="F164" i="28"/>
  <c r="D165" i="28"/>
  <c r="E165" i="28"/>
  <c r="F165" i="28"/>
  <c r="D166" i="28"/>
  <c r="E166" i="28"/>
  <c r="F166" i="28"/>
  <c r="D167" i="28"/>
  <c r="E167" i="28"/>
  <c r="F167" i="28"/>
  <c r="D168" i="28"/>
  <c r="E168" i="28"/>
  <c r="F168" i="28"/>
  <c r="D169" i="28"/>
  <c r="E169" i="28"/>
  <c r="F169" i="28"/>
  <c r="D170" i="28"/>
  <c r="E170" i="28"/>
  <c r="F170" i="28"/>
  <c r="D171" i="28"/>
  <c r="E171" i="28"/>
  <c r="F171" i="28"/>
  <c r="D172" i="28"/>
  <c r="E172" i="28"/>
  <c r="F172" i="28"/>
  <c r="D173" i="28"/>
  <c r="E173" i="28"/>
  <c r="F173" i="28"/>
  <c r="D174" i="28"/>
  <c r="E174" i="28"/>
  <c r="F174" i="28"/>
  <c r="D175" i="28"/>
  <c r="E175" i="28"/>
  <c r="F175" i="28"/>
  <c r="D176" i="28"/>
  <c r="E176" i="28"/>
  <c r="F176" i="28"/>
  <c r="D177" i="28"/>
  <c r="E177" i="28"/>
  <c r="F177" i="28"/>
  <c r="D178" i="28"/>
  <c r="E178" i="28"/>
  <c r="F178" i="28"/>
  <c r="D179" i="28"/>
  <c r="E179" i="28"/>
  <c r="F179" i="28"/>
  <c r="D180" i="28"/>
  <c r="E180" i="28"/>
  <c r="F180" i="28"/>
  <c r="D181" i="28"/>
  <c r="E181" i="28"/>
  <c r="F181" i="28"/>
  <c r="D182" i="28"/>
  <c r="E182" i="28"/>
  <c r="F182" i="28"/>
  <c r="D183" i="28"/>
  <c r="E183" i="28"/>
  <c r="F183" i="28"/>
  <c r="D184" i="28"/>
  <c r="E184" i="28"/>
  <c r="F184" i="28"/>
  <c r="D185" i="28"/>
  <c r="E185" i="28"/>
  <c r="F185" i="28"/>
  <c r="D186" i="28"/>
  <c r="E186" i="28"/>
  <c r="F186" i="28"/>
  <c r="D187" i="28"/>
  <c r="E187" i="28"/>
  <c r="F187" i="28"/>
  <c r="D188" i="28"/>
  <c r="E188" i="28"/>
  <c r="F188" i="28"/>
  <c r="D189" i="28"/>
  <c r="E189" i="28"/>
  <c r="F189" i="28"/>
  <c r="D190" i="28"/>
  <c r="E190" i="28"/>
  <c r="F190" i="28"/>
  <c r="D191" i="28"/>
  <c r="E191" i="28"/>
  <c r="F191" i="28"/>
  <c r="D192" i="28"/>
  <c r="E192" i="28"/>
  <c r="F192" i="28"/>
  <c r="D193" i="28"/>
  <c r="E193" i="28"/>
  <c r="F193" i="28"/>
  <c r="D194" i="28"/>
  <c r="E194" i="28"/>
  <c r="F194" i="28"/>
  <c r="D195" i="28"/>
  <c r="E195" i="28"/>
  <c r="F195" i="28"/>
  <c r="D196" i="28"/>
  <c r="E196" i="28"/>
  <c r="F196" i="28"/>
  <c r="D197" i="28"/>
  <c r="E197" i="28"/>
  <c r="F197" i="28"/>
  <c r="D198" i="28"/>
  <c r="E198" i="28"/>
  <c r="F198" i="28"/>
  <c r="D199" i="28"/>
  <c r="E199" i="28"/>
  <c r="F199" i="28"/>
  <c r="D200" i="28"/>
  <c r="E200" i="28"/>
  <c r="F200" i="28"/>
  <c r="D201" i="28"/>
  <c r="E201" i="28"/>
  <c r="F201" i="28"/>
  <c r="D202" i="28"/>
  <c r="E202" i="28"/>
  <c r="F202" i="28"/>
  <c r="D203" i="28"/>
  <c r="E203" i="28"/>
  <c r="F203" i="28"/>
  <c r="D204" i="28"/>
  <c r="E204" i="28"/>
  <c r="F204" i="28"/>
  <c r="D205" i="28"/>
  <c r="E205" i="28"/>
  <c r="F205" i="28"/>
  <c r="D206" i="28"/>
  <c r="E206" i="28"/>
  <c r="F206" i="28"/>
  <c r="D207" i="28"/>
  <c r="E207" i="28"/>
  <c r="F207" i="28"/>
  <c r="D208" i="28"/>
  <c r="E208" i="28"/>
  <c r="F208" i="28"/>
  <c r="D209" i="28"/>
  <c r="E209" i="28"/>
  <c r="F209" i="28"/>
  <c r="D210" i="28"/>
  <c r="E210" i="28"/>
  <c r="F210" i="28"/>
  <c r="D211" i="28"/>
  <c r="E211" i="28"/>
  <c r="F211" i="28"/>
  <c r="D212" i="28"/>
  <c r="E212" i="28"/>
  <c r="F212" i="28"/>
  <c r="D213" i="28"/>
  <c r="E213" i="28"/>
  <c r="F213" i="28"/>
  <c r="D214" i="28"/>
  <c r="E214" i="28"/>
  <c r="F214" i="28"/>
  <c r="D215" i="28"/>
  <c r="E215" i="28"/>
  <c r="F215" i="28"/>
  <c r="D216" i="28"/>
  <c r="E216" i="28"/>
  <c r="F216" i="28"/>
  <c r="D217" i="28"/>
  <c r="E217" i="28"/>
  <c r="F217" i="28"/>
  <c r="D218" i="28"/>
  <c r="E218" i="28"/>
  <c r="F218" i="28"/>
  <c r="D219" i="28"/>
  <c r="E219" i="28"/>
  <c r="F219" i="28"/>
  <c r="D220" i="28"/>
  <c r="E220" i="28"/>
  <c r="F220" i="28"/>
  <c r="D221" i="28"/>
  <c r="E221" i="28"/>
  <c r="F221" i="28"/>
  <c r="D222" i="28"/>
  <c r="E222" i="28"/>
  <c r="F222" i="28"/>
  <c r="D223" i="28"/>
  <c r="E223" i="28"/>
  <c r="F223" i="28"/>
  <c r="D224" i="28"/>
  <c r="E224" i="28"/>
  <c r="F224" i="28"/>
  <c r="D225" i="28"/>
  <c r="E225" i="28"/>
  <c r="F225" i="28"/>
  <c r="D226" i="28"/>
  <c r="E226" i="28"/>
  <c r="F226" i="28"/>
  <c r="D227" i="28"/>
  <c r="E227" i="28"/>
  <c r="F227" i="28"/>
  <c r="D228" i="28"/>
  <c r="E228" i="28"/>
  <c r="F228" i="28"/>
  <c r="D229" i="28"/>
  <c r="E229" i="28"/>
  <c r="F229" i="28"/>
  <c r="D230" i="28"/>
  <c r="E230" i="28"/>
  <c r="F230" i="28"/>
  <c r="D231" i="28"/>
  <c r="E231" i="28"/>
  <c r="F231" i="28"/>
  <c r="D232" i="28"/>
  <c r="E232" i="28"/>
  <c r="F232" i="28"/>
  <c r="D233" i="28"/>
  <c r="E233" i="28"/>
  <c r="F233" i="28"/>
  <c r="D234" i="28"/>
  <c r="E234" i="28"/>
  <c r="F234" i="28"/>
  <c r="D235" i="28"/>
  <c r="E235" i="28"/>
  <c r="F235" i="28"/>
  <c r="D236" i="28"/>
  <c r="E236" i="28"/>
  <c r="F236" i="28"/>
  <c r="D237" i="28"/>
  <c r="E237" i="28"/>
  <c r="F237" i="28"/>
  <c r="D238" i="28"/>
  <c r="E238" i="28"/>
  <c r="F238" i="28"/>
  <c r="D239" i="28"/>
  <c r="E239" i="28"/>
  <c r="F239" i="28"/>
  <c r="D240" i="28"/>
  <c r="E240" i="28"/>
  <c r="F240" i="28"/>
  <c r="D241" i="28"/>
  <c r="E241" i="28"/>
  <c r="F241" i="28"/>
  <c r="D242" i="28"/>
  <c r="E242" i="28"/>
  <c r="F242" i="28"/>
  <c r="D243" i="28"/>
  <c r="E243" i="28"/>
  <c r="F243" i="28"/>
  <c r="D244" i="28"/>
  <c r="E244" i="28"/>
  <c r="F244" i="28"/>
  <c r="D245" i="28"/>
  <c r="E245" i="28"/>
  <c r="F245" i="28"/>
  <c r="D246" i="28"/>
  <c r="E246" i="28"/>
  <c r="F246" i="28"/>
  <c r="D247" i="28"/>
  <c r="E247" i="28"/>
  <c r="F247" i="28"/>
  <c r="D248" i="28"/>
  <c r="E248" i="28"/>
  <c r="F248" i="28"/>
  <c r="D249" i="28"/>
  <c r="E249" i="28"/>
  <c r="F249" i="28"/>
  <c r="D250" i="28"/>
  <c r="E250" i="28"/>
  <c r="F250" i="28"/>
  <c r="D251" i="28"/>
  <c r="E251" i="28"/>
  <c r="F251" i="28"/>
  <c r="D252" i="28"/>
  <c r="E252" i="28"/>
  <c r="F252" i="28"/>
  <c r="D253" i="28"/>
  <c r="E253" i="28"/>
  <c r="F253" i="28"/>
  <c r="D254" i="28"/>
  <c r="E254" i="28"/>
  <c r="F254" i="28"/>
  <c r="D255" i="28"/>
  <c r="E255" i="28"/>
  <c r="F255" i="28"/>
  <c r="D256" i="28"/>
  <c r="E256" i="28"/>
  <c r="F256" i="28"/>
  <c r="D257" i="28"/>
  <c r="E257" i="28"/>
  <c r="F257" i="28"/>
  <c r="D258" i="28"/>
  <c r="E258" i="28"/>
  <c r="F258" i="28"/>
  <c r="D259" i="28"/>
  <c r="E259" i="28"/>
  <c r="F259" i="28"/>
  <c r="D260" i="28"/>
  <c r="E260" i="28"/>
  <c r="F260" i="28"/>
  <c r="D261" i="28"/>
  <c r="E261" i="28"/>
  <c r="F261" i="28"/>
  <c r="D262" i="28"/>
  <c r="E262" i="28"/>
  <c r="F262" i="28"/>
  <c r="D263" i="28"/>
  <c r="E263" i="28"/>
  <c r="F263" i="28"/>
  <c r="D264" i="28"/>
  <c r="E264" i="28"/>
  <c r="F264" i="28"/>
  <c r="D265" i="28"/>
  <c r="E265" i="28"/>
  <c r="F265" i="28"/>
  <c r="D266" i="28"/>
  <c r="E266" i="28"/>
  <c r="F266" i="28"/>
  <c r="D267" i="28"/>
  <c r="E267" i="28"/>
  <c r="F267" i="28"/>
  <c r="D268" i="28"/>
  <c r="E268" i="28"/>
  <c r="F268" i="28"/>
  <c r="D269" i="28"/>
  <c r="E269" i="28"/>
  <c r="F269" i="28"/>
  <c r="D270" i="28"/>
  <c r="E270" i="28"/>
  <c r="F270" i="28"/>
  <c r="D271" i="28"/>
  <c r="E271" i="28"/>
  <c r="F271" i="28"/>
  <c r="D272" i="28"/>
  <c r="E272" i="28"/>
  <c r="F272" i="28"/>
  <c r="D273" i="28"/>
  <c r="E273" i="28"/>
  <c r="F273" i="28"/>
  <c r="D274" i="28"/>
  <c r="E274" i="28"/>
  <c r="F274" i="28"/>
  <c r="D275" i="28"/>
  <c r="E275" i="28"/>
  <c r="F275" i="28"/>
  <c r="D276" i="28"/>
  <c r="E276" i="28"/>
  <c r="F276" i="28"/>
  <c r="D277" i="28"/>
  <c r="E277" i="28"/>
  <c r="F277" i="28"/>
  <c r="D278" i="28"/>
  <c r="E278" i="28"/>
  <c r="F278" i="28"/>
  <c r="D279" i="28"/>
  <c r="E279" i="28"/>
  <c r="F279" i="28"/>
  <c r="D280" i="28"/>
  <c r="E280" i="28"/>
  <c r="F280" i="28"/>
  <c r="D281" i="28"/>
  <c r="E281" i="28"/>
  <c r="F281" i="28"/>
  <c r="D282" i="28"/>
  <c r="E282" i="28"/>
  <c r="F282" i="28"/>
  <c r="D283" i="28"/>
  <c r="E283" i="28"/>
  <c r="F283" i="28"/>
  <c r="D284" i="28"/>
  <c r="E284" i="28"/>
  <c r="F284" i="28"/>
  <c r="D285" i="28"/>
  <c r="E285" i="28"/>
  <c r="F285" i="28"/>
  <c r="D286" i="28"/>
  <c r="E286" i="28"/>
  <c r="F286" i="28"/>
  <c r="D287" i="28"/>
  <c r="E287" i="28"/>
  <c r="F287" i="28"/>
  <c r="D288" i="28"/>
  <c r="E288" i="28"/>
  <c r="F288" i="28"/>
  <c r="D289" i="28"/>
  <c r="E289" i="28"/>
  <c r="F289" i="28"/>
  <c r="AA545" i="1"/>
  <c r="T11" i="1"/>
  <c r="X11" i="1" s="1"/>
  <c r="U11" i="1"/>
  <c r="Y11" i="1" s="1"/>
  <c r="T12" i="1"/>
  <c r="U12" i="1"/>
  <c r="Y12" i="1" s="1"/>
  <c r="T13" i="1"/>
  <c r="X13" i="1" s="1"/>
  <c r="U13" i="1"/>
  <c r="T14" i="1"/>
  <c r="X14" i="1" s="1"/>
  <c r="U14" i="1"/>
  <c r="T15" i="1"/>
  <c r="X15" i="1" s="1"/>
  <c r="U15" i="1"/>
  <c r="Y15" i="1" s="1"/>
  <c r="T16" i="1"/>
  <c r="U16" i="1"/>
  <c r="Y16" i="1" s="1"/>
  <c r="T17" i="1"/>
  <c r="X17" i="1" s="1"/>
  <c r="U17" i="1"/>
  <c r="Y17" i="1" s="1"/>
  <c r="T18" i="1"/>
  <c r="X18" i="1" s="1"/>
  <c r="U18" i="1"/>
  <c r="Y18" i="1" s="1"/>
  <c r="T19" i="1"/>
  <c r="X19" i="1" s="1"/>
  <c r="U19" i="1"/>
  <c r="Y19" i="1" s="1"/>
  <c r="T20" i="1"/>
  <c r="X20" i="1" s="1"/>
  <c r="U20" i="1"/>
  <c r="Y20" i="1" s="1"/>
  <c r="T21" i="1"/>
  <c r="U21" i="1"/>
  <c r="Y21" i="1" s="1"/>
  <c r="T22" i="1"/>
  <c r="X22" i="1" s="1"/>
  <c r="U22" i="1"/>
  <c r="Y22" i="1" s="1"/>
  <c r="T23" i="1"/>
  <c r="X23" i="1" s="1"/>
  <c r="U23" i="1"/>
  <c r="Y23" i="1" s="1"/>
  <c r="T24" i="1"/>
  <c r="X24" i="1" s="1"/>
  <c r="U24" i="1"/>
  <c r="Y24" i="1" s="1"/>
  <c r="T25" i="1"/>
  <c r="U25" i="1"/>
  <c r="T26" i="1"/>
  <c r="X26" i="1" s="1"/>
  <c r="U26" i="1"/>
  <c r="T27" i="1"/>
  <c r="X27" i="1" s="1"/>
  <c r="U27" i="1"/>
  <c r="Y27" i="1" s="1"/>
  <c r="T28" i="1"/>
  <c r="U28" i="1"/>
  <c r="Y28" i="1" s="1"/>
  <c r="T29" i="1"/>
  <c r="X29" i="1" s="1"/>
  <c r="U29" i="1"/>
  <c r="T30" i="1"/>
  <c r="X30" i="1" s="1"/>
  <c r="U30" i="1"/>
  <c r="T31" i="1"/>
  <c r="X31" i="1" s="1"/>
  <c r="U31" i="1"/>
  <c r="Y31" i="1" s="1"/>
  <c r="T32" i="1"/>
  <c r="U32" i="1"/>
  <c r="Y32" i="1" s="1"/>
  <c r="T33" i="1"/>
  <c r="X33" i="1" s="1"/>
  <c r="U33" i="1"/>
  <c r="Y33" i="1" s="1"/>
  <c r="T34" i="1"/>
  <c r="X34" i="1" s="1"/>
  <c r="U34" i="1"/>
  <c r="Y34" i="1" s="1"/>
  <c r="T35" i="1"/>
  <c r="X35" i="1" s="1"/>
  <c r="U35" i="1"/>
  <c r="Y35" i="1" s="1"/>
  <c r="T36" i="1"/>
  <c r="X36" i="1" s="1"/>
  <c r="U36" i="1"/>
  <c r="Y36" i="1" s="1"/>
  <c r="T37" i="1"/>
  <c r="U37" i="1"/>
  <c r="Y37" i="1" s="1"/>
  <c r="T38" i="1"/>
  <c r="X38" i="1" s="1"/>
  <c r="U38" i="1"/>
  <c r="Y38" i="1" s="1"/>
  <c r="T39" i="1"/>
  <c r="X39" i="1" s="1"/>
  <c r="U39" i="1"/>
  <c r="Y39" i="1" s="1"/>
  <c r="T40" i="1"/>
  <c r="X40" i="1" s="1"/>
  <c r="U40" i="1"/>
  <c r="Y40" i="1" s="1"/>
  <c r="T41" i="1"/>
  <c r="U41" i="1"/>
  <c r="T42" i="1"/>
  <c r="X42" i="1" s="1"/>
  <c r="U42" i="1"/>
  <c r="T43" i="1"/>
  <c r="X43" i="1" s="1"/>
  <c r="U43" i="1"/>
  <c r="Y43" i="1" s="1"/>
  <c r="T44" i="1"/>
  <c r="U44" i="1"/>
  <c r="Y44" i="1" s="1"/>
  <c r="T50" i="1"/>
  <c r="X50" i="1" s="1"/>
  <c r="U50" i="1"/>
  <c r="Y50" i="1" s="1"/>
  <c r="T51" i="1"/>
  <c r="X51" i="1" s="1"/>
  <c r="U51" i="1"/>
  <c r="Y51" i="1" s="1"/>
  <c r="T52" i="1"/>
  <c r="X52" i="1" s="1"/>
  <c r="U52" i="1"/>
  <c r="Y52" i="1" s="1"/>
  <c r="T53" i="1"/>
  <c r="U53" i="1"/>
  <c r="Y53" i="1" s="1"/>
  <c r="T54" i="1"/>
  <c r="X54" i="1" s="1"/>
  <c r="U54" i="1"/>
  <c r="Y54" i="1" s="1"/>
  <c r="T55" i="1"/>
  <c r="X55" i="1" s="1"/>
  <c r="U55" i="1"/>
  <c r="Y55" i="1" s="1"/>
  <c r="T56" i="1"/>
  <c r="X56" i="1" s="1"/>
  <c r="U56" i="1"/>
  <c r="Y56" i="1" s="1"/>
  <c r="T57" i="1"/>
  <c r="U57" i="1"/>
  <c r="T58" i="1"/>
  <c r="X58" i="1" s="1"/>
  <c r="U58" i="1"/>
  <c r="T59" i="1"/>
  <c r="X59" i="1" s="1"/>
  <c r="U59" i="1"/>
  <c r="Y59" i="1" s="1"/>
  <c r="T60" i="1"/>
  <c r="U60" i="1"/>
  <c r="Y60" i="1" s="1"/>
  <c r="T61" i="1"/>
  <c r="X61" i="1" s="1"/>
  <c r="U61" i="1"/>
  <c r="T62" i="1"/>
  <c r="X62" i="1" s="1"/>
  <c r="U62" i="1"/>
  <c r="T63" i="1"/>
  <c r="X63" i="1" s="1"/>
  <c r="U63" i="1"/>
  <c r="Y63" i="1" s="1"/>
  <c r="T64" i="1"/>
  <c r="U64" i="1"/>
  <c r="Y64" i="1" s="1"/>
  <c r="T65" i="1"/>
  <c r="X65" i="1" s="1"/>
  <c r="U65" i="1"/>
  <c r="Y65" i="1" s="1"/>
  <c r="T66" i="1"/>
  <c r="X66" i="1" s="1"/>
  <c r="U66" i="1"/>
  <c r="Y66" i="1" s="1"/>
  <c r="T67" i="1"/>
  <c r="X67" i="1" s="1"/>
  <c r="U67" i="1"/>
  <c r="Y67" i="1" s="1"/>
  <c r="T68" i="1"/>
  <c r="X68" i="1" s="1"/>
  <c r="U68" i="1"/>
  <c r="Y68" i="1" s="1"/>
  <c r="T69" i="1"/>
  <c r="U69" i="1"/>
  <c r="Y69" i="1" s="1"/>
  <c r="T70" i="1"/>
  <c r="X70" i="1" s="1"/>
  <c r="U70" i="1"/>
  <c r="Y70" i="1" s="1"/>
  <c r="T71" i="1"/>
  <c r="X71" i="1" s="1"/>
  <c r="U71" i="1"/>
  <c r="Y71" i="1" s="1"/>
  <c r="T72" i="1"/>
  <c r="X72" i="1" s="1"/>
  <c r="U72" i="1"/>
  <c r="Y72" i="1" s="1"/>
  <c r="T73" i="1"/>
  <c r="U73" i="1"/>
  <c r="T74" i="1"/>
  <c r="X74" i="1" s="1"/>
  <c r="U74" i="1"/>
  <c r="T75" i="1"/>
  <c r="X75" i="1" s="1"/>
  <c r="U75" i="1"/>
  <c r="Y75" i="1" s="1"/>
  <c r="T76" i="1"/>
  <c r="U76" i="1"/>
  <c r="Y76" i="1" s="1"/>
  <c r="T77" i="1"/>
  <c r="X77" i="1" s="1"/>
  <c r="U77" i="1"/>
  <c r="T78" i="1"/>
  <c r="X78" i="1" s="1"/>
  <c r="U78" i="1"/>
  <c r="T79" i="1"/>
  <c r="X79" i="1" s="1"/>
  <c r="U79" i="1"/>
  <c r="Y79" i="1" s="1"/>
  <c r="T80" i="1"/>
  <c r="U80" i="1"/>
  <c r="Y80" i="1" s="1"/>
  <c r="T90" i="1"/>
  <c r="X90" i="1" s="1"/>
  <c r="U90" i="1"/>
  <c r="T91" i="1"/>
  <c r="X91" i="1" s="1"/>
  <c r="U91" i="1"/>
  <c r="Y91" i="1" s="1"/>
  <c r="T92" i="1"/>
  <c r="U92" i="1"/>
  <c r="Y92" i="1" s="1"/>
  <c r="T93" i="1"/>
  <c r="X93" i="1" s="1"/>
  <c r="U93" i="1"/>
  <c r="T94" i="1"/>
  <c r="X94" i="1" s="1"/>
  <c r="U94" i="1"/>
  <c r="T95" i="1"/>
  <c r="X95" i="1" s="1"/>
  <c r="U95" i="1"/>
  <c r="Y95" i="1" s="1"/>
  <c r="T96" i="1"/>
  <c r="U96" i="1"/>
  <c r="Y96" i="1" s="1"/>
  <c r="T97" i="1"/>
  <c r="X97" i="1" s="1"/>
  <c r="U97" i="1"/>
  <c r="Y97" i="1" s="1"/>
  <c r="T98" i="1"/>
  <c r="X98" i="1" s="1"/>
  <c r="U98" i="1"/>
  <c r="Y98" i="1" s="1"/>
  <c r="T99" i="1"/>
  <c r="X99" i="1" s="1"/>
  <c r="U99" i="1"/>
  <c r="Y99" i="1" s="1"/>
  <c r="T100" i="1"/>
  <c r="X100" i="1" s="1"/>
  <c r="U100" i="1"/>
  <c r="Y100" i="1" s="1"/>
  <c r="T101" i="1"/>
  <c r="U101" i="1"/>
  <c r="Y101" i="1" s="1"/>
  <c r="T102" i="1"/>
  <c r="X102" i="1" s="1"/>
  <c r="U102" i="1"/>
  <c r="Y102" i="1" s="1"/>
  <c r="T103" i="1"/>
  <c r="X103" i="1" s="1"/>
  <c r="U103" i="1"/>
  <c r="Y103" i="1" s="1"/>
  <c r="T104" i="1"/>
  <c r="X104" i="1" s="1"/>
  <c r="U104" i="1"/>
  <c r="Y104" i="1" s="1"/>
  <c r="T105" i="1"/>
  <c r="U105" i="1"/>
  <c r="T106" i="1"/>
  <c r="X106" i="1" s="1"/>
  <c r="U106" i="1"/>
  <c r="T107" i="1"/>
  <c r="X107" i="1" s="1"/>
  <c r="U107" i="1"/>
  <c r="Y107" i="1" s="1"/>
  <c r="T108" i="1"/>
  <c r="U108" i="1"/>
  <c r="Y108" i="1" s="1"/>
  <c r="T109" i="1"/>
  <c r="X109" i="1" s="1"/>
  <c r="U109" i="1"/>
  <c r="T110" i="1"/>
  <c r="X110" i="1" s="1"/>
  <c r="U110" i="1"/>
  <c r="T111" i="1"/>
  <c r="X111" i="1" s="1"/>
  <c r="U111" i="1"/>
  <c r="Y111" i="1" s="1"/>
  <c r="T112" i="1"/>
  <c r="U112" i="1"/>
  <c r="Y112" i="1" s="1"/>
  <c r="T113" i="1"/>
  <c r="X113" i="1" s="1"/>
  <c r="U113" i="1"/>
  <c r="Y113" i="1" s="1"/>
  <c r="T114" i="1"/>
  <c r="X114" i="1" s="1"/>
  <c r="U114" i="1"/>
  <c r="Y114" i="1" s="1"/>
  <c r="T115" i="1"/>
  <c r="X115" i="1" s="1"/>
  <c r="U115" i="1"/>
  <c r="Y115" i="1" s="1"/>
  <c r="T116" i="1"/>
  <c r="X116" i="1" s="1"/>
  <c r="U116" i="1"/>
  <c r="Y116" i="1" s="1"/>
  <c r="T130" i="1"/>
  <c r="U130" i="1"/>
  <c r="Y130" i="1" s="1"/>
  <c r="T131" i="1"/>
  <c r="U131" i="1"/>
  <c r="T132" i="1"/>
  <c r="X132" i="1" s="1"/>
  <c r="U132" i="1"/>
  <c r="T133" i="1"/>
  <c r="X133" i="1" s="1"/>
  <c r="U133" i="1"/>
  <c r="Y133" i="1" s="1"/>
  <c r="T134" i="1"/>
  <c r="U134" i="1"/>
  <c r="Y134" i="1" s="1"/>
  <c r="T135" i="1"/>
  <c r="X135" i="1" s="1"/>
  <c r="U135" i="1"/>
  <c r="Y135" i="1" s="1"/>
  <c r="T136" i="1"/>
  <c r="X136" i="1" s="1"/>
  <c r="U136" i="1"/>
  <c r="T137" i="1"/>
  <c r="X137" i="1" s="1"/>
  <c r="U137" i="1"/>
  <c r="Y137" i="1" s="1"/>
  <c r="T138" i="1"/>
  <c r="U138" i="1"/>
  <c r="Y138" i="1" s="1"/>
  <c r="T139" i="1"/>
  <c r="U139" i="1"/>
  <c r="T140" i="1"/>
  <c r="X140" i="1" s="1"/>
  <c r="U140" i="1"/>
  <c r="T141" i="1"/>
  <c r="X141" i="1" s="1"/>
  <c r="U141" i="1"/>
  <c r="Y141" i="1" s="1"/>
  <c r="T142" i="1"/>
  <c r="U142" i="1"/>
  <c r="Y142" i="1" s="1"/>
  <c r="T143" i="1"/>
  <c r="X143" i="1" s="1"/>
  <c r="U143" i="1"/>
  <c r="Y143" i="1" s="1"/>
  <c r="T144" i="1"/>
  <c r="X144" i="1" s="1"/>
  <c r="U144" i="1"/>
  <c r="T145" i="1"/>
  <c r="X145" i="1" s="1"/>
  <c r="U145" i="1"/>
  <c r="Y145" i="1" s="1"/>
  <c r="T146" i="1"/>
  <c r="U146" i="1"/>
  <c r="Y146" i="1" s="1"/>
  <c r="T147" i="1"/>
  <c r="U147" i="1"/>
  <c r="T148" i="1"/>
  <c r="X148" i="1" s="1"/>
  <c r="U148" i="1"/>
  <c r="T149" i="1"/>
  <c r="X149" i="1" s="1"/>
  <c r="U149" i="1"/>
  <c r="Y149" i="1" s="1"/>
  <c r="T150" i="1"/>
  <c r="U150" i="1"/>
  <c r="Y150" i="1" s="1"/>
  <c r="T151" i="1"/>
  <c r="U151" i="1"/>
  <c r="Y151" i="1" s="1"/>
  <c r="T152" i="1"/>
  <c r="U152" i="1"/>
  <c r="T170" i="1"/>
  <c r="U170" i="1"/>
  <c r="Y170" i="1" s="1"/>
  <c r="T171" i="1"/>
  <c r="U171" i="1"/>
  <c r="Y171" i="1" s="1"/>
  <c r="T172" i="1"/>
  <c r="X172" i="1" s="1"/>
  <c r="U172" i="1"/>
  <c r="Y172" i="1" s="1"/>
  <c r="T173" i="1"/>
  <c r="X173" i="1" s="1"/>
  <c r="U173" i="1"/>
  <c r="T174" i="1"/>
  <c r="X174" i="1" s="1"/>
  <c r="U174" i="1"/>
  <c r="Y174" i="1" s="1"/>
  <c r="T175" i="1"/>
  <c r="U175" i="1"/>
  <c r="Y175" i="1" s="1"/>
  <c r="T176" i="1"/>
  <c r="X176" i="1" s="1"/>
  <c r="U176" i="1"/>
  <c r="T177" i="1"/>
  <c r="X177" i="1" s="1"/>
  <c r="U177" i="1"/>
  <c r="T178" i="1"/>
  <c r="X178" i="1" s="1"/>
  <c r="U178" i="1"/>
  <c r="Y178" i="1" s="1"/>
  <c r="T179" i="1"/>
  <c r="X179" i="1" s="1"/>
  <c r="U179" i="1"/>
  <c r="Y179" i="1" s="1"/>
  <c r="T180" i="1"/>
  <c r="X180" i="1" s="1"/>
  <c r="U180" i="1"/>
  <c r="T181" i="1"/>
  <c r="X181" i="1" s="1"/>
  <c r="U181" i="1"/>
  <c r="Y181" i="1" s="1"/>
  <c r="T182" i="1"/>
  <c r="X182" i="1" s="1"/>
  <c r="U182" i="1"/>
  <c r="Y182" i="1" s="1"/>
  <c r="T183" i="1"/>
  <c r="U183" i="1"/>
  <c r="Y183" i="1" s="1"/>
  <c r="T184" i="1"/>
  <c r="U184" i="1"/>
  <c r="Y184" i="1" s="1"/>
  <c r="T185" i="1"/>
  <c r="X185" i="1" s="1"/>
  <c r="U185" i="1"/>
  <c r="Y185" i="1" s="1"/>
  <c r="T186" i="1"/>
  <c r="X186" i="1" s="1"/>
  <c r="U186" i="1"/>
  <c r="Y186" i="1" s="1"/>
  <c r="T187" i="1"/>
  <c r="U187" i="1"/>
  <c r="T188" i="1"/>
  <c r="X188" i="1" s="1"/>
  <c r="U188" i="1"/>
  <c r="Y188" i="1" s="1"/>
  <c r="T210" i="1"/>
  <c r="X210" i="1" s="1"/>
  <c r="U210" i="1"/>
  <c r="Y210" i="1" s="1"/>
  <c r="T211" i="1"/>
  <c r="X211" i="1" s="1"/>
  <c r="U211" i="1"/>
  <c r="Y211" i="1" s="1"/>
  <c r="T212" i="1"/>
  <c r="X212" i="1" s="1"/>
  <c r="U212" i="1"/>
  <c r="T213" i="1"/>
  <c r="X213" i="1" s="1"/>
  <c r="U213" i="1"/>
  <c r="Y213" i="1" s="1"/>
  <c r="T214" i="1"/>
  <c r="U214" i="1"/>
  <c r="Y214" i="1" s="1"/>
  <c r="T215" i="1"/>
  <c r="U215" i="1"/>
  <c r="Y215" i="1" s="1"/>
  <c r="T216" i="1"/>
  <c r="U216" i="1"/>
  <c r="Y216" i="1" s="1"/>
  <c r="T217" i="1"/>
  <c r="X217" i="1" s="1"/>
  <c r="U217" i="1"/>
  <c r="Y217" i="1" s="1"/>
  <c r="T218" i="1"/>
  <c r="U218" i="1"/>
  <c r="Y218" i="1" s="1"/>
  <c r="T219" i="1"/>
  <c r="U219" i="1"/>
  <c r="Y219" i="1" s="1"/>
  <c r="T220" i="1"/>
  <c r="X220" i="1" s="1"/>
  <c r="U220" i="1"/>
  <c r="Y220" i="1" s="1"/>
  <c r="T221" i="1"/>
  <c r="X221" i="1" s="1"/>
  <c r="U221" i="1"/>
  <c r="T222" i="1"/>
  <c r="X222" i="1" s="1"/>
  <c r="U222" i="1"/>
  <c r="Y222" i="1" s="1"/>
  <c r="T223" i="1"/>
  <c r="U223" i="1"/>
  <c r="Y223" i="1" s="1"/>
  <c r="T224" i="1"/>
  <c r="X224" i="1" s="1"/>
  <c r="U224" i="1"/>
  <c r="T250" i="1"/>
  <c r="U250" i="1"/>
  <c r="Y250" i="1" s="1"/>
  <c r="T290" i="1"/>
  <c r="U290" i="1"/>
  <c r="Y290" i="1" s="1"/>
  <c r="T291" i="1"/>
  <c r="U291" i="1"/>
  <c r="Y291" i="1" s="1"/>
  <c r="T292" i="1"/>
  <c r="U292" i="1"/>
  <c r="Y292" i="1" s="1"/>
  <c r="T293" i="1"/>
  <c r="X293" i="1" s="1"/>
  <c r="U293" i="1"/>
  <c r="Y293" i="1" s="1"/>
  <c r="T294" i="1"/>
  <c r="U294" i="1"/>
  <c r="Y294" i="1" s="1"/>
  <c r="T295" i="1"/>
  <c r="U295" i="1"/>
  <c r="Y295" i="1" s="1"/>
  <c r="T296" i="1"/>
  <c r="X296" i="1" s="1"/>
  <c r="U296" i="1"/>
  <c r="Y296" i="1" s="1"/>
  <c r="T297" i="1"/>
  <c r="X297" i="1" s="1"/>
  <c r="U297" i="1"/>
  <c r="T298" i="1"/>
  <c r="X298" i="1" s="1"/>
  <c r="U298" i="1"/>
  <c r="Y298" i="1" s="1"/>
  <c r="T299" i="1"/>
  <c r="U299" i="1"/>
  <c r="Y299" i="1" s="1"/>
  <c r="T300" i="1"/>
  <c r="X300" i="1" s="1"/>
  <c r="U300" i="1"/>
  <c r="T301" i="1"/>
  <c r="X301" i="1" s="1"/>
  <c r="U301" i="1"/>
  <c r="T302" i="1"/>
  <c r="X302" i="1" s="1"/>
  <c r="U302" i="1"/>
  <c r="Y302" i="1" s="1"/>
  <c r="T303" i="1"/>
  <c r="X303" i="1" s="1"/>
  <c r="U303" i="1"/>
  <c r="Y303" i="1" s="1"/>
  <c r="T304" i="1"/>
  <c r="X304" i="1" s="1"/>
  <c r="U304" i="1"/>
  <c r="T305" i="1"/>
  <c r="X305" i="1" s="1"/>
  <c r="U305" i="1"/>
  <c r="Y305" i="1" s="1"/>
  <c r="T306" i="1"/>
  <c r="X306" i="1" s="1"/>
  <c r="U306" i="1"/>
  <c r="Y306" i="1" s="1"/>
  <c r="T307" i="1"/>
  <c r="U307" i="1"/>
  <c r="Y307" i="1" s="1"/>
  <c r="T308" i="1"/>
  <c r="U308" i="1"/>
  <c r="Y308" i="1" s="1"/>
  <c r="T309" i="1"/>
  <c r="X309" i="1" s="1"/>
  <c r="U309" i="1"/>
  <c r="Y309" i="1" s="1"/>
  <c r="T310" i="1"/>
  <c r="X310" i="1" s="1"/>
  <c r="U310" i="1"/>
  <c r="Y310" i="1" s="1"/>
  <c r="T330" i="1"/>
  <c r="U330" i="1"/>
  <c r="Y330" i="1" s="1"/>
  <c r="T331" i="1"/>
  <c r="U331" i="1"/>
  <c r="Y331" i="1" s="1"/>
  <c r="D330" i="1"/>
  <c r="E330" i="1"/>
  <c r="F330" i="1"/>
  <c r="D331" i="1"/>
  <c r="E331" i="1"/>
  <c r="F331" i="1"/>
  <c r="D210" i="1"/>
  <c r="E210" i="1"/>
  <c r="F210" i="1"/>
  <c r="D211" i="1"/>
  <c r="E211" i="1"/>
  <c r="F211" i="1"/>
  <c r="D212" i="1"/>
  <c r="E212" i="1"/>
  <c r="F212" i="1"/>
  <c r="D213" i="1"/>
  <c r="E213" i="1"/>
  <c r="F213" i="1"/>
  <c r="D214" i="1"/>
  <c r="E214" i="1"/>
  <c r="F214" i="1"/>
  <c r="D215" i="1"/>
  <c r="E215" i="1"/>
  <c r="F215" i="1"/>
  <c r="D216" i="1"/>
  <c r="E216" i="1"/>
  <c r="F216" i="1"/>
  <c r="D217" i="1"/>
  <c r="E217" i="1"/>
  <c r="F217" i="1"/>
  <c r="D218" i="1"/>
  <c r="E218" i="1"/>
  <c r="F218" i="1"/>
  <c r="D219" i="1"/>
  <c r="E219" i="1"/>
  <c r="F219" i="1"/>
  <c r="D220" i="1"/>
  <c r="E220" i="1"/>
  <c r="F220" i="1"/>
  <c r="D221" i="1"/>
  <c r="E221" i="1"/>
  <c r="F221" i="1"/>
  <c r="D222" i="1"/>
  <c r="E222" i="1"/>
  <c r="F222" i="1"/>
  <c r="D223" i="1"/>
  <c r="E223" i="1"/>
  <c r="F223" i="1"/>
  <c r="D224" i="1"/>
  <c r="E224" i="1"/>
  <c r="F224" i="1"/>
  <c r="D250" i="1"/>
  <c r="E250" i="1"/>
  <c r="F250" i="1"/>
  <c r="D290" i="1"/>
  <c r="E290" i="1"/>
  <c r="F290" i="1"/>
  <c r="D291" i="1"/>
  <c r="E291" i="1"/>
  <c r="F291" i="1"/>
  <c r="D292" i="1"/>
  <c r="E292" i="1"/>
  <c r="F292" i="1"/>
  <c r="D293" i="1"/>
  <c r="E293" i="1"/>
  <c r="F293" i="1"/>
  <c r="D294" i="1"/>
  <c r="E294" i="1"/>
  <c r="F294" i="1"/>
  <c r="D295" i="1"/>
  <c r="E295" i="1"/>
  <c r="F295" i="1"/>
  <c r="D296" i="1"/>
  <c r="E296" i="1"/>
  <c r="F296" i="1"/>
  <c r="D297" i="1"/>
  <c r="E297" i="1"/>
  <c r="F297" i="1"/>
  <c r="D298" i="1"/>
  <c r="E298" i="1"/>
  <c r="F298" i="1"/>
  <c r="D299" i="1"/>
  <c r="E299" i="1"/>
  <c r="F299" i="1"/>
  <c r="D300" i="1"/>
  <c r="E300" i="1"/>
  <c r="F300" i="1"/>
  <c r="D301" i="1"/>
  <c r="E301" i="1"/>
  <c r="F301" i="1"/>
  <c r="D302" i="1"/>
  <c r="E302" i="1"/>
  <c r="F302" i="1"/>
  <c r="D303" i="1"/>
  <c r="E303" i="1"/>
  <c r="F303" i="1"/>
  <c r="D304" i="1"/>
  <c r="E304" i="1"/>
  <c r="F304" i="1"/>
  <c r="D305" i="1"/>
  <c r="E305" i="1"/>
  <c r="F305" i="1"/>
  <c r="D306" i="1"/>
  <c r="E306" i="1"/>
  <c r="F306" i="1"/>
  <c r="D307" i="1"/>
  <c r="E307" i="1"/>
  <c r="F307" i="1"/>
  <c r="D308" i="1"/>
  <c r="E308" i="1"/>
  <c r="F308" i="1"/>
  <c r="D309" i="1"/>
  <c r="E309" i="1"/>
  <c r="F309" i="1"/>
  <c r="D310" i="1"/>
  <c r="E310" i="1"/>
  <c r="F310" i="1"/>
  <c r="K5" i="1"/>
  <c r="D12" i="1"/>
  <c r="E12" i="1"/>
  <c r="F12" i="1"/>
  <c r="D13" i="1"/>
  <c r="E13" i="1"/>
  <c r="F13" i="1"/>
  <c r="D14" i="1"/>
  <c r="E14" i="1"/>
  <c r="F14" i="1"/>
  <c r="D15" i="1"/>
  <c r="E15" i="1"/>
  <c r="F15" i="1"/>
  <c r="D16" i="1"/>
  <c r="E16" i="1"/>
  <c r="F16" i="1"/>
  <c r="D17" i="1"/>
  <c r="E17" i="1"/>
  <c r="F17" i="1"/>
  <c r="D18" i="1"/>
  <c r="E18" i="1"/>
  <c r="F18" i="1"/>
  <c r="D19" i="1"/>
  <c r="E19" i="1"/>
  <c r="F19" i="1"/>
  <c r="D20" i="1"/>
  <c r="E20" i="1"/>
  <c r="F20" i="1"/>
  <c r="D21" i="1"/>
  <c r="E21" i="1"/>
  <c r="F21" i="1"/>
  <c r="D22" i="1"/>
  <c r="E22" i="1"/>
  <c r="F22" i="1"/>
  <c r="D23" i="1"/>
  <c r="E23" i="1"/>
  <c r="F23" i="1"/>
  <c r="D24" i="1"/>
  <c r="E24" i="1"/>
  <c r="F24" i="1"/>
  <c r="D25" i="1"/>
  <c r="E25" i="1"/>
  <c r="F25" i="1"/>
  <c r="D26" i="1"/>
  <c r="E26" i="1"/>
  <c r="F26" i="1"/>
  <c r="D27" i="1"/>
  <c r="E27" i="1"/>
  <c r="F27" i="1"/>
  <c r="D28" i="1"/>
  <c r="E28" i="1"/>
  <c r="F28" i="1"/>
  <c r="D29" i="1"/>
  <c r="E29" i="1"/>
  <c r="F29" i="1"/>
  <c r="D30" i="1"/>
  <c r="E30" i="1"/>
  <c r="F30" i="1"/>
  <c r="D31" i="1"/>
  <c r="E31" i="1"/>
  <c r="F31" i="1"/>
  <c r="D32" i="1"/>
  <c r="E32" i="1"/>
  <c r="F32" i="1"/>
  <c r="D33" i="1"/>
  <c r="E33" i="1"/>
  <c r="F33" i="1"/>
  <c r="D34" i="1"/>
  <c r="E34" i="1"/>
  <c r="F34" i="1"/>
  <c r="D35" i="1"/>
  <c r="E35" i="1"/>
  <c r="F35" i="1"/>
  <c r="D36" i="1"/>
  <c r="E36" i="1"/>
  <c r="F36" i="1"/>
  <c r="D37" i="1"/>
  <c r="E37" i="1"/>
  <c r="F37" i="1"/>
  <c r="D38" i="1"/>
  <c r="E38" i="1"/>
  <c r="F38" i="1"/>
  <c r="D39" i="1"/>
  <c r="E39" i="1"/>
  <c r="F39" i="1"/>
  <c r="D40" i="1"/>
  <c r="E40" i="1"/>
  <c r="F40" i="1"/>
  <c r="D41" i="1"/>
  <c r="E41" i="1"/>
  <c r="F41" i="1"/>
  <c r="D42" i="1"/>
  <c r="E42" i="1"/>
  <c r="F42" i="1"/>
  <c r="D43" i="1"/>
  <c r="E43" i="1"/>
  <c r="F43" i="1"/>
  <c r="D44" i="1"/>
  <c r="E44" i="1"/>
  <c r="F44" i="1"/>
  <c r="D50" i="1"/>
  <c r="E50" i="1"/>
  <c r="F50" i="1"/>
  <c r="D51" i="1"/>
  <c r="E51" i="1"/>
  <c r="F51" i="1"/>
  <c r="D52" i="1"/>
  <c r="E52" i="1"/>
  <c r="F52" i="1"/>
  <c r="D53" i="1"/>
  <c r="E53" i="1"/>
  <c r="F53" i="1"/>
  <c r="D54" i="1"/>
  <c r="E54" i="1"/>
  <c r="F54" i="1"/>
  <c r="D55" i="1"/>
  <c r="E55" i="1"/>
  <c r="F55" i="1"/>
  <c r="D56" i="1"/>
  <c r="E56" i="1"/>
  <c r="F56" i="1"/>
  <c r="D57" i="1"/>
  <c r="E57" i="1"/>
  <c r="F57" i="1"/>
  <c r="D58" i="1"/>
  <c r="E58" i="1"/>
  <c r="F58" i="1"/>
  <c r="D59" i="1"/>
  <c r="E59" i="1"/>
  <c r="F59" i="1"/>
  <c r="D60" i="1"/>
  <c r="E60" i="1"/>
  <c r="F60" i="1"/>
  <c r="D61" i="1"/>
  <c r="E61" i="1"/>
  <c r="F61" i="1"/>
  <c r="D62" i="1"/>
  <c r="E62" i="1"/>
  <c r="F62" i="1"/>
  <c r="D63" i="1"/>
  <c r="E63" i="1"/>
  <c r="F63" i="1"/>
  <c r="D64" i="1"/>
  <c r="E64" i="1"/>
  <c r="F64" i="1"/>
  <c r="D65" i="1"/>
  <c r="E65" i="1"/>
  <c r="F65" i="1"/>
  <c r="D66" i="1"/>
  <c r="E66" i="1"/>
  <c r="F66" i="1"/>
  <c r="D67" i="1"/>
  <c r="E67" i="1"/>
  <c r="F67" i="1"/>
  <c r="D68" i="1"/>
  <c r="E68" i="1"/>
  <c r="F68" i="1"/>
  <c r="D69" i="1"/>
  <c r="E69" i="1"/>
  <c r="F69" i="1"/>
  <c r="D70" i="1"/>
  <c r="E70" i="1"/>
  <c r="F70" i="1"/>
  <c r="D71" i="1"/>
  <c r="E71" i="1"/>
  <c r="F71" i="1"/>
  <c r="D72" i="1"/>
  <c r="E72" i="1"/>
  <c r="F72" i="1"/>
  <c r="D73" i="1"/>
  <c r="E73" i="1"/>
  <c r="F73" i="1"/>
  <c r="D74" i="1"/>
  <c r="E74" i="1"/>
  <c r="F74" i="1"/>
  <c r="D75" i="1"/>
  <c r="E75" i="1"/>
  <c r="F75" i="1"/>
  <c r="D76" i="1"/>
  <c r="E76" i="1"/>
  <c r="F76" i="1"/>
  <c r="D77" i="1"/>
  <c r="E77" i="1"/>
  <c r="F77" i="1"/>
  <c r="D78" i="1"/>
  <c r="E78" i="1"/>
  <c r="F78" i="1"/>
  <c r="D79" i="1"/>
  <c r="E79" i="1"/>
  <c r="F79" i="1"/>
  <c r="D80" i="1"/>
  <c r="E80" i="1"/>
  <c r="F80" i="1"/>
  <c r="D90" i="1"/>
  <c r="E90" i="1"/>
  <c r="F90" i="1"/>
  <c r="D91" i="1"/>
  <c r="E91" i="1"/>
  <c r="F91" i="1"/>
  <c r="D92" i="1"/>
  <c r="E92" i="1"/>
  <c r="F92" i="1"/>
  <c r="D93" i="1"/>
  <c r="E93" i="1"/>
  <c r="F93" i="1"/>
  <c r="D94" i="1"/>
  <c r="E94" i="1"/>
  <c r="F94" i="1"/>
  <c r="D95" i="1"/>
  <c r="E95" i="1"/>
  <c r="F95" i="1"/>
  <c r="D96" i="1"/>
  <c r="E96" i="1"/>
  <c r="F96" i="1"/>
  <c r="D97" i="1"/>
  <c r="E97" i="1"/>
  <c r="F97" i="1"/>
  <c r="D98" i="1"/>
  <c r="E98" i="1"/>
  <c r="F98" i="1"/>
  <c r="D99" i="1"/>
  <c r="E99" i="1"/>
  <c r="F99" i="1"/>
  <c r="D100" i="1"/>
  <c r="E100" i="1"/>
  <c r="F100" i="1"/>
  <c r="D101" i="1"/>
  <c r="E101" i="1"/>
  <c r="F101" i="1"/>
  <c r="D102" i="1"/>
  <c r="E102" i="1"/>
  <c r="F102" i="1"/>
  <c r="D103" i="1"/>
  <c r="E103" i="1"/>
  <c r="F103" i="1"/>
  <c r="D104" i="1"/>
  <c r="E104" i="1"/>
  <c r="F104" i="1"/>
  <c r="D105" i="1"/>
  <c r="E105" i="1"/>
  <c r="F105" i="1"/>
  <c r="D106" i="1"/>
  <c r="E106" i="1"/>
  <c r="F106" i="1"/>
  <c r="D107" i="1"/>
  <c r="E107" i="1"/>
  <c r="F107" i="1"/>
  <c r="D108" i="1"/>
  <c r="E108" i="1"/>
  <c r="F108" i="1"/>
  <c r="D109" i="1"/>
  <c r="E109" i="1"/>
  <c r="F109" i="1"/>
  <c r="D110" i="1"/>
  <c r="E110" i="1"/>
  <c r="F110" i="1"/>
  <c r="D111" i="1"/>
  <c r="E111" i="1"/>
  <c r="F111" i="1"/>
  <c r="D112" i="1"/>
  <c r="E112" i="1"/>
  <c r="F112" i="1"/>
  <c r="D113" i="1"/>
  <c r="E113" i="1"/>
  <c r="F113" i="1"/>
  <c r="D114" i="1"/>
  <c r="E114" i="1"/>
  <c r="F114" i="1"/>
  <c r="D115" i="1"/>
  <c r="E115" i="1"/>
  <c r="F115" i="1"/>
  <c r="D116" i="1"/>
  <c r="E116" i="1"/>
  <c r="F116" i="1"/>
  <c r="D130" i="1"/>
  <c r="E130" i="1"/>
  <c r="F130" i="1"/>
  <c r="D131" i="1"/>
  <c r="E131" i="1"/>
  <c r="F131" i="1"/>
  <c r="D132" i="1"/>
  <c r="E132" i="1"/>
  <c r="F132" i="1"/>
  <c r="D133" i="1"/>
  <c r="E133" i="1"/>
  <c r="F133" i="1"/>
  <c r="D134" i="1"/>
  <c r="E134" i="1"/>
  <c r="F134" i="1"/>
  <c r="D135" i="1"/>
  <c r="E135" i="1"/>
  <c r="F135" i="1"/>
  <c r="D136" i="1"/>
  <c r="E136" i="1"/>
  <c r="F136" i="1"/>
  <c r="D137" i="1"/>
  <c r="E137" i="1"/>
  <c r="F137" i="1"/>
  <c r="D138" i="1"/>
  <c r="E138" i="1"/>
  <c r="F138" i="1"/>
  <c r="D139" i="1"/>
  <c r="E139" i="1"/>
  <c r="F139" i="1"/>
  <c r="D140" i="1"/>
  <c r="E140" i="1"/>
  <c r="F140" i="1"/>
  <c r="D141" i="1"/>
  <c r="E141" i="1"/>
  <c r="F141" i="1"/>
  <c r="D142" i="1"/>
  <c r="E142" i="1"/>
  <c r="F142" i="1"/>
  <c r="D143" i="1"/>
  <c r="E143" i="1"/>
  <c r="F143" i="1"/>
  <c r="D144" i="1"/>
  <c r="E144" i="1"/>
  <c r="F144" i="1"/>
  <c r="D145" i="1"/>
  <c r="E145" i="1"/>
  <c r="F145" i="1"/>
  <c r="D146" i="1"/>
  <c r="E146" i="1"/>
  <c r="F146" i="1"/>
  <c r="D147" i="1"/>
  <c r="E147" i="1"/>
  <c r="F147" i="1"/>
  <c r="D148" i="1"/>
  <c r="E148" i="1"/>
  <c r="F148" i="1"/>
  <c r="D149" i="1"/>
  <c r="E149" i="1"/>
  <c r="F149" i="1"/>
  <c r="D150" i="1"/>
  <c r="E150" i="1"/>
  <c r="F150" i="1"/>
  <c r="D151" i="1"/>
  <c r="E151" i="1"/>
  <c r="F151" i="1"/>
  <c r="D152" i="1"/>
  <c r="E152" i="1"/>
  <c r="F152" i="1"/>
  <c r="D170" i="1"/>
  <c r="E170" i="1"/>
  <c r="F170" i="1"/>
  <c r="D171" i="1"/>
  <c r="E171" i="1"/>
  <c r="F171" i="1"/>
  <c r="D172" i="1"/>
  <c r="E172" i="1"/>
  <c r="F172" i="1"/>
  <c r="D173" i="1"/>
  <c r="E173" i="1"/>
  <c r="F173" i="1"/>
  <c r="D174" i="1"/>
  <c r="E174" i="1"/>
  <c r="F174" i="1"/>
  <c r="D175" i="1"/>
  <c r="E175" i="1"/>
  <c r="F175" i="1"/>
  <c r="D176" i="1"/>
  <c r="E176" i="1"/>
  <c r="F176" i="1"/>
  <c r="D177" i="1"/>
  <c r="E177" i="1"/>
  <c r="F177" i="1"/>
  <c r="D178" i="1"/>
  <c r="E178" i="1"/>
  <c r="F178" i="1"/>
  <c r="D179" i="1"/>
  <c r="E179" i="1"/>
  <c r="F179" i="1"/>
  <c r="D180" i="1"/>
  <c r="E180" i="1"/>
  <c r="F180" i="1"/>
  <c r="D181" i="1"/>
  <c r="E181" i="1"/>
  <c r="F181" i="1"/>
  <c r="D182" i="1"/>
  <c r="E182" i="1"/>
  <c r="F182" i="1"/>
  <c r="D183" i="1"/>
  <c r="E183" i="1"/>
  <c r="F183" i="1"/>
  <c r="D184" i="1"/>
  <c r="E184" i="1"/>
  <c r="F184" i="1"/>
  <c r="D185" i="1"/>
  <c r="E185" i="1"/>
  <c r="F185" i="1"/>
  <c r="D186" i="1"/>
  <c r="E186" i="1"/>
  <c r="F186" i="1"/>
  <c r="D187" i="1"/>
  <c r="E187" i="1"/>
  <c r="F187" i="1"/>
  <c r="D188" i="1"/>
  <c r="E188" i="1"/>
  <c r="F188" i="1"/>
  <c r="F338" i="40" l="1"/>
  <c r="F341" i="36"/>
  <c r="J387" i="14"/>
  <c r="F389" i="40"/>
  <c r="F392" i="36"/>
  <c r="F54" i="40"/>
  <c r="F57" i="36"/>
  <c r="J428" i="14"/>
  <c r="F430" i="40"/>
  <c r="F433" i="36"/>
  <c r="F498" i="40"/>
  <c r="F501" i="36"/>
  <c r="J466" i="14"/>
  <c r="F472" i="36" s="1"/>
  <c r="F468" i="40"/>
  <c r="J336" i="14"/>
  <c r="J52" i="14"/>
  <c r="J7" i="14"/>
  <c r="F13" i="36" s="1"/>
  <c r="F9" i="40"/>
  <c r="J496" i="14"/>
  <c r="J87" i="14"/>
  <c r="F89" i="40"/>
  <c r="H533" i="36"/>
  <c r="L4" i="36"/>
  <c r="H8" i="36" s="1"/>
  <c r="M3" i="1"/>
  <c r="Y147" i="1"/>
  <c r="X139" i="1"/>
  <c r="X92" i="1"/>
  <c r="Y74" i="1"/>
  <c r="X69" i="1"/>
  <c r="X28" i="1"/>
  <c r="Y304" i="1"/>
  <c r="X294" i="1"/>
  <c r="X290" i="1"/>
  <c r="X218" i="1"/>
  <c r="X214" i="1"/>
  <c r="X187" i="1"/>
  <c r="X170" i="1"/>
  <c r="X76" i="1"/>
  <c r="Y58" i="1"/>
  <c r="X53" i="1"/>
  <c r="X12" i="1"/>
  <c r="X330" i="1"/>
  <c r="X308" i="1"/>
  <c r="X295" i="1"/>
  <c r="X219" i="1"/>
  <c r="Y212" i="1"/>
  <c r="X184" i="1"/>
  <c r="X171" i="1"/>
  <c r="X142" i="1"/>
  <c r="Y140" i="1"/>
  <c r="Y131" i="1"/>
  <c r="X101" i="1"/>
  <c r="Y93" i="1"/>
  <c r="X60" i="1"/>
  <c r="Y42" i="1"/>
  <c r="X37" i="1"/>
  <c r="Y301" i="1"/>
  <c r="Y180" i="1"/>
  <c r="Y177" i="1"/>
  <c r="X152" i="1"/>
  <c r="X147" i="1"/>
  <c r="X134" i="1"/>
  <c r="Y132" i="1"/>
  <c r="X331" i="1"/>
  <c r="X299" i="1"/>
  <c r="Y297" i="1"/>
  <c r="X292" i="1"/>
  <c r="X250" i="1"/>
  <c r="X223" i="1"/>
  <c r="Y221" i="1"/>
  <c r="X216" i="1"/>
  <c r="Y187" i="1"/>
  <c r="X175" i="1"/>
  <c r="Y173" i="1"/>
  <c r="Y152" i="1"/>
  <c r="X150" i="1"/>
  <c r="Y148" i="1"/>
  <c r="Y139" i="1"/>
  <c r="X131" i="1"/>
  <c r="Y109" i="1"/>
  <c r="X108" i="1"/>
  <c r="Y106" i="1"/>
  <c r="Y90" i="1"/>
  <c r="X44" i="1"/>
  <c r="Y26" i="1"/>
  <c r="X21" i="1"/>
  <c r="Y61" i="1"/>
  <c r="Y29" i="1"/>
  <c r="Y110" i="1"/>
  <c r="Y105" i="1"/>
  <c r="Y94" i="1"/>
  <c r="Y78" i="1"/>
  <c r="Y73" i="1"/>
  <c r="Y62" i="1"/>
  <c r="Y57" i="1"/>
  <c r="Y41" i="1"/>
  <c r="Y30" i="1"/>
  <c r="Y25" i="1"/>
  <c r="Y14" i="1"/>
  <c r="Y77" i="1"/>
  <c r="Y13" i="1"/>
  <c r="X307" i="1"/>
  <c r="Y300" i="1"/>
  <c r="X291" i="1"/>
  <c r="Y224" i="1"/>
  <c r="X215" i="1"/>
  <c r="X183" i="1"/>
  <c r="Y176" i="1"/>
  <c r="X151" i="1"/>
  <c r="X146" i="1"/>
  <c r="Y144" i="1"/>
  <c r="X138" i="1"/>
  <c r="Y136" i="1"/>
  <c r="X130" i="1"/>
  <c r="X112" i="1"/>
  <c r="X105" i="1"/>
  <c r="X96" i="1"/>
  <c r="X80" i="1"/>
  <c r="X73" i="1"/>
  <c r="X64" i="1"/>
  <c r="X57" i="1"/>
  <c r="X41" i="1"/>
  <c r="X32" i="1"/>
  <c r="X25" i="1"/>
  <c r="X16" i="1"/>
  <c r="F339" i="40" l="1"/>
  <c r="F342" i="36"/>
  <c r="J429" i="14"/>
  <c r="F431" i="40"/>
  <c r="F434" i="36"/>
  <c r="F90" i="40"/>
  <c r="F93" i="36"/>
  <c r="F499" i="40"/>
  <c r="F502" i="36"/>
  <c r="J388" i="14"/>
  <c r="F390" i="40"/>
  <c r="F393" i="36"/>
  <c r="F55" i="40"/>
  <c r="F58" i="36"/>
  <c r="J467" i="14"/>
  <c r="F473" i="36" s="1"/>
  <c r="F469" i="40"/>
  <c r="J88" i="14"/>
  <c r="J337" i="14"/>
  <c r="J8" i="14"/>
  <c r="F14" i="36" s="1"/>
  <c r="F10" i="40"/>
  <c r="J497" i="14"/>
  <c r="J53" i="14"/>
  <c r="F56" i="40" l="1"/>
  <c r="F59" i="36"/>
  <c r="F340" i="40"/>
  <c r="F343" i="36"/>
  <c r="F500" i="40"/>
  <c r="F503" i="36"/>
  <c r="J430" i="14"/>
  <c r="F435" i="36"/>
  <c r="F432" i="40"/>
  <c r="J389" i="14"/>
  <c r="F391" i="40"/>
  <c r="F394" i="36"/>
  <c r="F91" i="40"/>
  <c r="F94" i="36"/>
  <c r="J468" i="14"/>
  <c r="F474" i="36" s="1"/>
  <c r="F470" i="40"/>
  <c r="J54" i="14"/>
  <c r="J9" i="14"/>
  <c r="F15" i="36" s="1"/>
  <c r="F11" i="40"/>
  <c r="J338" i="14"/>
  <c r="J498" i="14"/>
  <c r="J89" i="14"/>
  <c r="H537" i="36"/>
  <c r="H536" i="36"/>
  <c r="E11" i="36"/>
  <c r="D11" i="36"/>
  <c r="C11" i="36"/>
  <c r="K8" i="36"/>
  <c r="J431" i="14" l="1"/>
  <c r="F436" i="36"/>
  <c r="F433" i="40"/>
  <c r="J390" i="14"/>
  <c r="F395" i="36"/>
  <c r="F392" i="40"/>
  <c r="F92" i="40"/>
  <c r="F95" i="36"/>
  <c r="F501" i="40"/>
  <c r="F504" i="36"/>
  <c r="F341" i="40"/>
  <c r="F344" i="36"/>
  <c r="F57" i="40"/>
  <c r="F60" i="36"/>
  <c r="J469" i="14"/>
  <c r="F475" i="36" s="1"/>
  <c r="F471" i="40"/>
  <c r="J339" i="14"/>
  <c r="J55" i="14"/>
  <c r="J90" i="14"/>
  <c r="J499" i="14"/>
  <c r="J10" i="14"/>
  <c r="F16" i="36" s="1"/>
  <c r="F12" i="40"/>
  <c r="G6" i="1"/>
  <c r="J391" i="14" l="1"/>
  <c r="F396" i="36"/>
  <c r="F393" i="40"/>
  <c r="F58" i="40"/>
  <c r="F61" i="36"/>
  <c r="F502" i="40"/>
  <c r="F505" i="36"/>
  <c r="F93" i="40"/>
  <c r="F96" i="36"/>
  <c r="F342" i="40"/>
  <c r="F345" i="36"/>
  <c r="J432" i="14"/>
  <c r="F434" i="40"/>
  <c r="F437" i="36"/>
  <c r="J470" i="14"/>
  <c r="F476" i="36" s="1"/>
  <c r="F472" i="40"/>
  <c r="J11" i="14"/>
  <c r="F13" i="40"/>
  <c r="J500" i="14"/>
  <c r="J56" i="14"/>
  <c r="J91" i="14"/>
  <c r="J340" i="14"/>
  <c r="I6" i="1"/>
  <c r="F343" i="40" l="1"/>
  <c r="F346" i="36"/>
  <c r="F59" i="40"/>
  <c r="F62" i="36"/>
  <c r="J433" i="14"/>
  <c r="F438" i="36"/>
  <c r="F435" i="40"/>
  <c r="F503" i="40"/>
  <c r="F506" i="36"/>
  <c r="F94" i="40"/>
  <c r="F97" i="36"/>
  <c r="J12" i="14"/>
  <c r="F18" i="36" s="1"/>
  <c r="F17" i="36"/>
  <c r="J392" i="14"/>
  <c r="F394" i="40"/>
  <c r="F397" i="36"/>
  <c r="J471" i="14"/>
  <c r="F477" i="36" s="1"/>
  <c r="F473" i="40"/>
  <c r="J341" i="14"/>
  <c r="J501" i="14"/>
  <c r="J92" i="14"/>
  <c r="J57" i="14"/>
  <c r="F14" i="40"/>
  <c r="C11" i="20"/>
  <c r="C13" i="20" s="1"/>
  <c r="C12" i="20" s="1"/>
  <c r="AD562" i="1"/>
  <c r="AD561" i="1"/>
  <c r="AD560" i="1"/>
  <c r="AD559" i="1"/>
  <c r="F60" i="40" l="1"/>
  <c r="F63" i="36"/>
  <c r="F95" i="40"/>
  <c r="F98" i="36"/>
  <c r="J434" i="14"/>
  <c r="F436" i="40"/>
  <c r="F439" i="36"/>
  <c r="J393" i="14"/>
  <c r="F398" i="36"/>
  <c r="F395" i="40"/>
  <c r="F504" i="40"/>
  <c r="F507" i="36"/>
  <c r="F344" i="40"/>
  <c r="F347" i="36"/>
  <c r="J472" i="14"/>
  <c r="F478" i="36" s="1"/>
  <c r="F474" i="40"/>
  <c r="J13" i="14"/>
  <c r="F19" i="36" s="1"/>
  <c r="F15" i="40"/>
  <c r="J166" i="14"/>
  <c r="F172" i="36" s="1"/>
  <c r="F168" i="40"/>
  <c r="J58" i="14"/>
  <c r="J93" i="14"/>
  <c r="J502" i="14"/>
  <c r="J342" i="14"/>
  <c r="AA562" i="1"/>
  <c r="AC562" i="1"/>
  <c r="AC561" i="1"/>
  <c r="AC560" i="1"/>
  <c r="AC559" i="1"/>
  <c r="F61" i="40" l="1"/>
  <c r="F64" i="36"/>
  <c r="F345" i="40"/>
  <c r="F348" i="36"/>
  <c r="F505" i="40"/>
  <c r="F508" i="36"/>
  <c r="J435" i="14"/>
  <c r="F437" i="40"/>
  <c r="F440" i="36"/>
  <c r="J394" i="14"/>
  <c r="F396" i="40"/>
  <c r="F399" i="36"/>
  <c r="F96" i="40"/>
  <c r="F99" i="36"/>
  <c r="J473" i="14"/>
  <c r="F479" i="36" s="1"/>
  <c r="F475" i="40"/>
  <c r="J343" i="14"/>
  <c r="J94" i="14"/>
  <c r="J503" i="14"/>
  <c r="J59" i="14"/>
  <c r="J167" i="14"/>
  <c r="F169" i="40"/>
  <c r="J14" i="14"/>
  <c r="F20" i="36" s="1"/>
  <c r="F16" i="40"/>
  <c r="AB6" i="1"/>
  <c r="AL10" i="1"/>
  <c r="AP10" i="1" s="1"/>
  <c r="AK10" i="1"/>
  <c r="AO10" i="1" s="1"/>
  <c r="A12" i="20"/>
  <c r="A11" i="20"/>
  <c r="J436" i="14" l="1"/>
  <c r="F438" i="40"/>
  <c r="F441" i="36"/>
  <c r="F62" i="40"/>
  <c r="F65" i="36"/>
  <c r="F170" i="40"/>
  <c r="F173" i="36"/>
  <c r="F506" i="40"/>
  <c r="F509" i="36"/>
  <c r="F97" i="40"/>
  <c r="F100" i="36"/>
  <c r="J395" i="14"/>
  <c r="F397" i="40"/>
  <c r="F400" i="36"/>
  <c r="F346" i="40"/>
  <c r="F349" i="36"/>
  <c r="J474" i="14"/>
  <c r="F480" i="36" s="1"/>
  <c r="F476" i="40"/>
  <c r="J15" i="14"/>
  <c r="F21" i="36" s="1"/>
  <c r="F17" i="40"/>
  <c r="J60" i="14"/>
  <c r="J95" i="14"/>
  <c r="J168" i="14"/>
  <c r="J504" i="14"/>
  <c r="J344" i="14"/>
  <c r="J289" i="28"/>
  <c r="N289" i="28" s="1"/>
  <c r="I289" i="28"/>
  <c r="M289" i="28" s="1"/>
  <c r="J288" i="28"/>
  <c r="N288" i="28" s="1"/>
  <c r="I288" i="28"/>
  <c r="M288" i="28" s="1"/>
  <c r="J287" i="28"/>
  <c r="N287" i="28" s="1"/>
  <c r="I287" i="28"/>
  <c r="M287" i="28" s="1"/>
  <c r="J285" i="28"/>
  <c r="N285" i="28" s="1"/>
  <c r="I285" i="28"/>
  <c r="M285" i="28" s="1"/>
  <c r="F12" i="28"/>
  <c r="E12" i="28"/>
  <c r="D12" i="28"/>
  <c r="J11" i="28"/>
  <c r="N11" i="28" s="1"/>
  <c r="I11" i="28"/>
  <c r="M11" i="28" s="1"/>
  <c r="F11" i="28"/>
  <c r="E11" i="28"/>
  <c r="C11" i="28" s="1"/>
  <c r="D11" i="28"/>
  <c r="J10" i="28"/>
  <c r="N10" i="28" s="1"/>
  <c r="I10" i="28"/>
  <c r="M10" i="28" s="1"/>
  <c r="F10" i="28"/>
  <c r="E10" i="28"/>
  <c r="D10" i="28"/>
  <c r="E5" i="28"/>
  <c r="C5" i="28"/>
  <c r="F171" i="40" l="1"/>
  <c r="F174" i="36"/>
  <c r="J396" i="14"/>
  <c r="F398" i="40"/>
  <c r="F401" i="36"/>
  <c r="F507" i="40"/>
  <c r="F510" i="36"/>
  <c r="F98" i="40"/>
  <c r="F101" i="36"/>
  <c r="F63" i="40"/>
  <c r="F66" i="36"/>
  <c r="F347" i="40"/>
  <c r="F350" i="36"/>
  <c r="J437" i="14"/>
  <c r="F439" i="40"/>
  <c r="F442" i="36"/>
  <c r="J475" i="14"/>
  <c r="F481" i="36" s="1"/>
  <c r="F477" i="40"/>
  <c r="J345" i="14"/>
  <c r="J505" i="14"/>
  <c r="J96" i="14"/>
  <c r="J61" i="14"/>
  <c r="J169" i="14"/>
  <c r="J16" i="14"/>
  <c r="F22" i="36" s="1"/>
  <c r="F18" i="40"/>
  <c r="C12" i="28"/>
  <c r="C13" i="28" s="1"/>
  <c r="C14" i="28" s="1"/>
  <c r="C15" i="28" s="1"/>
  <c r="C16" i="28" s="1"/>
  <c r="C17" i="28" s="1"/>
  <c r="C18" i="28" s="1"/>
  <c r="C19" i="28" s="1"/>
  <c r="C20" i="28" s="1"/>
  <c r="C21" i="28" s="1"/>
  <c r="C22" i="28" s="1"/>
  <c r="C23" i="28" s="1"/>
  <c r="C24" i="28" s="1"/>
  <c r="C25" i="28" s="1"/>
  <c r="C26" i="28" s="1"/>
  <c r="C27" i="28" s="1"/>
  <c r="C28" i="28" s="1"/>
  <c r="C29" i="28" s="1"/>
  <c r="C30" i="28" s="1"/>
  <c r="C31" i="28" s="1"/>
  <c r="C32" i="28" s="1"/>
  <c r="C33" i="28" s="1"/>
  <c r="C34" i="28" s="1"/>
  <c r="C35" i="28" s="1"/>
  <c r="C36" i="28" s="1"/>
  <c r="C37" i="28" s="1"/>
  <c r="C38" i="28" s="1"/>
  <c r="C39" i="28" s="1"/>
  <c r="C40" i="28" s="1"/>
  <c r="C41" i="28" s="1"/>
  <c r="C42" i="28" s="1"/>
  <c r="C43" i="28" s="1"/>
  <c r="C44" i="28" s="1"/>
  <c r="C45" i="28" s="1"/>
  <c r="C47" i="28" s="1"/>
  <c r="C48" i="28" s="1"/>
  <c r="C49" i="28" s="1"/>
  <c r="K10" i="28"/>
  <c r="L11" i="28"/>
  <c r="L285" i="28"/>
  <c r="L287" i="28"/>
  <c r="K288" i="28"/>
  <c r="L289" i="28"/>
  <c r="L10" i="28"/>
  <c r="K11" i="28"/>
  <c r="K285" i="28"/>
  <c r="K287" i="28"/>
  <c r="L288" i="28"/>
  <c r="K289" i="28"/>
  <c r="F172" i="40" l="1"/>
  <c r="F175" i="36"/>
  <c r="F99" i="40"/>
  <c r="F102" i="36"/>
  <c r="J438" i="14"/>
  <c r="F443" i="36"/>
  <c r="F440" i="40"/>
  <c r="F348" i="40"/>
  <c r="F351" i="36"/>
  <c r="J397" i="14"/>
  <c r="F399" i="40"/>
  <c r="F402" i="36"/>
  <c r="F64" i="40"/>
  <c r="F67" i="36"/>
  <c r="F508" i="40"/>
  <c r="F511" i="36"/>
  <c r="J476" i="14"/>
  <c r="F482" i="36" s="1"/>
  <c r="F478" i="40"/>
  <c r="J17" i="14"/>
  <c r="F23" i="36" s="1"/>
  <c r="F19" i="40"/>
  <c r="J170" i="14"/>
  <c r="J62" i="14"/>
  <c r="J506" i="14"/>
  <c r="C50" i="28"/>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76" i="28" s="1"/>
  <c r="C77" i="28" s="1"/>
  <c r="C78" i="28" s="1"/>
  <c r="C79" i="28" s="1"/>
  <c r="C80" i="28" s="1"/>
  <c r="C81" i="28" s="1"/>
  <c r="C83" i="28" s="1"/>
  <c r="C84" i="28" s="1"/>
  <c r="C85" i="28" s="1"/>
  <c r="C86" i="28" s="1"/>
  <c r="C87" i="28" s="1"/>
  <c r="C88" i="28" s="1"/>
  <c r="C89" i="28" s="1"/>
  <c r="J206" i="14"/>
  <c r="F208" i="40"/>
  <c r="J97" i="14"/>
  <c r="J346" i="14"/>
  <c r="AA6" i="1"/>
  <c r="AF6" i="1"/>
  <c r="J439" i="14" l="1"/>
  <c r="F444" i="36"/>
  <c r="F441" i="40"/>
  <c r="F349" i="40"/>
  <c r="F352" i="36"/>
  <c r="F100" i="40"/>
  <c r="F103" i="36"/>
  <c r="F509" i="40"/>
  <c r="F512" i="36"/>
  <c r="F65" i="40"/>
  <c r="F68" i="36"/>
  <c r="F173" i="40"/>
  <c r="F176" i="36"/>
  <c r="F403" i="36"/>
  <c r="F400" i="40"/>
  <c r="J398" i="14"/>
  <c r="F209" i="40"/>
  <c r="F212" i="36"/>
  <c r="J477" i="14"/>
  <c r="F483" i="36" s="1"/>
  <c r="F479" i="40"/>
  <c r="C90" i="28"/>
  <c r="C91" i="28" s="1"/>
  <c r="C92" i="28" s="1"/>
  <c r="C93" i="28" s="1"/>
  <c r="C94" i="28" s="1"/>
  <c r="C95" i="28" s="1"/>
  <c r="C96" i="28" s="1"/>
  <c r="C97" i="28" s="1"/>
  <c r="C98" i="28" s="1"/>
  <c r="C99" i="28" s="1"/>
  <c r="C100" i="28" s="1"/>
  <c r="C101" i="28" s="1"/>
  <c r="C102" i="28" s="1"/>
  <c r="C103" i="28" s="1"/>
  <c r="C104" i="28" s="1"/>
  <c r="C105" i="28" s="1"/>
  <c r="C106" i="28" s="1"/>
  <c r="C107" i="28" s="1"/>
  <c r="C108" i="28" s="1"/>
  <c r="C109" i="28" s="1"/>
  <c r="C110" i="28" s="1"/>
  <c r="C111" i="28" s="1"/>
  <c r="C112" i="28" s="1"/>
  <c r="C113" i="28" s="1"/>
  <c r="C114" i="28" s="1"/>
  <c r="C115" i="28" s="1"/>
  <c r="C116" i="28" s="1"/>
  <c r="C117" i="28" s="1"/>
  <c r="C119" i="28" s="1"/>
  <c r="C120" i="28" s="1"/>
  <c r="C121" i="28" s="1"/>
  <c r="C122" i="28" s="1"/>
  <c r="C123" i="28" s="1"/>
  <c r="C124" i="28" s="1"/>
  <c r="C125" i="28" s="1"/>
  <c r="C126" i="28" s="1"/>
  <c r="C127" i="28" s="1"/>
  <c r="C128" i="28" s="1"/>
  <c r="C129" i="28" s="1"/>
  <c r="J98" i="14"/>
  <c r="J507" i="14"/>
  <c r="J171" i="14"/>
  <c r="J347" i="14"/>
  <c r="J207" i="14"/>
  <c r="J63" i="14"/>
  <c r="J18" i="14"/>
  <c r="F24" i="36" s="1"/>
  <c r="F20" i="40"/>
  <c r="A1" i="20"/>
  <c r="J399" i="14" l="1"/>
  <c r="F404" i="36"/>
  <c r="F401" i="40"/>
  <c r="F101" i="40"/>
  <c r="F104" i="36"/>
  <c r="F174" i="40"/>
  <c r="F177" i="36"/>
  <c r="F510" i="40"/>
  <c r="F513" i="36"/>
  <c r="F66" i="40"/>
  <c r="F69" i="36"/>
  <c r="F210" i="40"/>
  <c r="F213" i="36"/>
  <c r="F350" i="40"/>
  <c r="F353" i="36"/>
  <c r="J440" i="14"/>
  <c r="F442" i="40"/>
  <c r="F445" i="36"/>
  <c r="J478" i="14"/>
  <c r="F484" i="36" s="1"/>
  <c r="F480" i="40"/>
  <c r="C130" i="28"/>
  <c r="C131" i="28" s="1"/>
  <c r="C132" i="28" s="1"/>
  <c r="C133" i="28" s="1"/>
  <c r="C134" i="28" s="1"/>
  <c r="C135" i="28" s="1"/>
  <c r="C136" i="28" s="1"/>
  <c r="C137" i="28" s="1"/>
  <c r="C138" i="28" s="1"/>
  <c r="C139" i="28" s="1"/>
  <c r="C140" i="28" s="1"/>
  <c r="C141" i="28" s="1"/>
  <c r="C142" i="28" s="1"/>
  <c r="C143" i="28" s="1"/>
  <c r="C144" i="28" s="1"/>
  <c r="C145" i="28" s="1"/>
  <c r="C146" i="28" s="1"/>
  <c r="C147" i="28" s="1"/>
  <c r="C148" i="28" s="1"/>
  <c r="C149" i="28" s="1"/>
  <c r="C150" i="28" s="1"/>
  <c r="C151" i="28" s="1"/>
  <c r="C152" i="28" s="1"/>
  <c r="C153" i="28" s="1"/>
  <c r="C155" i="28" s="1"/>
  <c r="C156" i="28" s="1"/>
  <c r="C157" i="28" s="1"/>
  <c r="C158" i="28" s="1"/>
  <c r="C159" i="28" s="1"/>
  <c r="C160" i="28" s="1"/>
  <c r="C161" i="28" s="1"/>
  <c r="C162" i="28" s="1"/>
  <c r="C163" i="28" s="1"/>
  <c r="C164" i="28" s="1"/>
  <c r="C165" i="28" s="1"/>
  <c r="C166" i="28" s="1"/>
  <c r="C167" i="28" s="1"/>
  <c r="C168" i="28" s="1"/>
  <c r="C169" i="28" s="1"/>
  <c r="J64" i="14"/>
  <c r="J348" i="14"/>
  <c r="J508" i="14"/>
  <c r="J99" i="14"/>
  <c r="J19" i="14"/>
  <c r="F25" i="36" s="1"/>
  <c r="F21" i="40"/>
  <c r="J208" i="14"/>
  <c r="J172" i="14"/>
  <c r="D22" i="20"/>
  <c r="D21" i="20"/>
  <c r="D20" i="20"/>
  <c r="D19" i="20"/>
  <c r="C22" i="20"/>
  <c r="C21" i="20"/>
  <c r="C20" i="20"/>
  <c r="C19" i="20"/>
  <c r="F351" i="40" l="1"/>
  <c r="F354" i="36"/>
  <c r="F511" i="40"/>
  <c r="F514" i="36"/>
  <c r="J441" i="14"/>
  <c r="F446" i="36"/>
  <c r="F443" i="40"/>
  <c r="F67" i="40"/>
  <c r="F70" i="36"/>
  <c r="F175" i="40"/>
  <c r="F178" i="36"/>
  <c r="F211" i="40"/>
  <c r="F214" i="36"/>
  <c r="F102" i="40"/>
  <c r="F105" i="36"/>
  <c r="J400" i="14"/>
  <c r="F402" i="40"/>
  <c r="F405" i="36"/>
  <c r="J479" i="14"/>
  <c r="F485" i="36" s="1"/>
  <c r="F481" i="40"/>
  <c r="C170" i="28"/>
  <c r="C171" i="28" s="1"/>
  <c r="C172" i="28" s="1"/>
  <c r="C173" i="28" s="1"/>
  <c r="C174" i="28" s="1"/>
  <c r="C175" i="28" s="1"/>
  <c r="C176" i="28" s="1"/>
  <c r="C177" i="28" s="1"/>
  <c r="C178" i="28" s="1"/>
  <c r="C179" i="28" s="1"/>
  <c r="C180" i="28" s="1"/>
  <c r="C181" i="28" s="1"/>
  <c r="C182" i="28" s="1"/>
  <c r="C183" i="28" s="1"/>
  <c r="C184" i="28" s="1"/>
  <c r="C185" i="28" s="1"/>
  <c r="C186" i="28" s="1"/>
  <c r="C187" i="28" s="1"/>
  <c r="C188" i="28" s="1"/>
  <c r="C189" i="28" s="1"/>
  <c r="C191" i="28" s="1"/>
  <c r="C192" i="28" s="1"/>
  <c r="C193" i="28" s="1"/>
  <c r="C194" i="28" s="1"/>
  <c r="C195" i="28" s="1"/>
  <c r="C196" i="28" s="1"/>
  <c r="C197" i="28" s="1"/>
  <c r="C198" i="28" s="1"/>
  <c r="C199" i="28" s="1"/>
  <c r="C200" i="28" s="1"/>
  <c r="C201" i="28" s="1"/>
  <c r="C202" i="28" s="1"/>
  <c r="C203" i="28" s="1"/>
  <c r="C204" i="28" s="1"/>
  <c r="C205" i="28" s="1"/>
  <c r="C206" i="28" s="1"/>
  <c r="C207" i="28" s="1"/>
  <c r="C208" i="28" s="1"/>
  <c r="C209" i="28" s="1"/>
  <c r="J173" i="14"/>
  <c r="J20" i="14"/>
  <c r="F26" i="36" s="1"/>
  <c r="F22" i="40"/>
  <c r="J509" i="14"/>
  <c r="J65" i="14"/>
  <c r="J209" i="14"/>
  <c r="J100" i="14"/>
  <c r="J349" i="14"/>
  <c r="AA560" i="1"/>
  <c r="AA559" i="1"/>
  <c r="AA561" i="1"/>
  <c r="U10" i="1"/>
  <c r="T10" i="1"/>
  <c r="X10" i="1" s="1"/>
  <c r="J442" i="14" l="1"/>
  <c r="F444" i="40"/>
  <c r="F447" i="36"/>
  <c r="J401" i="14"/>
  <c r="F406" i="36"/>
  <c r="F403" i="40"/>
  <c r="F103" i="40"/>
  <c r="F106" i="36"/>
  <c r="F176" i="40"/>
  <c r="F179" i="36"/>
  <c r="F352" i="40"/>
  <c r="F355" i="36"/>
  <c r="F212" i="40"/>
  <c r="F215" i="36"/>
  <c r="F68" i="40"/>
  <c r="F71" i="36"/>
  <c r="F512" i="40"/>
  <c r="F515" i="36"/>
  <c r="J480" i="14"/>
  <c r="F486" i="36" s="1"/>
  <c r="F482" i="40"/>
  <c r="C210" i="28"/>
  <c r="C211" i="28" s="1"/>
  <c r="C212" i="28" s="1"/>
  <c r="C213" i="28" s="1"/>
  <c r="C214" i="28" s="1"/>
  <c r="C215" i="28" s="1"/>
  <c r="C216" i="28" s="1"/>
  <c r="C217" i="28" s="1"/>
  <c r="C218" i="28" s="1"/>
  <c r="C219" i="28" s="1"/>
  <c r="C220" i="28" s="1"/>
  <c r="C221" i="28" s="1"/>
  <c r="C222" i="28" s="1"/>
  <c r="C223" i="28" s="1"/>
  <c r="C224" i="28" s="1"/>
  <c r="C225" i="28" s="1"/>
  <c r="C227" i="28" s="1"/>
  <c r="C228" i="28" s="1"/>
  <c r="C229" i="28" s="1"/>
  <c r="C230" i="28" s="1"/>
  <c r="C231" i="28" s="1"/>
  <c r="C232" i="28" s="1"/>
  <c r="C233" i="28" s="1"/>
  <c r="C234" i="28" s="1"/>
  <c r="C235" i="28" s="1"/>
  <c r="C236" i="28" s="1"/>
  <c r="C237" i="28" s="1"/>
  <c r="C238" i="28" s="1"/>
  <c r="C239" i="28" s="1"/>
  <c r="C240" i="28" s="1"/>
  <c r="C241" i="28" s="1"/>
  <c r="C242" i="28" s="1"/>
  <c r="C243" i="28" s="1"/>
  <c r="C244" i="28" s="1"/>
  <c r="C245" i="28" s="1"/>
  <c r="C246" i="28" s="1"/>
  <c r="C247" i="28" s="1"/>
  <c r="C248" i="28" s="1"/>
  <c r="C249" i="28" s="1"/>
  <c r="J101" i="14"/>
  <c r="J246" i="14"/>
  <c r="J510" i="14"/>
  <c r="J174" i="14"/>
  <c r="J350" i="14"/>
  <c r="J210" i="14"/>
  <c r="J66" i="14"/>
  <c r="J21" i="14"/>
  <c r="F27" i="36" s="1"/>
  <c r="F23" i="40"/>
  <c r="Y10" i="1"/>
  <c r="F513" i="40" l="1"/>
  <c r="F516" i="36"/>
  <c r="J247" i="14"/>
  <c r="F253" i="36" s="1"/>
  <c r="F252" i="36"/>
  <c r="F249" i="40"/>
  <c r="F69" i="40"/>
  <c r="F72" i="36"/>
  <c r="F104" i="40"/>
  <c r="F107" i="36"/>
  <c r="J402" i="14"/>
  <c r="F404" i="40"/>
  <c r="F407" i="36"/>
  <c r="F213" i="40"/>
  <c r="F216" i="36"/>
  <c r="F353" i="40"/>
  <c r="F356" i="36"/>
  <c r="F177" i="40"/>
  <c r="F180" i="36"/>
  <c r="J443" i="14"/>
  <c r="F445" i="40"/>
  <c r="F448" i="36"/>
  <c r="J481" i="14"/>
  <c r="F487" i="36" s="1"/>
  <c r="F483" i="40"/>
  <c r="J248" i="14"/>
  <c r="F254" i="36" s="1"/>
  <c r="C250" i="28"/>
  <c r="C251" i="28" s="1"/>
  <c r="C252" i="28" s="1"/>
  <c r="C253" i="28" s="1"/>
  <c r="C254" i="28" s="1"/>
  <c r="C255" i="28" s="1"/>
  <c r="C256" i="28" s="1"/>
  <c r="C257" i="28" s="1"/>
  <c r="C258" i="28" s="1"/>
  <c r="C259" i="28" s="1"/>
  <c r="C260" i="28" s="1"/>
  <c r="C261" i="28" s="1"/>
  <c r="C263" i="28" s="1"/>
  <c r="C264" i="28" s="1"/>
  <c r="C265" i="28" s="1"/>
  <c r="C266" i="28" s="1"/>
  <c r="C267" i="28" s="1"/>
  <c r="C268" i="28" s="1"/>
  <c r="C269" i="28" s="1"/>
  <c r="C270" i="28" s="1"/>
  <c r="C271" i="28" s="1"/>
  <c r="C272" i="28" s="1"/>
  <c r="C273" i="28" s="1"/>
  <c r="C274" i="28" s="1"/>
  <c r="C275" i="28" s="1"/>
  <c r="C276" i="28" s="1"/>
  <c r="C277" i="28" s="1"/>
  <c r="C278" i="28" s="1"/>
  <c r="C279" i="28" s="1"/>
  <c r="C280" i="28" s="1"/>
  <c r="C281" i="28" s="1"/>
  <c r="C282" i="28" s="1"/>
  <c r="C283" i="28" s="1"/>
  <c r="C284" i="28" s="1"/>
  <c r="C285" i="28" s="1"/>
  <c r="C286" i="28" s="1"/>
  <c r="C287" i="28" s="1"/>
  <c r="C288" i="28" s="1"/>
  <c r="C289" i="28" s="1"/>
  <c r="C290" i="28" s="1"/>
  <c r="C291" i="28" s="1"/>
  <c r="C292" i="28" s="1"/>
  <c r="C293" i="28" s="1"/>
  <c r="C294" i="28" s="1"/>
  <c r="C295" i="28" s="1"/>
  <c r="C296" i="28" s="1"/>
  <c r="C297" i="28" s="1"/>
  <c r="C299" i="28" s="1"/>
  <c r="C300" i="28" s="1"/>
  <c r="C301" i="28" s="1"/>
  <c r="C302" i="28" s="1"/>
  <c r="C303" i="28" s="1"/>
  <c r="C304" i="28" s="1"/>
  <c r="C305" i="28" s="1"/>
  <c r="C306" i="28" s="1"/>
  <c r="C307" i="28" s="1"/>
  <c r="C308" i="28" s="1"/>
  <c r="C309" i="28" s="1"/>
  <c r="C310" i="28" s="1"/>
  <c r="C311" i="28" s="1"/>
  <c r="C312" i="28" s="1"/>
  <c r="C313" i="28" s="1"/>
  <c r="C314" i="28" s="1"/>
  <c r="C315" i="28" s="1"/>
  <c r="C316" i="28" s="1"/>
  <c r="C317" i="28" s="1"/>
  <c r="C318" i="28" s="1"/>
  <c r="C319" i="28" s="1"/>
  <c r="C320" i="28" s="1"/>
  <c r="C321" i="28" s="1"/>
  <c r="C322" i="28" s="1"/>
  <c r="C323" i="28" s="1"/>
  <c r="C324" i="28" s="1"/>
  <c r="C325" i="28" s="1"/>
  <c r="C326" i="28" s="1"/>
  <c r="C327" i="28" s="1"/>
  <c r="C328" i="28" s="1"/>
  <c r="C329" i="28" s="1"/>
  <c r="C330" i="28" s="1"/>
  <c r="C331" i="28" s="1"/>
  <c r="C332" i="28" s="1"/>
  <c r="J67" i="14"/>
  <c r="J351" i="14"/>
  <c r="J511" i="14"/>
  <c r="J102" i="14"/>
  <c r="J22" i="14"/>
  <c r="F28" i="36" s="1"/>
  <c r="F24" i="40"/>
  <c r="J211" i="14"/>
  <c r="J175" i="14"/>
  <c r="AE5" i="1"/>
  <c r="AB3" i="1"/>
  <c r="F105" i="40" l="1"/>
  <c r="F108" i="36"/>
  <c r="F354" i="40"/>
  <c r="F357" i="36"/>
  <c r="J403" i="14"/>
  <c r="F405" i="40"/>
  <c r="F408" i="36"/>
  <c r="F514" i="40"/>
  <c r="F517" i="36"/>
  <c r="F70" i="40"/>
  <c r="F73" i="36"/>
  <c r="J444" i="14"/>
  <c r="F446" i="40"/>
  <c r="F449" i="36"/>
  <c r="F178" i="40"/>
  <c r="F181" i="36"/>
  <c r="F214" i="40"/>
  <c r="F217" i="36"/>
  <c r="F250" i="40"/>
  <c r="J482" i="14"/>
  <c r="F488" i="36" s="1"/>
  <c r="F484" i="40"/>
  <c r="J249" i="14"/>
  <c r="F255" i="36" s="1"/>
  <c r="F251" i="40"/>
  <c r="C335" i="28"/>
  <c r="C336" i="28" s="1"/>
  <c r="C337" i="28" s="1"/>
  <c r="C338" i="28" s="1"/>
  <c r="C339" i="28" s="1"/>
  <c r="C340" i="28" s="1"/>
  <c r="C341" i="28" s="1"/>
  <c r="C342" i="28" s="1"/>
  <c r="C343" i="28" s="1"/>
  <c r="C344" i="28" s="1"/>
  <c r="C345" i="28" s="1"/>
  <c r="C346" i="28" s="1"/>
  <c r="C347" i="28" s="1"/>
  <c r="C348" i="28" s="1"/>
  <c r="C349" i="28" s="1"/>
  <c r="C350" i="28" s="1"/>
  <c r="C351" i="28" s="1"/>
  <c r="C352" i="28" s="1"/>
  <c r="C353" i="28" s="1"/>
  <c r="C354" i="28" s="1"/>
  <c r="C355" i="28" s="1"/>
  <c r="C356" i="28" s="1"/>
  <c r="C357" i="28" s="1"/>
  <c r="C358" i="28" s="1"/>
  <c r="C359" i="28" s="1"/>
  <c r="C360" i="28" s="1"/>
  <c r="C361" i="28" s="1"/>
  <c r="C362" i="28" s="1"/>
  <c r="C363" i="28" s="1"/>
  <c r="C364" i="28" s="1"/>
  <c r="C365" i="28" s="1"/>
  <c r="C366" i="28" s="1"/>
  <c r="C367" i="28" s="1"/>
  <c r="C368" i="28" s="1"/>
  <c r="C369" i="28" s="1"/>
  <c r="C333" i="28"/>
  <c r="J176" i="14"/>
  <c r="J23" i="14"/>
  <c r="F29" i="36" s="1"/>
  <c r="F25" i="40"/>
  <c r="J512" i="14"/>
  <c r="J68" i="14"/>
  <c r="J212" i="14"/>
  <c r="J103" i="14"/>
  <c r="J352" i="14"/>
  <c r="J559" i="1"/>
  <c r="F215" i="40" l="1"/>
  <c r="F218" i="36"/>
  <c r="F515" i="40"/>
  <c r="F518" i="36"/>
  <c r="J404" i="14"/>
  <c r="F406" i="40"/>
  <c r="F409" i="36"/>
  <c r="F447" i="40"/>
  <c r="F450" i="36"/>
  <c r="F106" i="40"/>
  <c r="F109" i="36"/>
  <c r="F71" i="40"/>
  <c r="F74" i="36"/>
  <c r="F179" i="40"/>
  <c r="F182" i="36"/>
  <c r="F355" i="40"/>
  <c r="F358" i="36"/>
  <c r="J483" i="14"/>
  <c r="F489" i="36" s="1"/>
  <c r="F485" i="40"/>
  <c r="J250" i="14"/>
  <c r="F256" i="36" s="1"/>
  <c r="F252" i="40"/>
  <c r="J353" i="14"/>
  <c r="J69" i="14"/>
  <c r="J104" i="14"/>
  <c r="J513" i="14"/>
  <c r="J177" i="14"/>
  <c r="J213" i="14"/>
  <c r="J24" i="14"/>
  <c r="F30" i="36" s="1"/>
  <c r="F26" i="40"/>
  <c r="I559" i="1"/>
  <c r="G562" i="1"/>
  <c r="G561" i="1"/>
  <c r="G560" i="1"/>
  <c r="J562" i="1"/>
  <c r="J561" i="1"/>
  <c r="J560" i="1"/>
  <c r="G8" i="1"/>
  <c r="H8" i="1"/>
  <c r="I8" i="1"/>
  <c r="N8" i="1"/>
  <c r="M8" i="1"/>
  <c r="L8" i="1"/>
  <c r="K8" i="1"/>
  <c r="J8" i="1"/>
  <c r="AH7" i="1"/>
  <c r="AG7" i="1"/>
  <c r="AF7" i="1"/>
  <c r="AE7" i="1"/>
  <c r="AD7" i="1"/>
  <c r="AC7" i="1"/>
  <c r="AB7" i="1"/>
  <c r="AA7" i="1"/>
  <c r="AH6" i="1"/>
  <c r="AG6" i="1"/>
  <c r="AE6" i="1"/>
  <c r="AD6" i="1"/>
  <c r="AC6" i="1"/>
  <c r="C5" i="1"/>
  <c r="F72" i="40" l="1"/>
  <c r="F75" i="36"/>
  <c r="F407" i="40"/>
  <c r="F410" i="36"/>
  <c r="F356" i="40"/>
  <c r="F359" i="36"/>
  <c r="F216" i="40"/>
  <c r="F219" i="36"/>
  <c r="F107" i="40"/>
  <c r="F110" i="36"/>
  <c r="F180" i="40"/>
  <c r="F183" i="36"/>
  <c r="F516" i="40"/>
  <c r="F519" i="36"/>
  <c r="J484" i="14"/>
  <c r="F486" i="40"/>
  <c r="J251" i="14"/>
  <c r="F257" i="36" s="1"/>
  <c r="F253" i="40"/>
  <c r="J25" i="14"/>
  <c r="F31" i="36" s="1"/>
  <c r="F27" i="40"/>
  <c r="J178" i="14"/>
  <c r="J70" i="14"/>
  <c r="J214" i="14"/>
  <c r="J514" i="14"/>
  <c r="J105" i="14"/>
  <c r="J354" i="14"/>
  <c r="AI6" i="1"/>
  <c r="I562" i="1"/>
  <c r="I561" i="1"/>
  <c r="F10" i="1"/>
  <c r="E10" i="1"/>
  <c r="D10" i="1"/>
  <c r="F11" i="1"/>
  <c r="E11" i="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D11" i="1"/>
  <c r="Q6" i="1"/>
  <c r="N6" i="1"/>
  <c r="M6" i="1"/>
  <c r="L6" i="1"/>
  <c r="K6" i="1"/>
  <c r="J6" i="1"/>
  <c r="H6" i="1"/>
  <c r="F217" i="40" l="1"/>
  <c r="F220" i="36"/>
  <c r="F487" i="40"/>
  <c r="F490" i="36"/>
  <c r="F73" i="40"/>
  <c r="F76" i="36"/>
  <c r="F517" i="40"/>
  <c r="F520" i="36"/>
  <c r="F181" i="40"/>
  <c r="F184" i="36"/>
  <c r="F357" i="40"/>
  <c r="F360" i="36"/>
  <c r="F108" i="40"/>
  <c r="F111" i="36"/>
  <c r="AI450" i="1"/>
  <c r="K451" i="36" s="1"/>
  <c r="AI448" i="1"/>
  <c r="AI446" i="1"/>
  <c r="AI444" i="1"/>
  <c r="AI442" i="1"/>
  <c r="AI418" i="1"/>
  <c r="AI398" i="1"/>
  <c r="AI396" i="1"/>
  <c r="AI391" i="1"/>
  <c r="AI389" i="1"/>
  <c r="AI380" i="1"/>
  <c r="AI372" i="1"/>
  <c r="AI441" i="1"/>
  <c r="AI434" i="1"/>
  <c r="AI412" i="1"/>
  <c r="AI390" i="1"/>
  <c r="AI440" i="1"/>
  <c r="AI438" i="1"/>
  <c r="AI436" i="1"/>
  <c r="AI433" i="1"/>
  <c r="AI431" i="1"/>
  <c r="AI429" i="1"/>
  <c r="AI427" i="1"/>
  <c r="AI425" i="1"/>
  <c r="AI423" i="1"/>
  <c r="AI421" i="1"/>
  <c r="AI416" i="1"/>
  <c r="AI414" i="1"/>
  <c r="AI411" i="1"/>
  <c r="AI409" i="1"/>
  <c r="AI407" i="1"/>
  <c r="AI405" i="1"/>
  <c r="AI403" i="1"/>
  <c r="AI401" i="1"/>
  <c r="AI399" i="1"/>
  <c r="AI394" i="1"/>
  <c r="AI392" i="1"/>
  <c r="AI387" i="1"/>
  <c r="AI385" i="1"/>
  <c r="AI383" i="1"/>
  <c r="AI378" i="1"/>
  <c r="AI376" i="1"/>
  <c r="AI374" i="1"/>
  <c r="AI370" i="1"/>
  <c r="AI449" i="1"/>
  <c r="AI445" i="1"/>
  <c r="AI443" i="1"/>
  <c r="AI419" i="1"/>
  <c r="AI397" i="1"/>
  <c r="AI388" i="1"/>
  <c r="AI439" i="1"/>
  <c r="AI437" i="1"/>
  <c r="AI435" i="1"/>
  <c r="AI432" i="1"/>
  <c r="AI430" i="1"/>
  <c r="AI428" i="1"/>
  <c r="AI426" i="1"/>
  <c r="AI424" i="1"/>
  <c r="AI422" i="1"/>
  <c r="AI420" i="1"/>
  <c r="AI417" i="1"/>
  <c r="AI415" i="1"/>
  <c r="AI413" i="1"/>
  <c r="AI410" i="1"/>
  <c r="AI408" i="1"/>
  <c r="AI406" i="1"/>
  <c r="AI404" i="1"/>
  <c r="AI402" i="1"/>
  <c r="AI400" i="1"/>
  <c r="AI393" i="1"/>
  <c r="AI386" i="1"/>
  <c r="AI384" i="1"/>
  <c r="AI382" i="1"/>
  <c r="AI377" i="1"/>
  <c r="AI375" i="1"/>
  <c r="AI373" i="1"/>
  <c r="AI371" i="1"/>
  <c r="AI447" i="1"/>
  <c r="AI395" i="1"/>
  <c r="AI381" i="1"/>
  <c r="AI379" i="1"/>
  <c r="AI518" i="1"/>
  <c r="AI516" i="1"/>
  <c r="AI514" i="1"/>
  <c r="AI512" i="1"/>
  <c r="AI510" i="1"/>
  <c r="AI508" i="1"/>
  <c r="AI494" i="1"/>
  <c r="AI492" i="1"/>
  <c r="AI490" i="1"/>
  <c r="AI517" i="1"/>
  <c r="AI509" i="1"/>
  <c r="AI529" i="1"/>
  <c r="AI527" i="1"/>
  <c r="AI525" i="1"/>
  <c r="AI523" i="1"/>
  <c r="AI521" i="1"/>
  <c r="AI506" i="1"/>
  <c r="AI504" i="1"/>
  <c r="AI502" i="1"/>
  <c r="AI500" i="1"/>
  <c r="AI498" i="1"/>
  <c r="AI496" i="1"/>
  <c r="AI519" i="1"/>
  <c r="AI515" i="1"/>
  <c r="AI528" i="1"/>
  <c r="AI526" i="1"/>
  <c r="AI524" i="1"/>
  <c r="AI522" i="1"/>
  <c r="AI520" i="1"/>
  <c r="AI505" i="1"/>
  <c r="AI503" i="1"/>
  <c r="AI501" i="1"/>
  <c r="AI499" i="1"/>
  <c r="AI497" i="1"/>
  <c r="AI495" i="1"/>
  <c r="AI493" i="1"/>
  <c r="AI491" i="1"/>
  <c r="AI513" i="1"/>
  <c r="AI511" i="1"/>
  <c r="AI507" i="1"/>
  <c r="AI457" i="1"/>
  <c r="AI460" i="1"/>
  <c r="AI462" i="1"/>
  <c r="AI465" i="1"/>
  <c r="AI467" i="1"/>
  <c r="AI478" i="1"/>
  <c r="AI483" i="1"/>
  <c r="AI363" i="1"/>
  <c r="AI367" i="1"/>
  <c r="AI453" i="1"/>
  <c r="AI458" i="1"/>
  <c r="AI463" i="1"/>
  <c r="AI472" i="1"/>
  <c r="AI475" i="1"/>
  <c r="AI486" i="1"/>
  <c r="AI362" i="1"/>
  <c r="AI452" i="1"/>
  <c r="AI454" i="1"/>
  <c r="AI456" i="1"/>
  <c r="AI469" i="1"/>
  <c r="AI471" i="1"/>
  <c r="AI474" i="1"/>
  <c r="AI477" i="1"/>
  <c r="AI480" i="1"/>
  <c r="AI485" i="1"/>
  <c r="AI488" i="1"/>
  <c r="AI489" i="1"/>
  <c r="AI364" i="1"/>
  <c r="AI368" i="1"/>
  <c r="AI455" i="1"/>
  <c r="AI470" i="1"/>
  <c r="AI473" i="1"/>
  <c r="AI484" i="1"/>
  <c r="AI459" i="1"/>
  <c r="AI461" i="1"/>
  <c r="AI464" i="1"/>
  <c r="AI466" i="1"/>
  <c r="AI476" i="1"/>
  <c r="AI479" i="1"/>
  <c r="AI481" i="1"/>
  <c r="AI487" i="1"/>
  <c r="AI361" i="1"/>
  <c r="AI365" i="1"/>
  <c r="AI369" i="1"/>
  <c r="AI451" i="1"/>
  <c r="AI468" i="1"/>
  <c r="AI366" i="1"/>
  <c r="AI333" i="1"/>
  <c r="AI335" i="1"/>
  <c r="AI338" i="1"/>
  <c r="AI342" i="1"/>
  <c r="AI346" i="1"/>
  <c r="AI350" i="1"/>
  <c r="AI358" i="1"/>
  <c r="AI325" i="1"/>
  <c r="AI347" i="1"/>
  <c r="AI351" i="1"/>
  <c r="AI359" i="1"/>
  <c r="AI334" i="1"/>
  <c r="AI337" i="1"/>
  <c r="AI348" i="1"/>
  <c r="AI339" i="1"/>
  <c r="AI343" i="1"/>
  <c r="AI332" i="1"/>
  <c r="AI352" i="1"/>
  <c r="AI356" i="1"/>
  <c r="AI336" i="1"/>
  <c r="AI341" i="1"/>
  <c r="AI345" i="1"/>
  <c r="AI349" i="1"/>
  <c r="AI353" i="1"/>
  <c r="AI357" i="1"/>
  <c r="AI324" i="1"/>
  <c r="AI328" i="1"/>
  <c r="AI354" i="1"/>
  <c r="AI329" i="1"/>
  <c r="AI355" i="1"/>
  <c r="AI326" i="1"/>
  <c r="AI340" i="1"/>
  <c r="AI344" i="1"/>
  <c r="AI360" i="1"/>
  <c r="AI327" i="1"/>
  <c r="AI276" i="1"/>
  <c r="AI280" i="1"/>
  <c r="AI284" i="1"/>
  <c r="AI288" i="1"/>
  <c r="AI311" i="1"/>
  <c r="AI315" i="1"/>
  <c r="AI319" i="1"/>
  <c r="AI323" i="1"/>
  <c r="AI240" i="1"/>
  <c r="AI244" i="1"/>
  <c r="AI248" i="1"/>
  <c r="AI245" i="1"/>
  <c r="AI249" i="1"/>
  <c r="AI286" i="1"/>
  <c r="AI273" i="1"/>
  <c r="AI277" i="1"/>
  <c r="AI281" i="1"/>
  <c r="AI285" i="1"/>
  <c r="AI289" i="1"/>
  <c r="AI312" i="1"/>
  <c r="AI316" i="1"/>
  <c r="AI320" i="1"/>
  <c r="AI241" i="1"/>
  <c r="AI278" i="1"/>
  <c r="AI317" i="1"/>
  <c r="AI238" i="1"/>
  <c r="AI242" i="1"/>
  <c r="AI275" i="1"/>
  <c r="AI279" i="1"/>
  <c r="AI283" i="1"/>
  <c r="AI287" i="1"/>
  <c r="AI314" i="1"/>
  <c r="AI318" i="1"/>
  <c r="AI322" i="1"/>
  <c r="AI239" i="1"/>
  <c r="AI243" i="1"/>
  <c r="AI247" i="1"/>
  <c r="AI237" i="1"/>
  <c r="AI274" i="1"/>
  <c r="AI282" i="1"/>
  <c r="AI313" i="1"/>
  <c r="AI321" i="1"/>
  <c r="AI246" i="1"/>
  <c r="AI199" i="1"/>
  <c r="AI203" i="1"/>
  <c r="AI207" i="1"/>
  <c r="AI160" i="1"/>
  <c r="AI164" i="1"/>
  <c r="AI168" i="1"/>
  <c r="AI128" i="1"/>
  <c r="AI89" i="1"/>
  <c r="AI47" i="1"/>
  <c r="AI205" i="1"/>
  <c r="AI209" i="1"/>
  <c r="AI162" i="1"/>
  <c r="AI87" i="1"/>
  <c r="AI200" i="1"/>
  <c r="AI204" i="1"/>
  <c r="AI208" i="1"/>
  <c r="AI161" i="1"/>
  <c r="AI165" i="1"/>
  <c r="AI169" i="1"/>
  <c r="AI129" i="1"/>
  <c r="AI48" i="1"/>
  <c r="AI201" i="1"/>
  <c r="AI126" i="1"/>
  <c r="AI49" i="1"/>
  <c r="AI202" i="1"/>
  <c r="AI206" i="1"/>
  <c r="AI159" i="1"/>
  <c r="AI163" i="1"/>
  <c r="AI167" i="1"/>
  <c r="AI127" i="1"/>
  <c r="AI88" i="1"/>
  <c r="AI46" i="1"/>
  <c r="AI166" i="1"/>
  <c r="AI330" i="1"/>
  <c r="AI331" i="1"/>
  <c r="AJ450" i="1"/>
  <c r="L451" i="36" s="1"/>
  <c r="AI45" i="1"/>
  <c r="K46" i="36" s="1"/>
  <c r="AI482" i="1"/>
  <c r="K483" i="36" s="1"/>
  <c r="J515" i="14"/>
  <c r="J252" i="14"/>
  <c r="F258" i="36" s="1"/>
  <c r="F254" i="40"/>
  <c r="AI119" i="1"/>
  <c r="K120" i="36" s="1"/>
  <c r="AI123" i="1"/>
  <c r="K124" i="36" s="1"/>
  <c r="AI117" i="1"/>
  <c r="K118" i="36" s="1"/>
  <c r="AI122" i="1"/>
  <c r="K123" i="36" s="1"/>
  <c r="AI86" i="1"/>
  <c r="K87" i="36" s="1"/>
  <c r="AI120" i="1"/>
  <c r="K121" i="36" s="1"/>
  <c r="AI124" i="1"/>
  <c r="K125" i="36" s="1"/>
  <c r="AI118" i="1"/>
  <c r="K119" i="36" s="1"/>
  <c r="AI85" i="1"/>
  <c r="K86" i="36" s="1"/>
  <c r="AI84" i="1"/>
  <c r="K85" i="36" s="1"/>
  <c r="AI121" i="1"/>
  <c r="K122" i="36" s="1"/>
  <c r="AI125" i="1"/>
  <c r="K126" i="36" s="1"/>
  <c r="AI83" i="1"/>
  <c r="K84" i="36" s="1"/>
  <c r="AI81" i="1"/>
  <c r="K82" i="36" s="1"/>
  <c r="AI82" i="1"/>
  <c r="K83" i="36" s="1"/>
  <c r="AI113" i="1"/>
  <c r="K114" i="36" s="1"/>
  <c r="AI109" i="1"/>
  <c r="K110" i="36" s="1"/>
  <c r="AI105" i="1"/>
  <c r="K106" i="36" s="1"/>
  <c r="AI101" i="1"/>
  <c r="K102" i="36" s="1"/>
  <c r="AI97" i="1"/>
  <c r="K98" i="36" s="1"/>
  <c r="AI93" i="1"/>
  <c r="K94" i="36" s="1"/>
  <c r="AI80" i="1"/>
  <c r="K81" i="36" s="1"/>
  <c r="AI76" i="1"/>
  <c r="K77" i="36" s="1"/>
  <c r="AI72" i="1"/>
  <c r="K73" i="36" s="1"/>
  <c r="AI68" i="1"/>
  <c r="K69" i="36" s="1"/>
  <c r="AI64" i="1"/>
  <c r="K65" i="36" s="1"/>
  <c r="AI60" i="1"/>
  <c r="K61" i="36" s="1"/>
  <c r="AI56" i="1"/>
  <c r="K57" i="36" s="1"/>
  <c r="AI52" i="1"/>
  <c r="K53" i="36" s="1"/>
  <c r="AI43" i="1"/>
  <c r="K44" i="36" s="1"/>
  <c r="AI39" i="1"/>
  <c r="K40" i="36" s="1"/>
  <c r="AI35" i="1"/>
  <c r="K36" i="36" s="1"/>
  <c r="AI31" i="1"/>
  <c r="K32" i="36" s="1"/>
  <c r="AI27" i="1"/>
  <c r="K28" i="36" s="1"/>
  <c r="AI23" i="1"/>
  <c r="K24" i="36" s="1"/>
  <c r="AI19" i="1"/>
  <c r="K20" i="36" s="1"/>
  <c r="AI15" i="1"/>
  <c r="K16" i="36" s="1"/>
  <c r="AI12" i="1"/>
  <c r="AI112" i="1"/>
  <c r="K113" i="36" s="1"/>
  <c r="AI100" i="1"/>
  <c r="K101" i="36" s="1"/>
  <c r="AI75" i="1"/>
  <c r="K76" i="36" s="1"/>
  <c r="AI71" i="1"/>
  <c r="K72" i="36" s="1"/>
  <c r="AI55" i="1"/>
  <c r="K56" i="36" s="1"/>
  <c r="AI42" i="1"/>
  <c r="K43" i="36" s="1"/>
  <c r="AI34" i="1"/>
  <c r="K35" i="36" s="1"/>
  <c r="AI14" i="1"/>
  <c r="K15" i="36" s="1"/>
  <c r="AI114" i="1"/>
  <c r="K115" i="36" s="1"/>
  <c r="AI110" i="1"/>
  <c r="K111" i="36" s="1"/>
  <c r="AI106" i="1"/>
  <c r="K107" i="36" s="1"/>
  <c r="AI102" i="1"/>
  <c r="K103" i="36" s="1"/>
  <c r="AI98" i="1"/>
  <c r="K99" i="36" s="1"/>
  <c r="AI94" i="1"/>
  <c r="K95" i="36" s="1"/>
  <c r="AI90" i="1"/>
  <c r="K91" i="36" s="1"/>
  <c r="AI77" i="1"/>
  <c r="K78" i="36" s="1"/>
  <c r="AI73" i="1"/>
  <c r="K74" i="36" s="1"/>
  <c r="AI69" i="1"/>
  <c r="K70" i="36" s="1"/>
  <c r="AI65" i="1"/>
  <c r="K66" i="36" s="1"/>
  <c r="AI61" i="1"/>
  <c r="K62" i="36" s="1"/>
  <c r="AI57" i="1"/>
  <c r="K58" i="36" s="1"/>
  <c r="AI53" i="1"/>
  <c r="K54" i="36" s="1"/>
  <c r="AI44" i="1"/>
  <c r="K45" i="36" s="1"/>
  <c r="AI40" i="1"/>
  <c r="K41" i="36" s="1"/>
  <c r="AI36" i="1"/>
  <c r="K37" i="36" s="1"/>
  <c r="AI32" i="1"/>
  <c r="K33" i="36" s="1"/>
  <c r="AI28" i="1"/>
  <c r="K29" i="36" s="1"/>
  <c r="AI24" i="1"/>
  <c r="K25" i="36" s="1"/>
  <c r="AI20" i="1"/>
  <c r="K21" i="36" s="1"/>
  <c r="AI16" i="1"/>
  <c r="K17" i="36" s="1"/>
  <c r="AI104" i="1"/>
  <c r="K105" i="36" s="1"/>
  <c r="AI92" i="1"/>
  <c r="K93" i="36" s="1"/>
  <c r="AI79" i="1"/>
  <c r="K80" i="36" s="1"/>
  <c r="AI63" i="1"/>
  <c r="K64" i="36" s="1"/>
  <c r="AI51" i="1"/>
  <c r="K52" i="36" s="1"/>
  <c r="AI38" i="1"/>
  <c r="K39" i="36" s="1"/>
  <c r="AI30" i="1"/>
  <c r="K31" i="36" s="1"/>
  <c r="AI26" i="1"/>
  <c r="K27" i="36" s="1"/>
  <c r="AI115" i="1"/>
  <c r="K116" i="36" s="1"/>
  <c r="AI111" i="1"/>
  <c r="K112" i="36" s="1"/>
  <c r="AI107" i="1"/>
  <c r="K108" i="36" s="1"/>
  <c r="AI103" i="1"/>
  <c r="K104" i="36" s="1"/>
  <c r="AI99" i="1"/>
  <c r="K100" i="36" s="1"/>
  <c r="AI95" i="1"/>
  <c r="K96" i="36" s="1"/>
  <c r="AI91" i="1"/>
  <c r="K92" i="36" s="1"/>
  <c r="AI78" i="1"/>
  <c r="K79" i="36" s="1"/>
  <c r="AI74" i="1"/>
  <c r="K75" i="36" s="1"/>
  <c r="AI70" i="1"/>
  <c r="K71" i="36" s="1"/>
  <c r="AI66" i="1"/>
  <c r="K67" i="36" s="1"/>
  <c r="AI62" i="1"/>
  <c r="K63" i="36" s="1"/>
  <c r="AI58" i="1"/>
  <c r="K59" i="36" s="1"/>
  <c r="AI54" i="1"/>
  <c r="K55" i="36" s="1"/>
  <c r="AI50" i="1"/>
  <c r="K51" i="36" s="1"/>
  <c r="AI41" i="1"/>
  <c r="K42" i="36" s="1"/>
  <c r="AI37" i="1"/>
  <c r="K38" i="36" s="1"/>
  <c r="AI33" i="1"/>
  <c r="K34" i="36" s="1"/>
  <c r="AI29" i="1"/>
  <c r="K30" i="36" s="1"/>
  <c r="AI25" i="1"/>
  <c r="K26" i="36" s="1"/>
  <c r="AI21" i="1"/>
  <c r="K22" i="36" s="1"/>
  <c r="AI17" i="1"/>
  <c r="K18" i="36" s="1"/>
  <c r="AI116" i="1"/>
  <c r="K117" i="36" s="1"/>
  <c r="AI108" i="1"/>
  <c r="K109" i="36" s="1"/>
  <c r="AI96" i="1"/>
  <c r="K97" i="36" s="1"/>
  <c r="AI67" i="1"/>
  <c r="K68" i="36" s="1"/>
  <c r="AI59" i="1"/>
  <c r="K60" i="36" s="1"/>
  <c r="AI22" i="1"/>
  <c r="K23" i="36" s="1"/>
  <c r="AI18" i="1"/>
  <c r="K19" i="36" s="1"/>
  <c r="AI158" i="1"/>
  <c r="K159" i="36" s="1"/>
  <c r="AI309" i="1"/>
  <c r="K310" i="36" s="1"/>
  <c r="AI305" i="1"/>
  <c r="K306" i="36" s="1"/>
  <c r="AI301" i="1"/>
  <c r="K302" i="36" s="1"/>
  <c r="AI297" i="1"/>
  <c r="K298" i="36" s="1"/>
  <c r="AI293" i="1"/>
  <c r="K294" i="36" s="1"/>
  <c r="AI300" i="1"/>
  <c r="K301" i="36" s="1"/>
  <c r="AI310" i="1"/>
  <c r="K311" i="36" s="1"/>
  <c r="AI306" i="1"/>
  <c r="K307" i="36" s="1"/>
  <c r="AI302" i="1"/>
  <c r="K303" i="36" s="1"/>
  <c r="AI298" i="1"/>
  <c r="K299" i="36" s="1"/>
  <c r="AI294" i="1"/>
  <c r="K295" i="36" s="1"/>
  <c r="AI290" i="1"/>
  <c r="K291" i="36" s="1"/>
  <c r="AI308" i="1"/>
  <c r="K309" i="36" s="1"/>
  <c r="AI292" i="1"/>
  <c r="K293" i="36" s="1"/>
  <c r="AI307" i="1"/>
  <c r="K308" i="36" s="1"/>
  <c r="AI303" i="1"/>
  <c r="K304" i="36" s="1"/>
  <c r="AI299" i="1"/>
  <c r="K300" i="36" s="1"/>
  <c r="AI295" i="1"/>
  <c r="K296" i="36" s="1"/>
  <c r="AI291" i="1"/>
  <c r="K292" i="36" s="1"/>
  <c r="AI304" i="1"/>
  <c r="K305" i="36" s="1"/>
  <c r="AI296" i="1"/>
  <c r="K297" i="36" s="1"/>
  <c r="AI255" i="1"/>
  <c r="K256" i="36" s="1"/>
  <c r="AI259" i="1"/>
  <c r="K260" i="36" s="1"/>
  <c r="AI266" i="1"/>
  <c r="K267" i="36" s="1"/>
  <c r="AI268" i="1"/>
  <c r="K269" i="36" s="1"/>
  <c r="AI270" i="1"/>
  <c r="K271" i="36" s="1"/>
  <c r="AI261" i="1"/>
  <c r="K262" i="36" s="1"/>
  <c r="AI272" i="1"/>
  <c r="K273" i="36" s="1"/>
  <c r="AI252" i="1"/>
  <c r="K253" i="36" s="1"/>
  <c r="AI263" i="1"/>
  <c r="K264" i="36" s="1"/>
  <c r="AI269" i="1"/>
  <c r="K270" i="36" s="1"/>
  <c r="AI254" i="1"/>
  <c r="K255" i="36" s="1"/>
  <c r="AI256" i="1"/>
  <c r="K257" i="36" s="1"/>
  <c r="AI257" i="1"/>
  <c r="K258" i="36" s="1"/>
  <c r="AI265" i="1"/>
  <c r="K266" i="36" s="1"/>
  <c r="AI267" i="1"/>
  <c r="K268" i="36" s="1"/>
  <c r="AI251" i="1"/>
  <c r="K252" i="36" s="1"/>
  <c r="AI264" i="1"/>
  <c r="K265" i="36" s="1"/>
  <c r="AI271" i="1"/>
  <c r="K272" i="36" s="1"/>
  <c r="AI253" i="1"/>
  <c r="K254" i="36" s="1"/>
  <c r="AI258" i="1"/>
  <c r="K259" i="36" s="1"/>
  <c r="AI260" i="1"/>
  <c r="K261" i="36" s="1"/>
  <c r="AI262" i="1"/>
  <c r="K263" i="36" s="1"/>
  <c r="AI250" i="1"/>
  <c r="K251" i="36" s="1"/>
  <c r="AI13" i="1"/>
  <c r="AI230" i="1"/>
  <c r="K231" i="36" s="1"/>
  <c r="AI233" i="1"/>
  <c r="K234" i="36" s="1"/>
  <c r="AI225" i="1"/>
  <c r="K226" i="36" s="1"/>
  <c r="AI193" i="1"/>
  <c r="AI197" i="1"/>
  <c r="AI189" i="1"/>
  <c r="AI157" i="1"/>
  <c r="K158" i="36" s="1"/>
  <c r="AI236" i="1"/>
  <c r="K237" i="36" s="1"/>
  <c r="AI156" i="1"/>
  <c r="K157" i="36" s="1"/>
  <c r="AI235" i="1"/>
  <c r="K236" i="36" s="1"/>
  <c r="AI226" i="1"/>
  <c r="K227" i="36" s="1"/>
  <c r="AI194" i="1"/>
  <c r="AI198" i="1"/>
  <c r="AI190" i="1"/>
  <c r="AI153" i="1"/>
  <c r="K154" i="36" s="1"/>
  <c r="AI229" i="1"/>
  <c r="K230" i="36" s="1"/>
  <c r="AI232" i="1"/>
  <c r="K233" i="36" s="1"/>
  <c r="AI192" i="1"/>
  <c r="AI196" i="1"/>
  <c r="AI228" i="1"/>
  <c r="K229" i="36" s="1"/>
  <c r="AI231" i="1"/>
  <c r="K232" i="36" s="1"/>
  <c r="AI234" i="1"/>
  <c r="K235" i="36" s="1"/>
  <c r="AI191" i="1"/>
  <c r="AI195" i="1"/>
  <c r="AI155" i="1"/>
  <c r="K156" i="36" s="1"/>
  <c r="AI154" i="1"/>
  <c r="K155" i="36" s="1"/>
  <c r="AI227" i="1"/>
  <c r="K228" i="36" s="1"/>
  <c r="AI221" i="1"/>
  <c r="K222" i="36" s="1"/>
  <c r="AI217" i="1"/>
  <c r="K218" i="36" s="1"/>
  <c r="AI213" i="1"/>
  <c r="K214" i="36" s="1"/>
  <c r="AI188" i="1"/>
  <c r="AI184" i="1"/>
  <c r="K185" i="36" s="1"/>
  <c r="AI180" i="1"/>
  <c r="K181" i="36" s="1"/>
  <c r="AI176" i="1"/>
  <c r="K177" i="36" s="1"/>
  <c r="AI172" i="1"/>
  <c r="K173" i="36" s="1"/>
  <c r="AI151" i="1"/>
  <c r="K152" i="36" s="1"/>
  <c r="AI147" i="1"/>
  <c r="K148" i="36" s="1"/>
  <c r="AI143" i="1"/>
  <c r="K144" i="36" s="1"/>
  <c r="AI139" i="1"/>
  <c r="K140" i="36" s="1"/>
  <c r="AI135" i="1"/>
  <c r="K136" i="36" s="1"/>
  <c r="AI131" i="1"/>
  <c r="K132" i="36" s="1"/>
  <c r="AI224" i="1"/>
  <c r="K225" i="36" s="1"/>
  <c r="AI216" i="1"/>
  <c r="K217" i="36" s="1"/>
  <c r="AI179" i="1"/>
  <c r="K180" i="36" s="1"/>
  <c r="AI171" i="1"/>
  <c r="K172" i="36" s="1"/>
  <c r="AI146" i="1"/>
  <c r="K147" i="36" s="1"/>
  <c r="AI138" i="1"/>
  <c r="K139" i="36" s="1"/>
  <c r="AI134" i="1"/>
  <c r="K135" i="36" s="1"/>
  <c r="AI222" i="1"/>
  <c r="K223" i="36" s="1"/>
  <c r="AI218" i="1"/>
  <c r="K219" i="36" s="1"/>
  <c r="AI214" i="1"/>
  <c r="K215" i="36" s="1"/>
  <c r="AI210" i="1"/>
  <c r="K211" i="36" s="1"/>
  <c r="AI185" i="1"/>
  <c r="K186" i="36" s="1"/>
  <c r="AI181" i="1"/>
  <c r="K182" i="36" s="1"/>
  <c r="AI177" i="1"/>
  <c r="K178" i="36" s="1"/>
  <c r="AI173" i="1"/>
  <c r="K174" i="36" s="1"/>
  <c r="AI152" i="1"/>
  <c r="K153" i="36" s="1"/>
  <c r="AI148" i="1"/>
  <c r="K149" i="36" s="1"/>
  <c r="AI144" i="1"/>
  <c r="K145" i="36" s="1"/>
  <c r="AI140" i="1"/>
  <c r="K141" i="36" s="1"/>
  <c r="AI136" i="1"/>
  <c r="K137" i="36" s="1"/>
  <c r="AI132" i="1"/>
  <c r="K133" i="36" s="1"/>
  <c r="AI183" i="1"/>
  <c r="K184" i="36" s="1"/>
  <c r="AI150" i="1"/>
  <c r="K151" i="36" s="1"/>
  <c r="AI142" i="1"/>
  <c r="K143" i="36" s="1"/>
  <c r="AI223" i="1"/>
  <c r="K224" i="36" s="1"/>
  <c r="AI219" i="1"/>
  <c r="K220" i="36" s="1"/>
  <c r="AI215" i="1"/>
  <c r="K216" i="36" s="1"/>
  <c r="AI211" i="1"/>
  <c r="K212" i="36" s="1"/>
  <c r="AI186" i="1"/>
  <c r="K187" i="36" s="1"/>
  <c r="AI182" i="1"/>
  <c r="K183" i="36" s="1"/>
  <c r="AI178" i="1"/>
  <c r="K179" i="36" s="1"/>
  <c r="AI174" i="1"/>
  <c r="K175" i="36" s="1"/>
  <c r="AI170" i="1"/>
  <c r="K171" i="36" s="1"/>
  <c r="AI149" i="1"/>
  <c r="K150" i="36" s="1"/>
  <c r="AI145" i="1"/>
  <c r="K146" i="36" s="1"/>
  <c r="AI141" i="1"/>
  <c r="K142" i="36" s="1"/>
  <c r="AI137" i="1"/>
  <c r="K138" i="36" s="1"/>
  <c r="AI133" i="1"/>
  <c r="K134" i="36" s="1"/>
  <c r="AI220" i="1"/>
  <c r="K221" i="36" s="1"/>
  <c r="AI212" i="1"/>
  <c r="K213" i="36" s="1"/>
  <c r="AI187" i="1"/>
  <c r="AI175" i="1"/>
  <c r="K176" i="36" s="1"/>
  <c r="AI130" i="1"/>
  <c r="K131" i="36" s="1"/>
  <c r="C51" i="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45" i="1"/>
  <c r="C46" i="1" s="1"/>
  <c r="C47" i="1" s="1"/>
  <c r="C48" i="1" s="1"/>
  <c r="C49" i="1" s="1"/>
  <c r="AI10" i="1"/>
  <c r="AI11" i="1"/>
  <c r="J355" i="14"/>
  <c r="J71" i="14"/>
  <c r="J179" i="14"/>
  <c r="C91" i="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J106" i="14"/>
  <c r="J215" i="14"/>
  <c r="J26" i="14"/>
  <c r="F32" i="36" s="1"/>
  <c r="F28" i="40"/>
  <c r="O6" i="1"/>
  <c r="F109" i="40" l="1"/>
  <c r="F112" i="36"/>
  <c r="F182" i="40"/>
  <c r="F185" i="36"/>
  <c r="F74" i="40"/>
  <c r="F77" i="36"/>
  <c r="F358" i="40"/>
  <c r="F361" i="36"/>
  <c r="F518" i="40"/>
  <c r="F521" i="36"/>
  <c r="F218" i="40"/>
  <c r="F221" i="36"/>
  <c r="AJ165" i="1"/>
  <c r="L166" i="36" s="1"/>
  <c r="K166" i="36"/>
  <c r="AJ247" i="1"/>
  <c r="L248" i="36" s="1"/>
  <c r="K248" i="36"/>
  <c r="K282" i="36"/>
  <c r="AJ281" i="1"/>
  <c r="L282" i="36" s="1"/>
  <c r="K277" i="36"/>
  <c r="AJ276" i="1"/>
  <c r="L277" i="36" s="1"/>
  <c r="AJ334" i="1"/>
  <c r="L335" i="36" s="1"/>
  <c r="K335" i="36"/>
  <c r="K480" i="36"/>
  <c r="AJ479" i="1"/>
  <c r="L480" i="36" s="1"/>
  <c r="K459" i="36"/>
  <c r="AJ458" i="1"/>
  <c r="L459" i="36" s="1"/>
  <c r="AJ502" i="1"/>
  <c r="L503" i="36" s="1"/>
  <c r="K503" i="36"/>
  <c r="K395" i="36"/>
  <c r="AJ394" i="1"/>
  <c r="L395" i="36" s="1"/>
  <c r="AJ206" i="1"/>
  <c r="L207" i="36" s="1"/>
  <c r="K207" i="36"/>
  <c r="AJ205" i="1"/>
  <c r="L206" i="36" s="1"/>
  <c r="K206" i="36"/>
  <c r="AJ203" i="1"/>
  <c r="L204" i="36" s="1"/>
  <c r="K204" i="36"/>
  <c r="K280" i="36"/>
  <c r="AJ279" i="1"/>
  <c r="L280" i="36" s="1"/>
  <c r="AJ240" i="1"/>
  <c r="L241" i="36" s="1"/>
  <c r="K241" i="36"/>
  <c r="AJ354" i="1"/>
  <c r="L355" i="36" s="1"/>
  <c r="K355" i="36"/>
  <c r="AJ336" i="1"/>
  <c r="L337" i="36" s="1"/>
  <c r="K337" i="36"/>
  <c r="AJ342" i="1"/>
  <c r="L343" i="36" s="1"/>
  <c r="K343" i="36"/>
  <c r="K462" i="36"/>
  <c r="AJ461" i="1"/>
  <c r="L462" i="36" s="1"/>
  <c r="K478" i="36"/>
  <c r="AJ477" i="1"/>
  <c r="L478" i="36" s="1"/>
  <c r="K484" i="36"/>
  <c r="AJ483" i="1"/>
  <c r="L484" i="36" s="1"/>
  <c r="K496" i="36"/>
  <c r="AJ495" i="1"/>
  <c r="L496" i="36" s="1"/>
  <c r="AJ519" i="1"/>
  <c r="L520" i="36" s="1"/>
  <c r="K520" i="36"/>
  <c r="AJ494" i="1"/>
  <c r="L495" i="36" s="1"/>
  <c r="K495" i="36"/>
  <c r="AJ373" i="1"/>
  <c r="L374" i="36" s="1"/>
  <c r="K374" i="36"/>
  <c r="AJ410" i="1"/>
  <c r="L411" i="36" s="1"/>
  <c r="K411" i="36"/>
  <c r="K438" i="36"/>
  <c r="AJ437" i="1"/>
  <c r="L438" i="36" s="1"/>
  <c r="AJ383" i="1"/>
  <c r="L384" i="36" s="1"/>
  <c r="K384" i="36"/>
  <c r="K406" i="36"/>
  <c r="AJ405" i="1"/>
  <c r="L406" i="36" s="1"/>
  <c r="AJ414" i="1"/>
  <c r="L415" i="36" s="1"/>
  <c r="K415" i="36"/>
  <c r="K426" i="36"/>
  <c r="AJ425" i="1"/>
  <c r="L426" i="36" s="1"/>
  <c r="AJ433" i="1"/>
  <c r="L434" i="36" s="1"/>
  <c r="K434" i="36"/>
  <c r="AJ372" i="1"/>
  <c r="L373" i="36" s="1"/>
  <c r="K373" i="36"/>
  <c r="AJ444" i="1"/>
  <c r="L445" i="36" s="1"/>
  <c r="K445" i="36"/>
  <c r="AJ166" i="1"/>
  <c r="L167" i="36" s="1"/>
  <c r="K167" i="36"/>
  <c r="AJ167" i="1"/>
  <c r="L168" i="36" s="1"/>
  <c r="K168" i="36"/>
  <c r="K203" i="36"/>
  <c r="AJ202" i="1"/>
  <c r="L203" i="36" s="1"/>
  <c r="AJ48" i="1"/>
  <c r="L49" i="36" s="1"/>
  <c r="K49" i="36"/>
  <c r="AJ161" i="1"/>
  <c r="L162" i="36" s="1"/>
  <c r="K162" i="36"/>
  <c r="AJ87" i="1"/>
  <c r="L88" i="36" s="1"/>
  <c r="K88" i="36"/>
  <c r="AJ47" i="1"/>
  <c r="L48" i="36" s="1"/>
  <c r="K48" i="36"/>
  <c r="AJ164" i="1"/>
  <c r="L165" i="36" s="1"/>
  <c r="K165" i="36"/>
  <c r="AJ199" i="1"/>
  <c r="L200" i="36" s="1"/>
  <c r="K200" i="36"/>
  <c r="K283" i="36"/>
  <c r="AJ282" i="1"/>
  <c r="L283" i="36" s="1"/>
  <c r="K244" i="36"/>
  <c r="AJ243" i="1"/>
  <c r="L244" i="36" s="1"/>
  <c r="K315" i="36"/>
  <c r="AJ314" i="1"/>
  <c r="L315" i="36" s="1"/>
  <c r="K276" i="36"/>
  <c r="AJ275" i="1"/>
  <c r="L276" i="36" s="1"/>
  <c r="K279" i="36"/>
  <c r="AJ278" i="1"/>
  <c r="L279" i="36" s="1"/>
  <c r="K313" i="36"/>
  <c r="AJ312" i="1"/>
  <c r="L313" i="36" s="1"/>
  <c r="K278" i="36"/>
  <c r="AJ277" i="1"/>
  <c r="L278" i="36" s="1"/>
  <c r="AJ245" i="1"/>
  <c r="L246" i="36" s="1"/>
  <c r="K246" i="36"/>
  <c r="K324" i="36"/>
  <c r="AJ323" i="1"/>
  <c r="L324" i="36" s="1"/>
  <c r="K289" i="36"/>
  <c r="AJ288" i="1"/>
  <c r="L289" i="36" s="1"/>
  <c r="AJ327" i="1"/>
  <c r="L328" i="36" s="1"/>
  <c r="K328" i="36"/>
  <c r="K327" i="36"/>
  <c r="AJ326" i="1"/>
  <c r="L327" i="36" s="1"/>
  <c r="AJ328" i="1"/>
  <c r="L329" i="36" s="1"/>
  <c r="K329" i="36"/>
  <c r="K350" i="36"/>
  <c r="AJ349" i="1"/>
  <c r="L350" i="36" s="1"/>
  <c r="AJ356" i="1"/>
  <c r="L357" i="36" s="1"/>
  <c r="K357" i="36"/>
  <c r="AJ339" i="1"/>
  <c r="L340" i="36" s="1"/>
  <c r="K340" i="36"/>
  <c r="AJ359" i="1"/>
  <c r="L360" i="36" s="1"/>
  <c r="K360" i="36"/>
  <c r="AJ358" i="1"/>
  <c r="L359" i="36" s="1"/>
  <c r="K359" i="36"/>
  <c r="AJ338" i="1"/>
  <c r="L339" i="36" s="1"/>
  <c r="K339" i="36"/>
  <c r="K469" i="36"/>
  <c r="AJ468" i="1"/>
  <c r="L469" i="36" s="1"/>
  <c r="AJ361" i="1"/>
  <c r="L362" i="36" s="1"/>
  <c r="K362" i="36"/>
  <c r="K477" i="36"/>
  <c r="AJ476" i="1"/>
  <c r="L477" i="36" s="1"/>
  <c r="K460" i="36"/>
  <c r="AJ459" i="1"/>
  <c r="L460" i="36" s="1"/>
  <c r="K456" i="36"/>
  <c r="AJ455" i="1"/>
  <c r="L456" i="36" s="1"/>
  <c r="K489" i="36"/>
  <c r="AJ488" i="1"/>
  <c r="L489" i="36" s="1"/>
  <c r="K475" i="36"/>
  <c r="AJ474" i="1"/>
  <c r="L475" i="36" s="1"/>
  <c r="K455" i="36"/>
  <c r="AJ454" i="1"/>
  <c r="L455" i="36" s="1"/>
  <c r="K476" i="36"/>
  <c r="AJ475" i="1"/>
  <c r="L476" i="36" s="1"/>
  <c r="K454" i="36"/>
  <c r="AJ453" i="1"/>
  <c r="L454" i="36" s="1"/>
  <c r="K479" i="36"/>
  <c r="AJ478" i="1"/>
  <c r="L479" i="36" s="1"/>
  <c r="K461" i="36"/>
  <c r="AJ460" i="1"/>
  <c r="L461" i="36" s="1"/>
  <c r="AJ513" i="1"/>
  <c r="L514" i="36" s="1"/>
  <c r="K514" i="36"/>
  <c r="AJ497" i="1"/>
  <c r="L498" i="36" s="1"/>
  <c r="K498" i="36"/>
  <c r="AJ505" i="1"/>
  <c r="L506" i="36" s="1"/>
  <c r="K506" i="36"/>
  <c r="AJ526" i="1"/>
  <c r="L527" i="36" s="1"/>
  <c r="K527" i="36"/>
  <c r="AJ496" i="1"/>
  <c r="L497" i="36" s="1"/>
  <c r="K497" i="36"/>
  <c r="AJ504" i="1"/>
  <c r="L505" i="36" s="1"/>
  <c r="K505" i="36"/>
  <c r="AJ525" i="1"/>
  <c r="L526" i="36" s="1"/>
  <c r="K526" i="36"/>
  <c r="AJ517" i="1"/>
  <c r="L518" i="36" s="1"/>
  <c r="K518" i="36"/>
  <c r="K509" i="36"/>
  <c r="AJ508" i="1"/>
  <c r="L509" i="36" s="1"/>
  <c r="AJ516" i="1"/>
  <c r="L517" i="36" s="1"/>
  <c r="K517" i="36"/>
  <c r="AJ395" i="1"/>
  <c r="L396" i="36" s="1"/>
  <c r="K396" i="36"/>
  <c r="AJ375" i="1"/>
  <c r="L376" i="36" s="1"/>
  <c r="K376" i="36"/>
  <c r="K387" i="36"/>
  <c r="AJ386" i="1"/>
  <c r="L387" i="36" s="1"/>
  <c r="AJ404" i="1"/>
  <c r="L405" i="36" s="1"/>
  <c r="K405" i="36"/>
  <c r="AJ413" i="1"/>
  <c r="L414" i="36" s="1"/>
  <c r="K414" i="36"/>
  <c r="AJ422" i="1"/>
  <c r="L423" i="36" s="1"/>
  <c r="K423" i="36"/>
  <c r="AJ430" i="1"/>
  <c r="L431" i="36" s="1"/>
  <c r="K431" i="36"/>
  <c r="AJ439" i="1"/>
  <c r="L440" i="36" s="1"/>
  <c r="K440" i="36"/>
  <c r="AJ443" i="1"/>
  <c r="L444" i="36" s="1"/>
  <c r="K444" i="36"/>
  <c r="AJ374" i="1"/>
  <c r="L375" i="36" s="1"/>
  <c r="K375" i="36"/>
  <c r="AJ385" i="1"/>
  <c r="L386" i="36" s="1"/>
  <c r="K386" i="36"/>
  <c r="AJ399" i="1"/>
  <c r="L400" i="36" s="1"/>
  <c r="K400" i="36"/>
  <c r="AJ407" i="1"/>
  <c r="L408" i="36" s="1"/>
  <c r="K408" i="36"/>
  <c r="AJ416" i="1"/>
  <c r="L417" i="36" s="1"/>
  <c r="K417" i="36"/>
  <c r="AJ427" i="1"/>
  <c r="L428" i="36" s="1"/>
  <c r="K428" i="36"/>
  <c r="AJ436" i="1"/>
  <c r="L437" i="36" s="1"/>
  <c r="K437" i="36"/>
  <c r="AJ412" i="1"/>
  <c r="L413" i="36" s="1"/>
  <c r="K413" i="36"/>
  <c r="AJ380" i="1"/>
  <c r="L381" i="36" s="1"/>
  <c r="K381" i="36"/>
  <c r="AJ398" i="1"/>
  <c r="L399" i="36" s="1"/>
  <c r="K399" i="36"/>
  <c r="AJ446" i="1"/>
  <c r="L447" i="36" s="1"/>
  <c r="K447" i="36"/>
  <c r="K331" i="36"/>
  <c r="AJ330" i="1"/>
  <c r="L331" i="36" s="1"/>
  <c r="AJ201" i="1"/>
  <c r="L202" i="36" s="1"/>
  <c r="K202" i="36"/>
  <c r="AJ168" i="1"/>
  <c r="L169" i="36" s="1"/>
  <c r="K169" i="36"/>
  <c r="K319" i="36"/>
  <c r="AJ318" i="1"/>
  <c r="L319" i="36" s="1"/>
  <c r="K317" i="36"/>
  <c r="AJ316" i="1"/>
  <c r="L317" i="36" s="1"/>
  <c r="AJ311" i="1"/>
  <c r="L312" i="36" s="1"/>
  <c r="K312" i="36"/>
  <c r="AJ353" i="1"/>
  <c r="L354" i="36" s="1"/>
  <c r="K354" i="36"/>
  <c r="AJ325" i="1"/>
  <c r="L326" i="36" s="1"/>
  <c r="K326" i="36"/>
  <c r="K366" i="36"/>
  <c r="AJ365" i="1"/>
  <c r="L366" i="36" s="1"/>
  <c r="K490" i="36"/>
  <c r="AJ489" i="1"/>
  <c r="L490" i="36" s="1"/>
  <c r="K487" i="36"/>
  <c r="AJ486" i="1"/>
  <c r="L487" i="36" s="1"/>
  <c r="AJ511" i="1"/>
  <c r="L512" i="36" s="1"/>
  <c r="K512" i="36"/>
  <c r="AJ524" i="1"/>
  <c r="L525" i="36" s="1"/>
  <c r="K525" i="36"/>
  <c r="K510" i="36"/>
  <c r="AJ509" i="1"/>
  <c r="L510" i="36" s="1"/>
  <c r="AJ381" i="1"/>
  <c r="L382" i="36" s="1"/>
  <c r="K382" i="36"/>
  <c r="AJ402" i="1"/>
  <c r="L403" i="36" s="1"/>
  <c r="K403" i="36"/>
  <c r="AJ428" i="1"/>
  <c r="L429" i="36" s="1"/>
  <c r="K429" i="36"/>
  <c r="AJ370" i="1"/>
  <c r="L371" i="36" s="1"/>
  <c r="K371" i="36"/>
  <c r="AJ396" i="1"/>
  <c r="L397" i="36" s="1"/>
  <c r="K397" i="36"/>
  <c r="AJ46" i="1"/>
  <c r="L47" i="36" s="1"/>
  <c r="K47" i="36"/>
  <c r="AJ163" i="1"/>
  <c r="L164" i="36" s="1"/>
  <c r="K164" i="36"/>
  <c r="AJ49" i="1"/>
  <c r="L50" i="36" s="1"/>
  <c r="K50" i="36"/>
  <c r="AJ129" i="1"/>
  <c r="L130" i="36" s="1"/>
  <c r="K130" i="36"/>
  <c r="AJ208" i="1"/>
  <c r="L209" i="36" s="1"/>
  <c r="K209" i="36"/>
  <c r="AJ162" i="1"/>
  <c r="L163" i="36" s="1"/>
  <c r="K163" i="36"/>
  <c r="AJ89" i="1"/>
  <c r="L90" i="36" s="1"/>
  <c r="K90" i="36"/>
  <c r="AJ160" i="1"/>
  <c r="L161" i="36" s="1"/>
  <c r="K161" i="36"/>
  <c r="AJ246" i="1"/>
  <c r="L247" i="36" s="1"/>
  <c r="K247" i="36"/>
  <c r="K275" i="36"/>
  <c r="AJ274" i="1"/>
  <c r="L275" i="36" s="1"/>
  <c r="AJ239" i="1"/>
  <c r="L240" i="36" s="1"/>
  <c r="K240" i="36"/>
  <c r="K288" i="36"/>
  <c r="AJ287" i="1"/>
  <c r="L288" i="36" s="1"/>
  <c r="AJ242" i="1"/>
  <c r="L243" i="36" s="1"/>
  <c r="K243" i="36"/>
  <c r="AJ241" i="1"/>
  <c r="L242" i="36" s="1"/>
  <c r="K242" i="36"/>
  <c r="K290" i="36"/>
  <c r="AJ289" i="1"/>
  <c r="L290" i="36" s="1"/>
  <c r="K274" i="36"/>
  <c r="AJ273" i="1"/>
  <c r="L274" i="36" s="1"/>
  <c r="AJ248" i="1"/>
  <c r="L249" i="36" s="1"/>
  <c r="K249" i="36"/>
  <c r="K320" i="36"/>
  <c r="AJ319" i="1"/>
  <c r="L320" i="36" s="1"/>
  <c r="K285" i="36"/>
  <c r="AJ284" i="1"/>
  <c r="L285" i="36" s="1"/>
  <c r="AJ360" i="1"/>
  <c r="L361" i="36" s="1"/>
  <c r="K361" i="36"/>
  <c r="AJ355" i="1"/>
  <c r="L356" i="36" s="1"/>
  <c r="K356" i="36"/>
  <c r="AJ324" i="1"/>
  <c r="L325" i="36" s="1"/>
  <c r="K325" i="36"/>
  <c r="AJ345" i="1"/>
  <c r="L346" i="36" s="1"/>
  <c r="K346" i="36"/>
  <c r="AJ352" i="1"/>
  <c r="L353" i="36" s="1"/>
  <c r="K353" i="36"/>
  <c r="AJ348" i="1"/>
  <c r="L349" i="36" s="1"/>
  <c r="K349" i="36"/>
  <c r="AJ351" i="1"/>
  <c r="L352" i="36" s="1"/>
  <c r="K352" i="36"/>
  <c r="AJ350" i="1"/>
  <c r="L351" i="36" s="1"/>
  <c r="K351" i="36"/>
  <c r="AJ335" i="1"/>
  <c r="L336" i="36" s="1"/>
  <c r="K336" i="36"/>
  <c r="K452" i="36"/>
  <c r="AJ451" i="1"/>
  <c r="L452" i="36" s="1"/>
  <c r="K488" i="36"/>
  <c r="AJ487" i="1"/>
  <c r="L488" i="36" s="1"/>
  <c r="K467" i="36"/>
  <c r="AJ466" i="1"/>
  <c r="L467" i="36" s="1"/>
  <c r="K485" i="36"/>
  <c r="AJ484" i="1"/>
  <c r="L485" i="36" s="1"/>
  <c r="AJ368" i="1"/>
  <c r="L369" i="36" s="1"/>
  <c r="K369" i="36"/>
  <c r="K486" i="36"/>
  <c r="AJ485" i="1"/>
  <c r="L486" i="36" s="1"/>
  <c r="K472" i="36"/>
  <c r="AJ471" i="1"/>
  <c r="L472" i="36" s="1"/>
  <c r="K453" i="36"/>
  <c r="AJ452" i="1"/>
  <c r="L453" i="36" s="1"/>
  <c r="K473" i="36"/>
  <c r="AJ472" i="1"/>
  <c r="L473" i="36" s="1"/>
  <c r="AJ367" i="1"/>
  <c r="L368" i="36" s="1"/>
  <c r="K368" i="36"/>
  <c r="K468" i="36"/>
  <c r="AJ467" i="1"/>
  <c r="L468" i="36" s="1"/>
  <c r="K458" i="36"/>
  <c r="AJ457" i="1"/>
  <c r="L458" i="36" s="1"/>
  <c r="AJ491" i="1"/>
  <c r="L492" i="36" s="1"/>
  <c r="K492" i="36"/>
  <c r="K500" i="36"/>
  <c r="AJ499" i="1"/>
  <c r="L500" i="36" s="1"/>
  <c r="AJ520" i="1"/>
  <c r="L521" i="36" s="1"/>
  <c r="K521" i="36"/>
  <c r="AJ528" i="1"/>
  <c r="L529" i="36" s="1"/>
  <c r="K529" i="36"/>
  <c r="AJ498" i="1"/>
  <c r="L499" i="36" s="1"/>
  <c r="K499" i="36"/>
  <c r="AJ506" i="1"/>
  <c r="L507" i="36" s="1"/>
  <c r="K507" i="36"/>
  <c r="K528" i="36"/>
  <c r="AJ527" i="1"/>
  <c r="L528" i="36" s="1"/>
  <c r="AJ490" i="1"/>
  <c r="L491" i="36" s="1"/>
  <c r="K491" i="36"/>
  <c r="AJ510" i="1"/>
  <c r="L511" i="36" s="1"/>
  <c r="K511" i="36"/>
  <c r="K519" i="36"/>
  <c r="AJ518" i="1"/>
  <c r="L519" i="36" s="1"/>
  <c r="AJ447" i="1"/>
  <c r="L448" i="36" s="1"/>
  <c r="K448" i="36"/>
  <c r="AJ377" i="1"/>
  <c r="L378" i="36" s="1"/>
  <c r="K378" i="36"/>
  <c r="AJ393" i="1"/>
  <c r="L394" i="36" s="1"/>
  <c r="K394" i="36"/>
  <c r="AJ406" i="1"/>
  <c r="L407" i="36" s="1"/>
  <c r="K407" i="36"/>
  <c r="AJ415" i="1"/>
  <c r="L416" i="36" s="1"/>
  <c r="K416" i="36"/>
  <c r="AJ424" i="1"/>
  <c r="L425" i="36" s="1"/>
  <c r="K425" i="36"/>
  <c r="AJ432" i="1"/>
  <c r="L433" i="36" s="1"/>
  <c r="K433" i="36"/>
  <c r="AJ388" i="1"/>
  <c r="L389" i="36" s="1"/>
  <c r="K389" i="36"/>
  <c r="AJ445" i="1"/>
  <c r="L446" i="36" s="1"/>
  <c r="K446" i="36"/>
  <c r="AJ376" i="1"/>
  <c r="L377" i="36" s="1"/>
  <c r="K377" i="36"/>
  <c r="AJ387" i="1"/>
  <c r="L388" i="36" s="1"/>
  <c r="K388" i="36"/>
  <c r="AJ401" i="1"/>
  <c r="L402" i="36" s="1"/>
  <c r="K402" i="36"/>
  <c r="AJ409" i="1"/>
  <c r="L410" i="36" s="1"/>
  <c r="K410" i="36"/>
  <c r="AJ421" i="1"/>
  <c r="L422" i="36" s="1"/>
  <c r="K422" i="36"/>
  <c r="AJ429" i="1"/>
  <c r="L430" i="36" s="1"/>
  <c r="K430" i="36"/>
  <c r="K439" i="36"/>
  <c r="AJ438" i="1"/>
  <c r="L439" i="36" s="1"/>
  <c r="K435" i="36"/>
  <c r="AJ434" i="1"/>
  <c r="L435" i="36" s="1"/>
  <c r="AJ389" i="1"/>
  <c r="L390" i="36" s="1"/>
  <c r="K390" i="36"/>
  <c r="AJ418" i="1"/>
  <c r="L419" i="36" s="1"/>
  <c r="K419" i="36"/>
  <c r="AJ448" i="1"/>
  <c r="L449" i="36" s="1"/>
  <c r="K449" i="36"/>
  <c r="AJ127" i="1"/>
  <c r="L128" i="36" s="1"/>
  <c r="K128" i="36"/>
  <c r="AJ200" i="1"/>
  <c r="L201" i="36" s="1"/>
  <c r="K201" i="36"/>
  <c r="K314" i="36"/>
  <c r="AJ313" i="1"/>
  <c r="L314" i="36" s="1"/>
  <c r="K318" i="36"/>
  <c r="AJ317" i="1"/>
  <c r="L318" i="36" s="1"/>
  <c r="AJ249" i="1"/>
  <c r="L250" i="36" s="1"/>
  <c r="K250" i="36"/>
  <c r="AJ340" i="1"/>
  <c r="L341" i="36" s="1"/>
  <c r="K341" i="36"/>
  <c r="AJ343" i="1"/>
  <c r="L344" i="36" s="1"/>
  <c r="K344" i="36"/>
  <c r="AJ366" i="1"/>
  <c r="L367" i="36" s="1"/>
  <c r="K367" i="36"/>
  <c r="K471" i="36"/>
  <c r="AJ470" i="1"/>
  <c r="L471" i="36" s="1"/>
  <c r="K457" i="36"/>
  <c r="AJ456" i="1"/>
  <c r="L457" i="36" s="1"/>
  <c r="K463" i="36"/>
  <c r="AJ462" i="1"/>
  <c r="L463" i="36" s="1"/>
  <c r="K504" i="36"/>
  <c r="AJ503" i="1"/>
  <c r="L504" i="36" s="1"/>
  <c r="K524" i="36"/>
  <c r="AJ523" i="1"/>
  <c r="L524" i="36" s="1"/>
  <c r="K515" i="36"/>
  <c r="AJ514" i="1"/>
  <c r="L515" i="36" s="1"/>
  <c r="AJ384" i="1"/>
  <c r="L385" i="36" s="1"/>
  <c r="K385" i="36"/>
  <c r="AJ420" i="1"/>
  <c r="L421" i="36" s="1"/>
  <c r="K421" i="36"/>
  <c r="AJ419" i="1"/>
  <c r="L420" i="36" s="1"/>
  <c r="K420" i="36"/>
  <c r="AJ390" i="1"/>
  <c r="L391" i="36" s="1"/>
  <c r="K391" i="36"/>
  <c r="K332" i="36"/>
  <c r="AJ331" i="1"/>
  <c r="L332" i="36" s="1"/>
  <c r="AJ88" i="1"/>
  <c r="L89" i="36" s="1"/>
  <c r="K89" i="36"/>
  <c r="AJ159" i="1"/>
  <c r="L160" i="36" s="1"/>
  <c r="K160" i="36"/>
  <c r="AJ126" i="1"/>
  <c r="L127" i="36" s="1"/>
  <c r="K127" i="36"/>
  <c r="AJ169" i="1"/>
  <c r="L170" i="36" s="1"/>
  <c r="K170" i="36"/>
  <c r="AJ204" i="1"/>
  <c r="L205" i="36" s="1"/>
  <c r="K205" i="36"/>
  <c r="AJ209" i="1"/>
  <c r="L210" i="36" s="1"/>
  <c r="K210" i="36"/>
  <c r="AJ128" i="1"/>
  <c r="L129" i="36" s="1"/>
  <c r="K129" i="36"/>
  <c r="AJ207" i="1"/>
  <c r="L208" i="36" s="1"/>
  <c r="K208" i="36"/>
  <c r="K322" i="36"/>
  <c r="AJ321" i="1"/>
  <c r="L322" i="36" s="1"/>
  <c r="K238" i="36"/>
  <c r="AJ237" i="1"/>
  <c r="L238" i="36" s="1"/>
  <c r="K323" i="36"/>
  <c r="AJ322" i="1"/>
  <c r="L323" i="36" s="1"/>
  <c r="K284" i="36"/>
  <c r="AJ283" i="1"/>
  <c r="L284" i="36" s="1"/>
  <c r="AJ238" i="1"/>
  <c r="L239" i="36" s="1"/>
  <c r="K239" i="36"/>
  <c r="K321" i="36"/>
  <c r="AJ320" i="1"/>
  <c r="L321" i="36" s="1"/>
  <c r="K286" i="36"/>
  <c r="AJ285" i="1"/>
  <c r="L286" i="36" s="1"/>
  <c r="K287" i="36"/>
  <c r="AJ286" i="1"/>
  <c r="L287" i="36" s="1"/>
  <c r="AJ244" i="1"/>
  <c r="L245" i="36" s="1"/>
  <c r="K245" i="36"/>
  <c r="K316" i="36"/>
  <c r="AJ315" i="1"/>
  <c r="L316" i="36" s="1"/>
  <c r="K281" i="36"/>
  <c r="AJ280" i="1"/>
  <c r="L281" i="36" s="1"/>
  <c r="AJ344" i="1"/>
  <c r="L345" i="36" s="1"/>
  <c r="K345" i="36"/>
  <c r="AJ329" i="1"/>
  <c r="L330" i="36" s="1"/>
  <c r="K330" i="36"/>
  <c r="AJ357" i="1"/>
  <c r="L358" i="36" s="1"/>
  <c r="K358" i="36"/>
  <c r="AJ341" i="1"/>
  <c r="L342" i="36" s="1"/>
  <c r="K342" i="36"/>
  <c r="AJ332" i="1"/>
  <c r="L333" i="36" s="1"/>
  <c r="K333" i="36"/>
  <c r="AJ337" i="1"/>
  <c r="L338" i="36" s="1"/>
  <c r="K338" i="36"/>
  <c r="AJ347" i="1"/>
  <c r="L348" i="36" s="1"/>
  <c r="K348" i="36"/>
  <c r="K347" i="36"/>
  <c r="AJ346" i="1"/>
  <c r="L347" i="36" s="1"/>
  <c r="AJ333" i="1"/>
  <c r="L334" i="36" s="1"/>
  <c r="K334" i="36"/>
  <c r="AJ369" i="1"/>
  <c r="L370" i="36" s="1"/>
  <c r="K370" i="36"/>
  <c r="K482" i="36"/>
  <c r="AJ481" i="1"/>
  <c r="L482" i="36" s="1"/>
  <c r="K465" i="36"/>
  <c r="AJ464" i="1"/>
  <c r="L465" i="36" s="1"/>
  <c r="K474" i="36"/>
  <c r="AJ473" i="1"/>
  <c r="L474" i="36" s="1"/>
  <c r="AJ364" i="1"/>
  <c r="L365" i="36" s="1"/>
  <c r="K365" i="36"/>
  <c r="K481" i="36"/>
  <c r="AJ480" i="1"/>
  <c r="L481" i="36" s="1"/>
  <c r="K470" i="36"/>
  <c r="AJ469" i="1"/>
  <c r="L470" i="36" s="1"/>
  <c r="AJ362" i="1"/>
  <c r="L363" i="36" s="1"/>
  <c r="K363" i="36"/>
  <c r="K464" i="36"/>
  <c r="AJ463" i="1"/>
  <c r="L464" i="36" s="1"/>
  <c r="K364" i="36"/>
  <c r="AJ363" i="1"/>
  <c r="L364" i="36" s="1"/>
  <c r="K466" i="36"/>
  <c r="AJ465" i="1"/>
  <c r="L466" i="36" s="1"/>
  <c r="AJ507" i="1"/>
  <c r="L508" i="36" s="1"/>
  <c r="K508" i="36"/>
  <c r="AJ493" i="1"/>
  <c r="L494" i="36" s="1"/>
  <c r="K494" i="36"/>
  <c r="AJ501" i="1"/>
  <c r="L502" i="36" s="1"/>
  <c r="K502" i="36"/>
  <c r="AJ522" i="1"/>
  <c r="L523" i="36" s="1"/>
  <c r="K523" i="36"/>
  <c r="AJ515" i="1"/>
  <c r="L516" i="36" s="1"/>
  <c r="K516" i="36"/>
  <c r="AJ500" i="1"/>
  <c r="L501" i="36" s="1"/>
  <c r="K501" i="36"/>
  <c r="AJ521" i="1"/>
  <c r="L522" i="36" s="1"/>
  <c r="K522" i="36"/>
  <c r="AJ529" i="1"/>
  <c r="L530" i="36" s="1"/>
  <c r="K530" i="36"/>
  <c r="AJ492" i="1"/>
  <c r="L493" i="36" s="1"/>
  <c r="K493" i="36"/>
  <c r="AJ512" i="1"/>
  <c r="L513" i="36" s="1"/>
  <c r="K513" i="36"/>
  <c r="AJ379" i="1"/>
  <c r="L380" i="36" s="1"/>
  <c r="K380" i="36"/>
  <c r="AJ371" i="1"/>
  <c r="L372" i="36" s="1"/>
  <c r="K372" i="36"/>
  <c r="AJ382" i="1"/>
  <c r="L383" i="36" s="1"/>
  <c r="K383" i="36"/>
  <c r="AJ400" i="1"/>
  <c r="L401" i="36" s="1"/>
  <c r="K401" i="36"/>
  <c r="AJ408" i="1"/>
  <c r="L409" i="36" s="1"/>
  <c r="K409" i="36"/>
  <c r="AJ417" i="1"/>
  <c r="L418" i="36" s="1"/>
  <c r="K418" i="36"/>
  <c r="AJ426" i="1"/>
  <c r="L427" i="36" s="1"/>
  <c r="K427" i="36"/>
  <c r="AJ435" i="1"/>
  <c r="L436" i="36" s="1"/>
  <c r="K436" i="36"/>
  <c r="AJ397" i="1"/>
  <c r="L398" i="36" s="1"/>
  <c r="K398" i="36"/>
  <c r="AJ449" i="1"/>
  <c r="L450" i="36" s="1"/>
  <c r="K450" i="36"/>
  <c r="K379" i="36"/>
  <c r="AJ378" i="1"/>
  <c r="L379" i="36" s="1"/>
  <c r="AJ392" i="1"/>
  <c r="L393" i="36" s="1"/>
  <c r="K393" i="36"/>
  <c r="AJ403" i="1"/>
  <c r="L404" i="36" s="1"/>
  <c r="K404" i="36"/>
  <c r="K412" i="36"/>
  <c r="AJ411" i="1"/>
  <c r="L412" i="36" s="1"/>
  <c r="AJ423" i="1"/>
  <c r="L424" i="36" s="1"/>
  <c r="K424" i="36"/>
  <c r="AJ431" i="1"/>
  <c r="L432" i="36" s="1"/>
  <c r="K432" i="36"/>
  <c r="K441" i="36"/>
  <c r="AJ440" i="1"/>
  <c r="L441" i="36" s="1"/>
  <c r="AJ441" i="1"/>
  <c r="L442" i="36" s="1"/>
  <c r="K442" i="36"/>
  <c r="AJ391" i="1"/>
  <c r="L392" i="36" s="1"/>
  <c r="K392" i="36"/>
  <c r="AJ442" i="1"/>
  <c r="L443" i="36" s="1"/>
  <c r="K443" i="36"/>
  <c r="O450" i="1"/>
  <c r="R450" i="1" s="1"/>
  <c r="H451" i="36" s="1"/>
  <c r="O447" i="1"/>
  <c r="O443" i="1"/>
  <c r="O438" i="1"/>
  <c r="O432" i="1"/>
  <c r="O431" i="1"/>
  <c r="O427" i="1"/>
  <c r="O426" i="1"/>
  <c r="O422" i="1"/>
  <c r="O416" i="1"/>
  <c r="O410" i="1"/>
  <c r="O409" i="1"/>
  <c r="O405" i="1"/>
  <c r="O401" i="1"/>
  <c r="O396" i="1"/>
  <c r="O390" i="1"/>
  <c r="O385" i="1"/>
  <c r="O384" i="1"/>
  <c r="O379" i="1"/>
  <c r="O378" i="1"/>
  <c r="O373" i="1"/>
  <c r="O440" i="1"/>
  <c r="O434" i="1"/>
  <c r="O412" i="1"/>
  <c r="O399" i="1"/>
  <c r="O387" i="1"/>
  <c r="O448" i="1"/>
  <c r="O444" i="1"/>
  <c r="O439" i="1"/>
  <c r="O435" i="1"/>
  <c r="O433" i="1"/>
  <c r="O428" i="1"/>
  <c r="O423" i="1"/>
  <c r="O418" i="1"/>
  <c r="O417" i="1"/>
  <c r="O413" i="1"/>
  <c r="O411" i="1"/>
  <c r="O406" i="1"/>
  <c r="O402" i="1"/>
  <c r="O397" i="1"/>
  <c r="O391" i="1"/>
  <c r="O386" i="1"/>
  <c r="O380" i="1"/>
  <c r="O374" i="1"/>
  <c r="O370" i="1"/>
  <c r="O441" i="1"/>
  <c r="O424" i="1"/>
  <c r="O419" i="1"/>
  <c r="O414" i="1"/>
  <c r="O407" i="1"/>
  <c r="O398" i="1"/>
  <c r="O382" i="1"/>
  <c r="O375" i="1"/>
  <c r="O371" i="1"/>
  <c r="O446" i="1"/>
  <c r="O442" i="1"/>
  <c r="O437" i="1"/>
  <c r="O430" i="1"/>
  <c r="O425" i="1"/>
  <c r="O421" i="1"/>
  <c r="O415" i="1"/>
  <c r="O408" i="1"/>
  <c r="O404" i="1"/>
  <c r="O400" i="1"/>
  <c r="O395" i="1"/>
  <c r="O394" i="1"/>
  <c r="O389" i="1"/>
  <c r="O388" i="1"/>
  <c r="O383" i="1"/>
  <c r="O377" i="1"/>
  <c r="O376" i="1"/>
  <c r="O372" i="1"/>
  <c r="O449" i="1"/>
  <c r="O445" i="1"/>
  <c r="O436" i="1"/>
  <c r="O429" i="1"/>
  <c r="O420" i="1"/>
  <c r="O403" i="1"/>
  <c r="O393" i="1"/>
  <c r="O392" i="1"/>
  <c r="O381" i="1"/>
  <c r="O528" i="1"/>
  <c r="O524" i="1"/>
  <c r="O520" i="1"/>
  <c r="O519" i="1"/>
  <c r="O515" i="1"/>
  <c r="O511" i="1"/>
  <c r="O510" i="1"/>
  <c r="O509" i="1"/>
  <c r="O504" i="1"/>
  <c r="O500" i="1"/>
  <c r="O496" i="1"/>
  <c r="O492" i="1"/>
  <c r="O526" i="1"/>
  <c r="O517" i="1"/>
  <c r="O513" i="1"/>
  <c r="O506" i="1"/>
  <c r="O498" i="1"/>
  <c r="O529" i="1"/>
  <c r="O525" i="1"/>
  <c r="O521" i="1"/>
  <c r="O516" i="1"/>
  <c r="O512" i="1"/>
  <c r="O505" i="1"/>
  <c r="O501" i="1"/>
  <c r="O497" i="1"/>
  <c r="O493" i="1"/>
  <c r="O502" i="1"/>
  <c r="O527" i="1"/>
  <c r="O523" i="1"/>
  <c r="O518" i="1"/>
  <c r="O514" i="1"/>
  <c r="O508" i="1"/>
  <c r="O503" i="1"/>
  <c r="O499" i="1"/>
  <c r="O495" i="1"/>
  <c r="O491" i="1"/>
  <c r="O490" i="1"/>
  <c r="O522" i="1"/>
  <c r="O507" i="1"/>
  <c r="O494" i="1"/>
  <c r="O451" i="1"/>
  <c r="O455" i="1"/>
  <c r="O463" i="1"/>
  <c r="O465" i="1"/>
  <c r="O470" i="1"/>
  <c r="O477" i="1"/>
  <c r="O479" i="1"/>
  <c r="O480" i="1"/>
  <c r="O364" i="1"/>
  <c r="O366" i="1"/>
  <c r="O368" i="1"/>
  <c r="O457" i="1"/>
  <c r="O467" i="1"/>
  <c r="O472" i="1"/>
  <c r="O485" i="1"/>
  <c r="O367" i="1"/>
  <c r="O369" i="1"/>
  <c r="O454" i="1"/>
  <c r="O461" i="1"/>
  <c r="O462" i="1"/>
  <c r="O464" i="1"/>
  <c r="O469" i="1"/>
  <c r="O475" i="1"/>
  <c r="O476" i="1"/>
  <c r="O478" i="1"/>
  <c r="O486" i="1"/>
  <c r="O361" i="1"/>
  <c r="O453" i="1"/>
  <c r="O458" i="1"/>
  <c r="O473" i="1"/>
  <c r="O488" i="1"/>
  <c r="O363" i="1"/>
  <c r="O452" i="1"/>
  <c r="O456" i="1"/>
  <c r="O459" i="1"/>
  <c r="O466" i="1"/>
  <c r="O471" i="1"/>
  <c r="O484" i="1"/>
  <c r="O362" i="1"/>
  <c r="O460" i="1"/>
  <c r="O468" i="1"/>
  <c r="O474" i="1"/>
  <c r="O487" i="1"/>
  <c r="O489" i="1"/>
  <c r="O365" i="1"/>
  <c r="O336" i="1"/>
  <c r="O337" i="1"/>
  <c r="O325" i="1"/>
  <c r="O327" i="1"/>
  <c r="O329" i="1"/>
  <c r="O326" i="1"/>
  <c r="O339" i="1"/>
  <c r="O341" i="1"/>
  <c r="O343" i="1"/>
  <c r="O345" i="1"/>
  <c r="O347" i="1"/>
  <c r="O349" i="1"/>
  <c r="O351" i="1"/>
  <c r="O353" i="1"/>
  <c r="O355" i="1"/>
  <c r="O357" i="1"/>
  <c r="O332" i="1"/>
  <c r="O333" i="1"/>
  <c r="O334" i="1"/>
  <c r="O335" i="1"/>
  <c r="O338" i="1"/>
  <c r="O340" i="1"/>
  <c r="O342" i="1"/>
  <c r="O344" i="1"/>
  <c r="O346" i="1"/>
  <c r="O348" i="1"/>
  <c r="O350" i="1"/>
  <c r="O352" i="1"/>
  <c r="O354" i="1"/>
  <c r="O356" i="1"/>
  <c r="O358" i="1"/>
  <c r="O360" i="1"/>
  <c r="O359" i="1"/>
  <c r="O324" i="1"/>
  <c r="O328" i="1"/>
  <c r="O274" i="1"/>
  <c r="O276" i="1"/>
  <c r="O278" i="1"/>
  <c r="O280" i="1"/>
  <c r="O282" i="1"/>
  <c r="O284" i="1"/>
  <c r="O286" i="1"/>
  <c r="O288" i="1"/>
  <c r="O312" i="1"/>
  <c r="O314" i="1"/>
  <c r="O316" i="1"/>
  <c r="O318" i="1"/>
  <c r="O320" i="1"/>
  <c r="O322" i="1"/>
  <c r="O237" i="1"/>
  <c r="O239" i="1"/>
  <c r="O241" i="1"/>
  <c r="O243" i="1"/>
  <c r="O245" i="1"/>
  <c r="O247" i="1"/>
  <c r="O249" i="1"/>
  <c r="O273" i="1"/>
  <c r="O275" i="1"/>
  <c r="O277" i="1"/>
  <c r="O279" i="1"/>
  <c r="O281" i="1"/>
  <c r="O283" i="1"/>
  <c r="O285" i="1"/>
  <c r="O287" i="1"/>
  <c r="O289" i="1"/>
  <c r="O311" i="1"/>
  <c r="O313" i="1"/>
  <c r="O315" i="1"/>
  <c r="O317" i="1"/>
  <c r="O319" i="1"/>
  <c r="O321" i="1"/>
  <c r="O323" i="1"/>
  <c r="O238" i="1"/>
  <c r="O240" i="1"/>
  <c r="O242" i="1"/>
  <c r="O244" i="1"/>
  <c r="O246" i="1"/>
  <c r="O248" i="1"/>
  <c r="O199" i="1"/>
  <c r="O201" i="1"/>
  <c r="O203" i="1"/>
  <c r="O205" i="1"/>
  <c r="O207" i="1"/>
  <c r="O209" i="1"/>
  <c r="O160" i="1"/>
  <c r="O162" i="1"/>
  <c r="O164" i="1"/>
  <c r="O166" i="1"/>
  <c r="O168" i="1"/>
  <c r="O126" i="1"/>
  <c r="O128" i="1"/>
  <c r="O87" i="1"/>
  <c r="O89" i="1"/>
  <c r="O49" i="1"/>
  <c r="O47" i="1"/>
  <c r="O200" i="1"/>
  <c r="O202" i="1"/>
  <c r="O204" i="1"/>
  <c r="O206" i="1"/>
  <c r="O208" i="1"/>
  <c r="O159" i="1"/>
  <c r="O161" i="1"/>
  <c r="O163" i="1"/>
  <c r="O165" i="1"/>
  <c r="O167" i="1"/>
  <c r="O169" i="1"/>
  <c r="O127" i="1"/>
  <c r="O129" i="1"/>
  <c r="O88" i="1"/>
  <c r="O48" i="1"/>
  <c r="O46" i="1"/>
  <c r="O330" i="1"/>
  <c r="O331" i="1"/>
  <c r="AJ45" i="1"/>
  <c r="L46" i="36" s="1"/>
  <c r="AJ187" i="1"/>
  <c r="L188" i="36" s="1"/>
  <c r="K188" i="36"/>
  <c r="AJ192" i="1"/>
  <c r="L193" i="36" s="1"/>
  <c r="K193" i="36"/>
  <c r="AJ190" i="1"/>
  <c r="L191" i="36" s="1"/>
  <c r="K191" i="36"/>
  <c r="AJ189" i="1"/>
  <c r="L190" i="36" s="1"/>
  <c r="K190" i="36"/>
  <c r="AJ198" i="1"/>
  <c r="L199" i="36" s="1"/>
  <c r="K199" i="36"/>
  <c r="AJ197" i="1"/>
  <c r="L198" i="36" s="1"/>
  <c r="K198" i="36"/>
  <c r="AJ11" i="1"/>
  <c r="L12" i="36" s="1"/>
  <c r="K12" i="36"/>
  <c r="AJ195" i="1"/>
  <c r="L196" i="36" s="1"/>
  <c r="K196" i="36"/>
  <c r="AJ194" i="1"/>
  <c r="L195" i="36" s="1"/>
  <c r="K195" i="36"/>
  <c r="AJ193" i="1"/>
  <c r="L194" i="36" s="1"/>
  <c r="K194" i="36"/>
  <c r="AJ13" i="1"/>
  <c r="L14" i="36" s="1"/>
  <c r="K14" i="36"/>
  <c r="AJ482" i="1"/>
  <c r="L483" i="36" s="1"/>
  <c r="AJ188" i="1"/>
  <c r="L189" i="36" s="1"/>
  <c r="K189" i="36"/>
  <c r="AJ191" i="1"/>
  <c r="L192" i="36" s="1"/>
  <c r="K192" i="36"/>
  <c r="AJ196" i="1"/>
  <c r="L197" i="36" s="1"/>
  <c r="K197" i="36"/>
  <c r="AJ12" i="1"/>
  <c r="L13" i="36" s="1"/>
  <c r="K13" i="36"/>
  <c r="O481" i="1"/>
  <c r="R481" i="1" s="1"/>
  <c r="H482" i="36" s="1"/>
  <c r="O483" i="1"/>
  <c r="O45" i="1"/>
  <c r="O482" i="1"/>
  <c r="R482" i="1" s="1"/>
  <c r="H483" i="36" s="1"/>
  <c r="J516" i="14"/>
  <c r="J356" i="14"/>
  <c r="F362" i="36" s="1"/>
  <c r="J253" i="14"/>
  <c r="F259" i="36" s="1"/>
  <c r="F255" i="40"/>
  <c r="AJ158" i="1"/>
  <c r="L159" i="36" s="1"/>
  <c r="AJ260" i="1"/>
  <c r="L261" i="36" s="1"/>
  <c r="AJ264" i="1"/>
  <c r="L265" i="36" s="1"/>
  <c r="AJ257" i="1"/>
  <c r="L258" i="36" s="1"/>
  <c r="AJ263" i="1"/>
  <c r="L264" i="36" s="1"/>
  <c r="AJ270" i="1"/>
  <c r="L271" i="36" s="1"/>
  <c r="AJ255" i="1"/>
  <c r="L256" i="36" s="1"/>
  <c r="AJ258" i="1"/>
  <c r="L259" i="36" s="1"/>
  <c r="AJ256" i="1"/>
  <c r="L257" i="36" s="1"/>
  <c r="AJ252" i="1"/>
  <c r="L253" i="36" s="1"/>
  <c r="AJ268" i="1"/>
  <c r="L269" i="36" s="1"/>
  <c r="AJ253" i="1"/>
  <c r="L254" i="36" s="1"/>
  <c r="AJ267" i="1"/>
  <c r="L268" i="36" s="1"/>
  <c r="AJ254" i="1"/>
  <c r="L255" i="36" s="1"/>
  <c r="AJ272" i="1"/>
  <c r="L273" i="36" s="1"/>
  <c r="AJ266" i="1"/>
  <c r="L267" i="36" s="1"/>
  <c r="AJ262" i="1"/>
  <c r="L263" i="36" s="1"/>
  <c r="AJ271" i="1"/>
  <c r="L272" i="36" s="1"/>
  <c r="AJ265" i="1"/>
  <c r="L266" i="36" s="1"/>
  <c r="AJ269" i="1"/>
  <c r="L270" i="36" s="1"/>
  <c r="AJ261" i="1"/>
  <c r="L262" i="36" s="1"/>
  <c r="AJ259" i="1"/>
  <c r="L260" i="36" s="1"/>
  <c r="AJ108" i="1"/>
  <c r="L109" i="36" s="1"/>
  <c r="AJ41" i="1"/>
  <c r="L42" i="36" s="1"/>
  <c r="AJ103" i="1"/>
  <c r="L104" i="36" s="1"/>
  <c r="AJ16" i="1"/>
  <c r="L17" i="36" s="1"/>
  <c r="AJ69" i="1"/>
  <c r="L70" i="36" s="1"/>
  <c r="AJ42" i="1"/>
  <c r="L43" i="36" s="1"/>
  <c r="AJ35" i="1"/>
  <c r="L36" i="36" s="1"/>
  <c r="AJ97" i="1"/>
  <c r="L98" i="36" s="1"/>
  <c r="AJ122" i="1"/>
  <c r="L123" i="36" s="1"/>
  <c r="AJ59" i="1"/>
  <c r="L60" i="36" s="1"/>
  <c r="AJ116" i="1"/>
  <c r="L117" i="36" s="1"/>
  <c r="AJ29" i="1"/>
  <c r="L30" i="36" s="1"/>
  <c r="AJ50" i="1"/>
  <c r="L51" i="36" s="1"/>
  <c r="AJ66" i="1"/>
  <c r="L67" i="36" s="1"/>
  <c r="AJ91" i="1"/>
  <c r="L92" i="36" s="1"/>
  <c r="AJ107" i="1"/>
  <c r="L108" i="36" s="1"/>
  <c r="AJ30" i="1"/>
  <c r="L31" i="36" s="1"/>
  <c r="AJ79" i="1"/>
  <c r="L80" i="36" s="1"/>
  <c r="AJ20" i="1"/>
  <c r="L21" i="36" s="1"/>
  <c r="AJ36" i="1"/>
  <c r="L37" i="36" s="1"/>
  <c r="AJ57" i="1"/>
  <c r="L58" i="36" s="1"/>
  <c r="AJ73" i="1"/>
  <c r="L74" i="36" s="1"/>
  <c r="AJ98" i="1"/>
  <c r="L99" i="36" s="1"/>
  <c r="AJ114" i="1"/>
  <c r="L115" i="36" s="1"/>
  <c r="AJ55" i="1"/>
  <c r="L56" i="36" s="1"/>
  <c r="AJ112" i="1"/>
  <c r="L113" i="36" s="1"/>
  <c r="AJ23" i="1"/>
  <c r="L24" i="36" s="1"/>
  <c r="AJ39" i="1"/>
  <c r="L40" i="36" s="1"/>
  <c r="AJ60" i="1"/>
  <c r="L61" i="36" s="1"/>
  <c r="AJ76" i="1"/>
  <c r="L77" i="36" s="1"/>
  <c r="AJ101" i="1"/>
  <c r="L102" i="36" s="1"/>
  <c r="AJ82" i="1"/>
  <c r="L83" i="36" s="1"/>
  <c r="AJ121" i="1"/>
  <c r="L122" i="36" s="1"/>
  <c r="AJ124" i="1"/>
  <c r="L125" i="36" s="1"/>
  <c r="AJ117" i="1"/>
  <c r="L118" i="36" s="1"/>
  <c r="AJ22" i="1"/>
  <c r="L23" i="36" s="1"/>
  <c r="AJ62" i="1"/>
  <c r="L63" i="36" s="1"/>
  <c r="AJ26" i="1"/>
  <c r="L27" i="36" s="1"/>
  <c r="AJ32" i="1"/>
  <c r="L33" i="36" s="1"/>
  <c r="AJ94" i="1"/>
  <c r="L95" i="36" s="1"/>
  <c r="AJ100" i="1"/>
  <c r="L101" i="36" s="1"/>
  <c r="AJ56" i="1"/>
  <c r="L57" i="36" s="1"/>
  <c r="AJ113" i="1"/>
  <c r="L114" i="36" s="1"/>
  <c r="AJ118" i="1"/>
  <c r="L119" i="36" s="1"/>
  <c r="AJ67" i="1"/>
  <c r="L68" i="36" s="1"/>
  <c r="AJ17" i="1"/>
  <c r="L18" i="36" s="1"/>
  <c r="AJ33" i="1"/>
  <c r="L34" i="36" s="1"/>
  <c r="AJ54" i="1"/>
  <c r="L55" i="36" s="1"/>
  <c r="AJ70" i="1"/>
  <c r="L71" i="36" s="1"/>
  <c r="AJ95" i="1"/>
  <c r="L96" i="36" s="1"/>
  <c r="AJ111" i="1"/>
  <c r="L112" i="36" s="1"/>
  <c r="AJ38" i="1"/>
  <c r="L39" i="36" s="1"/>
  <c r="AJ92" i="1"/>
  <c r="L93" i="36" s="1"/>
  <c r="AJ24" i="1"/>
  <c r="L25" i="36" s="1"/>
  <c r="AJ40" i="1"/>
  <c r="L41" i="36" s="1"/>
  <c r="AJ61" i="1"/>
  <c r="L62" i="36" s="1"/>
  <c r="AJ77" i="1"/>
  <c r="L78" i="36" s="1"/>
  <c r="AJ102" i="1"/>
  <c r="L103" i="36" s="1"/>
  <c r="AJ14" i="1"/>
  <c r="L15" i="36" s="1"/>
  <c r="AJ71" i="1"/>
  <c r="L72" i="36" s="1"/>
  <c r="AJ27" i="1"/>
  <c r="L28" i="36" s="1"/>
  <c r="AJ43" i="1"/>
  <c r="L44" i="36" s="1"/>
  <c r="AJ64" i="1"/>
  <c r="L65" i="36" s="1"/>
  <c r="AJ80" i="1"/>
  <c r="L81" i="36" s="1"/>
  <c r="AJ105" i="1"/>
  <c r="L106" i="36" s="1"/>
  <c r="AJ81" i="1"/>
  <c r="L82" i="36" s="1"/>
  <c r="AJ84" i="1"/>
  <c r="L85" i="36" s="1"/>
  <c r="AJ120" i="1"/>
  <c r="L121" i="36" s="1"/>
  <c r="AJ123" i="1"/>
  <c r="L124" i="36" s="1"/>
  <c r="AJ25" i="1"/>
  <c r="L26" i="36" s="1"/>
  <c r="AJ78" i="1"/>
  <c r="L79" i="36" s="1"/>
  <c r="AJ63" i="1"/>
  <c r="L64" i="36" s="1"/>
  <c r="AJ53" i="1"/>
  <c r="L54" i="36" s="1"/>
  <c r="AJ110" i="1"/>
  <c r="L111" i="36" s="1"/>
  <c r="AJ19" i="1"/>
  <c r="L20" i="36" s="1"/>
  <c r="AJ72" i="1"/>
  <c r="L73" i="36" s="1"/>
  <c r="AJ125" i="1"/>
  <c r="L126" i="36" s="1"/>
  <c r="AJ18" i="1"/>
  <c r="L19" i="36" s="1"/>
  <c r="AJ96" i="1"/>
  <c r="L97" i="36" s="1"/>
  <c r="AJ21" i="1"/>
  <c r="L22" i="36" s="1"/>
  <c r="AJ37" i="1"/>
  <c r="L38" i="36" s="1"/>
  <c r="AJ58" i="1"/>
  <c r="L59" i="36" s="1"/>
  <c r="AJ74" i="1"/>
  <c r="L75" i="36" s="1"/>
  <c r="AJ99" i="1"/>
  <c r="L100" i="36" s="1"/>
  <c r="AJ115" i="1"/>
  <c r="L116" i="36" s="1"/>
  <c r="AJ51" i="1"/>
  <c r="L52" i="36" s="1"/>
  <c r="AJ104" i="1"/>
  <c r="L105" i="36" s="1"/>
  <c r="AJ28" i="1"/>
  <c r="L29" i="36" s="1"/>
  <c r="AJ44" i="1"/>
  <c r="L45" i="36" s="1"/>
  <c r="AJ65" i="1"/>
  <c r="L66" i="36" s="1"/>
  <c r="AJ90" i="1"/>
  <c r="L91" i="36" s="1"/>
  <c r="AJ106" i="1"/>
  <c r="L107" i="36" s="1"/>
  <c r="AJ34" i="1"/>
  <c r="L35" i="36" s="1"/>
  <c r="AJ75" i="1"/>
  <c r="L76" i="36" s="1"/>
  <c r="AJ15" i="1"/>
  <c r="L16" i="36" s="1"/>
  <c r="AJ31" i="1"/>
  <c r="L32" i="36" s="1"/>
  <c r="AJ52" i="1"/>
  <c r="L53" i="36" s="1"/>
  <c r="AJ68" i="1"/>
  <c r="L69" i="36" s="1"/>
  <c r="AJ93" i="1"/>
  <c r="L94" i="36" s="1"/>
  <c r="AJ109" i="1"/>
  <c r="L110" i="36" s="1"/>
  <c r="AJ83" i="1"/>
  <c r="L84" i="36" s="1"/>
  <c r="AJ85" i="1"/>
  <c r="L86" i="36" s="1"/>
  <c r="AJ86" i="1"/>
  <c r="L87" i="36" s="1"/>
  <c r="AJ119" i="1"/>
  <c r="L120" i="36" s="1"/>
  <c r="O83" i="1"/>
  <c r="O119" i="1"/>
  <c r="O121" i="1"/>
  <c r="O123" i="1"/>
  <c r="O125" i="1"/>
  <c r="O85" i="1"/>
  <c r="O86" i="1"/>
  <c r="O81" i="1"/>
  <c r="O84" i="1"/>
  <c r="O118" i="1"/>
  <c r="O120" i="1"/>
  <c r="O122" i="1"/>
  <c r="O124" i="1"/>
  <c r="O82" i="1"/>
  <c r="O117" i="1"/>
  <c r="O113" i="1"/>
  <c r="O109" i="1"/>
  <c r="O105" i="1"/>
  <c r="O101" i="1"/>
  <c r="O97" i="1"/>
  <c r="O93" i="1"/>
  <c r="O80" i="1"/>
  <c r="O76" i="1"/>
  <c r="O72" i="1"/>
  <c r="O68" i="1"/>
  <c r="O64" i="1"/>
  <c r="O60" i="1"/>
  <c r="O56" i="1"/>
  <c r="O52" i="1"/>
  <c r="O43" i="1"/>
  <c r="O39" i="1"/>
  <c r="O35" i="1"/>
  <c r="O31" i="1"/>
  <c r="O27" i="1"/>
  <c r="O23" i="1"/>
  <c r="O19" i="1"/>
  <c r="O15" i="1"/>
  <c r="O11" i="1"/>
  <c r="O106" i="1"/>
  <c r="O94" i="1"/>
  <c r="O73" i="1"/>
  <c r="O57" i="1"/>
  <c r="O36" i="1"/>
  <c r="O28" i="1"/>
  <c r="O16" i="1"/>
  <c r="O116" i="1"/>
  <c r="O112" i="1"/>
  <c r="O108" i="1"/>
  <c r="O104" i="1"/>
  <c r="O100" i="1"/>
  <c r="O96" i="1"/>
  <c r="O92" i="1"/>
  <c r="O79" i="1"/>
  <c r="O75" i="1"/>
  <c r="O71" i="1"/>
  <c r="O67" i="1"/>
  <c r="O63" i="1"/>
  <c r="O59" i="1"/>
  <c r="O55" i="1"/>
  <c r="O51" i="1"/>
  <c r="O42" i="1"/>
  <c r="O38" i="1"/>
  <c r="O34" i="1"/>
  <c r="O30" i="1"/>
  <c r="O26" i="1"/>
  <c r="O22" i="1"/>
  <c r="O18" i="1"/>
  <c r="O14" i="1"/>
  <c r="O110" i="1"/>
  <c r="O102" i="1"/>
  <c r="O90" i="1"/>
  <c r="O69" i="1"/>
  <c r="O61" i="1"/>
  <c r="O44" i="1"/>
  <c r="O32" i="1"/>
  <c r="O20" i="1"/>
  <c r="O115" i="1"/>
  <c r="O111" i="1"/>
  <c r="O107" i="1"/>
  <c r="O103" i="1"/>
  <c r="O99" i="1"/>
  <c r="O95" i="1"/>
  <c r="O91" i="1"/>
  <c r="O78" i="1"/>
  <c r="O74" i="1"/>
  <c r="O70" i="1"/>
  <c r="O66" i="1"/>
  <c r="O62" i="1"/>
  <c r="O58" i="1"/>
  <c r="O54" i="1"/>
  <c r="O50" i="1"/>
  <c r="O41" i="1"/>
  <c r="O37" i="1"/>
  <c r="O33" i="1"/>
  <c r="O29" i="1"/>
  <c r="O25" i="1"/>
  <c r="O21" i="1"/>
  <c r="O17" i="1"/>
  <c r="O13" i="1"/>
  <c r="O114" i="1"/>
  <c r="O98" i="1"/>
  <c r="O77" i="1"/>
  <c r="O65" i="1"/>
  <c r="O53" i="1"/>
  <c r="O40" i="1"/>
  <c r="O24" i="1"/>
  <c r="O12" i="1"/>
  <c r="AJ307" i="1"/>
  <c r="L308" i="36" s="1"/>
  <c r="AJ301" i="1"/>
  <c r="L302" i="36" s="1"/>
  <c r="AJ295" i="1"/>
  <c r="L296" i="36" s="1"/>
  <c r="AJ292" i="1"/>
  <c r="L293" i="36" s="1"/>
  <c r="AJ298" i="1"/>
  <c r="L299" i="36" s="1"/>
  <c r="AJ300" i="1"/>
  <c r="L301" i="36" s="1"/>
  <c r="AJ305" i="1"/>
  <c r="L306" i="36" s="1"/>
  <c r="AJ294" i="1"/>
  <c r="L295" i="36" s="1"/>
  <c r="AJ296" i="1"/>
  <c r="L297" i="36" s="1"/>
  <c r="AJ299" i="1"/>
  <c r="L300" i="36" s="1"/>
  <c r="AJ308" i="1"/>
  <c r="L309" i="36" s="1"/>
  <c r="AJ302" i="1"/>
  <c r="L303" i="36" s="1"/>
  <c r="AJ293" i="1"/>
  <c r="L294" i="36" s="1"/>
  <c r="AJ309" i="1"/>
  <c r="L310" i="36" s="1"/>
  <c r="AJ291" i="1"/>
  <c r="L292" i="36" s="1"/>
  <c r="AJ310" i="1"/>
  <c r="L311" i="36" s="1"/>
  <c r="AJ304" i="1"/>
  <c r="L305" i="36" s="1"/>
  <c r="AJ303" i="1"/>
  <c r="L304" i="36" s="1"/>
  <c r="AJ290" i="1"/>
  <c r="L291" i="36" s="1"/>
  <c r="AJ306" i="1"/>
  <c r="L307" i="36" s="1"/>
  <c r="AJ297" i="1"/>
  <c r="L298" i="36" s="1"/>
  <c r="O158" i="1"/>
  <c r="O307" i="1"/>
  <c r="O303" i="1"/>
  <c r="O299" i="1"/>
  <c r="O295" i="1"/>
  <c r="O291" i="1"/>
  <c r="O308" i="1"/>
  <c r="O292" i="1"/>
  <c r="O310" i="1"/>
  <c r="O306" i="1"/>
  <c r="O302" i="1"/>
  <c r="O298" i="1"/>
  <c r="O294" i="1"/>
  <c r="O290" i="1"/>
  <c r="O300" i="1"/>
  <c r="O309" i="1"/>
  <c r="O305" i="1"/>
  <c r="O301" i="1"/>
  <c r="O297" i="1"/>
  <c r="O293" i="1"/>
  <c r="O304" i="1"/>
  <c r="O296" i="1"/>
  <c r="AJ250" i="1"/>
  <c r="L251" i="36" s="1"/>
  <c r="AJ251" i="1"/>
  <c r="L252" i="36" s="1"/>
  <c r="O256" i="1"/>
  <c r="O257" i="1"/>
  <c r="O261" i="1"/>
  <c r="O265" i="1"/>
  <c r="O266" i="1"/>
  <c r="O260" i="1"/>
  <c r="O264" i="1"/>
  <c r="O251" i="1"/>
  <c r="O253" i="1"/>
  <c r="O258" i="1"/>
  <c r="O262" i="1"/>
  <c r="O272" i="1"/>
  <c r="O268" i="1"/>
  <c r="O270" i="1"/>
  <c r="O254" i="1"/>
  <c r="O255" i="1"/>
  <c r="O259" i="1"/>
  <c r="O263" i="1"/>
  <c r="O267" i="1"/>
  <c r="O269" i="1"/>
  <c r="O252" i="1"/>
  <c r="O271" i="1"/>
  <c r="O250" i="1"/>
  <c r="AJ149" i="1"/>
  <c r="L150" i="36" s="1"/>
  <c r="AJ183" i="1"/>
  <c r="L184" i="36" s="1"/>
  <c r="AJ214" i="1"/>
  <c r="L215" i="36" s="1"/>
  <c r="AJ225" i="1"/>
  <c r="L226" i="36" s="1"/>
  <c r="AJ137" i="1"/>
  <c r="L138" i="36" s="1"/>
  <c r="AJ170" i="1"/>
  <c r="L171" i="36" s="1"/>
  <c r="AJ186" i="1"/>
  <c r="L187" i="36" s="1"/>
  <c r="AJ223" i="1"/>
  <c r="L224" i="36" s="1"/>
  <c r="AJ132" i="1"/>
  <c r="L133" i="36" s="1"/>
  <c r="AJ148" i="1"/>
  <c r="L149" i="36" s="1"/>
  <c r="AJ181" i="1"/>
  <c r="L182" i="36" s="1"/>
  <c r="AJ218" i="1"/>
  <c r="L219" i="36" s="1"/>
  <c r="AJ146" i="1"/>
  <c r="L147" i="36" s="1"/>
  <c r="AJ224" i="1"/>
  <c r="L225" i="36" s="1"/>
  <c r="AJ143" i="1"/>
  <c r="L144" i="36" s="1"/>
  <c r="AJ176" i="1"/>
  <c r="L177" i="36" s="1"/>
  <c r="AJ213" i="1"/>
  <c r="L214" i="36" s="1"/>
  <c r="AJ154" i="1"/>
  <c r="L155" i="36" s="1"/>
  <c r="AJ234" i="1"/>
  <c r="L235" i="36" s="1"/>
  <c r="AJ235" i="1"/>
  <c r="L236" i="36" s="1"/>
  <c r="AJ233" i="1"/>
  <c r="L234" i="36" s="1"/>
  <c r="AJ175" i="1"/>
  <c r="L176" i="36" s="1"/>
  <c r="AJ182" i="1"/>
  <c r="L183" i="36" s="1"/>
  <c r="AJ144" i="1"/>
  <c r="L145" i="36" s="1"/>
  <c r="AJ138" i="1"/>
  <c r="L139" i="36" s="1"/>
  <c r="AJ139" i="1"/>
  <c r="L140" i="36" s="1"/>
  <c r="AJ227" i="1"/>
  <c r="L228" i="36" s="1"/>
  <c r="AJ153" i="1"/>
  <c r="L154" i="36" s="1"/>
  <c r="AJ157" i="1"/>
  <c r="L158" i="36" s="1"/>
  <c r="AJ212" i="1"/>
  <c r="L213" i="36" s="1"/>
  <c r="AJ141" i="1"/>
  <c r="L142" i="36" s="1"/>
  <c r="AJ174" i="1"/>
  <c r="L175" i="36" s="1"/>
  <c r="AJ211" i="1"/>
  <c r="L212" i="36" s="1"/>
  <c r="AJ142" i="1"/>
  <c r="L143" i="36" s="1"/>
  <c r="AJ136" i="1"/>
  <c r="L137" i="36" s="1"/>
  <c r="AJ152" i="1"/>
  <c r="L153" i="36" s="1"/>
  <c r="AJ185" i="1"/>
  <c r="L186" i="36" s="1"/>
  <c r="AJ222" i="1"/>
  <c r="L223" i="36" s="1"/>
  <c r="AJ171" i="1"/>
  <c r="L172" i="36" s="1"/>
  <c r="AJ131" i="1"/>
  <c r="L132" i="36" s="1"/>
  <c r="AJ147" i="1"/>
  <c r="L148" i="36" s="1"/>
  <c r="AJ180" i="1"/>
  <c r="L181" i="36" s="1"/>
  <c r="AJ217" i="1"/>
  <c r="L218" i="36" s="1"/>
  <c r="AJ155" i="1"/>
  <c r="L156" i="36" s="1"/>
  <c r="AJ231" i="1"/>
  <c r="L232" i="36" s="1"/>
  <c r="AJ232" i="1"/>
  <c r="L233" i="36" s="1"/>
  <c r="AJ156" i="1"/>
  <c r="L157" i="36" s="1"/>
  <c r="AJ230" i="1"/>
  <c r="L231" i="36" s="1"/>
  <c r="AJ133" i="1"/>
  <c r="L134" i="36" s="1"/>
  <c r="AJ219" i="1"/>
  <c r="L220" i="36" s="1"/>
  <c r="AJ177" i="1"/>
  <c r="L178" i="36" s="1"/>
  <c r="AJ216" i="1"/>
  <c r="L217" i="36" s="1"/>
  <c r="AJ172" i="1"/>
  <c r="L173" i="36" s="1"/>
  <c r="AJ226" i="1"/>
  <c r="L227" i="36" s="1"/>
  <c r="AJ130" i="1"/>
  <c r="L131" i="36" s="1"/>
  <c r="AJ220" i="1"/>
  <c r="L221" i="36" s="1"/>
  <c r="AJ145" i="1"/>
  <c r="L146" i="36" s="1"/>
  <c r="AJ178" i="1"/>
  <c r="L179" i="36" s="1"/>
  <c r="AJ215" i="1"/>
  <c r="L216" i="36" s="1"/>
  <c r="AJ150" i="1"/>
  <c r="L151" i="36" s="1"/>
  <c r="AJ140" i="1"/>
  <c r="L141" i="36" s="1"/>
  <c r="AJ173" i="1"/>
  <c r="L174" i="36" s="1"/>
  <c r="AJ210" i="1"/>
  <c r="L211" i="36" s="1"/>
  <c r="AJ134" i="1"/>
  <c r="L135" i="36" s="1"/>
  <c r="AJ179" i="1"/>
  <c r="L180" i="36" s="1"/>
  <c r="AJ135" i="1"/>
  <c r="L136" i="36" s="1"/>
  <c r="AJ151" i="1"/>
  <c r="L152" i="36" s="1"/>
  <c r="AJ184" i="1"/>
  <c r="L185" i="36" s="1"/>
  <c r="AJ221" i="1"/>
  <c r="L222" i="36" s="1"/>
  <c r="AJ228" i="1"/>
  <c r="L229" i="36" s="1"/>
  <c r="AJ229" i="1"/>
  <c r="L230" i="36" s="1"/>
  <c r="AJ236" i="1"/>
  <c r="L237" i="36" s="1"/>
  <c r="O227" i="1"/>
  <c r="O230" i="1"/>
  <c r="O191" i="1"/>
  <c r="O193" i="1"/>
  <c r="O228" i="1"/>
  <c r="O231" i="1"/>
  <c r="O198" i="1"/>
  <c r="O155" i="1"/>
  <c r="O232" i="1"/>
  <c r="O234" i="1"/>
  <c r="O235" i="1"/>
  <c r="O236" i="1"/>
  <c r="O226" i="1"/>
  <c r="O195" i="1"/>
  <c r="O197" i="1"/>
  <c r="O190" i="1"/>
  <c r="O156" i="1"/>
  <c r="O153" i="1"/>
  <c r="O194" i="1"/>
  <c r="O189" i="1"/>
  <c r="O154" i="1"/>
  <c r="O229" i="1"/>
  <c r="O192" i="1"/>
  <c r="O233" i="1"/>
  <c r="O225" i="1"/>
  <c r="O196" i="1"/>
  <c r="O157" i="1"/>
  <c r="O223" i="1"/>
  <c r="O219" i="1"/>
  <c r="O215" i="1"/>
  <c r="O211" i="1"/>
  <c r="O186" i="1"/>
  <c r="O182" i="1"/>
  <c r="O178" i="1"/>
  <c r="O174" i="1"/>
  <c r="O170" i="1"/>
  <c r="O149" i="1"/>
  <c r="O145" i="1"/>
  <c r="O141" i="1"/>
  <c r="O137" i="1"/>
  <c r="O133" i="1"/>
  <c r="O220" i="1"/>
  <c r="O187" i="1"/>
  <c r="O175" i="1"/>
  <c r="O146" i="1"/>
  <c r="O134" i="1"/>
  <c r="O222" i="1"/>
  <c r="O218" i="1"/>
  <c r="O214" i="1"/>
  <c r="O210" i="1"/>
  <c r="O185" i="1"/>
  <c r="O181" i="1"/>
  <c r="O177" i="1"/>
  <c r="O173" i="1"/>
  <c r="O152" i="1"/>
  <c r="O148" i="1"/>
  <c r="O144" i="1"/>
  <c r="O140" i="1"/>
  <c r="O136" i="1"/>
  <c r="O132" i="1"/>
  <c r="O224" i="1"/>
  <c r="O212" i="1"/>
  <c r="O179" i="1"/>
  <c r="O150" i="1"/>
  <c r="O138" i="1"/>
  <c r="O130" i="1"/>
  <c r="O221" i="1"/>
  <c r="O217" i="1"/>
  <c r="O213" i="1"/>
  <c r="O188" i="1"/>
  <c r="O184" i="1"/>
  <c r="O180" i="1"/>
  <c r="O176" i="1"/>
  <c r="O172" i="1"/>
  <c r="O151" i="1"/>
  <c r="O147" i="1"/>
  <c r="O143" i="1"/>
  <c r="O139" i="1"/>
  <c r="O135" i="1"/>
  <c r="O131" i="1"/>
  <c r="O216" i="1"/>
  <c r="O183" i="1"/>
  <c r="O171" i="1"/>
  <c r="O142" i="1"/>
  <c r="C131" i="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J107" i="14"/>
  <c r="J180" i="14"/>
  <c r="J27" i="14"/>
  <c r="F33" i="36" s="1"/>
  <c r="F29" i="40"/>
  <c r="J216" i="14"/>
  <c r="J72" i="14"/>
  <c r="O10" i="1"/>
  <c r="R10" i="1" s="1"/>
  <c r="R12" i="1"/>
  <c r="H13" i="36" s="1"/>
  <c r="R187" i="1"/>
  <c r="H188" i="36" s="1"/>
  <c r="R188" i="1"/>
  <c r="H189" i="36" s="1"/>
  <c r="K11" i="36"/>
  <c r="AJ10" i="1"/>
  <c r="L11" i="36" s="1"/>
  <c r="R11" i="1"/>
  <c r="H12" i="36" s="1"/>
  <c r="F519" i="40" l="1"/>
  <c r="F522" i="36"/>
  <c r="F183" i="40"/>
  <c r="F186" i="36"/>
  <c r="F110" i="40"/>
  <c r="F113" i="36"/>
  <c r="F75" i="40"/>
  <c r="F78" i="36"/>
  <c r="F219" i="40"/>
  <c r="F222" i="36"/>
  <c r="S450" i="1"/>
  <c r="I451" i="36" s="1"/>
  <c r="S481" i="1"/>
  <c r="I482" i="36" s="1"/>
  <c r="S482" i="1"/>
  <c r="I483" i="36" s="1"/>
  <c r="J517" i="14"/>
  <c r="J357" i="14"/>
  <c r="F363" i="36" s="1"/>
  <c r="F359" i="40"/>
  <c r="J254" i="14"/>
  <c r="F260" i="36" s="1"/>
  <c r="F256" i="40"/>
  <c r="C171" i="1"/>
  <c r="C172" i="1" s="1"/>
  <c r="C173" i="1" s="1"/>
  <c r="C174" i="1" s="1"/>
  <c r="C175" i="1" s="1"/>
  <c r="C176" i="1" s="1"/>
  <c r="C177" i="1" s="1"/>
  <c r="C178" i="1" s="1"/>
  <c r="C179" i="1" s="1"/>
  <c r="C180" i="1" s="1"/>
  <c r="C181" i="1" s="1"/>
  <c r="C182" i="1" s="1"/>
  <c r="C183" i="1" s="1"/>
  <c r="C184" i="1" s="1"/>
  <c r="C185" i="1" s="1"/>
  <c r="C186" i="1" s="1"/>
  <c r="C187" i="1" s="1"/>
  <c r="C188" i="1" s="1"/>
  <c r="J73" i="14"/>
  <c r="J28" i="14"/>
  <c r="F34" i="36" s="1"/>
  <c r="F30" i="40"/>
  <c r="J181" i="14"/>
  <c r="J217" i="14"/>
  <c r="J108" i="14"/>
  <c r="S12" i="1"/>
  <c r="I13" i="36" s="1"/>
  <c r="S188" i="1"/>
  <c r="I189" i="36" s="1"/>
  <c r="S187" i="1"/>
  <c r="I188" i="36" s="1"/>
  <c r="H11" i="36"/>
  <c r="S10" i="1"/>
  <c r="I11" i="36" s="1"/>
  <c r="S11" i="1"/>
  <c r="I12" i="36" s="1"/>
  <c r="F220" i="40" l="1"/>
  <c r="F223" i="36"/>
  <c r="F184" i="40"/>
  <c r="F187" i="36"/>
  <c r="F520" i="40"/>
  <c r="F523" i="36"/>
  <c r="F76" i="40"/>
  <c r="F79" i="36"/>
  <c r="F111" i="40"/>
  <c r="F114" i="36"/>
  <c r="J518" i="14"/>
  <c r="J358" i="14"/>
  <c r="F364" i="36" s="1"/>
  <c r="F360" i="40"/>
  <c r="J255" i="14"/>
  <c r="F261" i="36" s="1"/>
  <c r="F257" i="40"/>
  <c r="C211" i="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189" i="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J182" i="14"/>
  <c r="J74" i="14"/>
  <c r="J109" i="14"/>
  <c r="J218" i="14"/>
  <c r="J29" i="14"/>
  <c r="F35" i="36" s="1"/>
  <c r="F31" i="40"/>
  <c r="G559" i="1"/>
  <c r="I560" i="1"/>
  <c r="F221" i="40" l="1"/>
  <c r="F224" i="36"/>
  <c r="F112" i="40"/>
  <c r="F115" i="36"/>
  <c r="F77" i="40"/>
  <c r="F80" i="36"/>
  <c r="F521" i="40"/>
  <c r="F524" i="36"/>
  <c r="F185" i="40"/>
  <c r="F188" i="36"/>
  <c r="AN448" i="1"/>
  <c r="AM447" i="1"/>
  <c r="W447" i="1"/>
  <c r="V446" i="1"/>
  <c r="AN444" i="1"/>
  <c r="AM443" i="1"/>
  <c r="W443" i="1"/>
  <c r="V442" i="1"/>
  <c r="AN440" i="1"/>
  <c r="AM439" i="1"/>
  <c r="W439" i="1"/>
  <c r="V438" i="1"/>
  <c r="AN436" i="1"/>
  <c r="W435" i="1"/>
  <c r="V434" i="1"/>
  <c r="W433" i="1"/>
  <c r="V432" i="1"/>
  <c r="AN430" i="1"/>
  <c r="W446" i="1"/>
  <c r="AN439" i="1"/>
  <c r="W434" i="1"/>
  <c r="AN431" i="1"/>
  <c r="W448" i="1"/>
  <c r="AN441" i="1"/>
  <c r="V433" i="1"/>
  <c r="V431" i="1"/>
  <c r="W430" i="1"/>
  <c r="V429" i="1"/>
  <c r="AN426" i="1"/>
  <c r="V425" i="1"/>
  <c r="AN422" i="1"/>
  <c r="V421" i="1"/>
  <c r="AN418" i="1"/>
  <c r="AN445" i="1"/>
  <c r="AM436" i="1"/>
  <c r="AM434" i="1"/>
  <c r="V428" i="1"/>
  <c r="AM426" i="1"/>
  <c r="V424" i="1"/>
  <c r="AM422" i="1"/>
  <c r="V420" i="1"/>
  <c r="AM418" i="1"/>
  <c r="W444" i="1"/>
  <c r="V439" i="1"/>
  <c r="Z439" i="1" s="1"/>
  <c r="J440" i="36" s="1"/>
  <c r="W438" i="1"/>
  <c r="AN433" i="1"/>
  <c r="W429" i="1"/>
  <c r="AM425" i="1"/>
  <c r="AN423" i="1"/>
  <c r="W422" i="1"/>
  <c r="V417" i="1"/>
  <c r="W415" i="1"/>
  <c r="W414" i="1"/>
  <c r="AN412" i="1"/>
  <c r="AN411" i="1"/>
  <c r="V410" i="1"/>
  <c r="AM408" i="1"/>
  <c r="W404" i="1"/>
  <c r="W403" i="1"/>
  <c r="V449" i="1"/>
  <c r="AN435" i="1"/>
  <c r="W421" i="1"/>
  <c r="V413" i="1"/>
  <c r="AN409" i="1"/>
  <c r="AN396" i="1"/>
  <c r="AM446" i="1"/>
  <c r="W436" i="1"/>
  <c r="W425" i="1"/>
  <c r="AM421" i="1"/>
  <c r="AN419" i="1"/>
  <c r="W418" i="1"/>
  <c r="AN415" i="1"/>
  <c r="V414" i="1"/>
  <c r="AM411" i="1"/>
  <c r="AM407" i="1"/>
  <c r="AN405" i="1"/>
  <c r="AN404" i="1"/>
  <c r="V403" i="1"/>
  <c r="V402" i="1"/>
  <c r="AM442" i="1"/>
  <c r="AM415" i="1"/>
  <c r="AM410" i="1"/>
  <c r="W408" i="1"/>
  <c r="W407" i="1"/>
  <c r="AM404" i="1"/>
  <c r="AQ404" i="1" s="1"/>
  <c r="M405" i="36" s="1"/>
  <c r="AN400" i="1"/>
  <c r="AM399" i="1"/>
  <c r="W399" i="1"/>
  <c r="V398" i="1"/>
  <c r="AN427" i="1"/>
  <c r="AM417" i="1"/>
  <c r="V416" i="1"/>
  <c r="AM396" i="1"/>
  <c r="AQ396" i="1" s="1"/>
  <c r="M397" i="36" s="1"/>
  <c r="W396" i="1"/>
  <c r="V395" i="1"/>
  <c r="AN392" i="1"/>
  <c r="V391" i="1"/>
  <c r="AN388" i="1"/>
  <c r="V387" i="1"/>
  <c r="AN384" i="1"/>
  <c r="V383" i="1"/>
  <c r="AN380" i="1"/>
  <c r="V379" i="1"/>
  <c r="AN376" i="1"/>
  <c r="V375" i="1"/>
  <c r="AM372" i="1"/>
  <c r="AM391" i="1"/>
  <c r="AM387" i="1"/>
  <c r="W411" i="1"/>
  <c r="V407" i="1"/>
  <c r="AN401" i="1"/>
  <c r="V399" i="1"/>
  <c r="Z399" i="1" s="1"/>
  <c r="J400" i="36" s="1"/>
  <c r="W395" i="1"/>
  <c r="AN393" i="1"/>
  <c r="W387" i="1"/>
  <c r="V445" i="1"/>
  <c r="AM400" i="1"/>
  <c r="AQ400" i="1" s="1"/>
  <c r="M401" i="36" s="1"/>
  <c r="W400" i="1"/>
  <c r="AN397" i="1"/>
  <c r="V394" i="1"/>
  <c r="AM392" i="1"/>
  <c r="V390" i="1"/>
  <c r="AM388" i="1"/>
  <c r="V386" i="1"/>
  <c r="AM384" i="1"/>
  <c r="V382" i="1"/>
  <c r="AM380" i="1"/>
  <c r="V378" i="1"/>
  <c r="AM376" i="1"/>
  <c r="V374" i="1"/>
  <c r="AM371" i="1"/>
  <c r="W442" i="1"/>
  <c r="AN429" i="1"/>
  <c r="W426" i="1"/>
  <c r="AM414" i="1"/>
  <c r="AN408" i="1"/>
  <c r="AM395" i="1"/>
  <c r="AM383" i="1"/>
  <c r="AM379" i="1"/>
  <c r="AM375" i="1"/>
  <c r="W372" i="1"/>
  <c r="W371" i="1"/>
  <c r="AM448" i="1"/>
  <c r="AQ448" i="1" s="1"/>
  <c r="M449" i="36" s="1"/>
  <c r="W410" i="1"/>
  <c r="V406" i="1"/>
  <c r="AM403" i="1"/>
  <c r="W392" i="1"/>
  <c r="W391" i="1"/>
  <c r="AN389" i="1"/>
  <c r="W388" i="1"/>
  <c r="AN385" i="1"/>
  <c r="W384" i="1"/>
  <c r="W383" i="1"/>
  <c r="AN381" i="1"/>
  <c r="W380" i="1"/>
  <c r="W379" i="1"/>
  <c r="AN377" i="1"/>
  <c r="W376" i="1"/>
  <c r="W375" i="1"/>
  <c r="AN373" i="1"/>
  <c r="AN372" i="1"/>
  <c r="V371" i="1"/>
  <c r="Z371" i="1" s="1"/>
  <c r="J372" i="36" s="1"/>
  <c r="V370" i="1"/>
  <c r="V373" i="1"/>
  <c r="V377" i="1"/>
  <c r="V381" i="1"/>
  <c r="V385" i="1"/>
  <c r="AN390" i="1"/>
  <c r="V400" i="1"/>
  <c r="Z400" i="1" s="1"/>
  <c r="J401" i="36" s="1"/>
  <c r="AN371" i="1"/>
  <c r="W377" i="1"/>
  <c r="W382" i="1"/>
  <c r="W390" i="1"/>
  <c r="AM377" i="1"/>
  <c r="V384" i="1"/>
  <c r="AM398" i="1"/>
  <c r="AM405" i="1"/>
  <c r="AN394" i="1"/>
  <c r="V396" i="1"/>
  <c r="Z396" i="1" s="1"/>
  <c r="J397" i="36" s="1"/>
  <c r="V372" i="1"/>
  <c r="AM386" i="1"/>
  <c r="AN398" i="1"/>
  <c r="AN410" i="1"/>
  <c r="AN421" i="1"/>
  <c r="AM401" i="1"/>
  <c r="V411" i="1"/>
  <c r="W417" i="1"/>
  <c r="W423" i="1"/>
  <c r="V427" i="1"/>
  <c r="AM432" i="1"/>
  <c r="V404" i="1"/>
  <c r="Z404" i="1" s="1"/>
  <c r="J405" i="36" s="1"/>
  <c r="V415" i="1"/>
  <c r="Z415" i="1" s="1"/>
  <c r="J416" i="36" s="1"/>
  <c r="W405" i="1"/>
  <c r="V408" i="1"/>
  <c r="AN413" i="1"/>
  <c r="W424" i="1"/>
  <c r="V422" i="1"/>
  <c r="Z422" i="1" s="1"/>
  <c r="J423" i="36" s="1"/>
  <c r="AN449" i="1"/>
  <c r="AM424" i="1"/>
  <c r="V443" i="1"/>
  <c r="Z443" i="1" s="1"/>
  <c r="J444" i="36" s="1"/>
  <c r="AN438" i="1"/>
  <c r="AN442" i="1"/>
  <c r="AN446" i="1"/>
  <c r="AN374" i="1"/>
  <c r="AN378" i="1"/>
  <c r="AN382" i="1"/>
  <c r="AN386" i="1"/>
  <c r="W373" i="1"/>
  <c r="W378" i="1"/>
  <c r="W412" i="1"/>
  <c r="AM381" i="1"/>
  <c r="AQ381" i="1" s="1"/>
  <c r="M382" i="36" s="1"/>
  <c r="V388" i="1"/>
  <c r="Z388" i="1" s="1"/>
  <c r="J389" i="36" s="1"/>
  <c r="V392" i="1"/>
  <c r="Z392" i="1" s="1"/>
  <c r="J393" i="36" s="1"/>
  <c r="V437" i="1"/>
  <c r="AN395" i="1"/>
  <c r="AN370" i="1"/>
  <c r="W370" i="1"/>
  <c r="AM382" i="1"/>
  <c r="AQ382" i="1" s="1"/>
  <c r="M383" i="36" s="1"/>
  <c r="V409" i="1"/>
  <c r="AM402" i="1"/>
  <c r="AM413" i="1"/>
  <c r="W420" i="1"/>
  <c r="V441" i="1"/>
  <c r="AN406" i="1"/>
  <c r="W406" i="1"/>
  <c r="AN447" i="1"/>
  <c r="AM423" i="1"/>
  <c r="AQ423" i="1" s="1"/>
  <c r="M424" i="36" s="1"/>
  <c r="W432" i="1"/>
  <c r="AN443" i="1"/>
  <c r="AM416" i="1"/>
  <c r="AM428" i="1"/>
  <c r="AN437" i="1"/>
  <c r="AM429" i="1"/>
  <c r="AM435" i="1"/>
  <c r="AQ435" i="1" s="1"/>
  <c r="M436" i="36" s="1"/>
  <c r="V436" i="1"/>
  <c r="Z436" i="1" s="1"/>
  <c r="J437" i="36" s="1"/>
  <c r="V440" i="1"/>
  <c r="V444" i="1"/>
  <c r="Z444" i="1" s="1"/>
  <c r="J445" i="36" s="1"/>
  <c r="V448" i="1"/>
  <c r="Z448" i="1" s="1"/>
  <c r="J449" i="36" s="1"/>
  <c r="AN387" i="1"/>
  <c r="AN424" i="1"/>
  <c r="W374" i="1"/>
  <c r="W386" i="1"/>
  <c r="W393" i="1"/>
  <c r="V376" i="1"/>
  <c r="Z376" i="1" s="1"/>
  <c r="J377" i="36" s="1"/>
  <c r="AM385" i="1"/>
  <c r="AM393" i="1"/>
  <c r="AQ393" i="1" s="1"/>
  <c r="M394" i="36" s="1"/>
  <c r="V401" i="1"/>
  <c r="W413" i="1"/>
  <c r="AN391" i="1"/>
  <c r="W397" i="1"/>
  <c r="W385" i="1"/>
  <c r="AM378" i="1"/>
  <c r="AM394" i="1"/>
  <c r="AM406" i="1"/>
  <c r="W428" i="1"/>
  <c r="W419" i="1"/>
  <c r="V423" i="1"/>
  <c r="V405" i="1"/>
  <c r="AN416" i="1"/>
  <c r="AN425" i="1"/>
  <c r="W401" i="1"/>
  <c r="AN407" i="1"/>
  <c r="AN428" i="1"/>
  <c r="AN402" i="1"/>
  <c r="AM409" i="1"/>
  <c r="AN414" i="1"/>
  <c r="AN420" i="1"/>
  <c r="V418" i="1"/>
  <c r="Z418" i="1" s="1"/>
  <c r="J419" i="36" s="1"/>
  <c r="V426" i="1"/>
  <c r="Z426" i="1" s="1"/>
  <c r="J427" i="36" s="1"/>
  <c r="AN417" i="1"/>
  <c r="AM431" i="1"/>
  <c r="AQ431" i="1" s="1"/>
  <c r="M432" i="36" s="1"/>
  <c r="V447" i="1"/>
  <c r="Z447" i="1" s="1"/>
  <c r="J448" i="36" s="1"/>
  <c r="V430" i="1"/>
  <c r="Z430" i="1" s="1"/>
  <c r="J431" i="36" s="1"/>
  <c r="AM433" i="1"/>
  <c r="AQ433" i="1" s="1"/>
  <c r="M434" i="36" s="1"/>
  <c r="W437" i="1"/>
  <c r="W441" i="1"/>
  <c r="W445" i="1"/>
  <c r="W449" i="1"/>
  <c r="V389" i="1"/>
  <c r="W381" i="1"/>
  <c r="AM397" i="1"/>
  <c r="AM412" i="1"/>
  <c r="AQ412" i="1" s="1"/>
  <c r="M413" i="36" s="1"/>
  <c r="AN403" i="1"/>
  <c r="V412" i="1"/>
  <c r="AM427" i="1"/>
  <c r="AQ427" i="1" s="1"/>
  <c r="M428" i="36" s="1"/>
  <c r="AN432" i="1"/>
  <c r="AM437" i="1"/>
  <c r="AN375" i="1"/>
  <c r="AN399" i="1"/>
  <c r="V419" i="1"/>
  <c r="AM373" i="1"/>
  <c r="W398" i="1"/>
  <c r="W389" i="1"/>
  <c r="W440" i="1"/>
  <c r="V435" i="1"/>
  <c r="Z435" i="1" s="1"/>
  <c r="J436" i="36" s="1"/>
  <c r="AM444" i="1"/>
  <c r="AQ444" i="1" s="1"/>
  <c r="M445" i="36" s="1"/>
  <c r="W431" i="1"/>
  <c r="AM441" i="1"/>
  <c r="AN379" i="1"/>
  <c r="W394" i="1"/>
  <c r="AM370" i="1"/>
  <c r="AM374" i="1"/>
  <c r="V397" i="1"/>
  <c r="W409" i="1"/>
  <c r="AM430" i="1"/>
  <c r="AQ430" i="1" s="1"/>
  <c r="M431" i="36" s="1"/>
  <c r="W416" i="1"/>
  <c r="W427" i="1"/>
  <c r="AM440" i="1"/>
  <c r="AQ440" i="1" s="1"/>
  <c r="M441" i="36" s="1"/>
  <c r="AM420" i="1"/>
  <c r="AM438" i="1"/>
  <c r="AN434" i="1"/>
  <c r="AM445" i="1"/>
  <c r="AQ445" i="1" s="1"/>
  <c r="M446" i="36" s="1"/>
  <c r="V393" i="1"/>
  <c r="W402" i="1"/>
  <c r="AN383" i="1"/>
  <c r="AM390" i="1"/>
  <c r="AQ390" i="1" s="1"/>
  <c r="M391" i="36" s="1"/>
  <c r="V380" i="1"/>
  <c r="Z380" i="1" s="1"/>
  <c r="J381" i="36" s="1"/>
  <c r="AM389" i="1"/>
  <c r="AQ389" i="1" s="1"/>
  <c r="M390" i="36" s="1"/>
  <c r="AM419" i="1"/>
  <c r="AQ419" i="1" s="1"/>
  <c r="M420" i="36" s="1"/>
  <c r="AM449" i="1"/>
  <c r="AM529" i="1"/>
  <c r="W529" i="1"/>
  <c r="V528" i="1"/>
  <c r="AN526" i="1"/>
  <c r="AM525" i="1"/>
  <c r="W525" i="1"/>
  <c r="V524" i="1"/>
  <c r="AN522" i="1"/>
  <c r="AM521" i="1"/>
  <c r="W521" i="1"/>
  <c r="V520" i="1"/>
  <c r="AN518" i="1"/>
  <c r="AM517" i="1"/>
  <c r="W517" i="1"/>
  <c r="V516" i="1"/>
  <c r="AN514" i="1"/>
  <c r="AN512" i="1"/>
  <c r="AM511" i="1"/>
  <c r="W511" i="1"/>
  <c r="V510" i="1"/>
  <c r="AN508" i="1"/>
  <c r="AM507" i="1"/>
  <c r="W507" i="1"/>
  <c r="V506" i="1"/>
  <c r="AN504" i="1"/>
  <c r="AN529" i="1"/>
  <c r="V527" i="1"/>
  <c r="V523" i="1"/>
  <c r="V519" i="1"/>
  <c r="AM516" i="1"/>
  <c r="W516" i="1"/>
  <c r="AN513" i="1"/>
  <c r="AN505" i="1"/>
  <c r="AM504" i="1"/>
  <c r="AM500" i="1"/>
  <c r="AN497" i="1"/>
  <c r="V511" i="1"/>
  <c r="AM508" i="1"/>
  <c r="W508" i="1"/>
  <c r="AN525" i="1"/>
  <c r="W512" i="1"/>
  <c r="V507" i="1"/>
  <c r="W504" i="1"/>
  <c r="V503" i="1"/>
  <c r="V495" i="1"/>
  <c r="AM528" i="1"/>
  <c r="W528" i="1"/>
  <c r="AM524" i="1"/>
  <c r="W524" i="1"/>
  <c r="AM520" i="1"/>
  <c r="W520" i="1"/>
  <c r="AN517" i="1"/>
  <c r="V515" i="1"/>
  <c r="AN509" i="1"/>
  <c r="AM503" i="1"/>
  <c r="W503" i="1"/>
  <c r="V502" i="1"/>
  <c r="AN500" i="1"/>
  <c r="AM499" i="1"/>
  <c r="W499" i="1"/>
  <c r="V498" i="1"/>
  <c r="AN496" i="1"/>
  <c r="AM495" i="1"/>
  <c r="W495" i="1"/>
  <c r="V494" i="1"/>
  <c r="AN492" i="1"/>
  <c r="AM491" i="1"/>
  <c r="W491" i="1"/>
  <c r="V490" i="1"/>
  <c r="AN521" i="1"/>
  <c r="AM512" i="1"/>
  <c r="AN501" i="1"/>
  <c r="W500" i="1"/>
  <c r="V499" i="1"/>
  <c r="AM496" i="1"/>
  <c r="W496" i="1"/>
  <c r="AM492" i="1"/>
  <c r="V491" i="1"/>
  <c r="AN493" i="1"/>
  <c r="W492" i="1"/>
  <c r="AN491" i="1"/>
  <c r="AN502" i="1"/>
  <c r="AM497" i="1"/>
  <c r="V492" i="1"/>
  <c r="Z492" i="1" s="1"/>
  <c r="J493" i="36" s="1"/>
  <c r="AM494" i="1"/>
  <c r="V493" i="1"/>
  <c r="W498" i="1"/>
  <c r="AN503" i="1"/>
  <c r="AM522" i="1"/>
  <c r="AM505" i="1"/>
  <c r="W513" i="1"/>
  <c r="V521" i="1"/>
  <c r="AM502" i="1"/>
  <c r="V509" i="1"/>
  <c r="V517" i="1"/>
  <c r="AM510" i="1"/>
  <c r="W506" i="1"/>
  <c r="AN523" i="1"/>
  <c r="AM515" i="1"/>
  <c r="AM519" i="1"/>
  <c r="AM523" i="1"/>
  <c r="AM527" i="1"/>
  <c r="W493" i="1"/>
  <c r="AM490" i="1"/>
  <c r="AM498" i="1"/>
  <c r="W501" i="1"/>
  <c r="V496" i="1"/>
  <c r="W494" i="1"/>
  <c r="V501" i="1"/>
  <c r="V505" i="1"/>
  <c r="W526" i="1"/>
  <c r="AM513" i="1"/>
  <c r="AQ513" i="1" s="1"/>
  <c r="M514" i="36" s="1"/>
  <c r="V525" i="1"/>
  <c r="V508" i="1"/>
  <c r="V504" i="1"/>
  <c r="Z504" i="1" s="1"/>
  <c r="J505" i="36" s="1"/>
  <c r="AN511" i="1"/>
  <c r="V513" i="1"/>
  <c r="AN506" i="1"/>
  <c r="W514" i="1"/>
  <c r="AN516" i="1"/>
  <c r="AN520" i="1"/>
  <c r="AN524" i="1"/>
  <c r="AN528" i="1"/>
  <c r="AM493" i="1"/>
  <c r="AN499" i="1"/>
  <c r="W490" i="1"/>
  <c r="W497" i="1"/>
  <c r="AN494" i="1"/>
  <c r="AM501" i="1"/>
  <c r="AN507" i="1"/>
  <c r="W510" i="1"/>
  <c r="AN515" i="1"/>
  <c r="W522" i="1"/>
  <c r="V512" i="1"/>
  <c r="V529" i="1"/>
  <c r="W509" i="1"/>
  <c r="AN519" i="1"/>
  <c r="AN527" i="1"/>
  <c r="V514" i="1"/>
  <c r="V518" i="1"/>
  <c r="V522" i="1"/>
  <c r="Z522" i="1" s="1"/>
  <c r="J523" i="36" s="1"/>
  <c r="V526" i="1"/>
  <c r="V500" i="1"/>
  <c r="V497" i="1"/>
  <c r="W502" i="1"/>
  <c r="AN490" i="1"/>
  <c r="AN498" i="1"/>
  <c r="AN495" i="1"/>
  <c r="AM518" i="1"/>
  <c r="W505" i="1"/>
  <c r="AN510" i="1"/>
  <c r="W518" i="1"/>
  <c r="AM526" i="1"/>
  <c r="AM506" i="1"/>
  <c r="AQ506" i="1" s="1"/>
  <c r="M507" i="36" s="1"/>
  <c r="AM514" i="1"/>
  <c r="AM509" i="1"/>
  <c r="W515" i="1"/>
  <c r="W519" i="1"/>
  <c r="W523" i="1"/>
  <c r="W527" i="1"/>
  <c r="J519" i="14"/>
  <c r="V456" i="1"/>
  <c r="W457" i="1"/>
  <c r="AM458" i="1"/>
  <c r="V460" i="1"/>
  <c r="W461" i="1"/>
  <c r="AM462" i="1"/>
  <c r="W466" i="1"/>
  <c r="AN467" i="1"/>
  <c r="V469" i="1"/>
  <c r="AM469" i="1"/>
  <c r="AM470" i="1"/>
  <c r="V477" i="1"/>
  <c r="AM477" i="1"/>
  <c r="AM478" i="1"/>
  <c r="AN482" i="1"/>
  <c r="V484" i="1"/>
  <c r="W485" i="1"/>
  <c r="AN486" i="1"/>
  <c r="AN487" i="1"/>
  <c r="V361" i="1"/>
  <c r="AN364" i="1"/>
  <c r="V366" i="1"/>
  <c r="AN367" i="1"/>
  <c r="V369" i="1"/>
  <c r="AN451" i="1"/>
  <c r="V453" i="1"/>
  <c r="AM453" i="1"/>
  <c r="AM454" i="1"/>
  <c r="AN458" i="1"/>
  <c r="AN462" i="1"/>
  <c r="AN463" i="1"/>
  <c r="W469" i="1"/>
  <c r="AN470" i="1"/>
  <c r="AN471" i="1"/>
  <c r="V473" i="1"/>
  <c r="AM473" i="1"/>
  <c r="AM474" i="1"/>
  <c r="W477" i="1"/>
  <c r="AN478" i="1"/>
  <c r="AN479" i="1"/>
  <c r="AM481" i="1"/>
  <c r="AN483" i="1"/>
  <c r="W486" i="1"/>
  <c r="AM489" i="1"/>
  <c r="AM362" i="1"/>
  <c r="AM363" i="1"/>
  <c r="W366" i="1"/>
  <c r="W367" i="1"/>
  <c r="AN368" i="1"/>
  <c r="W453" i="1"/>
  <c r="AN454" i="1"/>
  <c r="AN455" i="1"/>
  <c r="W458" i="1"/>
  <c r="AN459" i="1"/>
  <c r="W462" i="1"/>
  <c r="V465" i="1"/>
  <c r="AM465" i="1"/>
  <c r="AM466" i="1"/>
  <c r="V468" i="1"/>
  <c r="W470" i="1"/>
  <c r="W473" i="1"/>
  <c r="AN474" i="1"/>
  <c r="V476" i="1"/>
  <c r="W478" i="1"/>
  <c r="V481" i="1"/>
  <c r="W489" i="1"/>
  <c r="AN489" i="1"/>
  <c r="V362" i="1"/>
  <c r="AN363" i="1"/>
  <c r="V365" i="1"/>
  <c r="V452" i="1"/>
  <c r="W454" i="1"/>
  <c r="V461" i="1"/>
  <c r="Z461" i="1" s="1"/>
  <c r="J462" i="36" s="1"/>
  <c r="AN475" i="1"/>
  <c r="W481" i="1"/>
  <c r="V485" i="1"/>
  <c r="V488" i="1"/>
  <c r="AM488" i="1"/>
  <c r="AM366" i="1"/>
  <c r="V457" i="1"/>
  <c r="V464" i="1"/>
  <c r="W482" i="1"/>
  <c r="AM482" i="1"/>
  <c r="AQ482" i="1" s="1"/>
  <c r="M483" i="36" s="1"/>
  <c r="AM485" i="1"/>
  <c r="V480" i="1"/>
  <c r="AM487" i="1"/>
  <c r="W362" i="1"/>
  <c r="AM457" i="1"/>
  <c r="W465" i="1"/>
  <c r="AN466" i="1"/>
  <c r="AM486" i="1"/>
  <c r="W363" i="1"/>
  <c r="AM461" i="1"/>
  <c r="V472" i="1"/>
  <c r="W474" i="1"/>
  <c r="AM367" i="1"/>
  <c r="AN477" i="1"/>
  <c r="AM483" i="1"/>
  <c r="AQ483" i="1" s="1"/>
  <c r="M484" i="36" s="1"/>
  <c r="AN476" i="1"/>
  <c r="W361" i="1"/>
  <c r="Z361" i="1" s="1"/>
  <c r="J362" i="36" s="1"/>
  <c r="AM451" i="1"/>
  <c r="AQ451" i="1" s="1"/>
  <c r="M452" i="36" s="1"/>
  <c r="V367" i="1"/>
  <c r="AN469" i="1"/>
  <c r="AN452" i="1"/>
  <c r="AN366" i="1"/>
  <c r="AN488" i="1"/>
  <c r="AQ488" i="1" s="1"/>
  <c r="M489" i="36" s="1"/>
  <c r="AN484" i="1"/>
  <c r="W472" i="1"/>
  <c r="W467" i="1"/>
  <c r="AN461" i="1"/>
  <c r="AM452" i="1"/>
  <c r="V450" i="1"/>
  <c r="AN361" i="1"/>
  <c r="AN480" i="1"/>
  <c r="V474" i="1"/>
  <c r="Z474" i="1" s="1"/>
  <c r="J475" i="36" s="1"/>
  <c r="AN464" i="1"/>
  <c r="V451" i="1"/>
  <c r="W483" i="1"/>
  <c r="V475" i="1"/>
  <c r="AM464" i="1"/>
  <c r="V458" i="1"/>
  <c r="Z458" i="1" s="1"/>
  <c r="J459" i="36" s="1"/>
  <c r="AM368" i="1"/>
  <c r="V483" i="1"/>
  <c r="V459" i="1"/>
  <c r="W484" i="1"/>
  <c r="V486" i="1"/>
  <c r="W364" i="1"/>
  <c r="AM463" i="1"/>
  <c r="AN450" i="1"/>
  <c r="AM365" i="1"/>
  <c r="W488" i="1"/>
  <c r="W480" i="1"/>
  <c r="V471" i="1"/>
  <c r="V466" i="1"/>
  <c r="AN460" i="1"/>
  <c r="W452" i="1"/>
  <c r="AN369" i="1"/>
  <c r="V487" i="1"/>
  <c r="W476" i="1"/>
  <c r="W468" i="1"/>
  <c r="AM460" i="1"/>
  <c r="AN362" i="1"/>
  <c r="AN481" i="1"/>
  <c r="AN473" i="1"/>
  <c r="V462" i="1"/>
  <c r="AM455" i="1"/>
  <c r="W368" i="1"/>
  <c r="AM479" i="1"/>
  <c r="AQ479" i="1" s="1"/>
  <c r="M480" i="36" s="1"/>
  <c r="AM369" i="1"/>
  <c r="W460" i="1"/>
  <c r="AM472" i="1"/>
  <c r="AM471" i="1"/>
  <c r="W463" i="1"/>
  <c r="W450" i="1"/>
  <c r="AM364" i="1"/>
  <c r="W487" i="1"/>
  <c r="V479" i="1"/>
  <c r="AM468" i="1"/>
  <c r="W464" i="1"/>
  <c r="AN457" i="1"/>
  <c r="W451" i="1"/>
  <c r="W365" i="1"/>
  <c r="Z365" i="1" s="1"/>
  <c r="J366" i="36" s="1"/>
  <c r="AM484" i="1"/>
  <c r="AQ484" i="1" s="1"/>
  <c r="M485" i="36" s="1"/>
  <c r="AM475" i="1"/>
  <c r="V467" i="1"/>
  <c r="Z467" i="1" s="1"/>
  <c r="J468" i="36" s="1"/>
  <c r="AM456" i="1"/>
  <c r="AM361" i="1"/>
  <c r="AM480" i="1"/>
  <c r="AN472" i="1"/>
  <c r="AM459" i="1"/>
  <c r="AQ459" i="1" s="1"/>
  <c r="M460" i="36" s="1"/>
  <c r="W455" i="1"/>
  <c r="AN365" i="1"/>
  <c r="W479" i="1"/>
  <c r="W369" i="1"/>
  <c r="V455" i="1"/>
  <c r="AN468" i="1"/>
  <c r="W471" i="1"/>
  <c r="W456" i="1"/>
  <c r="V368" i="1"/>
  <c r="Z368" i="1" s="1"/>
  <c r="J369" i="36" s="1"/>
  <c r="V364" i="1"/>
  <c r="AN485" i="1"/>
  <c r="AM476" i="1"/>
  <c r="AM467" i="1"/>
  <c r="V463" i="1"/>
  <c r="AN456" i="1"/>
  <c r="AM450" i="1"/>
  <c r="V363" i="1"/>
  <c r="V482" i="1"/>
  <c r="W475" i="1"/>
  <c r="AN465" i="1"/>
  <c r="V454" i="1"/>
  <c r="V489" i="1"/>
  <c r="V478" i="1"/>
  <c r="V470" i="1"/>
  <c r="W459" i="1"/>
  <c r="AN453" i="1"/>
  <c r="J359" i="14"/>
  <c r="F365" i="36" s="1"/>
  <c r="F361" i="40"/>
  <c r="J256" i="14"/>
  <c r="F262" i="36" s="1"/>
  <c r="F258" i="40"/>
  <c r="V338" i="1"/>
  <c r="AM338" i="1"/>
  <c r="AM339" i="1"/>
  <c r="V346" i="1"/>
  <c r="AM347" i="1"/>
  <c r="V349" i="1"/>
  <c r="V353" i="1"/>
  <c r="W354" i="1"/>
  <c r="AN355" i="1"/>
  <c r="AN359" i="1"/>
  <c r="W351" i="1"/>
  <c r="W347" i="1"/>
  <c r="AN348" i="1"/>
  <c r="V350" i="1"/>
  <c r="AM350" i="1"/>
  <c r="AN352" i="1"/>
  <c r="V341" i="1"/>
  <c r="AM354" i="1"/>
  <c r="AM359" i="1"/>
  <c r="V357" i="1"/>
  <c r="AN335" i="1"/>
  <c r="AM346" i="1"/>
  <c r="V354" i="1"/>
  <c r="AM355" i="1"/>
  <c r="W358" i="1"/>
  <c r="AN344" i="1"/>
  <c r="AN336" i="1"/>
  <c r="AN343" i="1"/>
  <c r="V333" i="1"/>
  <c r="W350" i="1"/>
  <c r="AM351" i="1"/>
  <c r="AM334" i="1"/>
  <c r="AM360" i="1"/>
  <c r="AN356" i="1"/>
  <c r="V334" i="1"/>
  <c r="AM335" i="1"/>
  <c r="W352" i="1"/>
  <c r="AM349" i="1"/>
  <c r="AN338" i="1"/>
  <c r="W356" i="1"/>
  <c r="W346" i="1"/>
  <c r="AN340" i="1"/>
  <c r="W342" i="1"/>
  <c r="W357" i="1"/>
  <c r="AN346" i="1"/>
  <c r="W341" i="1"/>
  <c r="AM333" i="1"/>
  <c r="V360" i="1"/>
  <c r="AN350" i="1"/>
  <c r="AM337" i="1"/>
  <c r="AM357" i="1"/>
  <c r="AM348" i="1"/>
  <c r="V344" i="1"/>
  <c r="V336" i="1"/>
  <c r="W359" i="1"/>
  <c r="AN347" i="1"/>
  <c r="W360" i="1"/>
  <c r="AM341" i="1"/>
  <c r="AN353" i="1"/>
  <c r="AN349" i="1"/>
  <c r="AN360" i="1"/>
  <c r="AN351" i="1"/>
  <c r="W339" i="1"/>
  <c r="AN332" i="1"/>
  <c r="AN333" i="1"/>
  <c r="AM358" i="1"/>
  <c r="AM332" i="1"/>
  <c r="V345" i="1"/>
  <c r="AN339" i="1"/>
  <c r="W355" i="1"/>
  <c r="AM343" i="1"/>
  <c r="AN341" i="1"/>
  <c r="W338" i="1"/>
  <c r="V356" i="1"/>
  <c r="AM345" i="1"/>
  <c r="V340" i="1"/>
  <c r="W333" i="1"/>
  <c r="AN358" i="1"/>
  <c r="AM336" i="1"/>
  <c r="AM353" i="1"/>
  <c r="W348" i="1"/>
  <c r="AN342" i="1"/>
  <c r="AN334" i="1"/>
  <c r="AM340" i="1"/>
  <c r="V358" i="1"/>
  <c r="Z358" i="1" s="1"/>
  <c r="J359" i="36" s="1"/>
  <c r="V342" i="1"/>
  <c r="AN345" i="1"/>
  <c r="W340" i="1"/>
  <c r="V352" i="1"/>
  <c r="Z352" i="1" s="1"/>
  <c r="J353" i="36" s="1"/>
  <c r="V335" i="1"/>
  <c r="W344" i="1"/>
  <c r="W337" i="1"/>
  <c r="V355" i="1"/>
  <c r="W334" i="1"/>
  <c r="V359" i="1"/>
  <c r="Z359" i="1" s="1"/>
  <c r="J360" i="36" s="1"/>
  <c r="W349" i="1"/>
  <c r="V337" i="1"/>
  <c r="AM356" i="1"/>
  <c r="AQ356" i="1" s="1"/>
  <c r="M357" i="36" s="1"/>
  <c r="V351" i="1"/>
  <c r="Z351" i="1" s="1"/>
  <c r="J352" i="36" s="1"/>
  <c r="W343" i="1"/>
  <c r="W353" i="1"/>
  <c r="V348" i="1"/>
  <c r="AM342" i="1"/>
  <c r="W335" i="1"/>
  <c r="AN354" i="1"/>
  <c r="V343" i="1"/>
  <c r="AN337" i="1"/>
  <c r="W332" i="1"/>
  <c r="AN357" i="1"/>
  <c r="AM344" i="1"/>
  <c r="W336" i="1"/>
  <c r="AM352" i="1"/>
  <c r="AQ352" i="1" s="1"/>
  <c r="M353" i="36" s="1"/>
  <c r="V347" i="1"/>
  <c r="V339" i="1"/>
  <c r="V332" i="1"/>
  <c r="W345" i="1"/>
  <c r="V325" i="1"/>
  <c r="V328" i="1"/>
  <c r="W325" i="1"/>
  <c r="AM326" i="1"/>
  <c r="AM329" i="1"/>
  <c r="AN326" i="1"/>
  <c r="AN327" i="1"/>
  <c r="W327" i="1"/>
  <c r="V327" i="1"/>
  <c r="W328" i="1"/>
  <c r="Z328" i="1" s="1"/>
  <c r="J329" i="36" s="1"/>
  <c r="W326" i="1"/>
  <c r="V329" i="1"/>
  <c r="AN325" i="1"/>
  <c r="AN324" i="1"/>
  <c r="V324" i="1"/>
  <c r="AM325" i="1"/>
  <c r="AM327" i="1"/>
  <c r="W324" i="1"/>
  <c r="V326" i="1"/>
  <c r="Z326" i="1" s="1"/>
  <c r="J327" i="36" s="1"/>
  <c r="AN329" i="1"/>
  <c r="W329" i="1"/>
  <c r="AN328" i="1"/>
  <c r="AM324" i="1"/>
  <c r="AM328" i="1"/>
  <c r="W252" i="1"/>
  <c r="V255" i="1"/>
  <c r="W260" i="1"/>
  <c r="V262" i="1"/>
  <c r="W263" i="1"/>
  <c r="AN264" i="1"/>
  <c r="AN265" i="1"/>
  <c r="W268" i="1"/>
  <c r="W271" i="1"/>
  <c r="AM275" i="1"/>
  <c r="W276" i="1"/>
  <c r="V278" i="1"/>
  <c r="V279" i="1"/>
  <c r="W283" i="1"/>
  <c r="AM284" i="1"/>
  <c r="V312" i="1"/>
  <c r="W314" i="1"/>
  <c r="AN315" i="1"/>
  <c r="V321" i="1"/>
  <c r="AM321" i="1"/>
  <c r="AM322" i="1"/>
  <c r="AM252" i="1"/>
  <c r="V254" i="1"/>
  <c r="W255" i="1"/>
  <c r="AM256" i="1"/>
  <c r="V259" i="1"/>
  <c r="AM259" i="1"/>
  <c r="AM260" i="1"/>
  <c r="V267" i="1"/>
  <c r="AM267" i="1"/>
  <c r="V270" i="1"/>
  <c r="AM272" i="1"/>
  <c r="V274" i="1"/>
  <c r="V275" i="1"/>
  <c r="W279" i="1"/>
  <c r="AM280" i="1"/>
  <c r="AN281" i="1"/>
  <c r="AN284" i="1"/>
  <c r="V286" i="1"/>
  <c r="V287" i="1"/>
  <c r="AM287" i="1"/>
  <c r="W288" i="1"/>
  <c r="AN289" i="1"/>
  <c r="AN311" i="1"/>
  <c r="V317" i="1"/>
  <c r="AM317" i="1"/>
  <c r="AM318" i="1"/>
  <c r="W321" i="1"/>
  <c r="AN322" i="1"/>
  <c r="AN252" i="1"/>
  <c r="AN253" i="1"/>
  <c r="W256" i="1"/>
  <c r="AN256" i="1"/>
  <c r="AN257" i="1"/>
  <c r="W259" i="1"/>
  <c r="AN260" i="1"/>
  <c r="AN261" i="1"/>
  <c r="W264" i="1"/>
  <c r="V266" i="1"/>
  <c r="W267" i="1"/>
  <c r="AM268" i="1"/>
  <c r="W272" i="1"/>
  <c r="AN272" i="1"/>
  <c r="W275" i="1"/>
  <c r="AM276" i="1"/>
  <c r="AN277" i="1"/>
  <c r="AN280" i="1"/>
  <c r="AM283" i="1"/>
  <c r="W284" i="1"/>
  <c r="AN285" i="1"/>
  <c r="W287" i="1"/>
  <c r="AM288" i="1"/>
  <c r="V313" i="1"/>
  <c r="AM313" i="1"/>
  <c r="AM314" i="1"/>
  <c r="W317" i="1"/>
  <c r="AN318" i="1"/>
  <c r="V320" i="1"/>
  <c r="W322" i="1"/>
  <c r="AM255" i="1"/>
  <c r="V258" i="1"/>
  <c r="V263" i="1"/>
  <c r="AM263" i="1"/>
  <c r="AM264" i="1"/>
  <c r="AN268" i="1"/>
  <c r="AN269" i="1"/>
  <c r="V271" i="1"/>
  <c r="AM271" i="1"/>
  <c r="AN273" i="1"/>
  <c r="AN276" i="1"/>
  <c r="AM279" i="1"/>
  <c r="W280" i="1"/>
  <c r="V282" i="1"/>
  <c r="V283" i="1"/>
  <c r="AN288" i="1"/>
  <c r="W313" i="1"/>
  <c r="AN314" i="1"/>
  <c r="V316" i="1"/>
  <c r="W318" i="1"/>
  <c r="AN319" i="1"/>
  <c r="AN323" i="1"/>
  <c r="AN321" i="1"/>
  <c r="AM311" i="1"/>
  <c r="AN286" i="1"/>
  <c r="W277" i="1"/>
  <c r="AN270" i="1"/>
  <c r="AN258" i="1"/>
  <c r="W315" i="1"/>
  <c r="W282" i="1"/>
  <c r="V277" i="1"/>
  <c r="AM270" i="1"/>
  <c r="V265" i="1"/>
  <c r="AM258" i="1"/>
  <c r="AM254" i="1"/>
  <c r="W320" i="1"/>
  <c r="V315" i="1"/>
  <c r="Z315" i="1" s="1"/>
  <c r="J316" i="36" s="1"/>
  <c r="AN282" i="1"/>
  <c r="AM273" i="1"/>
  <c r="AM262" i="1"/>
  <c r="W323" i="1"/>
  <c r="AN316" i="1"/>
  <c r="W286" i="1"/>
  <c r="AM282" i="1"/>
  <c r="V272" i="1"/>
  <c r="V264" i="1"/>
  <c r="AM257" i="1"/>
  <c r="AQ257" i="1" s="1"/>
  <c r="M258" i="36" s="1"/>
  <c r="V253" i="1"/>
  <c r="V311" i="1"/>
  <c r="V260" i="1"/>
  <c r="AM278" i="1"/>
  <c r="AN317" i="1"/>
  <c r="W273" i="1"/>
  <c r="AM253" i="1"/>
  <c r="AN320" i="1"/>
  <c r="AM289" i="1"/>
  <c r="V285" i="1"/>
  <c r="AN275" i="1"/>
  <c r="AM266" i="1"/>
  <c r="W257" i="1"/>
  <c r="AM320" i="1"/>
  <c r="V314" i="1"/>
  <c r="W281" i="1"/>
  <c r="V276" i="1"/>
  <c r="W269" i="1"/>
  <c r="AN263" i="1"/>
  <c r="W258" i="1"/>
  <c r="V252" i="1"/>
  <c r="AM319" i="1"/>
  <c r="AN313" i="1"/>
  <c r="V281" i="1"/>
  <c r="Z281" i="1" s="1"/>
  <c r="J282" i="36" s="1"/>
  <c r="AM269" i="1"/>
  <c r="W261" i="1"/>
  <c r="V322" i="1"/>
  <c r="AM312" i="1"/>
  <c r="AM285" i="1"/>
  <c r="AM277" i="1"/>
  <c r="W270" i="1"/>
  <c r="AM261" i="1"/>
  <c r="V256" i="1"/>
  <c r="AM323" i="1"/>
  <c r="W266" i="1"/>
  <c r="AN287" i="1"/>
  <c r="AN266" i="1"/>
  <c r="AM316" i="1"/>
  <c r="W289" i="1"/>
  <c r="AM281" i="1"/>
  <c r="AQ281" i="1" s="1"/>
  <c r="M282" i="36" s="1"/>
  <c r="AN274" i="1"/>
  <c r="W265" i="1"/>
  <c r="AN254" i="1"/>
  <c r="W316" i="1"/>
  <c r="V289" i="1"/>
  <c r="AN279" i="1"/>
  <c r="AM274" i="1"/>
  <c r="V268" i="1"/>
  <c r="AN262" i="1"/>
  <c r="V257" i="1"/>
  <c r="W319" i="1"/>
  <c r="AN312" i="1"/>
  <c r="V280" i="1"/>
  <c r="V269" i="1"/>
  <c r="W253" i="1"/>
  <c r="V319" i="1"/>
  <c r="W311" i="1"/>
  <c r="W285" i="1"/>
  <c r="W274" i="1"/>
  <c r="AN267" i="1"/>
  <c r="V261" i="1"/>
  <c r="W254" i="1"/>
  <c r="V323" i="1"/>
  <c r="W312" i="1"/>
  <c r="V288" i="1"/>
  <c r="W278" i="1"/>
  <c r="V273" i="1"/>
  <c r="W262" i="1"/>
  <c r="AM315" i="1"/>
  <c r="AM286" i="1"/>
  <c r="AN278" i="1"/>
  <c r="AN271" i="1"/>
  <c r="AM265" i="1"/>
  <c r="AQ265" i="1" s="1"/>
  <c r="M266" i="36" s="1"/>
  <c r="AN255" i="1"/>
  <c r="V318" i="1"/>
  <c r="AN283" i="1"/>
  <c r="V284" i="1"/>
  <c r="Z284" i="1" s="1"/>
  <c r="J285" i="36" s="1"/>
  <c r="AN259" i="1"/>
  <c r="V238" i="1"/>
  <c r="AN251" i="1"/>
  <c r="AN249" i="1"/>
  <c r="W240" i="1"/>
  <c r="W244" i="1"/>
  <c r="V246" i="1"/>
  <c r="AN248" i="1"/>
  <c r="W247" i="1"/>
  <c r="AN241" i="1"/>
  <c r="AM248" i="1"/>
  <c r="V239" i="1"/>
  <c r="AN237" i="1"/>
  <c r="AM244" i="1"/>
  <c r="W248" i="1"/>
  <c r="W243" i="1"/>
  <c r="V248" i="1"/>
  <c r="W245" i="1"/>
  <c r="W241" i="1"/>
  <c r="AN243" i="1"/>
  <c r="AN238" i="1"/>
  <c r="W238" i="1"/>
  <c r="W239" i="1"/>
  <c r="AN245" i="1"/>
  <c r="V251" i="1"/>
  <c r="V249" i="1"/>
  <c r="AN246" i="1"/>
  <c r="AM247" i="1"/>
  <c r="AM237" i="1"/>
  <c r="AQ237" i="1" s="1"/>
  <c r="M238" i="36" s="1"/>
  <c r="V243" i="1"/>
  <c r="AM251" i="1"/>
  <c r="AM242" i="1"/>
  <c r="W246" i="1"/>
  <c r="V244" i="1"/>
  <c r="V240" i="1"/>
  <c r="AN242" i="1"/>
  <c r="AN244" i="1"/>
  <c r="AM241" i="1"/>
  <c r="V245" i="1"/>
  <c r="V242" i="1"/>
  <c r="AM239" i="1"/>
  <c r="W251" i="1"/>
  <c r="AN240" i="1"/>
  <c r="W249" i="1"/>
  <c r="AM243" i="1"/>
  <c r="AM240" i="1"/>
  <c r="AM245" i="1"/>
  <c r="AN247" i="1"/>
  <c r="W242" i="1"/>
  <c r="V237" i="1"/>
  <c r="AM249" i="1"/>
  <c r="V241" i="1"/>
  <c r="AM246" i="1"/>
  <c r="V247" i="1"/>
  <c r="W237" i="1"/>
  <c r="AN239" i="1"/>
  <c r="AM238" i="1"/>
  <c r="C291" i="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V228" i="1"/>
  <c r="W229" i="1"/>
  <c r="W230" i="1"/>
  <c r="V233" i="1"/>
  <c r="AN234" i="1"/>
  <c r="AN225" i="1"/>
  <c r="V192" i="1"/>
  <c r="W193" i="1"/>
  <c r="W194" i="1"/>
  <c r="AM198" i="1"/>
  <c r="AN199" i="1"/>
  <c r="AM202" i="1"/>
  <c r="V209" i="1"/>
  <c r="AM209" i="1"/>
  <c r="AN155" i="1"/>
  <c r="AM157" i="1"/>
  <c r="AM158" i="1"/>
  <c r="W162" i="1"/>
  <c r="V164" i="1"/>
  <c r="AM166" i="1"/>
  <c r="AN153" i="1"/>
  <c r="V125" i="1"/>
  <c r="AM125" i="1"/>
  <c r="AN126" i="1"/>
  <c r="W129" i="1"/>
  <c r="V232" i="1"/>
  <c r="W233" i="1"/>
  <c r="W234" i="1"/>
  <c r="V236" i="1"/>
  <c r="AN195" i="1"/>
  <c r="V197" i="1"/>
  <c r="AM197" i="1"/>
  <c r="AN198" i="1"/>
  <c r="V201" i="1"/>
  <c r="AM201" i="1"/>
  <c r="AN202" i="1"/>
  <c r="AN203" i="1"/>
  <c r="V205" i="1"/>
  <c r="AM205" i="1"/>
  <c r="AM206" i="1"/>
  <c r="AN207" i="1"/>
  <c r="W209" i="1"/>
  <c r="W189" i="1"/>
  <c r="V157" i="1"/>
  <c r="AN158" i="1"/>
  <c r="AN159" i="1"/>
  <c r="V165" i="1"/>
  <c r="AM165" i="1"/>
  <c r="AN166" i="1"/>
  <c r="V168" i="1"/>
  <c r="AM169" i="1"/>
  <c r="AN119" i="1"/>
  <c r="AM121" i="1"/>
  <c r="AM122" i="1"/>
  <c r="AN123" i="1"/>
  <c r="W125" i="1"/>
  <c r="W126" i="1"/>
  <c r="V128" i="1"/>
  <c r="V117" i="1"/>
  <c r="AM118" i="1"/>
  <c r="V84" i="1"/>
  <c r="AM85" i="1"/>
  <c r="AM86" i="1"/>
  <c r="AN87" i="1"/>
  <c r="AN230" i="1"/>
  <c r="AN231" i="1"/>
  <c r="AM234" i="1"/>
  <c r="W197" i="1"/>
  <c r="W202" i="1"/>
  <c r="AN206" i="1"/>
  <c r="V208" i="1"/>
  <c r="W157" i="1"/>
  <c r="V160" i="1"/>
  <c r="W161" i="1"/>
  <c r="W165" i="1"/>
  <c r="W169" i="1"/>
  <c r="V121" i="1"/>
  <c r="W122" i="1"/>
  <c r="AN127" i="1"/>
  <c r="W117" i="1"/>
  <c r="W118" i="1"/>
  <c r="V89" i="1"/>
  <c r="AN81" i="1"/>
  <c r="AM49" i="1"/>
  <c r="V46" i="1"/>
  <c r="W47" i="1"/>
  <c r="AM229" i="1"/>
  <c r="AM233" i="1"/>
  <c r="V226" i="1"/>
  <c r="AN191" i="1"/>
  <c r="V193" i="1"/>
  <c r="V204" i="1"/>
  <c r="V156" i="1"/>
  <c r="AN167" i="1"/>
  <c r="V154" i="1"/>
  <c r="V120" i="1"/>
  <c r="W121" i="1"/>
  <c r="AN227" i="1"/>
  <c r="V229" i="1"/>
  <c r="AM194" i="1"/>
  <c r="V196" i="1"/>
  <c r="W198" i="1"/>
  <c r="W201" i="1"/>
  <c r="W206" i="1"/>
  <c r="AM189" i="1"/>
  <c r="AN190" i="1"/>
  <c r="AM162" i="1"/>
  <c r="AN163" i="1"/>
  <c r="W166" i="1"/>
  <c r="W119" i="1"/>
  <c r="AN122" i="1"/>
  <c r="V124" i="1"/>
  <c r="AM129" i="1"/>
  <c r="W85" i="1"/>
  <c r="AN82" i="1"/>
  <c r="W49" i="1"/>
  <c r="AN45" i="1"/>
  <c r="AM230" i="1"/>
  <c r="AN235" i="1"/>
  <c r="AM193" i="1"/>
  <c r="AN194" i="1"/>
  <c r="V200" i="1"/>
  <c r="W205" i="1"/>
  <c r="AN189" i="1"/>
  <c r="W158" i="1"/>
  <c r="V161" i="1"/>
  <c r="AM161" i="1"/>
  <c r="AN162" i="1"/>
  <c r="V169" i="1"/>
  <c r="AM126" i="1"/>
  <c r="AN86" i="1"/>
  <c r="V88" i="1"/>
  <c r="AM47" i="1"/>
  <c r="V118" i="1"/>
  <c r="AM89" i="1"/>
  <c r="V49" i="1"/>
  <c r="V129" i="1"/>
  <c r="AN83" i="1"/>
  <c r="W89" i="1"/>
  <c r="W81" i="1"/>
  <c r="V48" i="1"/>
  <c r="V47" i="1"/>
  <c r="Z47" i="1" s="1"/>
  <c r="J48" i="36" s="1"/>
  <c r="W86" i="1"/>
  <c r="V85" i="1"/>
  <c r="AM81" i="1"/>
  <c r="AM123" i="1"/>
  <c r="AM84" i="1"/>
  <c r="W82" i="1"/>
  <c r="AM124" i="1"/>
  <c r="V162" i="1"/>
  <c r="Z162" i="1" s="1"/>
  <c r="J163" i="36" s="1"/>
  <c r="W208" i="1"/>
  <c r="W225" i="1"/>
  <c r="V227" i="1"/>
  <c r="W88" i="1"/>
  <c r="AN124" i="1"/>
  <c r="W153" i="1"/>
  <c r="W155" i="1"/>
  <c r="W192" i="1"/>
  <c r="V225" i="1"/>
  <c r="AM120" i="1"/>
  <c r="AN157" i="1"/>
  <c r="W207" i="1"/>
  <c r="AM46" i="1"/>
  <c r="AM87" i="1"/>
  <c r="W167" i="1"/>
  <c r="AN208" i="1"/>
  <c r="AM199" i="1"/>
  <c r="AN84" i="1"/>
  <c r="W127" i="1"/>
  <c r="V153" i="1"/>
  <c r="W156" i="1"/>
  <c r="V199" i="1"/>
  <c r="V235" i="1"/>
  <c r="AN228" i="1"/>
  <c r="W128" i="1"/>
  <c r="AN169" i="1"/>
  <c r="AN164" i="1"/>
  <c r="V158" i="1"/>
  <c r="V202" i="1"/>
  <c r="AM192" i="1"/>
  <c r="W236" i="1"/>
  <c r="AM227" i="1"/>
  <c r="AN229" i="1"/>
  <c r="V195" i="1"/>
  <c r="AM190" i="1"/>
  <c r="W124" i="1"/>
  <c r="AM82" i="1"/>
  <c r="AQ82" i="1" s="1"/>
  <c r="M83" i="36" s="1"/>
  <c r="W46" i="1"/>
  <c r="AN46" i="1"/>
  <c r="AN88" i="1"/>
  <c r="W123" i="1"/>
  <c r="W160" i="1"/>
  <c r="AM200" i="1"/>
  <c r="AN47" i="1"/>
  <c r="W83" i="1"/>
  <c r="V123" i="1"/>
  <c r="AM164" i="1"/>
  <c r="AM203" i="1"/>
  <c r="V191" i="1"/>
  <c r="AN154" i="1"/>
  <c r="AM156" i="1"/>
  <c r="V203" i="1"/>
  <c r="AM45" i="1"/>
  <c r="W87" i="1"/>
  <c r="AM160" i="1"/>
  <c r="V207" i="1"/>
  <c r="W199" i="1"/>
  <c r="AN233" i="1"/>
  <c r="AM83" i="1"/>
  <c r="V122" i="1"/>
  <c r="AN168" i="1"/>
  <c r="V155" i="1"/>
  <c r="AN193" i="1"/>
  <c r="AM232" i="1"/>
  <c r="W84" i="1"/>
  <c r="V127" i="1"/>
  <c r="AM168" i="1"/>
  <c r="AM163" i="1"/>
  <c r="W190" i="1"/>
  <c r="V198" i="1"/>
  <c r="AM191" i="1"/>
  <c r="W232" i="1"/>
  <c r="Z232" i="1" s="1"/>
  <c r="J233" i="36" s="1"/>
  <c r="W227" i="1"/>
  <c r="AM204" i="1"/>
  <c r="AM88" i="1"/>
  <c r="AN48" i="1"/>
  <c r="W45" i="1"/>
  <c r="AN129" i="1"/>
  <c r="V87" i="1"/>
  <c r="W164" i="1"/>
  <c r="V190" i="1"/>
  <c r="AM195" i="1"/>
  <c r="W48" i="1"/>
  <c r="AN128" i="1"/>
  <c r="AM119" i="1"/>
  <c r="AN156" i="1"/>
  <c r="W203" i="1"/>
  <c r="AN226" i="1"/>
  <c r="W235" i="1"/>
  <c r="AM159" i="1"/>
  <c r="AN209" i="1"/>
  <c r="W196" i="1"/>
  <c r="V45" i="1"/>
  <c r="AM117" i="1"/>
  <c r="V159" i="1"/>
  <c r="W204" i="1"/>
  <c r="V230" i="1"/>
  <c r="V83" i="1"/>
  <c r="V119" i="1"/>
  <c r="AM167" i="1"/>
  <c r="V206" i="1"/>
  <c r="AN192" i="1"/>
  <c r="AN236" i="1"/>
  <c r="AM231" i="1"/>
  <c r="AN118" i="1"/>
  <c r="AN121" i="1"/>
  <c r="V166" i="1"/>
  <c r="Z166" i="1" s="1"/>
  <c r="J167" i="36" s="1"/>
  <c r="W163" i="1"/>
  <c r="AN205" i="1"/>
  <c r="AN196" i="1"/>
  <c r="W191" i="1"/>
  <c r="V231" i="1"/>
  <c r="AN201" i="1"/>
  <c r="W168" i="1"/>
  <c r="W154" i="1"/>
  <c r="AM128" i="1"/>
  <c r="AM48" i="1"/>
  <c r="AM208" i="1"/>
  <c r="V126" i="1"/>
  <c r="AM225" i="1"/>
  <c r="AQ225" i="1" s="1"/>
  <c r="M226" i="36" s="1"/>
  <c r="AM226" i="1"/>
  <c r="V189" i="1"/>
  <c r="AM127" i="1"/>
  <c r="W226" i="1"/>
  <c r="AN117" i="1"/>
  <c r="AN204" i="1"/>
  <c r="AM236" i="1"/>
  <c r="AN197" i="1"/>
  <c r="W228" i="1"/>
  <c r="V81" i="1"/>
  <c r="AN89" i="1"/>
  <c r="AM207" i="1"/>
  <c r="V86" i="1"/>
  <c r="W231" i="1"/>
  <c r="AN49" i="1"/>
  <c r="V194" i="1"/>
  <c r="AM153" i="1"/>
  <c r="AN232" i="1"/>
  <c r="V234" i="1"/>
  <c r="AN200" i="1"/>
  <c r="AM154" i="1"/>
  <c r="AN120" i="1"/>
  <c r="W195" i="1"/>
  <c r="AM228" i="1"/>
  <c r="AQ228" i="1" s="1"/>
  <c r="M229" i="36" s="1"/>
  <c r="AN85" i="1"/>
  <c r="AM155" i="1"/>
  <c r="W159" i="1"/>
  <c r="V82" i="1"/>
  <c r="AN161" i="1"/>
  <c r="AM235" i="1"/>
  <c r="AN165" i="1"/>
  <c r="V163" i="1"/>
  <c r="AM196" i="1"/>
  <c r="W120" i="1"/>
  <c r="W200" i="1"/>
  <c r="AN160" i="1"/>
  <c r="V167" i="1"/>
  <c r="AN125" i="1"/>
  <c r="AN330" i="1"/>
  <c r="AN301" i="1"/>
  <c r="AN331" i="1"/>
  <c r="AM310" i="1"/>
  <c r="AN309" i="1"/>
  <c r="AM307" i="1"/>
  <c r="AN306" i="1"/>
  <c r="AM250" i="1"/>
  <c r="AN217" i="1"/>
  <c r="AN210" i="1"/>
  <c r="AM187" i="1"/>
  <c r="AN186" i="1"/>
  <c r="AM179" i="1"/>
  <c r="AN178" i="1"/>
  <c r="AM171" i="1"/>
  <c r="AM152" i="1"/>
  <c r="AM151" i="1"/>
  <c r="AN150" i="1"/>
  <c r="AM139" i="1"/>
  <c r="AM131" i="1"/>
  <c r="AM104" i="1"/>
  <c r="AM103" i="1"/>
  <c r="AM96" i="1"/>
  <c r="AM95" i="1"/>
  <c r="AM78" i="1"/>
  <c r="AN77" i="1"/>
  <c r="AM70" i="1"/>
  <c r="AM294" i="1"/>
  <c r="AN293" i="1"/>
  <c r="AM291" i="1"/>
  <c r="AN290" i="1"/>
  <c r="AM210" i="1"/>
  <c r="AM186" i="1"/>
  <c r="AN185" i="1"/>
  <c r="AM178" i="1"/>
  <c r="AN177" i="1"/>
  <c r="AN170" i="1"/>
  <c r="AM150" i="1"/>
  <c r="AN147" i="1"/>
  <c r="AN138" i="1"/>
  <c r="AM136" i="1"/>
  <c r="AM135" i="1"/>
  <c r="AN130" i="1"/>
  <c r="AN115" i="1"/>
  <c r="AN102" i="1"/>
  <c r="AN94" i="1"/>
  <c r="AN91" i="1"/>
  <c r="AM77" i="1"/>
  <c r="AM69" i="1"/>
  <c r="AM38" i="1"/>
  <c r="AN37" i="1"/>
  <c r="AM30" i="1"/>
  <c r="AN29" i="1"/>
  <c r="AM33" i="1"/>
  <c r="AN28" i="1"/>
  <c r="AM61" i="1"/>
  <c r="AM53" i="1"/>
  <c r="AM41" i="1"/>
  <c r="AN42" i="1"/>
  <c r="AN12" i="1"/>
  <c r="AN16" i="1"/>
  <c r="AM21" i="1"/>
  <c r="AN27" i="1"/>
  <c r="AM34" i="1"/>
  <c r="AN41" i="1"/>
  <c r="AN21" i="1"/>
  <c r="AM27" i="1"/>
  <c r="AN31" i="1"/>
  <c r="AM14" i="1"/>
  <c r="AM16" i="1"/>
  <c r="AN32" i="1"/>
  <c r="AN40" i="1"/>
  <c r="AN54" i="1"/>
  <c r="AN64" i="1"/>
  <c r="AN99" i="1"/>
  <c r="AN71" i="1"/>
  <c r="AN104" i="1"/>
  <c r="AM137" i="1"/>
  <c r="AM217" i="1"/>
  <c r="AM223" i="1"/>
  <c r="AM302" i="1"/>
  <c r="AN53" i="1"/>
  <c r="AN61" i="1"/>
  <c r="AN69" i="1"/>
  <c r="AM76" i="1"/>
  <c r="AM105" i="1"/>
  <c r="AN297" i="1"/>
  <c r="AM65" i="1"/>
  <c r="AN74" i="1"/>
  <c r="AM99" i="1"/>
  <c r="AN112" i="1"/>
  <c r="AM130" i="1"/>
  <c r="AM134" i="1"/>
  <c r="AN141" i="1"/>
  <c r="AN171" i="1"/>
  <c r="AN176" i="1"/>
  <c r="AN184" i="1"/>
  <c r="AN214" i="1"/>
  <c r="AN222" i="1"/>
  <c r="AM56" i="1"/>
  <c r="AN60" i="1"/>
  <c r="AM66" i="1"/>
  <c r="AM72" i="1"/>
  <c r="AN76" i="1"/>
  <c r="AM102" i="1"/>
  <c r="AN110" i="1"/>
  <c r="AM115" i="1"/>
  <c r="AN134" i="1"/>
  <c r="AN142" i="1"/>
  <c r="AM147" i="1"/>
  <c r="AM175" i="1"/>
  <c r="AM183" i="1"/>
  <c r="AN212" i="1"/>
  <c r="AM224" i="1"/>
  <c r="AM222" i="1"/>
  <c r="AN294" i="1"/>
  <c r="AM304" i="1"/>
  <c r="AM292" i="1"/>
  <c r="AM309" i="1"/>
  <c r="AM221" i="1"/>
  <c r="AM297" i="1"/>
  <c r="AN305" i="1"/>
  <c r="AN183" i="1"/>
  <c r="AM93" i="1"/>
  <c r="AN151" i="1"/>
  <c r="AM15" i="1"/>
  <c r="AM23" i="1"/>
  <c r="AN111" i="1"/>
  <c r="AM185" i="1"/>
  <c r="AN215" i="1"/>
  <c r="AN291" i="1"/>
  <c r="AM181" i="1"/>
  <c r="AN303" i="1"/>
  <c r="AN43" i="1"/>
  <c r="AN63" i="1"/>
  <c r="AM13" i="1"/>
  <c r="AM17" i="1"/>
  <c r="AN23" i="1"/>
  <c r="AM31" i="1"/>
  <c r="AN36" i="1"/>
  <c r="AM42" i="1"/>
  <c r="AN56" i="1"/>
  <c r="AM22" i="1"/>
  <c r="AM28" i="1"/>
  <c r="AM37" i="1"/>
  <c r="AM144" i="1"/>
  <c r="AN17" i="1"/>
  <c r="AM20" i="1"/>
  <c r="AM35" i="1"/>
  <c r="AM43" i="1"/>
  <c r="AM51" i="1"/>
  <c r="AM112" i="1"/>
  <c r="AN105" i="1"/>
  <c r="AN78" i="1"/>
  <c r="AM90" i="1"/>
  <c r="AN116" i="1"/>
  <c r="AN148" i="1"/>
  <c r="AN180" i="1"/>
  <c r="AN220" i="1"/>
  <c r="AM54" i="1"/>
  <c r="AM62" i="1"/>
  <c r="AN106" i="1"/>
  <c r="AM300" i="1"/>
  <c r="AM330" i="1"/>
  <c r="AN66" i="1"/>
  <c r="AN75" i="1"/>
  <c r="AM107" i="1"/>
  <c r="AN131" i="1"/>
  <c r="AM138" i="1"/>
  <c r="AM142" i="1"/>
  <c r="AN172" i="1"/>
  <c r="AM212" i="1"/>
  <c r="AM215" i="1"/>
  <c r="AN57" i="1"/>
  <c r="AM63" i="1"/>
  <c r="AN73" i="1"/>
  <c r="AM79" i="1"/>
  <c r="AM91" i="1"/>
  <c r="AM98" i="1"/>
  <c r="AM111" i="1"/>
  <c r="AN136" i="1"/>
  <c r="AM143" i="1"/>
  <c r="AN149" i="1"/>
  <c r="AN224" i="1"/>
  <c r="AM295" i="1"/>
  <c r="AM305" i="1"/>
  <c r="AQ305" i="1" s="1"/>
  <c r="M306" i="36" s="1"/>
  <c r="AM293" i="1"/>
  <c r="AM214" i="1"/>
  <c r="AM290" i="1"/>
  <c r="AN302" i="1"/>
  <c r="AM306" i="1"/>
  <c r="AQ306" i="1" s="1"/>
  <c r="M307" i="36" s="1"/>
  <c r="AM331" i="1"/>
  <c r="AN95" i="1"/>
  <c r="AM172" i="1"/>
  <c r="AN18" i="1"/>
  <c r="AN26" i="1"/>
  <c r="AM100" i="1"/>
  <c r="AN143" i="1"/>
  <c r="AM101" i="1"/>
  <c r="AN50" i="1"/>
  <c r="AN14" i="1"/>
  <c r="AN19" i="1"/>
  <c r="AN24" i="1"/>
  <c r="AM32" i="1"/>
  <c r="AM39" i="1"/>
  <c r="AN62" i="1"/>
  <c r="AN25" i="1"/>
  <c r="AM29" i="1"/>
  <c r="AN38" i="1"/>
  <c r="AN35" i="1"/>
  <c r="AM18" i="1"/>
  <c r="AQ18" i="1" s="1"/>
  <c r="M19" i="36" s="1"/>
  <c r="AM24" i="1"/>
  <c r="AM36" i="1"/>
  <c r="AM44" i="1"/>
  <c r="AM57" i="1"/>
  <c r="AN107" i="1"/>
  <c r="AN137" i="1"/>
  <c r="AN79" i="1"/>
  <c r="AN92" i="1"/>
  <c r="AN152" i="1"/>
  <c r="AN188" i="1"/>
  <c r="AN298" i="1"/>
  <c r="AM59" i="1"/>
  <c r="AM67" i="1"/>
  <c r="AN72" i="1"/>
  <c r="AN80" i="1"/>
  <c r="AM97" i="1"/>
  <c r="AN113" i="1"/>
  <c r="AN145" i="1"/>
  <c r="AM176" i="1"/>
  <c r="AM213" i="1"/>
  <c r="AM301" i="1"/>
  <c r="AN58" i="1"/>
  <c r="AN67" i="1"/>
  <c r="AN109" i="1"/>
  <c r="AN132" i="1"/>
  <c r="AN139" i="1"/>
  <c r="AN144" i="1"/>
  <c r="AN173" i="1"/>
  <c r="AN181" i="1"/>
  <c r="AM218" i="1"/>
  <c r="AM299" i="1"/>
  <c r="AM58" i="1"/>
  <c r="AM64" i="1"/>
  <c r="AN68" i="1"/>
  <c r="AM74" i="1"/>
  <c r="AM80" i="1"/>
  <c r="AN93" i="1"/>
  <c r="AN100" i="1"/>
  <c r="AM106" i="1"/>
  <c r="AM113" i="1"/>
  <c r="AM145" i="1"/>
  <c r="AM180" i="1"/>
  <c r="AM188" i="1"/>
  <c r="AN218" i="1"/>
  <c r="AN250" i="1"/>
  <c r="AM298" i="1"/>
  <c r="AN310" i="1"/>
  <c r="AN304" i="1"/>
  <c r="AN216" i="1"/>
  <c r="AN292" i="1"/>
  <c r="AM303" i="1"/>
  <c r="AN308" i="1"/>
  <c r="AM177" i="1"/>
  <c r="AM140" i="1"/>
  <c r="AN211" i="1"/>
  <c r="AM19" i="1"/>
  <c r="AM132" i="1"/>
  <c r="AM109" i="1"/>
  <c r="AN51" i="1"/>
  <c r="AN15" i="1"/>
  <c r="AM40" i="1"/>
  <c r="AN39" i="1"/>
  <c r="AM12" i="1"/>
  <c r="AM52" i="1"/>
  <c r="AM75" i="1"/>
  <c r="AN98" i="1"/>
  <c r="AM73" i="1"/>
  <c r="AM182" i="1"/>
  <c r="AN146" i="1"/>
  <c r="AM219" i="1"/>
  <c r="AM308" i="1"/>
  <c r="AM148" i="1"/>
  <c r="AN22" i="1"/>
  <c r="AN175" i="1"/>
  <c r="AM92" i="1"/>
  <c r="AN135" i="1"/>
  <c r="AM173" i="1"/>
  <c r="AN299" i="1"/>
  <c r="AN33" i="1"/>
  <c r="AN30" i="1"/>
  <c r="AN70" i="1"/>
  <c r="AM184" i="1"/>
  <c r="AQ184" i="1" s="1"/>
  <c r="M185" i="36" s="1"/>
  <c r="AM220" i="1"/>
  <c r="AM108" i="1"/>
  <c r="AM11" i="1"/>
  <c r="AN20" i="1"/>
  <c r="AN34" i="1"/>
  <c r="AN55" i="1"/>
  <c r="AN52" i="1"/>
  <c r="AN97" i="1"/>
  <c r="AN96" i="1"/>
  <c r="AM216" i="1"/>
  <c r="AM60" i="1"/>
  <c r="AM114" i="1"/>
  <c r="AN133" i="1"/>
  <c r="AM170" i="1"/>
  <c r="AM55" i="1"/>
  <c r="AM71" i="1"/>
  <c r="AM94" i="1"/>
  <c r="AN108" i="1"/>
  <c r="AN174" i="1"/>
  <c r="AN300" i="1"/>
  <c r="AM296" i="1"/>
  <c r="AM116" i="1"/>
  <c r="AM133" i="1"/>
  <c r="AM141" i="1"/>
  <c r="AN223" i="1"/>
  <c r="AN11" i="1"/>
  <c r="AN13" i="1"/>
  <c r="AN59" i="1"/>
  <c r="AM110" i="1"/>
  <c r="AN65" i="1"/>
  <c r="AM211" i="1"/>
  <c r="AN103" i="1"/>
  <c r="AN179" i="1"/>
  <c r="AN219" i="1"/>
  <c r="AN295" i="1"/>
  <c r="AM25" i="1"/>
  <c r="AN44" i="1"/>
  <c r="AM26" i="1"/>
  <c r="AM68" i="1"/>
  <c r="AM146" i="1"/>
  <c r="AN90" i="1"/>
  <c r="AN140" i="1"/>
  <c r="AM174" i="1"/>
  <c r="AN213" i="1"/>
  <c r="AN296" i="1"/>
  <c r="AN114" i="1"/>
  <c r="AN221" i="1"/>
  <c r="AN307" i="1"/>
  <c r="AM149" i="1"/>
  <c r="AM50" i="1"/>
  <c r="AN101" i="1"/>
  <c r="AN182" i="1"/>
  <c r="AN187" i="1"/>
  <c r="J110" i="14"/>
  <c r="J183" i="14"/>
  <c r="J30" i="14"/>
  <c r="F36" i="36" s="1"/>
  <c r="F32" i="40"/>
  <c r="J219" i="14"/>
  <c r="J75" i="14"/>
  <c r="V11" i="1"/>
  <c r="V19" i="1"/>
  <c r="W23" i="1"/>
  <c r="V26" i="1"/>
  <c r="V27" i="1"/>
  <c r="V35" i="1"/>
  <c r="W39" i="1"/>
  <c r="V42" i="1"/>
  <c r="V43" i="1"/>
  <c r="V51" i="1"/>
  <c r="W55" i="1"/>
  <c r="V58" i="1"/>
  <c r="V59" i="1"/>
  <c r="V67" i="1"/>
  <c r="W71" i="1"/>
  <c r="V74" i="1"/>
  <c r="V75" i="1"/>
  <c r="V90" i="1"/>
  <c r="V91" i="1"/>
  <c r="V99" i="1"/>
  <c r="W103" i="1"/>
  <c r="V106" i="1"/>
  <c r="V107" i="1"/>
  <c r="V115" i="1"/>
  <c r="W137" i="1"/>
  <c r="W141" i="1"/>
  <c r="V173" i="1"/>
  <c r="V174" i="1"/>
  <c r="W182" i="1"/>
  <c r="W186" i="1"/>
  <c r="W210" i="1"/>
  <c r="W211" i="1"/>
  <c r="V212" i="1"/>
  <c r="W213" i="1"/>
  <c r="W217" i="1"/>
  <c r="V221" i="1"/>
  <c r="V222" i="1"/>
  <c r="V293" i="1"/>
  <c r="W12" i="1"/>
  <c r="W15" i="1"/>
  <c r="W20" i="1"/>
  <c r="V22" i="1"/>
  <c r="W28" i="1"/>
  <c r="W31" i="1"/>
  <c r="W36" i="1"/>
  <c r="V38" i="1"/>
  <c r="W44" i="1"/>
  <c r="W52" i="1"/>
  <c r="V54" i="1"/>
  <c r="W60" i="1"/>
  <c r="W63" i="1"/>
  <c r="W68" i="1"/>
  <c r="V70" i="1"/>
  <c r="W76" i="1"/>
  <c r="W79" i="1"/>
  <c r="W92" i="1"/>
  <c r="W95" i="1"/>
  <c r="W100" i="1"/>
  <c r="V102" i="1"/>
  <c r="W108" i="1"/>
  <c r="W111" i="1"/>
  <c r="W116" i="1"/>
  <c r="W133" i="1"/>
  <c r="W145" i="1"/>
  <c r="W149" i="1"/>
  <c r="W175" i="1"/>
  <c r="V176" i="1"/>
  <c r="V177" i="1"/>
  <c r="V178" i="1"/>
  <c r="V181" i="1"/>
  <c r="V185" i="1"/>
  <c r="W223" i="1"/>
  <c r="V224" i="1"/>
  <c r="W290" i="1"/>
  <c r="W291" i="1"/>
  <c r="W294" i="1"/>
  <c r="W298" i="1"/>
  <c r="W330" i="1"/>
  <c r="W19" i="1"/>
  <c r="V23" i="1"/>
  <c r="W35" i="1"/>
  <c r="V39" i="1"/>
  <c r="W51" i="1"/>
  <c r="V55" i="1"/>
  <c r="W67" i="1"/>
  <c r="V71" i="1"/>
  <c r="W99" i="1"/>
  <c r="V103" i="1"/>
  <c r="W115" i="1"/>
  <c r="V132" i="1"/>
  <c r="V133" i="1"/>
  <c r="V140" i="1"/>
  <c r="V141" i="1"/>
  <c r="V148" i="1"/>
  <c r="V149" i="1"/>
  <c r="W185" i="1"/>
  <c r="V210" i="1"/>
  <c r="V217" i="1"/>
  <c r="W302" i="1"/>
  <c r="W303" i="1"/>
  <c r="V304" i="1"/>
  <c r="W305" i="1"/>
  <c r="W309" i="1"/>
  <c r="W24" i="1"/>
  <c r="W40" i="1"/>
  <c r="W56" i="1"/>
  <c r="W72" i="1"/>
  <c r="W104" i="1"/>
  <c r="W134" i="1"/>
  <c r="V136" i="1"/>
  <c r="V137" i="1"/>
  <c r="W142" i="1"/>
  <c r="V144" i="1"/>
  <c r="V145" i="1"/>
  <c r="W150" i="1"/>
  <c r="W151" i="1"/>
  <c r="V14" i="1"/>
  <c r="V15" i="1"/>
  <c r="V30" i="1"/>
  <c r="V31" i="1"/>
  <c r="V62" i="1"/>
  <c r="V63" i="1"/>
  <c r="V78" i="1"/>
  <c r="V79" i="1"/>
  <c r="V94" i="1"/>
  <c r="V95" i="1"/>
  <c r="V110" i="1"/>
  <c r="V111" i="1"/>
  <c r="W130" i="1"/>
  <c r="W138" i="1"/>
  <c r="W146" i="1"/>
  <c r="W181" i="1"/>
  <c r="W214" i="1"/>
  <c r="W215" i="1"/>
  <c r="V297" i="1"/>
  <c r="V298" i="1"/>
  <c r="W11" i="1"/>
  <c r="W16" i="1"/>
  <c r="V18" i="1"/>
  <c r="W27" i="1"/>
  <c r="W32" i="1"/>
  <c r="V34" i="1"/>
  <c r="W43" i="1"/>
  <c r="V50" i="1"/>
  <c r="W59" i="1"/>
  <c r="W64" i="1"/>
  <c r="V66" i="1"/>
  <c r="W75" i="1"/>
  <c r="W80" i="1"/>
  <c r="W91" i="1"/>
  <c r="W96" i="1"/>
  <c r="V98" i="1"/>
  <c r="W107" i="1"/>
  <c r="W112" i="1"/>
  <c r="V114" i="1"/>
  <c r="W170" i="1"/>
  <c r="W178" i="1"/>
  <c r="W179" i="1"/>
  <c r="V180" i="1"/>
  <c r="W222" i="1"/>
  <c r="W250" i="1"/>
  <c r="V305" i="1"/>
  <c r="W310" i="1"/>
  <c r="V300" i="1"/>
  <c r="V213" i="1"/>
  <c r="W293" i="1"/>
  <c r="W306" i="1"/>
  <c r="W218" i="1"/>
  <c r="W174" i="1"/>
  <c r="W299" i="1"/>
  <c r="V301" i="1"/>
  <c r="V302" i="1"/>
  <c r="V309" i="1"/>
  <c r="V250" i="1"/>
  <c r="W172" i="1"/>
  <c r="V310" i="1"/>
  <c r="V179" i="1"/>
  <c r="V150" i="1"/>
  <c r="V134" i="1"/>
  <c r="W106" i="1"/>
  <c r="W54" i="1"/>
  <c r="W22" i="1"/>
  <c r="V17" i="1"/>
  <c r="V214" i="1"/>
  <c r="V130" i="1"/>
  <c r="W300" i="1"/>
  <c r="V220" i="1"/>
  <c r="W188" i="1"/>
  <c r="V172" i="1"/>
  <c r="W135" i="1"/>
  <c r="W98" i="1"/>
  <c r="W53" i="1"/>
  <c r="W34" i="1"/>
  <c r="W17" i="1"/>
  <c r="W297" i="1"/>
  <c r="V291" i="1"/>
  <c r="W219" i="1"/>
  <c r="W144" i="1"/>
  <c r="V100" i="1"/>
  <c r="V68" i="1"/>
  <c r="V36" i="1"/>
  <c r="V76" i="1"/>
  <c r="V53" i="1"/>
  <c r="V152" i="1"/>
  <c r="V216" i="1"/>
  <c r="V131" i="1"/>
  <c r="W109" i="1"/>
  <c r="W90" i="1"/>
  <c r="V44" i="1"/>
  <c r="V21" i="1"/>
  <c r="W29" i="1"/>
  <c r="W105" i="1"/>
  <c r="W73" i="1"/>
  <c r="W57" i="1"/>
  <c r="W41" i="1"/>
  <c r="W25" i="1"/>
  <c r="W77" i="1"/>
  <c r="W13" i="1"/>
  <c r="V170" i="1"/>
  <c r="W221" i="1"/>
  <c r="V143" i="1"/>
  <c r="V104" i="1"/>
  <c r="V72" i="1"/>
  <c r="V40" i="1"/>
  <c r="W295" i="1"/>
  <c r="V65" i="1"/>
  <c r="W176" i="1"/>
  <c r="V211" i="1"/>
  <c r="V186" i="1"/>
  <c r="W114" i="1"/>
  <c r="W97" i="1"/>
  <c r="W69" i="1"/>
  <c r="W50" i="1"/>
  <c r="W33" i="1"/>
  <c r="W296" i="1"/>
  <c r="V290" i="1"/>
  <c r="W187" i="1"/>
  <c r="W143" i="1"/>
  <c r="V116" i="1"/>
  <c r="V93" i="1"/>
  <c r="V61" i="1"/>
  <c r="V29" i="1"/>
  <c r="V139" i="1"/>
  <c r="W74" i="1"/>
  <c r="V28" i="1"/>
  <c r="V295" i="1"/>
  <c r="W331" i="1"/>
  <c r="V330" i="1"/>
  <c r="W220" i="1"/>
  <c r="W152" i="1"/>
  <c r="W70" i="1"/>
  <c r="V113" i="1"/>
  <c r="W216" i="1"/>
  <c r="V303" i="1"/>
  <c r="W184" i="1"/>
  <c r="V109" i="1"/>
  <c r="V52" i="1"/>
  <c r="V92" i="1"/>
  <c r="V187" i="1"/>
  <c r="V219" i="1"/>
  <c r="V184" i="1"/>
  <c r="W131" i="1"/>
  <c r="V331" i="1"/>
  <c r="V292" i="1"/>
  <c r="W183" i="1"/>
  <c r="W94" i="1"/>
  <c r="W30" i="1"/>
  <c r="V105" i="1"/>
  <c r="V73" i="1"/>
  <c r="V57" i="1"/>
  <c r="V41" i="1"/>
  <c r="V25" i="1"/>
  <c r="W212" i="1"/>
  <c r="V171" i="1"/>
  <c r="W180" i="1"/>
  <c r="W61" i="1"/>
  <c r="W62" i="1"/>
  <c r="V112" i="1"/>
  <c r="V80" i="1"/>
  <c r="V32" i="1"/>
  <c r="W173" i="1"/>
  <c r="V135" i="1"/>
  <c r="V24" i="1"/>
  <c r="V33" i="1"/>
  <c r="V306" i="1"/>
  <c r="V188" i="1"/>
  <c r="W308" i="1"/>
  <c r="V218" i="1"/>
  <c r="V151" i="1"/>
  <c r="V56" i="1"/>
  <c r="V97" i="1"/>
  <c r="V215" i="1"/>
  <c r="W301" i="1"/>
  <c r="V182" i="1"/>
  <c r="W37" i="1"/>
  <c r="W148" i="1"/>
  <c r="V108" i="1"/>
  <c r="W147" i="1"/>
  <c r="V101" i="1"/>
  <c r="V60" i="1"/>
  <c r="V37" i="1"/>
  <c r="W307" i="1"/>
  <c r="W110" i="1"/>
  <c r="V183" i="1"/>
  <c r="V142" i="1"/>
  <c r="W102" i="1"/>
  <c r="W38" i="1"/>
  <c r="W224" i="1"/>
  <c r="V307" i="1"/>
  <c r="V146" i="1"/>
  <c r="W140" i="1"/>
  <c r="W113" i="1"/>
  <c r="W66" i="1"/>
  <c r="W21" i="1"/>
  <c r="V294" i="1"/>
  <c r="V175" i="1"/>
  <c r="W132" i="1"/>
  <c r="V20" i="1"/>
  <c r="W304" i="1"/>
  <c r="V12" i="1"/>
  <c r="V147" i="1"/>
  <c r="V96" i="1"/>
  <c r="V64" i="1"/>
  <c r="V16" i="1"/>
  <c r="V299" i="1"/>
  <c r="W177" i="1"/>
  <c r="W18" i="1"/>
  <c r="W171" i="1"/>
  <c r="V308" i="1"/>
  <c r="W26" i="1"/>
  <c r="W42" i="1"/>
  <c r="W14" i="1"/>
  <c r="V138" i="1"/>
  <c r="W93" i="1"/>
  <c r="W136" i="1"/>
  <c r="W58" i="1"/>
  <c r="W78" i="1"/>
  <c r="V296" i="1"/>
  <c r="W101" i="1"/>
  <c r="W292" i="1"/>
  <c r="V77" i="1"/>
  <c r="W139" i="1"/>
  <c r="W65" i="1"/>
  <c r="V223" i="1"/>
  <c r="V13" i="1"/>
  <c r="V69" i="1"/>
  <c r="AM10" i="1"/>
  <c r="W10" i="1"/>
  <c r="V10" i="1"/>
  <c r="AN10" i="1"/>
  <c r="Z163" i="1" l="1"/>
  <c r="J164" i="36" s="1"/>
  <c r="AQ201" i="1"/>
  <c r="M202" i="36" s="1"/>
  <c r="AQ238" i="1"/>
  <c r="M239" i="36" s="1"/>
  <c r="AQ286" i="1"/>
  <c r="M287" i="36" s="1"/>
  <c r="Z161" i="1"/>
  <c r="J162" i="36" s="1"/>
  <c r="Z261" i="1"/>
  <c r="J262" i="36" s="1"/>
  <c r="AQ344" i="1"/>
  <c r="M345" i="36" s="1"/>
  <c r="AQ261" i="1"/>
  <c r="M262" i="36" s="1"/>
  <c r="AQ256" i="1"/>
  <c r="M257" i="36" s="1"/>
  <c r="AQ316" i="1"/>
  <c r="M317" i="36" s="1"/>
  <c r="Z314" i="1"/>
  <c r="J315" i="36" s="1"/>
  <c r="AQ227" i="1"/>
  <c r="M228" i="36" s="1"/>
  <c r="Z271" i="1"/>
  <c r="J272" i="36" s="1"/>
  <c r="Z244" i="1"/>
  <c r="J245" i="36" s="1"/>
  <c r="Z252" i="1"/>
  <c r="J253" i="36" s="1"/>
  <c r="Z129" i="1"/>
  <c r="J130" i="36" s="1"/>
  <c r="Z269" i="1"/>
  <c r="J270" i="36" s="1"/>
  <c r="AQ464" i="1"/>
  <c r="M465" i="36" s="1"/>
  <c r="AQ429" i="1"/>
  <c r="M430" i="36" s="1"/>
  <c r="Z414" i="1"/>
  <c r="J415" i="36" s="1"/>
  <c r="AQ336" i="1"/>
  <c r="M337" i="36" s="1"/>
  <c r="Z348" i="1"/>
  <c r="J349" i="36" s="1"/>
  <c r="Z32" i="1"/>
  <c r="J33" i="36" s="1"/>
  <c r="F78" i="40"/>
  <c r="F81" i="36"/>
  <c r="AQ331" i="1"/>
  <c r="M332" i="36" s="1"/>
  <c r="AQ241" i="1"/>
  <c r="M242" i="36" s="1"/>
  <c r="Z238" i="1"/>
  <c r="J239" i="36" s="1"/>
  <c r="AQ369" i="1"/>
  <c r="M370" i="36" s="1"/>
  <c r="AQ251" i="1"/>
  <c r="M252" i="36" s="1"/>
  <c r="F222" i="40"/>
  <c r="F225" i="36"/>
  <c r="Z482" i="1"/>
  <c r="J483" i="36" s="1"/>
  <c r="Z513" i="1"/>
  <c r="J514" i="36" s="1"/>
  <c r="Z511" i="1"/>
  <c r="J512" i="36" s="1"/>
  <c r="AQ150" i="1"/>
  <c r="M151" i="36" s="1"/>
  <c r="Z363" i="1"/>
  <c r="J364" i="36" s="1"/>
  <c r="Z514" i="1"/>
  <c r="J515" i="36" s="1"/>
  <c r="F186" i="40"/>
  <c r="F189" i="36"/>
  <c r="F113" i="40"/>
  <c r="F116" i="36"/>
  <c r="F522" i="40"/>
  <c r="F525" i="36"/>
  <c r="Z393" i="1"/>
  <c r="J394" i="36" s="1"/>
  <c r="AQ247" i="1"/>
  <c r="M248" i="36" s="1"/>
  <c r="Z280" i="1"/>
  <c r="J281" i="36" s="1"/>
  <c r="Z454" i="1"/>
  <c r="J455" i="36" s="1"/>
  <c r="Z455" i="1"/>
  <c r="J456" i="36" s="1"/>
  <c r="Z497" i="1"/>
  <c r="J498" i="36" s="1"/>
  <c r="AQ207" i="1"/>
  <c r="M208" i="36" s="1"/>
  <c r="AQ60" i="1"/>
  <c r="M61" i="36" s="1"/>
  <c r="AQ293" i="1"/>
  <c r="M294" i="36" s="1"/>
  <c r="AQ420" i="1"/>
  <c r="M421" i="36" s="1"/>
  <c r="AQ397" i="1"/>
  <c r="M398" i="36" s="1"/>
  <c r="AQ385" i="1"/>
  <c r="M386" i="36" s="1"/>
  <c r="AQ413" i="1"/>
  <c r="M414" i="36" s="1"/>
  <c r="AQ401" i="1"/>
  <c r="M402" i="36" s="1"/>
  <c r="AQ343" i="1"/>
  <c r="M344" i="36" s="1"/>
  <c r="AQ467" i="1"/>
  <c r="M468" i="36" s="1"/>
  <c r="AQ361" i="1"/>
  <c r="M362" i="36" s="1"/>
  <c r="AQ364" i="1"/>
  <c r="M365" i="36" s="1"/>
  <c r="AQ493" i="1"/>
  <c r="M494" i="36" s="1"/>
  <c r="AQ378" i="1"/>
  <c r="M379" i="36" s="1"/>
  <c r="AQ422" i="1"/>
  <c r="M423" i="36" s="1"/>
  <c r="AQ362" i="1"/>
  <c r="M363" i="36" s="1"/>
  <c r="AQ368" i="1"/>
  <c r="M369" i="36" s="1"/>
  <c r="AQ380" i="1"/>
  <c r="M381" i="36" s="1"/>
  <c r="AQ388" i="1"/>
  <c r="M389" i="36" s="1"/>
  <c r="Z354" i="1"/>
  <c r="J355" i="36" s="1"/>
  <c r="Z312" i="1"/>
  <c r="J313" i="36" s="1"/>
  <c r="Z470" i="1"/>
  <c r="J471" i="36" s="1"/>
  <c r="Z369" i="1"/>
  <c r="J370" i="36" s="1"/>
  <c r="AQ455" i="1"/>
  <c r="M456" i="36" s="1"/>
  <c r="Z200" i="1"/>
  <c r="J201" i="36" s="1"/>
  <c r="AQ191" i="1"/>
  <c r="M192" i="36" s="1"/>
  <c r="AQ83" i="1"/>
  <c r="M84" i="36" s="1"/>
  <c r="AQ249" i="1"/>
  <c r="M250" i="36" s="1"/>
  <c r="AQ476" i="1"/>
  <c r="M477" i="36" s="1"/>
  <c r="Z466" i="1"/>
  <c r="J467" i="36" s="1"/>
  <c r="Z486" i="1"/>
  <c r="J487" i="36" s="1"/>
  <c r="AQ373" i="1"/>
  <c r="M374" i="36" s="1"/>
  <c r="AQ437" i="1"/>
  <c r="M438" i="36" s="1"/>
  <c r="Z384" i="1"/>
  <c r="J385" i="36" s="1"/>
  <c r="AQ436" i="1"/>
  <c r="M437" i="36" s="1"/>
  <c r="AQ301" i="1"/>
  <c r="M302" i="36" s="1"/>
  <c r="AQ195" i="1"/>
  <c r="M196" i="36" s="1"/>
  <c r="Z318" i="1"/>
  <c r="J319" i="36" s="1"/>
  <c r="Z323" i="1"/>
  <c r="J324" i="36" s="1"/>
  <c r="Z322" i="1"/>
  <c r="J323" i="36" s="1"/>
  <c r="AQ313" i="1"/>
  <c r="M314" i="36" s="1"/>
  <c r="Z347" i="1"/>
  <c r="J348" i="36" s="1"/>
  <c r="Z478" i="1"/>
  <c r="J479" i="36" s="1"/>
  <c r="Z462" i="1"/>
  <c r="J463" i="36" s="1"/>
  <c r="AQ441" i="1"/>
  <c r="M442" i="36" s="1"/>
  <c r="Z364" i="1"/>
  <c r="J365" i="36" s="1"/>
  <c r="AQ463" i="1"/>
  <c r="M464" i="36" s="1"/>
  <c r="AQ367" i="1"/>
  <c r="M368" i="36" s="1"/>
  <c r="AQ370" i="1"/>
  <c r="M371" i="36" s="1"/>
  <c r="AQ409" i="1"/>
  <c r="M410" i="36" s="1"/>
  <c r="Z423" i="1"/>
  <c r="J424" i="36" s="1"/>
  <c r="AQ405" i="1"/>
  <c r="M406" i="36" s="1"/>
  <c r="AQ376" i="1"/>
  <c r="M377" i="36" s="1"/>
  <c r="AQ384" i="1"/>
  <c r="M385" i="36" s="1"/>
  <c r="AQ392" i="1"/>
  <c r="M393" i="36" s="1"/>
  <c r="AQ415" i="1"/>
  <c r="M416" i="36" s="1"/>
  <c r="Z433" i="1"/>
  <c r="J434" i="36" s="1"/>
  <c r="Z464" i="1"/>
  <c r="J465" i="36" s="1"/>
  <c r="Z481" i="1"/>
  <c r="J482" i="36" s="1"/>
  <c r="AQ509" i="1"/>
  <c r="M510" i="36" s="1"/>
  <c r="Z521" i="1"/>
  <c r="J522" i="36" s="1"/>
  <c r="AQ449" i="1"/>
  <c r="M450" i="36" s="1"/>
  <c r="Z412" i="1"/>
  <c r="J413" i="36" s="1"/>
  <c r="Z440" i="1"/>
  <c r="J441" i="36" s="1"/>
  <c r="Z372" i="1"/>
  <c r="J373" i="36" s="1"/>
  <c r="AQ398" i="1"/>
  <c r="M399" i="36" s="1"/>
  <c r="Z386" i="1"/>
  <c r="J387" i="36" s="1"/>
  <c r="AQ442" i="1"/>
  <c r="M443" i="36" s="1"/>
  <c r="AQ450" i="1"/>
  <c r="M451" i="36" s="1"/>
  <c r="Z500" i="1"/>
  <c r="J501" i="36" s="1"/>
  <c r="Z529" i="1"/>
  <c r="J530" i="36" s="1"/>
  <c r="Z517" i="1"/>
  <c r="J518" i="36" s="1"/>
  <c r="Z397" i="1"/>
  <c r="J398" i="36" s="1"/>
  <c r="AQ371" i="1"/>
  <c r="M372" i="36" s="1"/>
  <c r="Z463" i="1"/>
  <c r="J464" i="36" s="1"/>
  <c r="Z485" i="1"/>
  <c r="J486" i="36" s="1"/>
  <c r="Z525" i="1"/>
  <c r="J526" i="36" s="1"/>
  <c r="AQ394" i="1"/>
  <c r="M395" i="36" s="1"/>
  <c r="AQ402" i="1"/>
  <c r="M403" i="36" s="1"/>
  <c r="Z373" i="1"/>
  <c r="J374" i="36" s="1"/>
  <c r="AQ375" i="1"/>
  <c r="M376" i="36" s="1"/>
  <c r="Z378" i="1"/>
  <c r="J379" i="36" s="1"/>
  <c r="Z394" i="1"/>
  <c r="J395" i="36" s="1"/>
  <c r="Z445" i="1"/>
  <c r="J446" i="36" s="1"/>
  <c r="AQ387" i="1"/>
  <c r="M388" i="36" s="1"/>
  <c r="Z416" i="1"/>
  <c r="J417" i="36" s="1"/>
  <c r="Z449" i="1"/>
  <c r="J450" i="36" s="1"/>
  <c r="Z410" i="1"/>
  <c r="J411" i="36" s="1"/>
  <c r="AQ425" i="1"/>
  <c r="M426" i="36" s="1"/>
  <c r="AQ434" i="1"/>
  <c r="M435" i="36" s="1"/>
  <c r="Z421" i="1"/>
  <c r="J422" i="36" s="1"/>
  <c r="Z429" i="1"/>
  <c r="J430" i="36" s="1"/>
  <c r="Z438" i="1"/>
  <c r="J439" i="36" s="1"/>
  <c r="Z442" i="1"/>
  <c r="J443" i="36" s="1"/>
  <c r="Z446" i="1"/>
  <c r="J447" i="36" s="1"/>
  <c r="AQ512" i="1"/>
  <c r="M513" i="36" s="1"/>
  <c r="Z389" i="1"/>
  <c r="J390" i="36" s="1"/>
  <c r="Z401" i="1"/>
  <c r="J402" i="36" s="1"/>
  <c r="AQ428" i="1"/>
  <c r="M429" i="36" s="1"/>
  <c r="Z441" i="1"/>
  <c r="J442" i="36" s="1"/>
  <c r="Z409" i="1"/>
  <c r="J410" i="36" s="1"/>
  <c r="AQ424" i="1"/>
  <c r="M425" i="36" s="1"/>
  <c r="Z385" i="1"/>
  <c r="J386" i="36" s="1"/>
  <c r="Z370" i="1"/>
  <c r="J371" i="36" s="1"/>
  <c r="AQ379" i="1"/>
  <c r="M380" i="36" s="1"/>
  <c r="AQ414" i="1"/>
  <c r="M415" i="36" s="1"/>
  <c r="AQ391" i="1"/>
  <c r="M392" i="36" s="1"/>
  <c r="Z379" i="1"/>
  <c r="J380" i="36" s="1"/>
  <c r="Z387" i="1"/>
  <c r="J388" i="36" s="1"/>
  <c r="Z395" i="1"/>
  <c r="J396" i="36" s="1"/>
  <c r="AQ417" i="1"/>
  <c r="M418" i="36" s="1"/>
  <c r="AQ399" i="1"/>
  <c r="M400" i="36" s="1"/>
  <c r="Z402" i="1"/>
  <c r="J403" i="36" s="1"/>
  <c r="AQ407" i="1"/>
  <c r="M408" i="36" s="1"/>
  <c r="Z413" i="1"/>
  <c r="J414" i="36" s="1"/>
  <c r="Z417" i="1"/>
  <c r="J418" i="36" s="1"/>
  <c r="Z424" i="1"/>
  <c r="J425" i="36" s="1"/>
  <c r="Z434" i="1"/>
  <c r="J435" i="36" s="1"/>
  <c r="Z526" i="1"/>
  <c r="J527" i="36" s="1"/>
  <c r="Z512" i="1"/>
  <c r="J513" i="36" s="1"/>
  <c r="Z508" i="1"/>
  <c r="J509" i="36" s="1"/>
  <c r="AQ505" i="1"/>
  <c r="M506" i="36" s="1"/>
  <c r="Z493" i="1"/>
  <c r="J494" i="36" s="1"/>
  <c r="Z507" i="1"/>
  <c r="J508" i="36" s="1"/>
  <c r="AQ508" i="1"/>
  <c r="M509" i="36" s="1"/>
  <c r="AQ504" i="1"/>
  <c r="M505" i="36" s="1"/>
  <c r="AQ438" i="1"/>
  <c r="M439" i="36" s="1"/>
  <c r="AQ374" i="1"/>
  <c r="M375" i="36" s="1"/>
  <c r="Z419" i="1"/>
  <c r="J420" i="36" s="1"/>
  <c r="Z405" i="1"/>
  <c r="J406" i="36" s="1"/>
  <c r="AQ406" i="1"/>
  <c r="M407" i="36" s="1"/>
  <c r="AQ416" i="1"/>
  <c r="M417" i="36" s="1"/>
  <c r="Z437" i="1"/>
  <c r="J438" i="36" s="1"/>
  <c r="Z408" i="1"/>
  <c r="J409" i="36" s="1"/>
  <c r="AQ432" i="1"/>
  <c r="M433" i="36" s="1"/>
  <c r="Z411" i="1"/>
  <c r="J412" i="36" s="1"/>
  <c r="AQ377" i="1"/>
  <c r="M378" i="36" s="1"/>
  <c r="Z381" i="1"/>
  <c r="J382" i="36" s="1"/>
  <c r="AQ403" i="1"/>
  <c r="M404" i="36" s="1"/>
  <c r="AQ383" i="1"/>
  <c r="M384" i="36" s="1"/>
  <c r="Z374" i="1"/>
  <c r="J375" i="36" s="1"/>
  <c r="Z382" i="1"/>
  <c r="J383" i="36" s="1"/>
  <c r="Z390" i="1"/>
  <c r="J391" i="36" s="1"/>
  <c r="Z407" i="1"/>
  <c r="J408" i="36" s="1"/>
  <c r="AQ372" i="1"/>
  <c r="M373" i="36" s="1"/>
  <c r="AQ410" i="1"/>
  <c r="M411" i="36" s="1"/>
  <c r="Z403" i="1"/>
  <c r="J404" i="36" s="1"/>
  <c r="AQ411" i="1"/>
  <c r="M412" i="36" s="1"/>
  <c r="AQ446" i="1"/>
  <c r="M447" i="36" s="1"/>
  <c r="AQ418" i="1"/>
  <c r="M419" i="36" s="1"/>
  <c r="AQ426" i="1"/>
  <c r="M427" i="36" s="1"/>
  <c r="Z425" i="1"/>
  <c r="J426" i="36" s="1"/>
  <c r="Z431" i="1"/>
  <c r="J432" i="36" s="1"/>
  <c r="AQ439" i="1"/>
  <c r="M440" i="36" s="1"/>
  <c r="AQ443" i="1"/>
  <c r="M444" i="36" s="1"/>
  <c r="AQ447" i="1"/>
  <c r="M448" i="36" s="1"/>
  <c r="Z427" i="1"/>
  <c r="J428" i="36" s="1"/>
  <c r="AQ386" i="1"/>
  <c r="M387" i="36" s="1"/>
  <c r="Z377" i="1"/>
  <c r="J378" i="36" s="1"/>
  <c r="Z406" i="1"/>
  <c r="J407" i="36" s="1"/>
  <c r="AQ395" i="1"/>
  <c r="M396" i="36" s="1"/>
  <c r="Z375" i="1"/>
  <c r="J376" i="36" s="1"/>
  <c r="Z383" i="1"/>
  <c r="J384" i="36" s="1"/>
  <c r="Z391" i="1"/>
  <c r="J392" i="36" s="1"/>
  <c r="Z398" i="1"/>
  <c r="J399" i="36" s="1"/>
  <c r="AQ421" i="1"/>
  <c r="M422" i="36" s="1"/>
  <c r="AQ408" i="1"/>
  <c r="M409" i="36" s="1"/>
  <c r="Z420" i="1"/>
  <c r="J421" i="36" s="1"/>
  <c r="Z428" i="1"/>
  <c r="J429" i="36" s="1"/>
  <c r="Z432" i="1"/>
  <c r="J433" i="36" s="1"/>
  <c r="AQ489" i="1"/>
  <c r="M490" i="36" s="1"/>
  <c r="AQ490" i="1"/>
  <c r="M491" i="36" s="1"/>
  <c r="AQ519" i="1"/>
  <c r="M520" i="36" s="1"/>
  <c r="AQ510" i="1"/>
  <c r="M511" i="36" s="1"/>
  <c r="AQ524" i="1"/>
  <c r="M525" i="36" s="1"/>
  <c r="Z523" i="1"/>
  <c r="J524" i="36" s="1"/>
  <c r="Z506" i="1"/>
  <c r="J507" i="36" s="1"/>
  <c r="Z510" i="1"/>
  <c r="J511" i="36" s="1"/>
  <c r="Z501" i="1"/>
  <c r="J502" i="36" s="1"/>
  <c r="AQ502" i="1"/>
  <c r="M503" i="36" s="1"/>
  <c r="AQ492" i="1"/>
  <c r="M493" i="36" s="1"/>
  <c r="Z518" i="1"/>
  <c r="J519" i="36" s="1"/>
  <c r="Z503" i="1"/>
  <c r="J504" i="36" s="1"/>
  <c r="AQ277" i="1"/>
  <c r="M278" i="36" s="1"/>
  <c r="AQ253" i="1"/>
  <c r="M254" i="36" s="1"/>
  <c r="Z260" i="1"/>
  <c r="J261" i="36" s="1"/>
  <c r="AQ366" i="1"/>
  <c r="M367" i="36" s="1"/>
  <c r="AQ514" i="1"/>
  <c r="M515" i="36" s="1"/>
  <c r="Z496" i="1"/>
  <c r="J497" i="36" s="1"/>
  <c r="AQ515" i="1"/>
  <c r="M516" i="36" s="1"/>
  <c r="AQ497" i="1"/>
  <c r="M498" i="36" s="1"/>
  <c r="AQ496" i="1"/>
  <c r="M497" i="36" s="1"/>
  <c r="AQ491" i="1"/>
  <c r="M492" i="36" s="1"/>
  <c r="AQ495" i="1"/>
  <c r="M496" i="36" s="1"/>
  <c r="AQ499" i="1"/>
  <c r="M500" i="36" s="1"/>
  <c r="AQ503" i="1"/>
  <c r="M504" i="36" s="1"/>
  <c r="AQ500" i="1"/>
  <c r="M501" i="36" s="1"/>
  <c r="Z527" i="1"/>
  <c r="J528" i="36" s="1"/>
  <c r="Z516" i="1"/>
  <c r="J517" i="36" s="1"/>
  <c r="Z520" i="1"/>
  <c r="J521" i="36" s="1"/>
  <c r="Z524" i="1"/>
  <c r="J525" i="36" s="1"/>
  <c r="Z528" i="1"/>
  <c r="J529" i="36" s="1"/>
  <c r="Z69" i="1"/>
  <c r="J70" i="36" s="1"/>
  <c r="AQ176" i="1"/>
  <c r="M177" i="36" s="1"/>
  <c r="AQ315" i="1"/>
  <c r="M316" i="36" s="1"/>
  <c r="AQ285" i="1"/>
  <c r="M286" i="36" s="1"/>
  <c r="Z276" i="1"/>
  <c r="J277" i="36" s="1"/>
  <c r="AQ289" i="1"/>
  <c r="M290" i="36" s="1"/>
  <c r="AQ340" i="1"/>
  <c r="M341" i="36" s="1"/>
  <c r="Z489" i="1"/>
  <c r="J490" i="36" s="1"/>
  <c r="AQ480" i="1"/>
  <c r="M481" i="36" s="1"/>
  <c r="AQ475" i="1"/>
  <c r="M476" i="36" s="1"/>
  <c r="AQ471" i="1"/>
  <c r="M472" i="36" s="1"/>
  <c r="Z457" i="1"/>
  <c r="J458" i="36" s="1"/>
  <c r="Z505" i="1"/>
  <c r="J506" i="36" s="1"/>
  <c r="AQ527" i="1"/>
  <c r="M528" i="36" s="1"/>
  <c r="Z509" i="1"/>
  <c r="J510" i="36" s="1"/>
  <c r="Z491" i="1"/>
  <c r="J492" i="36" s="1"/>
  <c r="Z499" i="1"/>
  <c r="J500" i="36" s="1"/>
  <c r="AQ520" i="1"/>
  <c r="M521" i="36" s="1"/>
  <c r="AQ528" i="1"/>
  <c r="M529" i="36" s="1"/>
  <c r="AQ516" i="1"/>
  <c r="M517" i="36" s="1"/>
  <c r="AQ507" i="1"/>
  <c r="M508" i="36" s="1"/>
  <c r="AQ511" i="1"/>
  <c r="M512" i="36" s="1"/>
  <c r="Z316" i="1"/>
  <c r="J317" i="36" s="1"/>
  <c r="AQ342" i="1"/>
  <c r="M343" i="36" s="1"/>
  <c r="Z483" i="1"/>
  <c r="J484" i="36" s="1"/>
  <c r="AQ526" i="1"/>
  <c r="M527" i="36" s="1"/>
  <c r="AQ518" i="1"/>
  <c r="M519" i="36" s="1"/>
  <c r="AQ501" i="1"/>
  <c r="M502" i="36" s="1"/>
  <c r="AQ498" i="1"/>
  <c r="M499" i="36" s="1"/>
  <c r="AQ523" i="1"/>
  <c r="M524" i="36" s="1"/>
  <c r="AQ522" i="1"/>
  <c r="M523" i="36" s="1"/>
  <c r="AQ494" i="1"/>
  <c r="M495" i="36" s="1"/>
  <c r="Z490" i="1"/>
  <c r="J491" i="36" s="1"/>
  <c r="Z494" i="1"/>
  <c r="J495" i="36" s="1"/>
  <c r="Z498" i="1"/>
  <c r="J499" i="36" s="1"/>
  <c r="Z502" i="1"/>
  <c r="J503" i="36" s="1"/>
  <c r="Z515" i="1"/>
  <c r="J516" i="36" s="1"/>
  <c r="Z495" i="1"/>
  <c r="J496" i="36" s="1"/>
  <c r="Z519" i="1"/>
  <c r="J520" i="36" s="1"/>
  <c r="AQ517" i="1"/>
  <c r="M518" i="36" s="1"/>
  <c r="AQ521" i="1"/>
  <c r="M522" i="36" s="1"/>
  <c r="AQ525" i="1"/>
  <c r="M526" i="36" s="1"/>
  <c r="AQ529" i="1"/>
  <c r="M530" i="36" s="1"/>
  <c r="Z355" i="1"/>
  <c r="J356" i="36" s="1"/>
  <c r="AQ273" i="1"/>
  <c r="M274" i="36" s="1"/>
  <c r="Z339" i="1"/>
  <c r="J340" i="36" s="1"/>
  <c r="Z342" i="1"/>
  <c r="J343" i="36" s="1"/>
  <c r="Z356" i="1"/>
  <c r="J357" i="36" s="1"/>
  <c r="Z367" i="1"/>
  <c r="J368" i="36" s="1"/>
  <c r="AQ452" i="1"/>
  <c r="M453" i="36" s="1"/>
  <c r="J520" i="14"/>
  <c r="AQ353" i="1"/>
  <c r="M354" i="36" s="1"/>
  <c r="Z459" i="1"/>
  <c r="J460" i="36" s="1"/>
  <c r="Z450" i="1"/>
  <c r="J451" i="36" s="1"/>
  <c r="AQ457" i="1"/>
  <c r="M458" i="36" s="1"/>
  <c r="AQ485" i="1"/>
  <c r="M486" i="36" s="1"/>
  <c r="Z362" i="1"/>
  <c r="J363" i="36" s="1"/>
  <c r="Z465" i="1"/>
  <c r="J466" i="36" s="1"/>
  <c r="AQ473" i="1"/>
  <c r="M474" i="36" s="1"/>
  <c r="AQ454" i="1"/>
  <c r="M455" i="36" s="1"/>
  <c r="Z484" i="1"/>
  <c r="J485" i="36" s="1"/>
  <c r="Z477" i="1"/>
  <c r="J478" i="36" s="1"/>
  <c r="Z460" i="1"/>
  <c r="J461" i="36" s="1"/>
  <c r="AQ472" i="1"/>
  <c r="M473" i="36" s="1"/>
  <c r="Z475" i="1"/>
  <c r="J476" i="36" s="1"/>
  <c r="Z452" i="1"/>
  <c r="J453" i="36" s="1"/>
  <c r="Z476" i="1"/>
  <c r="J477" i="36" s="1"/>
  <c r="Z468" i="1"/>
  <c r="J469" i="36" s="1"/>
  <c r="Z473" i="1"/>
  <c r="J474" i="36" s="1"/>
  <c r="AQ453" i="1"/>
  <c r="M454" i="36" s="1"/>
  <c r="AQ487" i="1"/>
  <c r="M488" i="36" s="1"/>
  <c r="AQ470" i="1"/>
  <c r="M471" i="36" s="1"/>
  <c r="AQ458" i="1"/>
  <c r="M459" i="36" s="1"/>
  <c r="Z324" i="1"/>
  <c r="J325" i="36" s="1"/>
  <c r="AQ456" i="1"/>
  <c r="M457" i="36" s="1"/>
  <c r="AQ468" i="1"/>
  <c r="M469" i="36" s="1"/>
  <c r="Z487" i="1"/>
  <c r="J488" i="36" s="1"/>
  <c r="AQ365" i="1"/>
  <c r="M366" i="36" s="1"/>
  <c r="Z472" i="1"/>
  <c r="J473" i="36" s="1"/>
  <c r="AQ466" i="1"/>
  <c r="M467" i="36" s="1"/>
  <c r="AQ363" i="1"/>
  <c r="M364" i="36" s="1"/>
  <c r="Z453" i="1"/>
  <c r="J454" i="36" s="1"/>
  <c r="Z366" i="1"/>
  <c r="J367" i="36" s="1"/>
  <c r="AQ486" i="1"/>
  <c r="M487" i="36" s="1"/>
  <c r="AQ478" i="1"/>
  <c r="M479" i="36" s="1"/>
  <c r="AQ469" i="1"/>
  <c r="M470" i="36" s="1"/>
  <c r="AQ462" i="1"/>
  <c r="M463" i="36" s="1"/>
  <c r="Z337" i="1"/>
  <c r="J338" i="36" s="1"/>
  <c r="J360" i="14"/>
  <c r="F366" i="36" s="1"/>
  <c r="F362" i="40"/>
  <c r="Z479" i="1"/>
  <c r="J480" i="36" s="1"/>
  <c r="AQ460" i="1"/>
  <c r="M461" i="36" s="1"/>
  <c r="Z471" i="1"/>
  <c r="J472" i="36" s="1"/>
  <c r="Z451" i="1"/>
  <c r="J452" i="36" s="1"/>
  <c r="AQ461" i="1"/>
  <c r="M462" i="36" s="1"/>
  <c r="Z480" i="1"/>
  <c r="J481" i="36" s="1"/>
  <c r="Z488" i="1"/>
  <c r="J489" i="36" s="1"/>
  <c r="AQ465" i="1"/>
  <c r="M466" i="36" s="1"/>
  <c r="AQ481" i="1"/>
  <c r="M482" i="36" s="1"/>
  <c r="AQ474" i="1"/>
  <c r="M475" i="36" s="1"/>
  <c r="AQ477" i="1"/>
  <c r="M478" i="36" s="1"/>
  <c r="Z469" i="1"/>
  <c r="J470" i="36" s="1"/>
  <c r="Z456" i="1"/>
  <c r="J457" i="36" s="1"/>
  <c r="Z272" i="1"/>
  <c r="J273" i="36" s="1"/>
  <c r="AQ264" i="1"/>
  <c r="M265" i="36" s="1"/>
  <c r="AQ282" i="1"/>
  <c r="M283" i="36" s="1"/>
  <c r="Z320" i="1"/>
  <c r="J321" i="36" s="1"/>
  <c r="AQ359" i="1"/>
  <c r="M360" i="36" s="1"/>
  <c r="AQ348" i="1"/>
  <c r="M349" i="36" s="1"/>
  <c r="AQ355" i="1"/>
  <c r="M356" i="36" s="1"/>
  <c r="AQ270" i="1"/>
  <c r="M271" i="36" s="1"/>
  <c r="Z325" i="1"/>
  <c r="J326" i="36" s="1"/>
  <c r="Z332" i="1"/>
  <c r="J333" i="36" s="1"/>
  <c r="AQ335" i="1"/>
  <c r="M336" i="36" s="1"/>
  <c r="J257" i="14"/>
  <c r="F263" i="36" s="1"/>
  <c r="F259" i="40"/>
  <c r="Z275" i="1"/>
  <c r="J276" i="36" s="1"/>
  <c r="Z255" i="1"/>
  <c r="J256" i="36" s="1"/>
  <c r="AQ328" i="1"/>
  <c r="M329" i="36" s="1"/>
  <c r="AQ326" i="1"/>
  <c r="M327" i="36" s="1"/>
  <c r="Z340" i="1"/>
  <c r="J341" i="36" s="1"/>
  <c r="AQ358" i="1"/>
  <c r="M359" i="36" s="1"/>
  <c r="AQ357" i="1"/>
  <c r="M358" i="36" s="1"/>
  <c r="Z360" i="1"/>
  <c r="J361" i="36" s="1"/>
  <c r="AQ360" i="1"/>
  <c r="M361" i="36" s="1"/>
  <c r="AQ351" i="1"/>
  <c r="M352" i="36" s="1"/>
  <c r="AQ346" i="1"/>
  <c r="M347" i="36" s="1"/>
  <c r="Z357" i="1"/>
  <c r="J358" i="36" s="1"/>
  <c r="Z341" i="1"/>
  <c r="J342" i="36" s="1"/>
  <c r="AQ350" i="1"/>
  <c r="M351" i="36" s="1"/>
  <c r="Z346" i="1"/>
  <c r="J347" i="36" s="1"/>
  <c r="AQ324" i="1"/>
  <c r="M325" i="36" s="1"/>
  <c r="AQ345" i="1"/>
  <c r="M346" i="36" s="1"/>
  <c r="Z336" i="1"/>
  <c r="J337" i="36" s="1"/>
  <c r="Z350" i="1"/>
  <c r="J351" i="36" s="1"/>
  <c r="Z353" i="1"/>
  <c r="J354" i="36" s="1"/>
  <c r="AQ339" i="1"/>
  <c r="M340" i="36" s="1"/>
  <c r="Z345" i="1"/>
  <c r="J346" i="36" s="1"/>
  <c r="Z344" i="1"/>
  <c r="J345" i="36" s="1"/>
  <c r="AQ337" i="1"/>
  <c r="M338" i="36" s="1"/>
  <c r="AQ349" i="1"/>
  <c r="M350" i="36" s="1"/>
  <c r="Z334" i="1"/>
  <c r="J335" i="36" s="1"/>
  <c r="AQ334" i="1"/>
  <c r="M335" i="36" s="1"/>
  <c r="Z333" i="1"/>
  <c r="J334" i="36" s="1"/>
  <c r="Z349" i="1"/>
  <c r="J350" i="36" s="1"/>
  <c r="AQ338" i="1"/>
  <c r="M339" i="36" s="1"/>
  <c r="AQ327" i="1"/>
  <c r="M328" i="36" s="1"/>
  <c r="Z343" i="1"/>
  <c r="J344" i="36" s="1"/>
  <c r="Z335" i="1"/>
  <c r="J336" i="36" s="1"/>
  <c r="AQ332" i="1"/>
  <c r="M333" i="36" s="1"/>
  <c r="AQ341" i="1"/>
  <c r="M342" i="36" s="1"/>
  <c r="AQ333" i="1"/>
  <c r="M334" i="36" s="1"/>
  <c r="AQ354" i="1"/>
  <c r="M355" i="36" s="1"/>
  <c r="AQ347" i="1"/>
  <c r="M348" i="36" s="1"/>
  <c r="Z338" i="1"/>
  <c r="J339" i="36" s="1"/>
  <c r="AQ325" i="1"/>
  <c r="M326" i="36" s="1"/>
  <c r="Z279" i="1"/>
  <c r="J280" i="36" s="1"/>
  <c r="Z327" i="1"/>
  <c r="J328" i="36" s="1"/>
  <c r="AQ297" i="1"/>
  <c r="M298" i="36" s="1"/>
  <c r="Z85" i="1"/>
  <c r="J86" i="36" s="1"/>
  <c r="Z243" i="1"/>
  <c r="J244" i="36" s="1"/>
  <c r="AQ319" i="1"/>
  <c r="M320" i="36" s="1"/>
  <c r="Z263" i="1"/>
  <c r="J264" i="36" s="1"/>
  <c r="AQ329" i="1"/>
  <c r="M330" i="36" s="1"/>
  <c r="Z329" i="1"/>
  <c r="J330" i="36" s="1"/>
  <c r="Z55" i="1"/>
  <c r="J56" i="36" s="1"/>
  <c r="Z23" i="1"/>
  <c r="J24" i="36" s="1"/>
  <c r="AQ57" i="1"/>
  <c r="M58" i="36" s="1"/>
  <c r="Z242" i="1"/>
  <c r="J243" i="36" s="1"/>
  <c r="Z319" i="1"/>
  <c r="J320" i="36" s="1"/>
  <c r="Z287" i="1"/>
  <c r="J288" i="36" s="1"/>
  <c r="Z313" i="1"/>
  <c r="J314" i="36" s="1"/>
  <c r="C331" i="1"/>
  <c r="C332" i="1" s="1"/>
  <c r="C333" i="1" s="1"/>
  <c r="C334" i="1" s="1"/>
  <c r="C335" i="1" s="1"/>
  <c r="C336" i="1" s="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12" i="1"/>
  <c r="C313" i="1" s="1"/>
  <c r="C314" i="1" s="1"/>
  <c r="C315" i="1" s="1"/>
  <c r="C316" i="1" s="1"/>
  <c r="C317" i="1" s="1"/>
  <c r="C318" i="1" s="1"/>
  <c r="C319" i="1" s="1"/>
  <c r="C320" i="1" s="1"/>
  <c r="C321" i="1" s="1"/>
  <c r="C322" i="1" s="1"/>
  <c r="C323" i="1" s="1"/>
  <c r="C324" i="1" s="1"/>
  <c r="C325" i="1" s="1"/>
  <c r="C326" i="1" s="1"/>
  <c r="C327" i="1" s="1"/>
  <c r="C328" i="1" s="1"/>
  <c r="C329" i="1" s="1"/>
  <c r="AQ245" i="1"/>
  <c r="M246" i="36" s="1"/>
  <c r="AQ248" i="1"/>
  <c r="M249" i="36" s="1"/>
  <c r="AQ280" i="1"/>
  <c r="M281" i="36" s="1"/>
  <c r="Z194" i="1"/>
  <c r="J195" i="36" s="1"/>
  <c r="Z226" i="1"/>
  <c r="J227" i="36" s="1"/>
  <c r="Z273" i="1"/>
  <c r="J274" i="36" s="1"/>
  <c r="Z127" i="1"/>
  <c r="J128" i="36" s="1"/>
  <c r="Z155" i="1"/>
  <c r="J156" i="36" s="1"/>
  <c r="AQ234" i="1"/>
  <c r="M235" i="36" s="1"/>
  <c r="AQ246" i="1"/>
  <c r="M247" i="36" s="1"/>
  <c r="Z246" i="1"/>
  <c r="J247" i="36" s="1"/>
  <c r="Z248" i="1"/>
  <c r="J249" i="36" s="1"/>
  <c r="Z289" i="1"/>
  <c r="J290" i="36" s="1"/>
  <c r="AQ254" i="1"/>
  <c r="M255" i="36" s="1"/>
  <c r="Z277" i="1"/>
  <c r="J278" i="36" s="1"/>
  <c r="AQ311" i="1"/>
  <c r="M312" i="36" s="1"/>
  <c r="Z282" i="1"/>
  <c r="J283" i="36" s="1"/>
  <c r="Z258" i="1"/>
  <c r="J259" i="36" s="1"/>
  <c r="AQ288" i="1"/>
  <c r="M289" i="36" s="1"/>
  <c r="AQ283" i="1"/>
  <c r="M284" i="36" s="1"/>
  <c r="Z259" i="1"/>
  <c r="J260" i="36" s="1"/>
  <c r="AQ252" i="1"/>
  <c r="M253" i="36" s="1"/>
  <c r="Z278" i="1"/>
  <c r="J279" i="36" s="1"/>
  <c r="AQ240" i="1"/>
  <c r="M241" i="36" s="1"/>
  <c r="AQ266" i="1"/>
  <c r="M267" i="36" s="1"/>
  <c r="AQ111" i="1"/>
  <c r="M112" i="36" s="1"/>
  <c r="AQ269" i="1"/>
  <c r="M270" i="36" s="1"/>
  <c r="Z257" i="1"/>
  <c r="J258" i="36" s="1"/>
  <c r="AQ267" i="1"/>
  <c r="M268" i="36" s="1"/>
  <c r="Z262" i="1"/>
  <c r="J263" i="36" s="1"/>
  <c r="Z60" i="1"/>
  <c r="J61" i="36" s="1"/>
  <c r="AQ25" i="1"/>
  <c r="M26" i="36" s="1"/>
  <c r="AQ12" i="1"/>
  <c r="M13" i="36" s="1"/>
  <c r="AQ177" i="1"/>
  <c r="M178" i="36" s="1"/>
  <c r="AQ31" i="1"/>
  <c r="M32" i="36" s="1"/>
  <c r="AQ197" i="1"/>
  <c r="M198" i="36" s="1"/>
  <c r="Z192" i="1"/>
  <c r="J193" i="36" s="1"/>
  <c r="AQ123" i="1"/>
  <c r="M124" i="36" s="1"/>
  <c r="AQ230" i="1"/>
  <c r="M231" i="36" s="1"/>
  <c r="AQ239" i="1"/>
  <c r="M240" i="36" s="1"/>
  <c r="Z241" i="1"/>
  <c r="J242" i="36" s="1"/>
  <c r="Z268" i="1"/>
  <c r="J269" i="36" s="1"/>
  <c r="AQ323" i="1"/>
  <c r="M324" i="36" s="1"/>
  <c r="AQ320" i="1"/>
  <c r="M321" i="36" s="1"/>
  <c r="Z285" i="1"/>
  <c r="J286" i="36" s="1"/>
  <c r="Z264" i="1"/>
  <c r="J265" i="36" s="1"/>
  <c r="AQ258" i="1"/>
  <c r="M259" i="36" s="1"/>
  <c r="AQ321" i="1"/>
  <c r="M322" i="36" s="1"/>
  <c r="AQ271" i="1"/>
  <c r="M272" i="36" s="1"/>
  <c r="AQ255" i="1"/>
  <c r="M256" i="36" s="1"/>
  <c r="AQ314" i="1"/>
  <c r="M315" i="36" s="1"/>
  <c r="AQ272" i="1"/>
  <c r="M273" i="36" s="1"/>
  <c r="Z266" i="1"/>
  <c r="J267" i="36" s="1"/>
  <c r="Z317" i="1"/>
  <c r="J318" i="36" s="1"/>
  <c r="AQ287" i="1"/>
  <c r="M288" i="36" s="1"/>
  <c r="Z274" i="1"/>
  <c r="J275" i="36" s="1"/>
  <c r="Z267" i="1"/>
  <c r="J268" i="36" s="1"/>
  <c r="Z321" i="1"/>
  <c r="J322" i="36" s="1"/>
  <c r="AQ284" i="1"/>
  <c r="M285" i="36" s="1"/>
  <c r="AQ278" i="1"/>
  <c r="M279" i="36" s="1"/>
  <c r="Z299" i="1"/>
  <c r="J300" i="36" s="1"/>
  <c r="Z96" i="1"/>
  <c r="J97" i="36" s="1"/>
  <c r="Z146" i="1"/>
  <c r="J147" i="36" s="1"/>
  <c r="AQ149" i="1"/>
  <c r="M150" i="36" s="1"/>
  <c r="AQ110" i="1"/>
  <c r="M111" i="36" s="1"/>
  <c r="AQ141" i="1"/>
  <c r="M142" i="36" s="1"/>
  <c r="AQ71" i="1"/>
  <c r="M72" i="36" s="1"/>
  <c r="AQ36" i="1"/>
  <c r="M37" i="36" s="1"/>
  <c r="AQ215" i="1"/>
  <c r="M216" i="36" s="1"/>
  <c r="AQ115" i="1"/>
  <c r="M116" i="36" s="1"/>
  <c r="AQ186" i="1"/>
  <c r="M187" i="36" s="1"/>
  <c r="Z234" i="1"/>
  <c r="J235" i="36" s="1"/>
  <c r="AQ89" i="1"/>
  <c r="M90" i="36" s="1"/>
  <c r="Z154" i="1"/>
  <c r="J155" i="36" s="1"/>
  <c r="AQ168" i="1"/>
  <c r="M169" i="36" s="1"/>
  <c r="Z245" i="1"/>
  <c r="J246" i="36" s="1"/>
  <c r="Z240" i="1"/>
  <c r="J241" i="36" s="1"/>
  <c r="AQ274" i="1"/>
  <c r="M275" i="36" s="1"/>
  <c r="Z256" i="1"/>
  <c r="J257" i="36" s="1"/>
  <c r="Z311" i="1"/>
  <c r="J312" i="36" s="1"/>
  <c r="Z265" i="1"/>
  <c r="J266" i="36" s="1"/>
  <c r="AQ279" i="1"/>
  <c r="M280" i="36" s="1"/>
  <c r="AQ263" i="1"/>
  <c r="M264" i="36" s="1"/>
  <c r="AQ260" i="1"/>
  <c r="M261" i="36" s="1"/>
  <c r="Z283" i="1"/>
  <c r="J284" i="36" s="1"/>
  <c r="AQ275" i="1"/>
  <c r="M276" i="36" s="1"/>
  <c r="AQ32" i="1"/>
  <c r="M33" i="36" s="1"/>
  <c r="AQ37" i="1"/>
  <c r="M38" i="36" s="1"/>
  <c r="AQ235" i="1"/>
  <c r="M236" i="36" s="1"/>
  <c r="Z247" i="1"/>
  <c r="J248" i="36" s="1"/>
  <c r="Z251" i="1"/>
  <c r="J252" i="36" s="1"/>
  <c r="Z288" i="1"/>
  <c r="J289" i="36" s="1"/>
  <c r="AQ312" i="1"/>
  <c r="M313" i="36" s="1"/>
  <c r="AQ317" i="1"/>
  <c r="M318" i="36" s="1"/>
  <c r="Z253" i="1"/>
  <c r="J254" i="36" s="1"/>
  <c r="AQ262" i="1"/>
  <c r="M263" i="36" s="1"/>
  <c r="AQ276" i="1"/>
  <c r="M277" i="36" s="1"/>
  <c r="AQ268" i="1"/>
  <c r="M269" i="36" s="1"/>
  <c r="AQ318" i="1"/>
  <c r="M319" i="36" s="1"/>
  <c r="Z286" i="1"/>
  <c r="J287" i="36" s="1"/>
  <c r="Z270" i="1"/>
  <c r="J271" i="36" s="1"/>
  <c r="AQ259" i="1"/>
  <c r="M260" i="36" s="1"/>
  <c r="Z254" i="1"/>
  <c r="J255" i="36" s="1"/>
  <c r="AQ322" i="1"/>
  <c r="M323" i="36" s="1"/>
  <c r="Z237" i="1"/>
  <c r="J238" i="36" s="1"/>
  <c r="AQ244" i="1"/>
  <c r="M245" i="36" s="1"/>
  <c r="Z153" i="1"/>
  <c r="J154" i="36" s="1"/>
  <c r="Z249" i="1"/>
  <c r="J250" i="36" s="1"/>
  <c r="AQ243" i="1"/>
  <c r="M244" i="36" s="1"/>
  <c r="Z239" i="1"/>
  <c r="J240" i="36" s="1"/>
  <c r="AQ242" i="1"/>
  <c r="M243" i="36" s="1"/>
  <c r="Z15" i="1"/>
  <c r="J16" i="36" s="1"/>
  <c r="Z182" i="1"/>
  <c r="J183" i="36" s="1"/>
  <c r="Z133" i="1"/>
  <c r="J134" i="36" s="1"/>
  <c r="AQ220" i="1"/>
  <c r="M221" i="36" s="1"/>
  <c r="AQ19" i="1"/>
  <c r="M20" i="36" s="1"/>
  <c r="AQ29" i="1"/>
  <c r="M30" i="36" s="1"/>
  <c r="AQ63" i="1"/>
  <c r="M64" i="36" s="1"/>
  <c r="AQ125" i="1"/>
  <c r="M126" i="36" s="1"/>
  <c r="Z120" i="1"/>
  <c r="J121" i="36" s="1"/>
  <c r="Z86" i="1"/>
  <c r="J87" i="36" s="1"/>
  <c r="AQ127" i="1"/>
  <c r="M128" i="36" s="1"/>
  <c r="Z204" i="1"/>
  <c r="J205" i="36" s="1"/>
  <c r="AQ119" i="1"/>
  <c r="M120" i="36" s="1"/>
  <c r="AQ129" i="1"/>
  <c r="M130" i="36" s="1"/>
  <c r="AQ229" i="1"/>
  <c r="M230" i="36" s="1"/>
  <c r="Z156" i="1"/>
  <c r="J157" i="36" s="1"/>
  <c r="AQ87" i="1"/>
  <c r="M88" i="36" s="1"/>
  <c r="AQ124" i="1"/>
  <c r="M125" i="36" s="1"/>
  <c r="Z229" i="1"/>
  <c r="J230" i="36" s="1"/>
  <c r="Z294" i="1"/>
  <c r="J295" i="36" s="1"/>
  <c r="AQ216" i="1"/>
  <c r="M217" i="36" s="1"/>
  <c r="AQ75" i="1"/>
  <c r="M76" i="36" s="1"/>
  <c r="AQ40" i="1"/>
  <c r="M41" i="36" s="1"/>
  <c r="AQ303" i="1"/>
  <c r="M304" i="36" s="1"/>
  <c r="AQ214" i="1"/>
  <c r="M215" i="36" s="1"/>
  <c r="Z167" i="1"/>
  <c r="J168" i="36" s="1"/>
  <c r="AQ161" i="1"/>
  <c r="M162" i="36" s="1"/>
  <c r="AQ155" i="1"/>
  <c r="M156" i="36" s="1"/>
  <c r="Z228" i="1"/>
  <c r="J229" i="36" s="1"/>
  <c r="Z189" i="1"/>
  <c r="J190" i="36" s="1"/>
  <c r="AQ208" i="1"/>
  <c r="M209" i="36" s="1"/>
  <c r="AQ205" i="1"/>
  <c r="M206" i="36" s="1"/>
  <c r="Z196" i="1"/>
  <c r="J197" i="36" s="1"/>
  <c r="AQ45" i="1"/>
  <c r="M46" i="36" s="1"/>
  <c r="AQ199" i="1"/>
  <c r="M200" i="36" s="1"/>
  <c r="AQ189" i="1"/>
  <c r="M190" i="36" s="1"/>
  <c r="AQ113" i="1"/>
  <c r="M114" i="36" s="1"/>
  <c r="AQ58" i="1"/>
  <c r="M59" i="36" s="1"/>
  <c r="Z95" i="1"/>
  <c r="J96" i="36" s="1"/>
  <c r="AQ148" i="1"/>
  <c r="M149" i="36" s="1"/>
  <c r="AQ92" i="1"/>
  <c r="M93" i="36" s="1"/>
  <c r="AQ212" i="1"/>
  <c r="M213" i="36" s="1"/>
  <c r="Z149" i="1"/>
  <c r="J150" i="36" s="1"/>
  <c r="Z111" i="1"/>
  <c r="J112" i="36" s="1"/>
  <c r="Z217" i="1"/>
  <c r="J218" i="36" s="1"/>
  <c r="AQ112" i="1"/>
  <c r="M113" i="36" s="1"/>
  <c r="AQ28" i="1"/>
  <c r="M29" i="36" s="1"/>
  <c r="AQ236" i="1"/>
  <c r="M237" i="36" s="1"/>
  <c r="AQ163" i="1"/>
  <c r="M164" i="36" s="1"/>
  <c r="AQ55" i="1"/>
  <c r="M56" i="36" s="1"/>
  <c r="AQ308" i="1"/>
  <c r="M309" i="36" s="1"/>
  <c r="AQ147" i="1"/>
  <c r="M148" i="36" s="1"/>
  <c r="Z83" i="1"/>
  <c r="J84" i="36" s="1"/>
  <c r="Z190" i="1"/>
  <c r="J191" i="36" s="1"/>
  <c r="Z124" i="1"/>
  <c r="J125" i="36" s="1"/>
  <c r="AQ169" i="1"/>
  <c r="M170" i="36" s="1"/>
  <c r="AQ290" i="1"/>
  <c r="M291" i="36" s="1"/>
  <c r="AQ91" i="1"/>
  <c r="M92" i="36" s="1"/>
  <c r="AQ330" i="1"/>
  <c r="M331" i="36" s="1"/>
  <c r="Z206" i="1"/>
  <c r="J207" i="36" s="1"/>
  <c r="Z122" i="1"/>
  <c r="J123" i="36" s="1"/>
  <c r="Z207" i="1"/>
  <c r="J208" i="36" s="1"/>
  <c r="AQ26" i="1"/>
  <c r="M27" i="36" s="1"/>
  <c r="AQ172" i="1"/>
  <c r="M173" i="36" s="1"/>
  <c r="Z126" i="1"/>
  <c r="J127" i="36" s="1"/>
  <c r="AQ121" i="1"/>
  <c r="M122" i="36" s="1"/>
  <c r="Z119" i="1"/>
  <c r="J120" i="36" s="1"/>
  <c r="AQ233" i="1"/>
  <c r="M234" i="36" s="1"/>
  <c r="AQ203" i="1"/>
  <c r="M204" i="36" s="1"/>
  <c r="AQ157" i="1"/>
  <c r="M158" i="36" s="1"/>
  <c r="Z169" i="1"/>
  <c r="J170" i="36" s="1"/>
  <c r="Z193" i="1"/>
  <c r="J194" i="36" s="1"/>
  <c r="Z298" i="1"/>
  <c r="J299" i="36" s="1"/>
  <c r="Z230" i="1"/>
  <c r="J231" i="36" s="1"/>
  <c r="Z198" i="1"/>
  <c r="J199" i="36" s="1"/>
  <c r="AQ190" i="1"/>
  <c r="M191" i="36" s="1"/>
  <c r="AQ50" i="1"/>
  <c r="M51" i="36" s="1"/>
  <c r="AQ74" i="1"/>
  <c r="M75" i="36" s="1"/>
  <c r="Z82" i="1"/>
  <c r="J83" i="36" s="1"/>
  <c r="AQ154" i="1"/>
  <c r="M155" i="36" s="1"/>
  <c r="Z81" i="1"/>
  <c r="J82" i="36" s="1"/>
  <c r="AQ167" i="1"/>
  <c r="M168" i="36" s="1"/>
  <c r="AQ193" i="1"/>
  <c r="M194" i="36" s="1"/>
  <c r="AQ126" i="1"/>
  <c r="M127" i="36" s="1"/>
  <c r="AQ174" i="1"/>
  <c r="M175" i="36" s="1"/>
  <c r="AQ54" i="1"/>
  <c r="M55" i="36" s="1"/>
  <c r="Z28" i="1"/>
  <c r="J29" i="36" s="1"/>
  <c r="Z63" i="1"/>
  <c r="J64" i="36" s="1"/>
  <c r="Z80" i="1"/>
  <c r="J81" i="36" s="1"/>
  <c r="Z134" i="1"/>
  <c r="J135" i="36" s="1"/>
  <c r="Z79" i="1"/>
  <c r="J80" i="36" s="1"/>
  <c r="AQ226" i="1"/>
  <c r="M227" i="36" s="1"/>
  <c r="Z12" i="1"/>
  <c r="J13" i="36" s="1"/>
  <c r="Z25" i="1"/>
  <c r="J26" i="36" s="1"/>
  <c r="AQ128" i="1"/>
  <c r="M129" i="36" s="1"/>
  <c r="AQ88" i="1"/>
  <c r="M89" i="36" s="1"/>
  <c r="Z45" i="1"/>
  <c r="J46" i="36" s="1"/>
  <c r="Z108" i="1"/>
  <c r="J109" i="36" s="1"/>
  <c r="Z92" i="1"/>
  <c r="J93" i="36" s="1"/>
  <c r="Z186" i="1"/>
  <c r="J187" i="36" s="1"/>
  <c r="AQ64" i="1"/>
  <c r="M65" i="36" s="1"/>
  <c r="AQ185" i="1"/>
  <c r="M186" i="36" s="1"/>
  <c r="AQ309" i="1"/>
  <c r="M310" i="36" s="1"/>
  <c r="AQ196" i="1"/>
  <c r="M197" i="36" s="1"/>
  <c r="Z168" i="1"/>
  <c r="J169" i="36" s="1"/>
  <c r="AQ164" i="1"/>
  <c r="M165" i="36" s="1"/>
  <c r="Z138" i="1"/>
  <c r="J139" i="36" s="1"/>
  <c r="Z56" i="1"/>
  <c r="J57" i="36" s="1"/>
  <c r="Z303" i="1"/>
  <c r="J304" i="36" s="1"/>
  <c r="Z330" i="1"/>
  <c r="J331" i="36" s="1"/>
  <c r="Z291" i="1"/>
  <c r="J292" i="36" s="1"/>
  <c r="Z31" i="1"/>
  <c r="J32" i="36" s="1"/>
  <c r="AQ146" i="1"/>
  <c r="M147" i="36" s="1"/>
  <c r="AQ116" i="1"/>
  <c r="M117" i="36" s="1"/>
  <c r="AQ73" i="1"/>
  <c r="M74" i="36" s="1"/>
  <c r="AQ85" i="1"/>
  <c r="M86" i="36" s="1"/>
  <c r="AQ231" i="1"/>
  <c r="M232" i="36" s="1"/>
  <c r="Z48" i="1"/>
  <c r="J49" i="36" s="1"/>
  <c r="Z202" i="1"/>
  <c r="J203" i="36" s="1"/>
  <c r="Z128" i="1"/>
  <c r="J129" i="36" s="1"/>
  <c r="Z225" i="1"/>
  <c r="J226" i="36" s="1"/>
  <c r="Z16" i="1"/>
  <c r="J17" i="36" s="1"/>
  <c r="Z215" i="1"/>
  <c r="J216" i="36" s="1"/>
  <c r="Z306" i="1"/>
  <c r="J307" i="36" s="1"/>
  <c r="AQ68" i="1"/>
  <c r="M69" i="36" s="1"/>
  <c r="AQ94" i="1"/>
  <c r="M95" i="36" s="1"/>
  <c r="AQ106" i="1"/>
  <c r="M107" i="36" s="1"/>
  <c r="AQ217" i="1"/>
  <c r="M218" i="36" s="1"/>
  <c r="AQ153" i="1"/>
  <c r="M154" i="36" s="1"/>
  <c r="AQ159" i="1"/>
  <c r="M160" i="36" s="1"/>
  <c r="Z87" i="1"/>
  <c r="J88" i="36" s="1"/>
  <c r="Z160" i="1"/>
  <c r="J161" i="36" s="1"/>
  <c r="Z46" i="1"/>
  <c r="J47" i="36" s="1"/>
  <c r="Z158" i="1"/>
  <c r="J159" i="36" s="1"/>
  <c r="Z141" i="1"/>
  <c r="J142" i="36" s="1"/>
  <c r="AQ109" i="1"/>
  <c r="M110" i="36" s="1"/>
  <c r="AQ188" i="1"/>
  <c r="M189" i="36" s="1"/>
  <c r="AQ178" i="1"/>
  <c r="M179" i="36" s="1"/>
  <c r="Z37" i="1"/>
  <c r="J38" i="36" s="1"/>
  <c r="AQ222" i="1"/>
  <c r="M223" i="36" s="1"/>
  <c r="AQ80" i="1"/>
  <c r="M81" i="36" s="1"/>
  <c r="AQ130" i="1"/>
  <c r="M131" i="36" s="1"/>
  <c r="AQ296" i="1"/>
  <c r="M297" i="36" s="1"/>
  <c r="AQ108" i="1"/>
  <c r="M109" i="36" s="1"/>
  <c r="Z231" i="1"/>
  <c r="J232" i="36" s="1"/>
  <c r="AQ204" i="1"/>
  <c r="M205" i="36" s="1"/>
  <c r="AQ232" i="1"/>
  <c r="M233" i="36" s="1"/>
  <c r="AQ156" i="1"/>
  <c r="M157" i="36" s="1"/>
  <c r="Z235" i="1"/>
  <c r="J236" i="36" s="1"/>
  <c r="Z227" i="1"/>
  <c r="J228" i="36" s="1"/>
  <c r="AQ47" i="1"/>
  <c r="M48" i="36" s="1"/>
  <c r="AQ162" i="1"/>
  <c r="M163" i="36" s="1"/>
  <c r="Z118" i="1"/>
  <c r="J119" i="36" s="1"/>
  <c r="Z121" i="1"/>
  <c r="J122" i="36" s="1"/>
  <c r="AQ122" i="1"/>
  <c r="M123" i="36" s="1"/>
  <c r="Z205" i="1"/>
  <c r="J206" i="36" s="1"/>
  <c r="Z201" i="1"/>
  <c r="J202" i="36" s="1"/>
  <c r="Z236" i="1"/>
  <c r="J237" i="36" s="1"/>
  <c r="AQ158" i="1"/>
  <c r="M159" i="36" s="1"/>
  <c r="Z209" i="1"/>
  <c r="J210" i="36" s="1"/>
  <c r="Z233" i="1"/>
  <c r="J234" i="36" s="1"/>
  <c r="Z159" i="1"/>
  <c r="J160" i="36" s="1"/>
  <c r="AQ192" i="1"/>
  <c r="M193" i="36" s="1"/>
  <c r="AQ46" i="1"/>
  <c r="M47" i="36" s="1"/>
  <c r="AQ120" i="1"/>
  <c r="M121" i="36" s="1"/>
  <c r="Z88" i="1"/>
  <c r="J89" i="36" s="1"/>
  <c r="AQ49" i="1"/>
  <c r="M50" i="36" s="1"/>
  <c r="Z84" i="1"/>
  <c r="J85" i="36" s="1"/>
  <c r="AQ166" i="1"/>
  <c r="M167" i="36" s="1"/>
  <c r="AQ202" i="1"/>
  <c r="M203" i="36" s="1"/>
  <c r="AQ77" i="1"/>
  <c r="M78" i="36" s="1"/>
  <c r="AQ210" i="1"/>
  <c r="M211" i="36" s="1"/>
  <c r="AQ117" i="1"/>
  <c r="M118" i="36" s="1"/>
  <c r="AQ48" i="1"/>
  <c r="M49" i="36" s="1"/>
  <c r="Z123" i="1"/>
  <c r="J124" i="36" s="1"/>
  <c r="AQ200" i="1"/>
  <c r="M201" i="36" s="1"/>
  <c r="AQ84" i="1"/>
  <c r="M85" i="36" s="1"/>
  <c r="AQ81" i="1"/>
  <c r="M82" i="36" s="1"/>
  <c r="Z208" i="1"/>
  <c r="J209" i="36" s="1"/>
  <c r="AQ118" i="1"/>
  <c r="M119" i="36" s="1"/>
  <c r="AQ165" i="1"/>
  <c r="M166" i="36" s="1"/>
  <c r="Z157" i="1"/>
  <c r="J158" i="36" s="1"/>
  <c r="AQ206" i="1"/>
  <c r="M207" i="36" s="1"/>
  <c r="Z164" i="1"/>
  <c r="J165" i="36" s="1"/>
  <c r="AQ160" i="1"/>
  <c r="M161" i="36" s="1"/>
  <c r="Z203" i="1"/>
  <c r="J204" i="36" s="1"/>
  <c r="Z191" i="1"/>
  <c r="J192" i="36" s="1"/>
  <c r="Z195" i="1"/>
  <c r="J196" i="36" s="1"/>
  <c r="Z199" i="1"/>
  <c r="J200" i="36" s="1"/>
  <c r="Z49" i="1"/>
  <c r="J50" i="36" s="1"/>
  <c r="AQ194" i="1"/>
  <c r="M195" i="36" s="1"/>
  <c r="Z89" i="1"/>
  <c r="J90" i="36" s="1"/>
  <c r="AQ86" i="1"/>
  <c r="M87" i="36" s="1"/>
  <c r="Z117" i="1"/>
  <c r="J118" i="36" s="1"/>
  <c r="Z165" i="1"/>
  <c r="J166" i="36" s="1"/>
  <c r="Z197" i="1"/>
  <c r="J198" i="36" s="1"/>
  <c r="Z125" i="1"/>
  <c r="J126" i="36" s="1"/>
  <c r="AQ209" i="1"/>
  <c r="M210" i="36" s="1"/>
  <c r="AQ198" i="1"/>
  <c r="M199" i="36" s="1"/>
  <c r="AQ211" i="1"/>
  <c r="M212" i="36" s="1"/>
  <c r="AQ170" i="1"/>
  <c r="M171" i="36" s="1"/>
  <c r="AQ138" i="1"/>
  <c r="M139" i="36" s="1"/>
  <c r="AQ43" i="1"/>
  <c r="M44" i="36" s="1"/>
  <c r="AQ23" i="1"/>
  <c r="M24" i="36" s="1"/>
  <c r="AQ99" i="1"/>
  <c r="M100" i="36" s="1"/>
  <c r="AQ298" i="1"/>
  <c r="M299" i="36" s="1"/>
  <c r="AQ180" i="1"/>
  <c r="M181" i="36" s="1"/>
  <c r="AQ67" i="1"/>
  <c r="M68" i="36" s="1"/>
  <c r="AQ24" i="1"/>
  <c r="M25" i="36" s="1"/>
  <c r="AQ102" i="1"/>
  <c r="M103" i="36" s="1"/>
  <c r="AQ27" i="1"/>
  <c r="M28" i="36" s="1"/>
  <c r="Z41" i="1"/>
  <c r="J42" i="36" s="1"/>
  <c r="Z105" i="1"/>
  <c r="J106" i="36" s="1"/>
  <c r="Z211" i="1"/>
  <c r="J212" i="36" s="1"/>
  <c r="Z100" i="1"/>
  <c r="J101" i="36" s="1"/>
  <c r="Z130" i="1"/>
  <c r="J131" i="36" s="1"/>
  <c r="AQ173" i="1"/>
  <c r="M174" i="36" s="1"/>
  <c r="AQ132" i="1"/>
  <c r="M133" i="36" s="1"/>
  <c r="AQ142" i="1"/>
  <c r="M143" i="36" s="1"/>
  <c r="AQ42" i="1"/>
  <c r="M43" i="36" s="1"/>
  <c r="AQ140" i="1"/>
  <c r="M141" i="36" s="1"/>
  <c r="AQ143" i="1"/>
  <c r="M144" i="36" s="1"/>
  <c r="AQ62" i="1"/>
  <c r="M63" i="36" s="1"/>
  <c r="AQ144" i="1"/>
  <c r="M145" i="36" s="1"/>
  <c r="AQ22" i="1"/>
  <c r="M23" i="36" s="1"/>
  <c r="AQ13" i="1"/>
  <c r="M14" i="36" s="1"/>
  <c r="AQ221" i="1"/>
  <c r="M222" i="36" s="1"/>
  <c r="AQ292" i="1"/>
  <c r="M293" i="36" s="1"/>
  <c r="AQ175" i="1"/>
  <c r="M176" i="36" s="1"/>
  <c r="AQ66" i="1"/>
  <c r="M67" i="36" s="1"/>
  <c r="AQ33" i="1"/>
  <c r="M34" i="36" s="1"/>
  <c r="AQ38" i="1"/>
  <c r="M39" i="36" s="1"/>
  <c r="AQ135" i="1"/>
  <c r="M136" i="36" s="1"/>
  <c r="AQ294" i="1"/>
  <c r="M295" i="36" s="1"/>
  <c r="AQ103" i="1"/>
  <c r="M104" i="36" s="1"/>
  <c r="AQ151" i="1"/>
  <c r="M152" i="36" s="1"/>
  <c r="AQ114" i="1"/>
  <c r="M115" i="36" s="1"/>
  <c r="AQ219" i="1"/>
  <c r="M220" i="36" s="1"/>
  <c r="AQ52" i="1"/>
  <c r="M53" i="36" s="1"/>
  <c r="AQ213" i="1"/>
  <c r="M214" i="36" s="1"/>
  <c r="AQ101" i="1"/>
  <c r="M102" i="36" s="1"/>
  <c r="AQ295" i="1"/>
  <c r="M296" i="36" s="1"/>
  <c r="AQ98" i="1"/>
  <c r="M99" i="36" s="1"/>
  <c r="AQ300" i="1"/>
  <c r="M301" i="36" s="1"/>
  <c r="AQ90" i="1"/>
  <c r="M91" i="36" s="1"/>
  <c r="AQ35" i="1"/>
  <c r="M36" i="36" s="1"/>
  <c r="AQ15" i="1"/>
  <c r="M16" i="36" s="1"/>
  <c r="AQ304" i="1"/>
  <c r="M305" i="36" s="1"/>
  <c r="AQ134" i="1"/>
  <c r="M135" i="36" s="1"/>
  <c r="AQ105" i="1"/>
  <c r="M106" i="36" s="1"/>
  <c r="AQ223" i="1"/>
  <c r="M224" i="36" s="1"/>
  <c r="AQ137" i="1"/>
  <c r="M138" i="36" s="1"/>
  <c r="AQ16" i="1"/>
  <c r="M17" i="36" s="1"/>
  <c r="AQ34" i="1"/>
  <c r="M35" i="36" s="1"/>
  <c r="AQ53" i="1"/>
  <c r="M54" i="36" s="1"/>
  <c r="AQ136" i="1"/>
  <c r="M137" i="36" s="1"/>
  <c r="AQ70" i="1"/>
  <c r="M71" i="36" s="1"/>
  <c r="AQ104" i="1"/>
  <c r="M105" i="36" s="1"/>
  <c r="AQ131" i="1"/>
  <c r="M132" i="36" s="1"/>
  <c r="AQ152" i="1"/>
  <c r="M153" i="36" s="1"/>
  <c r="AQ179" i="1"/>
  <c r="M180" i="36" s="1"/>
  <c r="AQ307" i="1"/>
  <c r="M308" i="36" s="1"/>
  <c r="AQ133" i="1"/>
  <c r="M134" i="36" s="1"/>
  <c r="AQ97" i="1"/>
  <c r="M98" i="36" s="1"/>
  <c r="AQ59" i="1"/>
  <c r="M60" i="36" s="1"/>
  <c r="AQ39" i="1"/>
  <c r="M40" i="36" s="1"/>
  <c r="AQ20" i="1"/>
  <c r="M21" i="36" s="1"/>
  <c r="AQ181" i="1"/>
  <c r="M182" i="36" s="1"/>
  <c r="AQ224" i="1"/>
  <c r="M225" i="36" s="1"/>
  <c r="AQ56" i="1"/>
  <c r="M57" i="36" s="1"/>
  <c r="AQ76" i="1"/>
  <c r="M77" i="36" s="1"/>
  <c r="AQ302" i="1"/>
  <c r="M303" i="36" s="1"/>
  <c r="AQ14" i="1"/>
  <c r="M15" i="36" s="1"/>
  <c r="AQ61" i="1"/>
  <c r="M62" i="36" s="1"/>
  <c r="AQ30" i="1"/>
  <c r="M31" i="36" s="1"/>
  <c r="AQ291" i="1"/>
  <c r="M292" i="36" s="1"/>
  <c r="AQ95" i="1"/>
  <c r="M96" i="36" s="1"/>
  <c r="AQ139" i="1"/>
  <c r="M140" i="36" s="1"/>
  <c r="AQ10" i="1"/>
  <c r="M11" i="36" s="1"/>
  <c r="AQ11" i="1"/>
  <c r="M12" i="36" s="1"/>
  <c r="AQ182" i="1"/>
  <c r="M183" i="36" s="1"/>
  <c r="AQ145" i="1"/>
  <c r="M146" i="36" s="1"/>
  <c r="AQ299" i="1"/>
  <c r="M300" i="36" s="1"/>
  <c r="AQ218" i="1"/>
  <c r="M219" i="36" s="1"/>
  <c r="AQ44" i="1"/>
  <c r="M45" i="36" s="1"/>
  <c r="AQ100" i="1"/>
  <c r="M101" i="36" s="1"/>
  <c r="AQ79" i="1"/>
  <c r="M80" i="36" s="1"/>
  <c r="AQ107" i="1"/>
  <c r="M108" i="36" s="1"/>
  <c r="AQ51" i="1"/>
  <c r="M52" i="36" s="1"/>
  <c r="AQ17" i="1"/>
  <c r="M18" i="36" s="1"/>
  <c r="AQ93" i="1"/>
  <c r="M94" i="36" s="1"/>
  <c r="AQ183" i="1"/>
  <c r="M184" i="36" s="1"/>
  <c r="AQ72" i="1"/>
  <c r="M73" i="36" s="1"/>
  <c r="AQ65" i="1"/>
  <c r="M66" i="36" s="1"/>
  <c r="AQ21" i="1"/>
  <c r="M22" i="36" s="1"/>
  <c r="AQ41" i="1"/>
  <c r="M42" i="36" s="1"/>
  <c r="AQ69" i="1"/>
  <c r="M70" i="36" s="1"/>
  <c r="AQ78" i="1"/>
  <c r="M79" i="36" s="1"/>
  <c r="AQ96" i="1"/>
  <c r="M97" i="36" s="1"/>
  <c r="AQ171" i="1"/>
  <c r="M172" i="36" s="1"/>
  <c r="AQ187" i="1"/>
  <c r="M188" i="36" s="1"/>
  <c r="AQ250" i="1"/>
  <c r="M251" i="36" s="1"/>
  <c r="AQ310" i="1"/>
  <c r="M311" i="36" s="1"/>
  <c r="Z218" i="1"/>
  <c r="J219" i="36" s="1"/>
  <c r="Z188" i="1"/>
  <c r="J189" i="36" s="1"/>
  <c r="Z73" i="1"/>
  <c r="J74" i="36" s="1"/>
  <c r="Z93" i="1"/>
  <c r="J94" i="36" s="1"/>
  <c r="Z40" i="1"/>
  <c r="J41" i="36" s="1"/>
  <c r="Z44" i="1"/>
  <c r="J45" i="36" s="1"/>
  <c r="Z137" i="1"/>
  <c r="J138" i="36" s="1"/>
  <c r="Z220" i="1"/>
  <c r="J221" i="36" s="1"/>
  <c r="Z17" i="1"/>
  <c r="J18" i="36" s="1"/>
  <c r="Z309" i="1"/>
  <c r="J310" i="36" s="1"/>
  <c r="Z145" i="1"/>
  <c r="J146" i="36" s="1"/>
  <c r="Z219" i="1"/>
  <c r="J220" i="36" s="1"/>
  <c r="Z104" i="1"/>
  <c r="J105" i="36" s="1"/>
  <c r="Z172" i="1"/>
  <c r="J173" i="36" s="1"/>
  <c r="Z302" i="1"/>
  <c r="J303" i="36" s="1"/>
  <c r="Z307" i="1"/>
  <c r="J308" i="36" s="1"/>
  <c r="Z223" i="1"/>
  <c r="J224" i="36" s="1"/>
  <c r="Z77" i="1"/>
  <c r="J78" i="36" s="1"/>
  <c r="Z296" i="1"/>
  <c r="J297" i="36" s="1"/>
  <c r="Z308" i="1"/>
  <c r="J309" i="36" s="1"/>
  <c r="Z147" i="1"/>
  <c r="J148" i="36" s="1"/>
  <c r="Z175" i="1"/>
  <c r="J176" i="36" s="1"/>
  <c r="Z142" i="1"/>
  <c r="J143" i="36" s="1"/>
  <c r="Z183" i="1"/>
  <c r="J184" i="36" s="1"/>
  <c r="Z101" i="1"/>
  <c r="J102" i="36" s="1"/>
  <c r="Z151" i="1"/>
  <c r="J152" i="36" s="1"/>
  <c r="Z24" i="1"/>
  <c r="J25" i="36" s="1"/>
  <c r="Z57" i="1"/>
  <c r="J58" i="36" s="1"/>
  <c r="Z187" i="1"/>
  <c r="J188" i="36" s="1"/>
  <c r="Z295" i="1"/>
  <c r="J296" i="36" s="1"/>
  <c r="Z139" i="1"/>
  <c r="J140" i="36" s="1"/>
  <c r="Z61" i="1"/>
  <c r="J62" i="36" s="1"/>
  <c r="Z290" i="1"/>
  <c r="J291" i="36" s="1"/>
  <c r="Z65" i="1"/>
  <c r="J66" i="36" s="1"/>
  <c r="Z21" i="1"/>
  <c r="J22" i="36" s="1"/>
  <c r="Z131" i="1"/>
  <c r="J132" i="36" s="1"/>
  <c r="Z152" i="1"/>
  <c r="J153" i="36" s="1"/>
  <c r="Z76" i="1"/>
  <c r="J77" i="36" s="1"/>
  <c r="Z214" i="1"/>
  <c r="J215" i="36" s="1"/>
  <c r="Z310" i="1"/>
  <c r="J311" i="36" s="1"/>
  <c r="Z301" i="1"/>
  <c r="J302" i="36" s="1"/>
  <c r="Z213" i="1"/>
  <c r="J214" i="36" s="1"/>
  <c r="Z305" i="1"/>
  <c r="J306" i="36" s="1"/>
  <c r="Z114" i="1"/>
  <c r="J115" i="36" s="1"/>
  <c r="Z50" i="1"/>
  <c r="J51" i="36" s="1"/>
  <c r="Z64" i="1"/>
  <c r="J65" i="36" s="1"/>
  <c r="Z20" i="1"/>
  <c r="J21" i="36" s="1"/>
  <c r="Z97" i="1"/>
  <c r="J98" i="36" s="1"/>
  <c r="Z135" i="1"/>
  <c r="J136" i="36" s="1"/>
  <c r="Z112" i="1"/>
  <c r="J113" i="36" s="1"/>
  <c r="Z113" i="1"/>
  <c r="J114" i="36" s="1"/>
  <c r="Z143" i="1"/>
  <c r="J144" i="36" s="1"/>
  <c r="Z170" i="1"/>
  <c r="J171" i="36" s="1"/>
  <c r="Z36" i="1"/>
  <c r="J37" i="36" s="1"/>
  <c r="Z150" i="1"/>
  <c r="J151" i="36" s="1"/>
  <c r="Z250" i="1"/>
  <c r="J251" i="36" s="1"/>
  <c r="Z300" i="1"/>
  <c r="J301" i="36" s="1"/>
  <c r="Z66" i="1"/>
  <c r="J67" i="36" s="1"/>
  <c r="Z297" i="1"/>
  <c r="J298" i="36" s="1"/>
  <c r="Z94" i="1"/>
  <c r="J95" i="36" s="1"/>
  <c r="Z62" i="1"/>
  <c r="J63" i="36" s="1"/>
  <c r="Z30" i="1"/>
  <c r="J31" i="36" s="1"/>
  <c r="Z140" i="1"/>
  <c r="J141" i="36" s="1"/>
  <c r="Z292" i="1"/>
  <c r="J293" i="36" s="1"/>
  <c r="Z52" i="1"/>
  <c r="J53" i="36" s="1"/>
  <c r="Z116" i="1"/>
  <c r="J117" i="36" s="1"/>
  <c r="Z72" i="1"/>
  <c r="J73" i="36" s="1"/>
  <c r="Z216" i="1"/>
  <c r="J217" i="36" s="1"/>
  <c r="Z68" i="1"/>
  <c r="J69" i="36" s="1"/>
  <c r="Z180" i="1"/>
  <c r="J181" i="36" s="1"/>
  <c r="Z18" i="1"/>
  <c r="J19" i="36" s="1"/>
  <c r="Z136" i="1"/>
  <c r="J137" i="36" s="1"/>
  <c r="Z304" i="1"/>
  <c r="J305" i="36" s="1"/>
  <c r="Z178" i="1"/>
  <c r="J179" i="36" s="1"/>
  <c r="Z221" i="1"/>
  <c r="J222" i="36" s="1"/>
  <c r="Z33" i="1"/>
  <c r="J34" i="36" s="1"/>
  <c r="Z184" i="1"/>
  <c r="J185" i="36" s="1"/>
  <c r="Z13" i="1"/>
  <c r="J14" i="36" s="1"/>
  <c r="Z171" i="1"/>
  <c r="J172" i="36" s="1"/>
  <c r="Z331" i="1"/>
  <c r="J332" i="36" s="1"/>
  <c r="Z109" i="1"/>
  <c r="J110" i="36" s="1"/>
  <c r="Z29" i="1"/>
  <c r="J30" i="36" s="1"/>
  <c r="Z53" i="1"/>
  <c r="J54" i="36" s="1"/>
  <c r="Z179" i="1"/>
  <c r="J180" i="36" s="1"/>
  <c r="Z98" i="1"/>
  <c r="J99" i="36" s="1"/>
  <c r="Z34" i="1"/>
  <c r="J35" i="36" s="1"/>
  <c r="Z110" i="1"/>
  <c r="J111" i="36" s="1"/>
  <c r="Z78" i="1"/>
  <c r="J79" i="36" s="1"/>
  <c r="Z14" i="1"/>
  <c r="J15" i="36" s="1"/>
  <c r="Z144" i="1"/>
  <c r="J145" i="36" s="1"/>
  <c r="Z210" i="1"/>
  <c r="J211" i="36" s="1"/>
  <c r="Z148" i="1"/>
  <c r="J149" i="36" s="1"/>
  <c r="Z132" i="1"/>
  <c r="J133" i="36" s="1"/>
  <c r="Z185" i="1"/>
  <c r="J186" i="36" s="1"/>
  <c r="Z176" i="1"/>
  <c r="J177" i="36" s="1"/>
  <c r="Z115" i="1"/>
  <c r="J116" i="36" s="1"/>
  <c r="Z99" i="1"/>
  <c r="J100" i="36" s="1"/>
  <c r="Z67" i="1"/>
  <c r="J68" i="36" s="1"/>
  <c r="Z51" i="1"/>
  <c r="J52" i="36" s="1"/>
  <c r="Z35" i="1"/>
  <c r="J36" i="36" s="1"/>
  <c r="Z19" i="1"/>
  <c r="J20" i="36" s="1"/>
  <c r="Z181" i="1"/>
  <c r="J182" i="36" s="1"/>
  <c r="Z102" i="1"/>
  <c r="J103" i="36" s="1"/>
  <c r="Z70" i="1"/>
  <c r="J71" i="36" s="1"/>
  <c r="Z54" i="1"/>
  <c r="J55" i="36" s="1"/>
  <c r="Z38" i="1"/>
  <c r="J39" i="36" s="1"/>
  <c r="Z22" i="1"/>
  <c r="J23" i="36" s="1"/>
  <c r="Z293" i="1"/>
  <c r="J294" i="36" s="1"/>
  <c r="Z222" i="1"/>
  <c r="J223" i="36" s="1"/>
  <c r="Z212" i="1"/>
  <c r="J213" i="36" s="1"/>
  <c r="Z107" i="1"/>
  <c r="J108" i="36" s="1"/>
  <c r="Z91" i="1"/>
  <c r="J92" i="36" s="1"/>
  <c r="Z75" i="1"/>
  <c r="J76" i="36" s="1"/>
  <c r="Z59" i="1"/>
  <c r="J60" i="36" s="1"/>
  <c r="Z43" i="1"/>
  <c r="J44" i="36" s="1"/>
  <c r="Z27" i="1"/>
  <c r="J28" i="36" s="1"/>
  <c r="Z11" i="1"/>
  <c r="J12" i="36" s="1"/>
  <c r="Z174" i="1"/>
  <c r="J175" i="36" s="1"/>
  <c r="Z106" i="1"/>
  <c r="J107" i="36" s="1"/>
  <c r="Z90" i="1"/>
  <c r="J91" i="36" s="1"/>
  <c r="Z74" i="1"/>
  <c r="J75" i="36" s="1"/>
  <c r="Z58" i="1"/>
  <c r="J59" i="36" s="1"/>
  <c r="Z42" i="1"/>
  <c r="J43" i="36" s="1"/>
  <c r="Z26" i="1"/>
  <c r="J27" i="36" s="1"/>
  <c r="Z103" i="1"/>
  <c r="J104" i="36" s="1"/>
  <c r="Z71" i="1"/>
  <c r="J72" i="36" s="1"/>
  <c r="Z39" i="1"/>
  <c r="J40" i="36" s="1"/>
  <c r="Z224" i="1"/>
  <c r="J225" i="36" s="1"/>
  <c r="Z177" i="1"/>
  <c r="J178" i="36" s="1"/>
  <c r="Z173" i="1"/>
  <c r="J174" i="36" s="1"/>
  <c r="J76" i="14"/>
  <c r="F82" i="36" s="1"/>
  <c r="J31" i="14"/>
  <c r="F37" i="36" s="1"/>
  <c r="F33" i="40"/>
  <c r="J184" i="14"/>
  <c r="F190" i="36" s="1"/>
  <c r="J220" i="14"/>
  <c r="J111" i="14"/>
  <c r="Z10" i="1"/>
  <c r="J11" i="36" s="1"/>
  <c r="F114" i="40" l="1"/>
  <c r="F117" i="36"/>
  <c r="F223" i="40"/>
  <c r="F226" i="36"/>
  <c r="F523" i="40"/>
  <c r="F526" i="36"/>
  <c r="J521" i="14"/>
  <c r="J361" i="14"/>
  <c r="F367" i="36" s="1"/>
  <c r="F363" i="40"/>
  <c r="J258" i="14"/>
  <c r="F264" i="36" s="1"/>
  <c r="F260" i="40"/>
  <c r="F79" i="40"/>
  <c r="J77" i="14"/>
  <c r="F83" i="36" s="1"/>
  <c r="F187" i="40"/>
  <c r="J185" i="14"/>
  <c r="F191" i="36" s="1"/>
  <c r="J221" i="14"/>
  <c r="J112" i="14"/>
  <c r="F118" i="36" s="1"/>
  <c r="J286" i="14"/>
  <c r="J32" i="14"/>
  <c r="F38" i="36" s="1"/>
  <c r="F34" i="40"/>
  <c r="F524" i="40" l="1"/>
  <c r="F527" i="36"/>
  <c r="F224" i="40"/>
  <c r="F227" i="36"/>
  <c r="F289" i="40"/>
  <c r="F292" i="36"/>
  <c r="J522" i="14"/>
  <c r="J362" i="14"/>
  <c r="F368" i="36" s="1"/>
  <c r="F364" i="40"/>
  <c r="J259" i="14"/>
  <c r="F265" i="36" s="1"/>
  <c r="F261" i="40"/>
  <c r="F188" i="40"/>
  <c r="J186" i="14"/>
  <c r="F192" i="36" s="1"/>
  <c r="F115" i="40"/>
  <c r="J113" i="14"/>
  <c r="J222" i="14"/>
  <c r="F80" i="40"/>
  <c r="J78" i="14"/>
  <c r="F84" i="36" s="1"/>
  <c r="J33" i="14"/>
  <c r="F39" i="36" s="1"/>
  <c r="F35" i="40"/>
  <c r="J287" i="14"/>
  <c r="F525" i="40" l="1"/>
  <c r="F528" i="36"/>
  <c r="F116" i="40"/>
  <c r="F119" i="36"/>
  <c r="F290" i="40"/>
  <c r="F293" i="36"/>
  <c r="F225" i="40"/>
  <c r="F228" i="36"/>
  <c r="J523" i="14"/>
  <c r="J363" i="14"/>
  <c r="F369" i="36" s="1"/>
  <c r="F365" i="40"/>
  <c r="J260" i="14"/>
  <c r="F266" i="36" s="1"/>
  <c r="F262" i="40"/>
  <c r="J114" i="14"/>
  <c r="J115" i="14" s="1"/>
  <c r="F81" i="40"/>
  <c r="J79" i="14"/>
  <c r="F85" i="36" s="1"/>
  <c r="J223" i="14"/>
  <c r="F189" i="40"/>
  <c r="J187" i="14"/>
  <c r="F193" i="36" s="1"/>
  <c r="J288" i="14"/>
  <c r="J34" i="14"/>
  <c r="F40" i="36" s="1"/>
  <c r="F36" i="40"/>
  <c r="F118" i="40" l="1"/>
  <c r="F121" i="36"/>
  <c r="F291" i="40"/>
  <c r="F294" i="36"/>
  <c r="F117" i="40"/>
  <c r="F120" i="36"/>
  <c r="F226" i="40"/>
  <c r="F229" i="36"/>
  <c r="F526" i="40"/>
  <c r="F529" i="36"/>
  <c r="J524" i="14"/>
  <c r="J364" i="14"/>
  <c r="F366" i="40"/>
  <c r="J261" i="14"/>
  <c r="F267" i="36" s="1"/>
  <c r="F263" i="40"/>
  <c r="J224" i="14"/>
  <c r="F190" i="40"/>
  <c r="J188" i="14"/>
  <c r="F194" i="36" s="1"/>
  <c r="F82" i="40"/>
  <c r="J80" i="14"/>
  <c r="F86" i="36" s="1"/>
  <c r="J116" i="14"/>
  <c r="J289" i="14"/>
  <c r="J35" i="14"/>
  <c r="F41" i="36" s="1"/>
  <c r="F37" i="40"/>
  <c r="F367" i="40" l="1"/>
  <c r="F370" i="36"/>
  <c r="F227" i="40"/>
  <c r="F230" i="36"/>
  <c r="F292" i="40"/>
  <c r="F295" i="36"/>
  <c r="F119" i="40"/>
  <c r="F122" i="36"/>
  <c r="F527" i="40"/>
  <c r="F530" i="36"/>
  <c r="J262" i="14"/>
  <c r="F268" i="36" s="1"/>
  <c r="F264" i="40"/>
  <c r="F191" i="40"/>
  <c r="J189" i="14"/>
  <c r="F195" i="36" s="1"/>
  <c r="F83" i="40"/>
  <c r="J81" i="14"/>
  <c r="F87" i="36" s="1"/>
  <c r="J225" i="14"/>
  <c r="J36" i="14"/>
  <c r="F42" i="36" s="1"/>
  <c r="F38" i="40"/>
  <c r="J117" i="14"/>
  <c r="J290" i="14"/>
  <c r="F293" i="40" l="1"/>
  <c r="F296" i="36"/>
  <c r="F120" i="40"/>
  <c r="F123" i="36"/>
  <c r="F228" i="40"/>
  <c r="F231" i="36"/>
  <c r="J263" i="14"/>
  <c r="F269" i="36" s="1"/>
  <c r="F265" i="40"/>
  <c r="F84" i="40"/>
  <c r="J82" i="14"/>
  <c r="F88" i="36" s="1"/>
  <c r="J226" i="14"/>
  <c r="F192" i="40"/>
  <c r="J190" i="14"/>
  <c r="F196" i="36" s="1"/>
  <c r="J291" i="14"/>
  <c r="J37" i="14"/>
  <c r="F43" i="36" s="1"/>
  <c r="F39" i="40"/>
  <c r="J118" i="14"/>
  <c r="F294" i="40" l="1"/>
  <c r="F297" i="36"/>
  <c r="F229" i="40"/>
  <c r="F232" i="36"/>
  <c r="F121" i="40"/>
  <c r="F124" i="36"/>
  <c r="J264" i="14"/>
  <c r="F270" i="36" s="1"/>
  <c r="F266" i="40"/>
  <c r="J227" i="14"/>
  <c r="F193" i="40"/>
  <c r="J191" i="14"/>
  <c r="F197" i="36" s="1"/>
  <c r="F85" i="40"/>
  <c r="J83" i="14"/>
  <c r="F89" i="36" s="1"/>
  <c r="J119" i="14"/>
  <c r="J292" i="14"/>
  <c r="J38" i="14"/>
  <c r="F44" i="36" s="1"/>
  <c r="F40" i="40"/>
  <c r="F295" i="40" l="1"/>
  <c r="F298" i="36"/>
  <c r="F122" i="40"/>
  <c r="F125" i="36"/>
  <c r="F230" i="40"/>
  <c r="F233" i="36"/>
  <c r="J265" i="14"/>
  <c r="F271" i="36" s="1"/>
  <c r="F267" i="40"/>
  <c r="F194" i="40"/>
  <c r="J192" i="14"/>
  <c r="F198" i="36" s="1"/>
  <c r="F86" i="40"/>
  <c r="J84" i="14"/>
  <c r="J228" i="14"/>
  <c r="J293" i="14"/>
  <c r="J39" i="14"/>
  <c r="F41" i="40"/>
  <c r="J120" i="14"/>
  <c r="F87" i="40" l="1"/>
  <c r="F90" i="36"/>
  <c r="F42" i="40"/>
  <c r="F45" i="36"/>
  <c r="F296" i="40"/>
  <c r="F299" i="36"/>
  <c r="F231" i="40"/>
  <c r="F234" i="36"/>
  <c r="F123" i="40"/>
  <c r="F126" i="36"/>
  <c r="J266" i="14"/>
  <c r="F272" i="36" s="1"/>
  <c r="F268" i="40"/>
  <c r="J229" i="14"/>
  <c r="F195" i="40"/>
  <c r="J193" i="14"/>
  <c r="F199" i="36" s="1"/>
  <c r="J40" i="14"/>
  <c r="F46" i="36" s="1"/>
  <c r="J121" i="14"/>
  <c r="J294" i="14"/>
  <c r="F232" i="40" l="1"/>
  <c r="F235" i="36"/>
  <c r="F297" i="40"/>
  <c r="F300" i="36"/>
  <c r="F124" i="40"/>
  <c r="F127" i="36"/>
  <c r="J267" i="14"/>
  <c r="F273" i="36" s="1"/>
  <c r="F269" i="40"/>
  <c r="F196" i="40"/>
  <c r="J194" i="14"/>
  <c r="F200" i="36" s="1"/>
  <c r="J230" i="14"/>
  <c r="F43" i="40"/>
  <c r="J41" i="14"/>
  <c r="F47" i="36" s="1"/>
  <c r="J122" i="14"/>
  <c r="J295" i="14"/>
  <c r="F125" i="40" l="1"/>
  <c r="F128" i="36"/>
  <c r="F298" i="40"/>
  <c r="F301" i="36"/>
  <c r="F233" i="40"/>
  <c r="F236" i="36"/>
  <c r="J268" i="14"/>
  <c r="F274" i="36" s="1"/>
  <c r="F270" i="40"/>
  <c r="J231" i="14"/>
  <c r="F44" i="40"/>
  <c r="J42" i="14"/>
  <c r="F48" i="36" s="1"/>
  <c r="F197" i="40"/>
  <c r="J195" i="14"/>
  <c r="F201" i="36" s="1"/>
  <c r="J296" i="14"/>
  <c r="J123" i="14"/>
  <c r="F299" i="40" l="1"/>
  <c r="F302" i="36"/>
  <c r="F126" i="40"/>
  <c r="F129" i="36"/>
  <c r="F234" i="40"/>
  <c r="F237" i="36"/>
  <c r="J269" i="14"/>
  <c r="F275" i="36" s="1"/>
  <c r="F271" i="40"/>
  <c r="F45" i="40"/>
  <c r="J43" i="14"/>
  <c r="F49" i="36" s="1"/>
  <c r="F198" i="40"/>
  <c r="J196" i="14"/>
  <c r="F202" i="36" s="1"/>
  <c r="J232" i="14"/>
  <c r="J124" i="14"/>
  <c r="J297" i="14"/>
  <c r="F300" i="40" l="1"/>
  <c r="F303" i="36"/>
  <c r="F127" i="40"/>
  <c r="F130" i="36"/>
  <c r="F235" i="40"/>
  <c r="F238" i="36"/>
  <c r="J270" i="14"/>
  <c r="F276" i="36" s="1"/>
  <c r="F272" i="40"/>
  <c r="F199" i="40"/>
  <c r="J197" i="14"/>
  <c r="F203" i="36" s="1"/>
  <c r="J233" i="14"/>
  <c r="F46" i="40"/>
  <c r="J44" i="14"/>
  <c r="J298" i="14"/>
  <c r="F47" i="40" l="1"/>
  <c r="F50" i="36"/>
  <c r="F236" i="40"/>
  <c r="F239" i="36"/>
  <c r="F301" i="40"/>
  <c r="F304" i="36"/>
  <c r="J271" i="14"/>
  <c r="F277" i="36" s="1"/>
  <c r="F273" i="40"/>
  <c r="J234" i="14"/>
  <c r="F200" i="40"/>
  <c r="J198" i="14"/>
  <c r="F204" i="36" s="1"/>
  <c r="J126" i="14"/>
  <c r="F132" i="36" s="1"/>
  <c r="F128" i="40"/>
  <c r="J299" i="14"/>
  <c r="F302" i="40" l="1"/>
  <c r="F305" i="36"/>
  <c r="F237" i="40"/>
  <c r="F240" i="36"/>
  <c r="J272" i="14"/>
  <c r="F278" i="36" s="1"/>
  <c r="F274" i="40"/>
  <c r="F201" i="40"/>
  <c r="J199" i="14"/>
  <c r="F205" i="36" s="1"/>
  <c r="J235" i="14"/>
  <c r="J300" i="14"/>
  <c r="J127" i="14"/>
  <c r="F129" i="40"/>
  <c r="F303" i="40" l="1"/>
  <c r="F306" i="36"/>
  <c r="F130" i="40"/>
  <c r="F133" i="36"/>
  <c r="F238" i="40"/>
  <c r="F241" i="36"/>
  <c r="J273" i="14"/>
  <c r="F279" i="36" s="1"/>
  <c r="F275" i="40"/>
  <c r="J236" i="14"/>
  <c r="F202" i="40"/>
  <c r="J200" i="14"/>
  <c r="F206" i="36" s="1"/>
  <c r="J128" i="14"/>
  <c r="J301" i="14"/>
  <c r="F304" i="40" l="1"/>
  <c r="F307" i="36"/>
  <c r="F131" i="40"/>
  <c r="F134" i="36"/>
  <c r="F239" i="40"/>
  <c r="F242" i="36"/>
  <c r="J274" i="14"/>
  <c r="F280" i="36" s="1"/>
  <c r="F276" i="40"/>
  <c r="F203" i="40"/>
  <c r="J201" i="14"/>
  <c r="F207" i="36" s="1"/>
  <c r="J237" i="14"/>
  <c r="J302" i="14"/>
  <c r="J129" i="14"/>
  <c r="F305" i="40" l="1"/>
  <c r="F308" i="36"/>
  <c r="F132" i="40"/>
  <c r="F135" i="36"/>
  <c r="F240" i="40"/>
  <c r="F243" i="36"/>
  <c r="J275" i="14"/>
  <c r="F281" i="36" s="1"/>
  <c r="F277" i="40"/>
  <c r="J238" i="14"/>
  <c r="F204" i="40"/>
  <c r="J202" i="14"/>
  <c r="F208" i="36" s="1"/>
  <c r="J130" i="14"/>
  <c r="J303" i="14"/>
  <c r="F306" i="40" l="1"/>
  <c r="F309" i="36"/>
  <c r="F133" i="40"/>
  <c r="F136" i="36"/>
  <c r="F241" i="40"/>
  <c r="F244" i="36"/>
  <c r="J276" i="14"/>
  <c r="F282" i="36" s="1"/>
  <c r="F278" i="40"/>
  <c r="F205" i="40"/>
  <c r="J203" i="14"/>
  <c r="F209" i="36" s="1"/>
  <c r="J239" i="14"/>
  <c r="J304" i="14"/>
  <c r="J131" i="14"/>
  <c r="F134" i="40" l="1"/>
  <c r="F137" i="36"/>
  <c r="F307" i="40"/>
  <c r="F310" i="36"/>
  <c r="F242" i="40"/>
  <c r="F245" i="36"/>
  <c r="J277" i="14"/>
  <c r="F283" i="36" s="1"/>
  <c r="F279" i="40"/>
  <c r="J240" i="14"/>
  <c r="F206" i="40"/>
  <c r="J204" i="14"/>
  <c r="J132" i="14"/>
  <c r="J305" i="14"/>
  <c r="F308" i="40" l="1"/>
  <c r="F311" i="36"/>
  <c r="F135" i="40"/>
  <c r="F138" i="36"/>
  <c r="F207" i="40"/>
  <c r="F210" i="36"/>
  <c r="F243" i="40"/>
  <c r="F246" i="36"/>
  <c r="J278" i="14"/>
  <c r="F284" i="36" s="1"/>
  <c r="F280" i="40"/>
  <c r="J241" i="14"/>
  <c r="J306" i="14"/>
  <c r="J133" i="14"/>
  <c r="F136" i="40" l="1"/>
  <c r="F139" i="36"/>
  <c r="F309" i="40"/>
  <c r="F312" i="36"/>
  <c r="F244" i="40"/>
  <c r="F247" i="36"/>
  <c r="J279" i="14"/>
  <c r="F285" i="36" s="1"/>
  <c r="F281" i="40"/>
  <c r="J242" i="14"/>
  <c r="J134" i="14"/>
  <c r="J307" i="14"/>
  <c r="F310" i="40" l="1"/>
  <c r="F313" i="36"/>
  <c r="F137" i="40"/>
  <c r="F140" i="36"/>
  <c r="F245" i="40"/>
  <c r="F248" i="36"/>
  <c r="J280" i="14"/>
  <c r="F286" i="36" s="1"/>
  <c r="F282" i="40"/>
  <c r="J243" i="14"/>
  <c r="J308" i="14"/>
  <c r="J135" i="14"/>
  <c r="F138" i="40" l="1"/>
  <c r="F141" i="36"/>
  <c r="F311" i="40"/>
  <c r="F314" i="36"/>
  <c r="F246" i="40"/>
  <c r="F249" i="36"/>
  <c r="J281" i="14"/>
  <c r="F287" i="36" s="1"/>
  <c r="F283" i="40"/>
  <c r="J244" i="14"/>
  <c r="J136" i="14"/>
  <c r="J309" i="14"/>
  <c r="F312" i="40" l="1"/>
  <c r="F315" i="36"/>
  <c r="F139" i="40"/>
  <c r="F142" i="36"/>
  <c r="F247" i="40"/>
  <c r="F250" i="36"/>
  <c r="J282" i="14"/>
  <c r="F288" i="36" s="1"/>
  <c r="F284" i="40"/>
  <c r="J310" i="14"/>
  <c r="J137" i="14"/>
  <c r="F140" i="40" l="1"/>
  <c r="F143" i="36"/>
  <c r="F313" i="40"/>
  <c r="F316" i="36"/>
  <c r="J283" i="14"/>
  <c r="F289" i="36" s="1"/>
  <c r="F285" i="40"/>
  <c r="J138" i="14"/>
  <c r="J311" i="14"/>
  <c r="F314" i="40" l="1"/>
  <c r="F317" i="36"/>
  <c r="F141" i="40"/>
  <c r="F144" i="36"/>
  <c r="J284" i="14"/>
  <c r="F286" i="40"/>
  <c r="J312" i="14"/>
  <c r="J139" i="14"/>
  <c r="F287" i="40" l="1"/>
  <c r="F290" i="36"/>
  <c r="F142" i="40"/>
  <c r="F145" i="36"/>
  <c r="F315" i="40"/>
  <c r="F318" i="36"/>
  <c r="J140" i="14"/>
  <c r="J313" i="14"/>
  <c r="F316" i="40" l="1"/>
  <c r="F319" i="36"/>
  <c r="F143" i="40"/>
  <c r="F146" i="36"/>
  <c r="J314" i="14"/>
  <c r="J141" i="14"/>
  <c r="F317" i="40" l="1"/>
  <c r="F320" i="36"/>
  <c r="F144" i="40"/>
  <c r="F147" i="36"/>
  <c r="J142" i="14"/>
  <c r="J315" i="14"/>
  <c r="F321" i="36" s="1"/>
  <c r="F145" i="40" l="1"/>
  <c r="F148" i="36"/>
  <c r="F318" i="40"/>
  <c r="J316" i="14"/>
  <c r="F322" i="36" s="1"/>
  <c r="J143" i="14"/>
  <c r="F146" i="40" l="1"/>
  <c r="F149" i="36"/>
  <c r="J317" i="14"/>
  <c r="F323" i="36" s="1"/>
  <c r="F319" i="40"/>
  <c r="J144" i="14"/>
  <c r="F147" i="40" l="1"/>
  <c r="F150" i="36"/>
  <c r="J318" i="14"/>
  <c r="F324" i="36" s="1"/>
  <c r="F320" i="40"/>
  <c r="J145" i="14"/>
  <c r="F148" i="40" l="1"/>
  <c r="F151" i="36"/>
  <c r="J319" i="14"/>
  <c r="F325" i="36" s="1"/>
  <c r="F321" i="40"/>
  <c r="J146" i="14"/>
  <c r="F149" i="40" l="1"/>
  <c r="F152" i="36"/>
  <c r="J320" i="14"/>
  <c r="F326" i="36" s="1"/>
  <c r="F322" i="40"/>
  <c r="J147" i="14"/>
  <c r="F150" i="40" l="1"/>
  <c r="F153" i="36"/>
  <c r="J321" i="14"/>
  <c r="F327" i="36" s="1"/>
  <c r="F323" i="40"/>
  <c r="J148" i="14"/>
  <c r="F154" i="36" s="1"/>
  <c r="J322" i="14" l="1"/>
  <c r="F328" i="36" s="1"/>
  <c r="F324" i="40"/>
  <c r="J149" i="14"/>
  <c r="F155" i="36" s="1"/>
  <c r="F151" i="40"/>
  <c r="J323" i="14" l="1"/>
  <c r="F329" i="36" s="1"/>
  <c r="F325" i="40"/>
  <c r="F152" i="40"/>
  <c r="J150" i="14"/>
  <c r="F156" i="36" s="1"/>
  <c r="J324" i="14" l="1"/>
  <c r="F326" i="40"/>
  <c r="F153" i="40"/>
  <c r="J151" i="14"/>
  <c r="F157" i="36" s="1"/>
  <c r="F327" i="40" l="1"/>
  <c r="F330" i="36"/>
  <c r="F154" i="40"/>
  <c r="J152" i="14"/>
  <c r="F158" i="36" s="1"/>
  <c r="F155" i="40" l="1"/>
  <c r="J153" i="14"/>
  <c r="F159" i="36" s="1"/>
  <c r="F156" i="40" l="1"/>
  <c r="J154" i="14"/>
  <c r="F160" i="36" s="1"/>
  <c r="F157" i="40" l="1"/>
  <c r="J155" i="14"/>
  <c r="F161" i="36" s="1"/>
  <c r="F158" i="40" l="1"/>
  <c r="J156" i="14"/>
  <c r="F162" i="36" s="1"/>
  <c r="F159" i="40" l="1"/>
  <c r="J157" i="14"/>
  <c r="F163" i="36" s="1"/>
  <c r="F160" i="40" l="1"/>
  <c r="J158" i="14"/>
  <c r="F164" i="36" s="1"/>
  <c r="F161" i="40" l="1"/>
  <c r="J159" i="14"/>
  <c r="F165" i="36" s="1"/>
  <c r="F162" i="40" l="1"/>
  <c r="J160" i="14"/>
  <c r="F166" i="36" s="1"/>
  <c r="F163" i="40" l="1"/>
  <c r="J161" i="14"/>
  <c r="F167" i="36" s="1"/>
  <c r="F164" i="40" l="1"/>
  <c r="J162" i="14"/>
  <c r="F168" i="36" s="1"/>
  <c r="F165" i="40" l="1"/>
  <c r="J163" i="14"/>
  <c r="F169" i="36" s="1"/>
  <c r="F166" i="40" l="1"/>
  <c r="J164" i="14"/>
  <c r="F167" i="40" l="1"/>
  <c r="F170" i="36"/>
</calcChain>
</file>

<file path=xl/sharedStrings.xml><?xml version="1.0" encoding="utf-8"?>
<sst xmlns="http://schemas.openxmlformats.org/spreadsheetml/2006/main" count="2035" uniqueCount="833">
  <si>
    <t>NO</t>
  </si>
  <si>
    <t>NIS/NISN</t>
  </si>
  <si>
    <t>NAMA</t>
  </si>
  <si>
    <t>MIN</t>
  </si>
  <si>
    <t>MAX</t>
  </si>
  <si>
    <t>-</t>
  </si>
  <si>
    <t>sangat baik</t>
  </si>
  <si>
    <t>baik</t>
  </si>
  <si>
    <t>cukup</t>
  </si>
  <si>
    <t>kurang</t>
  </si>
  <si>
    <t>predikat</t>
  </si>
  <si>
    <t>Alamat</t>
  </si>
  <si>
    <t>Prakarya</t>
  </si>
  <si>
    <t>Deskripsi</t>
  </si>
  <si>
    <t>Nama Sekolah</t>
  </si>
  <si>
    <t>Kelas</t>
  </si>
  <si>
    <t>Semester</t>
  </si>
  <si>
    <t>Tahun Pelajaran</t>
  </si>
  <si>
    <t>LP</t>
  </si>
  <si>
    <t>Interval Nilai</t>
  </si>
  <si>
    <t>Predikat</t>
  </si>
  <si>
    <t>Aspek : PENGETAHUAN</t>
  </si>
  <si>
    <t>DATA UMUM</t>
  </si>
  <si>
    <t>PREDIKAT NILAI PENGETAHUAN</t>
  </si>
  <si>
    <t>PREDIKAT NILAI KETRAMPILAN</t>
  </si>
  <si>
    <t>No</t>
  </si>
  <si>
    <t>Kode</t>
  </si>
  <si>
    <t>Rentang Nilai</t>
  </si>
  <si>
    <t>A</t>
  </si>
  <si>
    <t>B</t>
  </si>
  <si>
    <t>C</t>
  </si>
  <si>
    <t>D</t>
  </si>
  <si>
    <t>IPA</t>
  </si>
  <si>
    <t>IPS</t>
  </si>
  <si>
    <t>NILAI PENGETAHUAN</t>
  </si>
  <si>
    <t>NILAI KETERAMPILAN</t>
  </si>
  <si>
    <t>NIS/
NISN</t>
  </si>
  <si>
    <t>NIP</t>
  </si>
  <si>
    <t>Agama</t>
  </si>
  <si>
    <t>DATA WAJIB</t>
  </si>
  <si>
    <t>SEX</t>
  </si>
  <si>
    <t>:</t>
  </si>
  <si>
    <t>1.</t>
  </si>
  <si>
    <t>2.</t>
  </si>
  <si>
    <t>3.</t>
  </si>
  <si>
    <t>4.</t>
  </si>
  <si>
    <t>5.</t>
  </si>
  <si>
    <t>6.</t>
  </si>
  <si>
    <t>7.</t>
  </si>
  <si>
    <t>8.</t>
  </si>
  <si>
    <t>Tulis KD yang dinilai DISINI &gt;&gt;&gt;</t>
  </si>
  <si>
    <t>Penulisan KD dimaksudkan sebagai</t>
  </si>
  <si>
    <t>bahan dasar penyusunan</t>
  </si>
  <si>
    <t>Deskripsi Nilai.</t>
  </si>
  <si>
    <t>Predikat Nilai &gt;&gt;&gt;</t>
  </si>
  <si>
    <t>Klik &gt;&gt;</t>
  </si>
  <si>
    <t>Aspek : KETERAMPILAN</t>
  </si>
  <si>
    <r>
      <t xml:space="preserve">Ringkasan KD/Materi </t>
    </r>
    <r>
      <rPr>
        <b/>
        <sz val="11"/>
        <color rgb="FFFFFF00"/>
        <rFont val="Arial"/>
        <family val="2"/>
      </rPr>
      <t>PENGETAHUAN</t>
    </r>
    <r>
      <rPr>
        <b/>
        <sz val="11"/>
        <color theme="1"/>
        <rFont val="Arial"/>
        <family val="2"/>
      </rPr>
      <t xml:space="preserve"> yang di Nilai</t>
    </r>
  </si>
  <si>
    <r>
      <t xml:space="preserve">KD atau kinerja </t>
    </r>
    <r>
      <rPr>
        <b/>
        <sz val="11"/>
        <color rgb="FFFFFF00"/>
        <rFont val="Arial"/>
        <family val="2"/>
      </rPr>
      <t>KETERAMPILAN</t>
    </r>
    <r>
      <rPr>
        <b/>
        <sz val="11"/>
        <color theme="1"/>
        <rFont val="Arial"/>
        <family val="2"/>
      </rPr>
      <t xml:space="preserve"> yang dinilai (ringkasan)</t>
    </r>
  </si>
  <si>
    <t>H-1</t>
  </si>
  <si>
    <t>H-2</t>
  </si>
  <si>
    <t>H-3</t>
  </si>
  <si>
    <t>H-4</t>
  </si>
  <si>
    <t>H-5</t>
  </si>
  <si>
    <t>H-6</t>
  </si>
  <si>
    <t>H-7</t>
  </si>
  <si>
    <t>H-8</t>
  </si>
  <si>
    <t>K-1</t>
  </si>
  <si>
    <t>K-2</t>
  </si>
  <si>
    <t>K-3</t>
  </si>
  <si>
    <t>K-4</t>
  </si>
  <si>
    <t>K-5</t>
  </si>
  <si>
    <t>K-6</t>
  </si>
  <si>
    <t>K-7</t>
  </si>
  <si>
    <t>K-8</t>
  </si>
  <si>
    <t>KD Pengetahuan-4</t>
  </si>
  <si>
    <t>KD Pengetahuan-5</t>
  </si>
  <si>
    <t>KD Pengetahuan-6</t>
  </si>
  <si>
    <t>KD Pengetahuan-7</t>
  </si>
  <si>
    <t>KD Pengetahuan-8</t>
  </si>
  <si>
    <t>KD keterampilan-4</t>
  </si>
  <si>
    <t>KD keterampilan-5</t>
  </si>
  <si>
    <t>KD keterampilan-6</t>
  </si>
  <si>
    <t>KD keterampilan-7</t>
  </si>
  <si>
    <t>KD keterampilan-8</t>
  </si>
  <si>
    <t>P</t>
  </si>
  <si>
    <t>DAFTAR KUMPULAN NILAI</t>
  </si>
  <si>
    <t>Mengetahui,</t>
  </si>
  <si>
    <t>Matematika</t>
  </si>
  <si>
    <t>Seni Budaya</t>
  </si>
  <si>
    <t>Nama Guru</t>
  </si>
  <si>
    <t>DESKRIPSI
PENGETAHUAN</t>
  </si>
  <si>
    <t>DESKRIPSI
KETERAMPILAN</t>
  </si>
  <si>
    <t>PETUNJUK</t>
  </si>
  <si>
    <t>Langkah kerja</t>
  </si>
  <si>
    <t>Selain entry Nilai, Wali kelas juga wajib menulis materi/KD di bagian</t>
  </si>
  <si>
    <t>bawah halaman Nilai masing-masing pelajaran.</t>
  </si>
  <si>
    <t>Khusus pelajaran Pendidikan Agama, ada halaman khusus yang</t>
  </si>
  <si>
    <t>diperuntukkan bagi siswa penganut agama minoritas di kelasnya.</t>
  </si>
  <si>
    <t>Jika semua nilai sudah diisikan, pekerjaan selanjutnya Wali Kelas</t>
  </si>
  <si>
    <t>Simpan file pada folder khusus. Terutama Urusan kurikulum harus</t>
  </si>
  <si>
    <t>memiliki file Aplikasi ini dari semua wali kelas. Rename file dengan</t>
  </si>
  <si>
    <t>menuliskan nama kelas dan semester.</t>
  </si>
  <si>
    <t>Simpan Aplikasi master untuk kebutuhan mendatang.</t>
  </si>
  <si>
    <t>PREDIKAT NILAI</t>
  </si>
  <si>
    <t>HPH</t>
  </si>
  <si>
    <t>HPTS</t>
  </si>
  <si>
    <t>HPAS</t>
  </si>
  <si>
    <t>HPA</t>
  </si>
  <si>
    <t>PRE</t>
  </si>
  <si>
    <t>PREDIKAT CAPAIAN KOMPETENSI</t>
  </si>
  <si>
    <t>APLIKASI NILAI K-13|SMP</t>
  </si>
  <si>
    <t>TIK</t>
  </si>
  <si>
    <t>KBM</t>
  </si>
  <si>
    <t>N</t>
  </si>
  <si>
    <t>NIS</t>
  </si>
  <si>
    <t>NISN</t>
  </si>
  <si>
    <t>Nama Mapel</t>
  </si>
  <si>
    <t>KELAS</t>
  </si>
  <si>
    <t>Guru Mapel</t>
  </si>
  <si>
    <t>PKN</t>
  </si>
  <si>
    <t>TIDAK SAMA DGN DATA</t>
  </si>
  <si>
    <t>N. Harian</t>
  </si>
  <si>
    <t>E</t>
  </si>
  <si>
    <t>F</t>
  </si>
  <si>
    <t>G</t>
  </si>
  <si>
    <t>H</t>
  </si>
  <si>
    <t>I</t>
  </si>
  <si>
    <t>Kls</t>
  </si>
  <si>
    <t>JANGAN LAKUKAN CUT/MOVE/COPY-PASTE jika meng-COPY data PASTE-nya pilih PASTE SPECIAL --&gt; VALUE</t>
  </si>
  <si>
    <t>Guru Mapel :</t>
  </si>
  <si>
    <t>Edit Predikat Nilai DISINI &gt;&gt;&gt;</t>
  </si>
  <si>
    <t>Mata Pelajaran</t>
  </si>
  <si>
    <t>B. Indonesia</t>
  </si>
  <si>
    <t>B. Inggris</t>
  </si>
  <si>
    <t>Penjasorkes</t>
  </si>
  <si>
    <t>Mulok B. Jawa</t>
  </si>
  <si>
    <t>Pend. Agama</t>
  </si>
  <si>
    <t>Daftar Nilai manual yang sudah diisi Guru Mata Pelajaran (di Aplikasi Entry Nilai Guru Mapel) diserahkan ke Wali kelas untuk dimasukkan ke DKN Wali Kelas</t>
  </si>
  <si>
    <t>adalah mengentry Daftar Hadir, Ekstra Kurikuler, Catatan Tambahan</t>
  </si>
  <si>
    <t>dan Prestasi Siswa  (jika diperlukan).</t>
  </si>
  <si>
    <t>Setelah semua isian sudah selesai, Wali Kelas tinggal melakukan cetak Rapor</t>
  </si>
  <si>
    <r>
      <t>Data DKN diperoleh dari data Legger yg ada di Aplikasi Entry Nilai Guru mapel. Copy data yg ada di legger Guru Mapel, kemudian Paste di DKN ini dengan cara Klik kanan, pilih</t>
    </r>
    <r>
      <rPr>
        <b/>
        <sz val="11"/>
        <color rgb="FF0000FF"/>
        <rFont val="Calibri"/>
        <family val="2"/>
        <scheme val="minor"/>
      </rPr>
      <t xml:space="preserve"> Paste Special -&gt; Values</t>
    </r>
    <r>
      <rPr>
        <sz val="11"/>
        <color theme="1"/>
        <rFont val="Calibri"/>
        <family val="2"/>
        <charset val="1"/>
        <scheme val="minor"/>
      </rPr>
      <t>. Jangan mengisi dengan Copy-Paste atau Cut/Move</t>
    </r>
  </si>
  <si>
    <t>Copy Aplikasi Nilai K-13 ini ke semua Guru Mapel</t>
  </si>
  <si>
    <t>Nama Anda</t>
  </si>
  <si>
    <t>KKM/KBM</t>
  </si>
  <si>
    <t>Input Data terlebih dahulu (Isi semua data yang ada)</t>
  </si>
  <si>
    <t>&gt;&gt;</t>
  </si>
  <si>
    <t>Baik</t>
  </si>
  <si>
    <r>
      <t xml:space="preserve">Untuk deskripsi yang bisa menggambarkan perbedaan antar siswa, </t>
    </r>
    <r>
      <rPr>
        <b/>
        <sz val="10"/>
        <color theme="1"/>
        <rFont val="Calibri"/>
        <family val="2"/>
        <scheme val="minor"/>
      </rPr>
      <t>minimal harus ada 3 N. Harian. JIKA ADA N. Harian YG SAMA MAKA harus di tambahi koma 1-4. CONTOH 75 dan 75,1</t>
    </r>
  </si>
  <si>
    <t>KD</t>
  </si>
  <si>
    <t>DONASI SEIKHLASNYA Demi Pengembangan Aplikasi Bisa di Transfer ke Rekening MGMP TIK SMP Kab. Tuban BANK JATIM Cab. Tuban No. Rek : 0172740413</t>
  </si>
  <si>
    <t>HelpDesk :</t>
  </si>
  <si>
    <t>Harwoto (SMPN 2 Rengel) 085234627240</t>
  </si>
  <si>
    <t>Juli (SMPN 1 Widang) 085850288507</t>
  </si>
  <si>
    <t>Sa'roni (SMPN 6 Tuban) 085235003250</t>
  </si>
  <si>
    <t>Muntholip (SMPN 1 Soko) 081332314079</t>
  </si>
  <si>
    <t>Arief Andik (SMPN 2 Parengan) 085230899720</t>
  </si>
  <si>
    <t>Sandy (SMPN 1 Tuban) 08563333474</t>
  </si>
  <si>
    <t>9.</t>
  </si>
  <si>
    <t>Password Sheet : permen232016</t>
  </si>
  <si>
    <t>Sesuai dengan Peraturan Menteri Pendidikan dan Kebudayaan No 23 Tahun 2016</t>
  </si>
  <si>
    <t>Sangat baik</t>
  </si>
  <si>
    <t>Cukup menguasai</t>
  </si>
  <si>
    <t>Mulai berkembang</t>
  </si>
  <si>
    <t>Cukup</t>
  </si>
  <si>
    <t>Mulai meningkat</t>
  </si>
  <si>
    <t>J</t>
  </si>
  <si>
    <t xml:space="preserve"> NO INDUK</t>
  </si>
  <si>
    <t>NAMA SISWA</t>
  </si>
  <si>
    <t>L/P</t>
  </si>
  <si>
    <t>Pengetahuan</t>
  </si>
  <si>
    <t>Keterampilan</t>
  </si>
  <si>
    <t>PH1</t>
  </si>
  <si>
    <t>PH2</t>
  </si>
  <si>
    <t>PH3</t>
  </si>
  <si>
    <t>PK1</t>
  </si>
  <si>
    <t>PK2</t>
  </si>
  <si>
    <t>PK3</t>
  </si>
  <si>
    <t>PTS</t>
  </si>
  <si>
    <t>LEGER PENILAIAN TENGAH SEMESTER</t>
  </si>
  <si>
    <t>SMP Islam Sunan Bejagung</t>
  </si>
  <si>
    <t>KD Pengetahuan-1</t>
  </si>
  <si>
    <t>KD Pengetahuan-2</t>
  </si>
  <si>
    <t>KD Pengetahuan-3</t>
  </si>
  <si>
    <t>KD keterampilan-1</t>
  </si>
  <si>
    <t>KD keterampilan-2</t>
  </si>
  <si>
    <t>KD keterampilan-3</t>
  </si>
  <si>
    <t>K</t>
  </si>
  <si>
    <t>L</t>
  </si>
  <si>
    <t>M</t>
  </si>
  <si>
    <t>2026/2027</t>
  </si>
  <si>
    <t>03503</t>
  </si>
  <si>
    <t>Achmad Bachtiar Nasir</t>
  </si>
  <si>
    <t>03505</t>
  </si>
  <si>
    <t>Achmad Kadaffa Aprilio</t>
  </si>
  <si>
    <t>03511</t>
  </si>
  <si>
    <t>0122934375</t>
  </si>
  <si>
    <t>Ahmad Afkhar Syauqi Asy Syamil</t>
  </si>
  <si>
    <t>03516</t>
  </si>
  <si>
    <t>0127265334</t>
  </si>
  <si>
    <t>Ahmad Fathan El Raihan Wafi</t>
  </si>
  <si>
    <t>03517</t>
  </si>
  <si>
    <t>0127952891</t>
  </si>
  <si>
    <t>Ahmad Firdaus Nurrohman Bayhaqiy</t>
  </si>
  <si>
    <t>03518</t>
  </si>
  <si>
    <t>Ahmad Haqqikul Fahmi</t>
  </si>
  <si>
    <t>03519</t>
  </si>
  <si>
    <t>0137810473</t>
  </si>
  <si>
    <t>Ahmad Ihsanul Fauzan</t>
  </si>
  <si>
    <t>03525</t>
  </si>
  <si>
    <t>Ahmad Rizky Rusdyanto</t>
  </si>
  <si>
    <t>03533</t>
  </si>
  <si>
    <t>0134120995</t>
  </si>
  <si>
    <t>Arya Daniswara</t>
  </si>
  <si>
    <t>03536</t>
  </si>
  <si>
    <t>Azzam Reyhan Arifin</t>
  </si>
  <si>
    <t>03541</t>
  </si>
  <si>
    <t>0121181429</t>
  </si>
  <si>
    <t>Elvico Fahri Dwi Ramadhan</t>
  </si>
  <si>
    <t>03545</t>
  </si>
  <si>
    <t>0129397131</t>
  </si>
  <si>
    <t>Gesang Dwi Permana</t>
  </si>
  <si>
    <t>03550</t>
  </si>
  <si>
    <t>0129339187</t>
  </si>
  <si>
    <t>Kafka Shafy Zafarani</t>
  </si>
  <si>
    <t>03552</t>
  </si>
  <si>
    <t>0133493207</t>
  </si>
  <si>
    <t>Laits Rosyid Al-Barr</t>
  </si>
  <si>
    <t>03554</t>
  </si>
  <si>
    <t>0121711184</t>
  </si>
  <si>
    <t>M Hanan Qomarudin</t>
  </si>
  <si>
    <t>03559</t>
  </si>
  <si>
    <t>Moch. Zafi An Nafi'</t>
  </si>
  <si>
    <t>03561</t>
  </si>
  <si>
    <t>3126746261</t>
  </si>
  <si>
    <t>Mohamad Afton Farizul Umam</t>
  </si>
  <si>
    <t>03572</t>
  </si>
  <si>
    <t>Muhammad Alif Al Faruq</t>
  </si>
  <si>
    <t>03575</t>
  </si>
  <si>
    <t>Muhammad Azka Afandi</t>
  </si>
  <si>
    <t>03576</t>
  </si>
  <si>
    <t>Muhammad Azzam Sholahuddin Askari</t>
  </si>
  <si>
    <t>03578</t>
  </si>
  <si>
    <t>Muhammad Dzaky Alif Al-Abiyu</t>
  </si>
  <si>
    <t>03581</t>
  </si>
  <si>
    <t>Muhammad Hubby Izzul Haq</t>
  </si>
  <si>
    <t>03582</t>
  </si>
  <si>
    <t>Muhammad Ibnu 'Athoillah Masykur</t>
  </si>
  <si>
    <t>03584</t>
  </si>
  <si>
    <t>3129655077</t>
  </si>
  <si>
    <t>Muhammad Iqbal Baha Rizki</t>
  </si>
  <si>
    <t>03590</t>
  </si>
  <si>
    <t>0129684637</t>
  </si>
  <si>
    <t>Muhammad Keysha Ahsin Nafsaka</t>
  </si>
  <si>
    <t>03592</t>
  </si>
  <si>
    <t>0125120492</t>
  </si>
  <si>
    <t>Muhammad Khozinatul Asrori</t>
  </si>
  <si>
    <t>03593</t>
  </si>
  <si>
    <t>0122309704</t>
  </si>
  <si>
    <t>Muhammad Ma'ruf Rizky</t>
  </si>
  <si>
    <t>03604</t>
  </si>
  <si>
    <t>0131956800</t>
  </si>
  <si>
    <t>Naufal Muqoddam Rafif</t>
  </si>
  <si>
    <t>03607</t>
  </si>
  <si>
    <t>Oziel Bagas Nugroho</t>
  </si>
  <si>
    <t>03611</t>
  </si>
  <si>
    <t>0122398782</t>
  </si>
  <si>
    <t>Rafka Ahmad Agus Prasetiyo</t>
  </si>
  <si>
    <t>03614</t>
  </si>
  <si>
    <t>0121549663</t>
  </si>
  <si>
    <t>Reyza Azka Kristiansyah</t>
  </si>
  <si>
    <t>03623</t>
  </si>
  <si>
    <t>Yazid Ali Rohmatulloh</t>
  </si>
  <si>
    <t>Laki-laki</t>
  </si>
  <si>
    <t>03501</t>
  </si>
  <si>
    <t>0124376448</t>
  </si>
  <si>
    <t>Ach. Fajruddhuha Ramadhan</t>
  </si>
  <si>
    <t>03504</t>
  </si>
  <si>
    <t>0138877076</t>
  </si>
  <si>
    <t>Achmad Fatkhur Rozi</t>
  </si>
  <si>
    <t>03507</t>
  </si>
  <si>
    <t>0122994609</t>
  </si>
  <si>
    <t>Afwan Minan Rohman</t>
  </si>
  <si>
    <t>03508</t>
  </si>
  <si>
    <t>0127820720</t>
  </si>
  <si>
    <t>Ahdaniel Jamil Fiddin</t>
  </si>
  <si>
    <t>03509</t>
  </si>
  <si>
    <t>0138002735</t>
  </si>
  <si>
    <t>Ahmad Abiya Nur Na'im</t>
  </si>
  <si>
    <t>03520</t>
  </si>
  <si>
    <t>0123416368</t>
  </si>
  <si>
    <t>Ahmad Iqbal Maulana</t>
  </si>
  <si>
    <t>03522</t>
  </si>
  <si>
    <t>0127749333</t>
  </si>
  <si>
    <t>Ahmad Nafis An Nafi'</t>
  </si>
  <si>
    <t>03523</t>
  </si>
  <si>
    <t>Ahmad Naufal Miftakhul Ulum</t>
  </si>
  <si>
    <t>03526</t>
  </si>
  <si>
    <t>0133473660</t>
  </si>
  <si>
    <t>Ahmad Syauqi Mushoffa</t>
  </si>
  <si>
    <t>03531</t>
  </si>
  <si>
    <t>3121984471</t>
  </si>
  <si>
    <t>Alvin Zakaria</t>
  </si>
  <si>
    <t>03534</t>
  </si>
  <si>
    <t>Aufal Fadhol Al-Hariry</t>
  </si>
  <si>
    <t>03535</t>
  </si>
  <si>
    <t>Azka Naufal Pratama</t>
  </si>
  <si>
    <t>03546</t>
  </si>
  <si>
    <t>0131098656</t>
  </si>
  <si>
    <t>Ghyna Dzakiya Ucchaishthana</t>
  </si>
  <si>
    <t>03547</t>
  </si>
  <si>
    <t>3129361179</t>
  </si>
  <si>
    <t>Gyo Ibnu Maskur</t>
  </si>
  <si>
    <t>03548</t>
  </si>
  <si>
    <t>0124130055</t>
  </si>
  <si>
    <t>Hamizan Raihan Azka</t>
  </si>
  <si>
    <t>03549</t>
  </si>
  <si>
    <t>3137166936</t>
  </si>
  <si>
    <t>Ja'Far Zainal Kafi Ma'Ruf</t>
  </si>
  <si>
    <t>03553</t>
  </si>
  <si>
    <t>Luthfi Adhyaksa Tamam Ramadhan</t>
  </si>
  <si>
    <t>03556</t>
  </si>
  <si>
    <t>0139890887</t>
  </si>
  <si>
    <t>M. Sa'id Abdullah</t>
  </si>
  <si>
    <t>03562</t>
  </si>
  <si>
    <t>3134019279</t>
  </si>
  <si>
    <t>Mohamad Faiza Firjatulloh Azza</t>
  </si>
  <si>
    <t>03564</t>
  </si>
  <si>
    <t>Mohammad Ammar Syihabuddin</t>
  </si>
  <si>
    <t>03570</t>
  </si>
  <si>
    <t>0126783316</t>
  </si>
  <si>
    <t>Muhammad Adi Chandra Pratama</t>
  </si>
  <si>
    <t>03573</t>
  </si>
  <si>
    <t>0123288981</t>
  </si>
  <si>
    <t>Muhammad Alif Rahman</t>
  </si>
  <si>
    <t>03579</t>
  </si>
  <si>
    <t>0127727368</t>
  </si>
  <si>
    <t>Muhammad Fahri Setio Budi</t>
  </si>
  <si>
    <t>03580</t>
  </si>
  <si>
    <t>0126736595</t>
  </si>
  <si>
    <t>Muhammad Fasil Raja</t>
  </si>
  <si>
    <t>03583</t>
  </si>
  <si>
    <t>Muhammad Ilham Fahrizal</t>
  </si>
  <si>
    <t>03586</t>
  </si>
  <si>
    <t>Muhammad Iqbal Habibi</t>
  </si>
  <si>
    <t>03599</t>
  </si>
  <si>
    <t>0129342146</t>
  </si>
  <si>
    <t>Muhammad Raffandi</t>
  </si>
  <si>
    <t>03609</t>
  </si>
  <si>
    <t>Raffa Ar Rasyid</t>
  </si>
  <si>
    <t>03613</t>
  </si>
  <si>
    <t>Rayyandra Arfa Keanu Bagaskara</t>
  </si>
  <si>
    <t>03616</t>
  </si>
  <si>
    <t>Shofiyul Azka Mubarok</t>
  </si>
  <si>
    <t>03617</t>
  </si>
  <si>
    <t>0138025180</t>
  </si>
  <si>
    <t>Syarifuddin Zhafran</t>
  </si>
  <si>
    <t>03624</t>
  </si>
  <si>
    <t>0123221113</t>
  </si>
  <si>
    <t>Yusril Mirza Farendra</t>
  </si>
  <si>
    <t>03626</t>
  </si>
  <si>
    <t>3132518347</t>
  </si>
  <si>
    <t>Zulmi Fajar Habibie</t>
  </si>
  <si>
    <t>03755</t>
  </si>
  <si>
    <t>0136642512</t>
  </si>
  <si>
    <t>Wafiq Azwar Abbasy</t>
  </si>
  <si>
    <t>03510</t>
  </si>
  <si>
    <t>0116397936</t>
  </si>
  <si>
    <t>Ahmad Affan Abqory</t>
  </si>
  <si>
    <t>03514</t>
  </si>
  <si>
    <t>0129395202</t>
  </si>
  <si>
    <t>Ahmad Alwi Abdul Azis</t>
  </si>
  <si>
    <t>03515</t>
  </si>
  <si>
    <t>0123720739</t>
  </si>
  <si>
    <t>Ahmad Daris Ziham Almuqsith</t>
  </si>
  <si>
    <t>03521</t>
  </si>
  <si>
    <t>0124730353</t>
  </si>
  <si>
    <t>Ahmad Julian Pasha Ramadhan</t>
  </si>
  <si>
    <t>03524</t>
  </si>
  <si>
    <t>Ahmad Ridwan Alghoni</t>
  </si>
  <si>
    <t>03527</t>
  </si>
  <si>
    <t>Airlangga Azzumar Bachtyar</t>
  </si>
  <si>
    <t>03528</t>
  </si>
  <si>
    <t>Alizzal Danish Aditya Yoga Pratama</t>
  </si>
  <si>
    <t>03530</t>
  </si>
  <si>
    <t>0134812372</t>
  </si>
  <si>
    <t>Alvian Rizki Auellio</t>
  </si>
  <si>
    <t>03532</t>
  </si>
  <si>
    <t>0121843545</t>
  </si>
  <si>
    <t>Ananda Noval Dwi Syahputra</t>
  </si>
  <si>
    <t>03540</t>
  </si>
  <si>
    <t>0132113160</t>
  </si>
  <si>
    <t>Dwi Bayu Rahardjo</t>
  </si>
  <si>
    <t>03543</t>
  </si>
  <si>
    <t>3129576146</t>
  </si>
  <si>
    <t>Fajar Setyawan</t>
  </si>
  <si>
    <t>03544</t>
  </si>
  <si>
    <t>Farizky Bagus Ady Pratama</t>
  </si>
  <si>
    <t>03555</t>
  </si>
  <si>
    <t>0127584007</t>
  </si>
  <si>
    <t>M. Fito Wahyu Julianto</t>
  </si>
  <si>
    <t>03557</t>
  </si>
  <si>
    <t>M. Zafiir Faza Ihsan</t>
  </si>
  <si>
    <t>03560</t>
  </si>
  <si>
    <t>Moh. Luthfi Riza Pratama</t>
  </si>
  <si>
    <t>03563</t>
  </si>
  <si>
    <t>0125331025</t>
  </si>
  <si>
    <t>Mohammad Agus Rouf</t>
  </si>
  <si>
    <t>03566</t>
  </si>
  <si>
    <t>Mohammad Iqbal Nurfahmi</t>
  </si>
  <si>
    <t>03567</t>
  </si>
  <si>
    <t>0123568928</t>
  </si>
  <si>
    <t>Mohammad Nuril Ilmi Al Hasan</t>
  </si>
  <si>
    <t>03569</t>
  </si>
  <si>
    <t>0124333367</t>
  </si>
  <si>
    <t>Muhamad Saylendra Firguna</t>
  </si>
  <si>
    <t>03571</t>
  </si>
  <si>
    <t>Muhammad Ahla Adibul Ihsan</t>
  </si>
  <si>
    <t>03585</t>
  </si>
  <si>
    <t>Muhammad Iqbal Choir</t>
  </si>
  <si>
    <t>03589</t>
  </si>
  <si>
    <t>3129264374</t>
  </si>
  <si>
    <t>Muhammad Kafi Azzamy</t>
  </si>
  <si>
    <t>03595</t>
  </si>
  <si>
    <t>3122582805</t>
  </si>
  <si>
    <t>Muhammad Nizam Irwanto</t>
  </si>
  <si>
    <t>03596</t>
  </si>
  <si>
    <t>0128664935</t>
  </si>
  <si>
    <t>Muhammad Nur Fadhil</t>
  </si>
  <si>
    <t>03597</t>
  </si>
  <si>
    <t>0127661914</t>
  </si>
  <si>
    <t>Muhammad Nur Huda</t>
  </si>
  <si>
    <t>03598</t>
  </si>
  <si>
    <t>0124034354</t>
  </si>
  <si>
    <t>Muhammad Nuril Zulfiansyah</t>
  </si>
  <si>
    <t>03603</t>
  </si>
  <si>
    <t>0135963481</t>
  </si>
  <si>
    <t>Nafil Wildan Aqil Abqory</t>
  </si>
  <si>
    <t>03605</t>
  </si>
  <si>
    <t>Nizam Zulfikar Oktafian Yudhiyanto</t>
  </si>
  <si>
    <t>03608</t>
  </si>
  <si>
    <t>0128705148</t>
  </si>
  <si>
    <t>Rafa Saputra</t>
  </si>
  <si>
    <t>03610</t>
  </si>
  <si>
    <t>Raffael Bintang Rohman</t>
  </si>
  <si>
    <t>03612</t>
  </si>
  <si>
    <t>0128204583</t>
  </si>
  <si>
    <t>Raihan Khoirul Jamal</t>
  </si>
  <si>
    <t>03619</t>
  </si>
  <si>
    <t>0131287209</t>
  </si>
  <si>
    <t>Tomy Ardiansyah</t>
  </si>
  <si>
    <t>03754</t>
  </si>
  <si>
    <t>3126838216</t>
  </si>
  <si>
    <t>Muhammad Kavin</t>
  </si>
  <si>
    <t>03639</t>
  </si>
  <si>
    <t>0132167963</t>
  </si>
  <si>
    <t>Arini Nur Rahmania Sa'idah</t>
  </si>
  <si>
    <t>03644</t>
  </si>
  <si>
    <t>Auliya Hanin Syarifah</t>
  </si>
  <si>
    <t>03646</t>
  </si>
  <si>
    <t>Azmi Anna Althafunnisa'</t>
  </si>
  <si>
    <t>03647</t>
  </si>
  <si>
    <t>0133220089</t>
  </si>
  <si>
    <t>Azzahro Nur Maulida</t>
  </si>
  <si>
    <t>03648</t>
  </si>
  <si>
    <t>0126061571</t>
  </si>
  <si>
    <t>Azzura Reyna Arifina</t>
  </si>
  <si>
    <t>03649</t>
  </si>
  <si>
    <t>0128172304</t>
  </si>
  <si>
    <t>Belvania Valeri Alayya</t>
  </si>
  <si>
    <t>03650</t>
  </si>
  <si>
    <t>3120527187</t>
  </si>
  <si>
    <t>Cahya Salsabila Putri</t>
  </si>
  <si>
    <t>03653</t>
  </si>
  <si>
    <t>3126993967</t>
  </si>
  <si>
    <t>Cinta Agustina Ramadhani</t>
  </si>
  <si>
    <t>03654</t>
  </si>
  <si>
    <t>3127344490</t>
  </si>
  <si>
    <t>Cinta Laetishya Azzahra</t>
  </si>
  <si>
    <t>03661</t>
  </si>
  <si>
    <t>Dian Fatiha Najwa</t>
  </si>
  <si>
    <t>03664</t>
  </si>
  <si>
    <t>Diva Azka Adlina</t>
  </si>
  <si>
    <t>03670</t>
  </si>
  <si>
    <t>0123925186</t>
  </si>
  <si>
    <t>Filzania Zaidatus Zafira Difta</t>
  </si>
  <si>
    <t>03676</t>
  </si>
  <si>
    <t>3129313473</t>
  </si>
  <si>
    <t>Inaya Fajria Sany</t>
  </si>
  <si>
    <t>03677</t>
  </si>
  <si>
    <t>0126911174</t>
  </si>
  <si>
    <t>Intan Nur Aini</t>
  </si>
  <si>
    <t>03678</t>
  </si>
  <si>
    <t>Irsana Ro'fatul Ula</t>
  </si>
  <si>
    <t>03680</t>
  </si>
  <si>
    <t>0126774584</t>
  </si>
  <si>
    <t>Julia Ramadhani</t>
  </si>
  <si>
    <t>03688</t>
  </si>
  <si>
    <t>Laila A'imatul Musyayadah</t>
  </si>
  <si>
    <t>03691</t>
  </si>
  <si>
    <t>0136758328</t>
  </si>
  <si>
    <t>Maulida Aqilatul Fitria</t>
  </si>
  <si>
    <t>03694</t>
  </si>
  <si>
    <t>3123804084</t>
  </si>
  <si>
    <t>Miftah Maesaroh Melisa Cahyani</t>
  </si>
  <si>
    <t>03695</t>
  </si>
  <si>
    <t>0121352930</t>
  </si>
  <si>
    <t>Mir'atun Nadhiroh</t>
  </si>
  <si>
    <t>03698</t>
  </si>
  <si>
    <t>0124095960</t>
  </si>
  <si>
    <t>Muna Mujahidah</t>
  </si>
  <si>
    <t>03702</t>
  </si>
  <si>
    <t>0129314896</t>
  </si>
  <si>
    <t>Naila Mutammimah</t>
  </si>
  <si>
    <t>03710</t>
  </si>
  <si>
    <t>0131299363</t>
  </si>
  <si>
    <t>Nazhumi Arifa Faridatul Fauziah</t>
  </si>
  <si>
    <t>03714</t>
  </si>
  <si>
    <t>Nurin Najwa Baiti Azzahra</t>
  </si>
  <si>
    <t>03716</t>
  </si>
  <si>
    <t>0133489584</t>
  </si>
  <si>
    <t>Queen Bianca Wiyono</t>
  </si>
  <si>
    <t>03719</t>
  </si>
  <si>
    <t>Safinatun Najwa Zahrana Khoir</t>
  </si>
  <si>
    <t>03721</t>
  </si>
  <si>
    <t>Sanniyyah Aqilah</t>
  </si>
  <si>
    <t>03725</t>
  </si>
  <si>
    <t>Shafya Pramesti Putri Hanifa</t>
  </si>
  <si>
    <t>03730</t>
  </si>
  <si>
    <t>0121142539</t>
  </si>
  <si>
    <t>Sofia Dhia Afra Amelia</t>
  </si>
  <si>
    <t>03732</t>
  </si>
  <si>
    <t>3121328760</t>
  </si>
  <si>
    <t>Syafa Zahrotu Sita Azzahra</t>
  </si>
  <si>
    <t>03735</t>
  </si>
  <si>
    <t>Syifaatar Rohmah</t>
  </si>
  <si>
    <t>03744</t>
  </si>
  <si>
    <t>0121285914</t>
  </si>
  <si>
    <t>Zahra Nur Anifa</t>
  </si>
  <si>
    <t>03745</t>
  </si>
  <si>
    <t>Zahro Aliyatul Khusna</t>
  </si>
  <si>
    <t>03746</t>
  </si>
  <si>
    <t>3123084704</t>
  </si>
  <si>
    <t>Zahrotul Ilmada Chifa</t>
  </si>
  <si>
    <t>03751</t>
  </si>
  <si>
    <t>3122535081</t>
  </si>
  <si>
    <t>Zivana Raisa Yasmin</t>
  </si>
  <si>
    <t>Perempuan</t>
  </si>
  <si>
    <t>03629</t>
  </si>
  <si>
    <t>3126582736</t>
  </si>
  <si>
    <t>Afika Putri Aprilia Anjani</t>
  </si>
  <si>
    <t>03633</t>
  </si>
  <si>
    <t>0121240575</t>
  </si>
  <si>
    <t>Anindya Naura Ashnafil Tazkiyah</t>
  </si>
  <si>
    <t>03635</t>
  </si>
  <si>
    <t>Aprilia Zaskya Putri Inara</t>
  </si>
  <si>
    <t>03636</t>
  </si>
  <si>
    <t>Aqila Syauqina Hidayati</t>
  </si>
  <si>
    <t>03641</t>
  </si>
  <si>
    <t>Atma Listya Atho'illah</t>
  </si>
  <si>
    <t>03642</t>
  </si>
  <si>
    <t>0121158282</t>
  </si>
  <si>
    <t>Aulia Az-Zahra Ramadhani</t>
  </si>
  <si>
    <t>03656</t>
  </si>
  <si>
    <t>Deva Renata Diyantika Putri</t>
  </si>
  <si>
    <t>03657</t>
  </si>
  <si>
    <t>Devira Widariani Putri</t>
  </si>
  <si>
    <t>03659</t>
  </si>
  <si>
    <t>0128507481</t>
  </si>
  <si>
    <t>Dhenova Hafiza Khaira Lubna</t>
  </si>
  <si>
    <t>03660</t>
  </si>
  <si>
    <t>0128353025</t>
  </si>
  <si>
    <t>Diah Putri Dwi Lestari</t>
  </si>
  <si>
    <t>03666</t>
  </si>
  <si>
    <t>0139082705</t>
  </si>
  <si>
    <t>Ernita Izzatunnisa Musdalifa</t>
  </si>
  <si>
    <t>03667</t>
  </si>
  <si>
    <t>3132403060</t>
  </si>
  <si>
    <t>Erza Naila</t>
  </si>
  <si>
    <t>03668</t>
  </si>
  <si>
    <t>Faridatul Maulida</t>
  </si>
  <si>
    <t>03671</t>
  </si>
  <si>
    <t>3123445104</t>
  </si>
  <si>
    <t>Hafiza Azmil Khoiriya</t>
  </si>
  <si>
    <t>03672</t>
  </si>
  <si>
    <t>3130652648</t>
  </si>
  <si>
    <t>Hamidatun Nafisa</t>
  </si>
  <si>
    <t>03675</t>
  </si>
  <si>
    <t>0125652100</t>
  </si>
  <si>
    <t>Ilma Khoirotun Ni'mah</t>
  </si>
  <si>
    <t>03681</t>
  </si>
  <si>
    <t>Kartika Ayu Nur Wahid</t>
  </si>
  <si>
    <t>03683</t>
  </si>
  <si>
    <t>Khaira Nadzifatuz Zahra</t>
  </si>
  <si>
    <t>03687</t>
  </si>
  <si>
    <t>0126710857</t>
  </si>
  <si>
    <t>Kholishtama Humairo' Putrinabilah</t>
  </si>
  <si>
    <t>03690</t>
  </si>
  <si>
    <t>Listy Andinia Aulia Fitri</t>
  </si>
  <si>
    <t>03696</t>
  </si>
  <si>
    <t>Mufaazatul Imroah</t>
  </si>
  <si>
    <t>03699</t>
  </si>
  <si>
    <t>0124482633</t>
  </si>
  <si>
    <t>Nabila Diya Putri Anindya</t>
  </si>
  <si>
    <t>03705</t>
  </si>
  <si>
    <t>3122704137</t>
  </si>
  <si>
    <t>Nakeysha Ardya Putri</t>
  </si>
  <si>
    <t>03707</t>
  </si>
  <si>
    <t>3129657339</t>
  </si>
  <si>
    <t>Naura Fitriani Salsabilah</t>
  </si>
  <si>
    <t>03708</t>
  </si>
  <si>
    <t>3132628064</t>
  </si>
  <si>
    <t>Naura Hasna Annida</t>
  </si>
  <si>
    <t>03709</t>
  </si>
  <si>
    <t>0137506634</t>
  </si>
  <si>
    <t>Naylla Putri Nur Aeny</t>
  </si>
  <si>
    <t>03731</t>
  </si>
  <si>
    <t>Sofiyatun Khasanah</t>
  </si>
  <si>
    <t>03737</t>
  </si>
  <si>
    <t>0012587213</t>
  </si>
  <si>
    <t>Vandalea Aisyah Nuril Illiyin</t>
  </si>
  <si>
    <t>03738</t>
  </si>
  <si>
    <t>3125544280</t>
  </si>
  <si>
    <t>Vivi Putri Amanda</t>
  </si>
  <si>
    <t>03741</t>
  </si>
  <si>
    <t>0126032180</t>
  </si>
  <si>
    <t>Wulan Sevian Febianty</t>
  </si>
  <si>
    <t>03743</t>
  </si>
  <si>
    <t>0128572546</t>
  </si>
  <si>
    <t>Yulistia Tsania Salma</t>
  </si>
  <si>
    <t>03627</t>
  </si>
  <si>
    <t>3128485352</t>
  </si>
  <si>
    <t>Afica Az-Zahra Kalila Bilqis</t>
  </si>
  <si>
    <t>03628</t>
  </si>
  <si>
    <t>3122866966</t>
  </si>
  <si>
    <t>Afika Cahaya Anggraini</t>
  </si>
  <si>
    <t>03631</t>
  </si>
  <si>
    <t>Amanda Kurnia Nur Afifah</t>
  </si>
  <si>
    <t>03634</t>
  </si>
  <si>
    <t>0128737877</t>
  </si>
  <si>
    <t>Anna Ollivia</t>
  </si>
  <si>
    <t>03637</t>
  </si>
  <si>
    <t>0121613803</t>
  </si>
  <si>
    <t>Aqilatus Syahiro</t>
  </si>
  <si>
    <t>03638</t>
  </si>
  <si>
    <t>0136316873</t>
  </si>
  <si>
    <t>Ardian Pramesti Regita Cahyani</t>
  </si>
  <si>
    <t>03652</t>
  </si>
  <si>
    <t>Chika Ramadhani Nur Khomariyah</t>
  </si>
  <si>
    <t>03665</t>
  </si>
  <si>
    <t>0124106012</t>
  </si>
  <si>
    <t>Dwi Astutik</t>
  </si>
  <si>
    <t>03669</t>
  </si>
  <si>
    <t>Fatimatuz Zahro Fina Ramadani</t>
  </si>
  <si>
    <t>03674</t>
  </si>
  <si>
    <t>Hikmatul Aulya</t>
  </si>
  <si>
    <t>03682</t>
  </si>
  <si>
    <t>0128921105</t>
  </si>
  <si>
    <t>Kenes Zenobia Rahmawan</t>
  </si>
  <si>
    <t>03684</t>
  </si>
  <si>
    <t>Kheina Nadia Rahmania</t>
  </si>
  <si>
    <t>03686</t>
  </si>
  <si>
    <t>0129097589</t>
  </si>
  <si>
    <t>Kholishotul Mahmudah</t>
  </si>
  <si>
    <t>03689</t>
  </si>
  <si>
    <t>0137490315</t>
  </si>
  <si>
    <t>Laylatul Nurjana</t>
  </si>
  <si>
    <t>03700</t>
  </si>
  <si>
    <t>0121901779</t>
  </si>
  <si>
    <t>Nadhira Rahma Fitriyana</t>
  </si>
  <si>
    <t>03701</t>
  </si>
  <si>
    <t>3127636470</t>
  </si>
  <si>
    <t>Nadila Ayu Febryana Putrianata</t>
  </si>
  <si>
    <t>03703</t>
  </si>
  <si>
    <t>Nailatul Rijciya</t>
  </si>
  <si>
    <t>03704</t>
  </si>
  <si>
    <t>0126624203</t>
  </si>
  <si>
    <t>Najwa Asyila Salsabila</t>
  </si>
  <si>
    <t>03706</t>
  </si>
  <si>
    <t>Natasya Elina Putri</t>
  </si>
  <si>
    <t>03712</t>
  </si>
  <si>
    <t>0123627394</t>
  </si>
  <si>
    <t>Niken Maulia Ambarwati</t>
  </si>
  <si>
    <t>03715</t>
  </si>
  <si>
    <t>0134122799</t>
  </si>
  <si>
    <t>Nuris Fatimatu Zahra</t>
  </si>
  <si>
    <t>03717</t>
  </si>
  <si>
    <t>0124456407</t>
  </si>
  <si>
    <t>Rianti Yomi Dwi Admaja</t>
  </si>
  <si>
    <t>03718</t>
  </si>
  <si>
    <t>Rosyidatul Marwa Nurin Najwa</t>
  </si>
  <si>
    <t>03722</t>
  </si>
  <si>
    <t>0131773769</t>
  </si>
  <si>
    <t>Savira Dwi Anggraeny</t>
  </si>
  <si>
    <t>03723</t>
  </si>
  <si>
    <t>0126023029</t>
  </si>
  <si>
    <t>Sekar Indriyani Saputra</t>
  </si>
  <si>
    <t>03726</t>
  </si>
  <si>
    <t>Siti Eriana Erika Lailiyah</t>
  </si>
  <si>
    <t>03727</t>
  </si>
  <si>
    <t>Siti Fatmawati</t>
  </si>
  <si>
    <t>03734</t>
  </si>
  <si>
    <t>Syakira Novia Neysilla</t>
  </si>
  <si>
    <t>03740</t>
  </si>
  <si>
    <t>3124148925</t>
  </si>
  <si>
    <t>Wafirotun Naja</t>
  </si>
  <si>
    <t>03748</t>
  </si>
  <si>
    <t>Zakiya Nur Af'idah</t>
  </si>
  <si>
    <t>03749</t>
  </si>
  <si>
    <t>0132291262</t>
  </si>
  <si>
    <t>Zella Najwa Era Fazira</t>
  </si>
  <si>
    <t>03750</t>
  </si>
  <si>
    <t>3134024574</t>
  </si>
  <si>
    <t>Zifana Naila Fiskha</t>
  </si>
  <si>
    <t>03752</t>
  </si>
  <si>
    <t>0135401650</t>
  </si>
  <si>
    <t>Zivana Vebby Alicia Putri</t>
  </si>
  <si>
    <t>03500</t>
  </si>
  <si>
    <t>0128278963</t>
  </si>
  <si>
    <t>Ach Qolbi Nazhirul Asrofi</t>
  </si>
  <si>
    <t>03506</t>
  </si>
  <si>
    <t>0121905267</t>
  </si>
  <si>
    <t>Aditya Pranata Haikal Mahardika</t>
  </si>
  <si>
    <t>03512</t>
  </si>
  <si>
    <t>3120621911</t>
  </si>
  <si>
    <t>Ahmad Ali Irawan</t>
  </si>
  <si>
    <t>03513</t>
  </si>
  <si>
    <t>0124072221</t>
  </si>
  <si>
    <t>Ahmad Alifah Rudin</t>
  </si>
  <si>
    <t>03529</t>
  </si>
  <si>
    <t>3128940957</t>
  </si>
  <si>
    <t>Alvian Dicky Putra Pratama</t>
  </si>
  <si>
    <t>03538</t>
  </si>
  <si>
    <t>0138979325</t>
  </si>
  <si>
    <t>Dana Mahardika Yusuf</t>
  </si>
  <si>
    <t>03539</t>
  </si>
  <si>
    <t>3128821931</t>
  </si>
  <si>
    <t>David Jazzen Alvaro</t>
  </si>
  <si>
    <t>03551</t>
  </si>
  <si>
    <t>Kenzie Eka Angger Saputra</t>
  </si>
  <si>
    <t>03558</t>
  </si>
  <si>
    <t>Mirzam Putra Mahardika</t>
  </si>
  <si>
    <t>03565</t>
  </si>
  <si>
    <t>Mohammad Aqsan Maulana</t>
  </si>
  <si>
    <t>03574</t>
  </si>
  <si>
    <t>3113289572</t>
  </si>
  <si>
    <t>Muhammad Azam Ali Fahmi</t>
  </si>
  <si>
    <t>03577</t>
  </si>
  <si>
    <t>3129653813</t>
  </si>
  <si>
    <t>Muhammad Dzaki Darmawan</t>
  </si>
  <si>
    <t>03587</t>
  </si>
  <si>
    <t>3129177976</t>
  </si>
  <si>
    <t>Muhammad Irsyadul Fathon</t>
  </si>
  <si>
    <t>03588</t>
  </si>
  <si>
    <t>Muhammad Ja'far Sidiq</t>
  </si>
  <si>
    <t>03591</t>
  </si>
  <si>
    <t>3120585203</t>
  </si>
  <si>
    <t>Muhammad Khafidz Dwi Mahendra</t>
  </si>
  <si>
    <t>03753</t>
  </si>
  <si>
    <t>3125302238</t>
  </si>
  <si>
    <t>Muhammad Mazaza Rizki</t>
  </si>
  <si>
    <t>03601</t>
  </si>
  <si>
    <t>3134787139</t>
  </si>
  <si>
    <t>Muhammad Wisnu Aji Ikhwan</t>
  </si>
  <si>
    <t>03606</t>
  </si>
  <si>
    <t>0129637924</t>
  </si>
  <si>
    <t>Novenda Lutfy Ismail</t>
  </si>
  <si>
    <t>03615</t>
  </si>
  <si>
    <t>3124810899</t>
  </si>
  <si>
    <t>Safyudin Helga Ciputro</t>
  </si>
  <si>
    <t>03618</t>
  </si>
  <si>
    <t>3122395157</t>
  </si>
  <si>
    <t>Tifan Putra Yunanda</t>
  </si>
  <si>
    <t>03620</t>
  </si>
  <si>
    <t>0137957579</t>
  </si>
  <si>
    <t>Toni Febri Maulana</t>
  </si>
  <si>
    <t>03621</t>
  </si>
  <si>
    <t>3120131950</t>
  </si>
  <si>
    <t>Wahyu Bagus Maulana</t>
  </si>
  <si>
    <t>03622</t>
  </si>
  <si>
    <t>3127879906</t>
  </si>
  <si>
    <t>Willa Tikta Az'Har</t>
  </si>
  <si>
    <t>03757</t>
  </si>
  <si>
    <t>Farid Maulana Kristianto</t>
  </si>
  <si>
    <t>03645</t>
  </si>
  <si>
    <t>3121785640</t>
  </si>
  <si>
    <t>Auliya Silviana Eka Putri</t>
  </si>
  <si>
    <t>03658</t>
  </si>
  <si>
    <t>Dhara Silvia Nur Septiany</t>
  </si>
  <si>
    <t>03663</t>
  </si>
  <si>
    <t>0129153598</t>
  </si>
  <si>
    <t>Dinda Margaretha</t>
  </si>
  <si>
    <t>03679</t>
  </si>
  <si>
    <t>Jihan Kharisma Andoko Putri</t>
  </si>
  <si>
    <t>03685</t>
  </si>
  <si>
    <t>Khofifah Dwi Wulandini</t>
  </si>
  <si>
    <t>03692</t>
  </si>
  <si>
    <t>3116520248</t>
  </si>
  <si>
    <t>Maulidan Najwa Lathifah</t>
  </si>
  <si>
    <t>03693</t>
  </si>
  <si>
    <t>0127433920</t>
  </si>
  <si>
    <t>Meysha Vallerie Azzahra</t>
  </si>
  <si>
    <t>03697</t>
  </si>
  <si>
    <t>0122328848</t>
  </si>
  <si>
    <t>Mufidah Salwa Ramadhani</t>
  </si>
  <si>
    <t>03711</t>
  </si>
  <si>
    <t>3127550162</t>
  </si>
  <si>
    <t>Nelli Rahma Ramadani</t>
  </si>
  <si>
    <t>03720</t>
  </si>
  <si>
    <t>0129486394</t>
  </si>
  <si>
    <t>Salsabila Alfira Anggia Putri</t>
  </si>
  <si>
    <t>03728</t>
  </si>
  <si>
    <t>3121458801</t>
  </si>
  <si>
    <t>Siti Nur Halimah Thusadia</t>
  </si>
  <si>
    <t>03729</t>
  </si>
  <si>
    <t>3126955954</t>
  </si>
  <si>
    <t>Siti Sofiatul Milah</t>
  </si>
  <si>
    <t>03733</t>
  </si>
  <si>
    <t>0134020120</t>
  </si>
  <si>
    <t>Syafiqoh Aliya Aimuni</t>
  </si>
  <si>
    <t>03736</t>
  </si>
  <si>
    <t>3125669317</t>
  </si>
  <si>
    <t>Techa Pramudia Ramadhani</t>
  </si>
  <si>
    <t>03739</t>
  </si>
  <si>
    <t>3132041939</t>
  </si>
  <si>
    <t>Wafaanil Misthobah</t>
  </si>
  <si>
    <t>03742</t>
  </si>
  <si>
    <t>3121348662</t>
  </si>
  <si>
    <t>Yesenia Qadira Neysa</t>
  </si>
  <si>
    <t>03747</t>
  </si>
  <si>
    <t>0122344331</t>
  </si>
  <si>
    <t>Zahroul Afidah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</si>
</sst>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94" x14ac:knownFonts="1">
    <font>
      <sz val="11"/>
      <color theme="1"/>
      <name val="Calibri"/>
      <family val="2"/>
      <charset val="1"/>
      <scheme val="minor"/>
    </font>
    <font>
      <sz val="9"/>
      <color theme="1"/>
      <name val="Arial"/>
      <family val="2"/>
    </font>
    <font>
      <sz val="9"/>
      <color rgb="FFFF0000"/>
      <name val="Arial"/>
      <family val="2"/>
    </font>
    <font>
      <sz val="10"/>
      <color theme="1"/>
      <name val="Arial"/>
      <family val="2"/>
    </font>
    <font>
      <b/>
      <sz val="10"/>
      <color rgb="FF0000FF"/>
      <name val="Arial"/>
      <family val="2"/>
    </font>
    <font>
      <sz val="10"/>
      <color rgb="FF0000FF"/>
      <name val="Arial"/>
      <family val="2"/>
    </font>
    <font>
      <sz val="9"/>
      <name val="Arial"/>
      <family val="2"/>
    </font>
    <font>
      <sz val="9"/>
      <color rgb="FF0000FF"/>
      <name val="Arial"/>
      <family val="2"/>
    </font>
    <font>
      <b/>
      <sz val="9"/>
      <color theme="1"/>
      <name val="Arial"/>
      <family val="2"/>
    </font>
    <font>
      <b/>
      <sz val="8"/>
      <color theme="1"/>
      <name val="Arial"/>
      <family val="2"/>
    </font>
    <font>
      <b/>
      <sz val="9"/>
      <color rgb="FFFF0000"/>
      <name val="Arial"/>
      <family val="2"/>
    </font>
    <font>
      <sz val="11"/>
      <color theme="1"/>
      <name val="Calibri"/>
      <family val="2"/>
      <charset val="1"/>
      <scheme val="minor"/>
    </font>
    <font>
      <b/>
      <sz val="11"/>
      <color theme="1"/>
      <name val="Arial"/>
      <family val="2"/>
    </font>
    <font>
      <b/>
      <sz val="10"/>
      <color theme="1"/>
      <name val="Arial"/>
      <family val="2"/>
    </font>
    <font>
      <sz val="9"/>
      <color theme="0"/>
      <name val="Arial"/>
      <family val="2"/>
    </font>
    <font>
      <b/>
      <sz val="11"/>
      <color rgb="FFC00000"/>
      <name val="Arial"/>
      <family val="2"/>
    </font>
    <font>
      <b/>
      <sz val="9"/>
      <color rgb="FFFFFF00"/>
      <name val="Arial"/>
      <family val="2"/>
    </font>
    <font>
      <sz val="10"/>
      <color rgb="FFC00000"/>
      <name val="Arial"/>
      <family val="2"/>
    </font>
    <font>
      <b/>
      <sz val="10"/>
      <color rgb="FFFF0000"/>
      <name val="Arial"/>
      <family val="2"/>
    </font>
    <font>
      <sz val="10"/>
      <name val="Arial"/>
      <family val="2"/>
    </font>
    <font>
      <sz val="10"/>
      <color rgb="FFFF0000"/>
      <name val="Arial"/>
      <family val="2"/>
    </font>
    <font>
      <sz val="13"/>
      <color theme="1"/>
      <name val="Arial"/>
      <family val="2"/>
    </font>
    <font>
      <b/>
      <sz val="10"/>
      <name val="Arial"/>
      <family val="2"/>
    </font>
    <font>
      <sz val="10"/>
      <color theme="1"/>
      <name val="Tahoma"/>
      <family val="2"/>
    </font>
    <font>
      <b/>
      <sz val="10"/>
      <color theme="1"/>
      <name val="Tahoma"/>
      <family val="2"/>
    </font>
    <font>
      <b/>
      <sz val="9"/>
      <color theme="0"/>
      <name val="Arial"/>
      <family val="2"/>
    </font>
    <font>
      <sz val="9"/>
      <color theme="1"/>
      <name val="Tahoma"/>
      <family val="2"/>
    </font>
    <font>
      <b/>
      <sz val="9"/>
      <color theme="1"/>
      <name val="Tahoma"/>
      <family val="2"/>
    </font>
    <font>
      <sz val="9"/>
      <color rgb="FF0000FF"/>
      <name val="Tahoma"/>
      <family val="2"/>
    </font>
    <font>
      <b/>
      <sz val="9"/>
      <color theme="1" tint="0.34998626667073579"/>
      <name val="Tahoma"/>
      <family val="2"/>
    </font>
    <font>
      <b/>
      <sz val="11"/>
      <color theme="1"/>
      <name val="Tahoma"/>
      <family val="2"/>
    </font>
    <font>
      <sz val="10"/>
      <name val="Tahoma"/>
      <family val="2"/>
    </font>
    <font>
      <b/>
      <sz val="11"/>
      <color rgb="FF0000FF"/>
      <name val="Arial"/>
      <family val="2"/>
    </font>
    <font>
      <sz val="11"/>
      <color rgb="FF0000FF"/>
      <name val="Arial"/>
      <family val="2"/>
    </font>
    <font>
      <sz val="9"/>
      <color theme="0" tint="-0.34998626667073579"/>
      <name val="Arial"/>
      <family val="2"/>
    </font>
    <font>
      <sz val="8"/>
      <color theme="1"/>
      <name val="Tahoma"/>
      <family val="2"/>
    </font>
    <font>
      <sz val="9"/>
      <color theme="5" tint="0.39997558519241921"/>
      <name val="Arial"/>
      <family val="2"/>
    </font>
    <font>
      <sz val="9"/>
      <color theme="8" tint="0.39997558519241921"/>
      <name val="Arial"/>
      <family val="2"/>
    </font>
    <font>
      <b/>
      <sz val="11"/>
      <color rgb="FFFFFF00"/>
      <name val="Arial"/>
      <family val="2"/>
    </font>
    <font>
      <sz val="8"/>
      <color rgb="FFFFC000"/>
      <name val="Arial"/>
      <family val="2"/>
    </font>
    <font>
      <b/>
      <sz val="14"/>
      <color theme="1"/>
      <name val="Arial"/>
      <family val="2"/>
    </font>
    <font>
      <sz val="14"/>
      <color theme="1"/>
      <name val="Arial"/>
      <family val="2"/>
    </font>
    <font>
      <sz val="11"/>
      <color theme="1"/>
      <name val="Tahoma"/>
      <family val="2"/>
    </font>
    <font>
      <b/>
      <sz val="18"/>
      <color theme="1"/>
      <name val="Tahoma"/>
      <family val="2"/>
    </font>
    <font>
      <sz val="11"/>
      <name val="Tahoma"/>
      <family val="2"/>
    </font>
    <font>
      <b/>
      <sz val="11"/>
      <name val="Tahoma"/>
      <family val="2"/>
    </font>
    <font>
      <sz val="10"/>
      <color rgb="FFC00000"/>
      <name val="Tahoma"/>
      <family val="2"/>
    </font>
    <font>
      <sz val="10"/>
      <color theme="9" tint="-0.499984740745262"/>
      <name val="Tahoma"/>
      <family val="2"/>
    </font>
    <font>
      <sz val="12"/>
      <color theme="1"/>
      <name val="Calibri"/>
      <family val="2"/>
      <charset val="1"/>
      <scheme val="minor"/>
    </font>
    <font>
      <b/>
      <sz val="14"/>
      <color rgb="FFFFFF00"/>
      <name val="Arial"/>
      <family val="2"/>
    </font>
    <font>
      <sz val="8"/>
      <color rgb="FF0000FF"/>
      <name val="Tahoma"/>
      <family val="2"/>
    </font>
    <font>
      <sz val="14"/>
      <color theme="8" tint="0.39997558519241921"/>
      <name val="Arial"/>
      <family val="2"/>
    </font>
    <font>
      <b/>
      <sz val="14"/>
      <color rgb="FFFF0000"/>
      <name val="Arial"/>
      <family val="2"/>
    </font>
    <font>
      <b/>
      <sz val="10"/>
      <color theme="3"/>
      <name val="Arial"/>
      <family val="2"/>
    </font>
    <font>
      <b/>
      <sz val="12"/>
      <color theme="1" tint="0.14999847407452621"/>
      <name val="Arial"/>
      <family val="2"/>
    </font>
    <font>
      <b/>
      <sz val="10"/>
      <color theme="1" tint="0.14999847407452621"/>
      <name val="Arial"/>
      <family val="2"/>
    </font>
    <font>
      <b/>
      <sz val="11"/>
      <color rgb="FF0000FF"/>
      <name val="Calibri"/>
      <family val="2"/>
      <scheme val="minor"/>
    </font>
    <font>
      <b/>
      <sz val="12"/>
      <color theme="1"/>
      <name val="Calibri"/>
      <family val="2"/>
      <scheme val="minor"/>
    </font>
    <font>
      <sz val="12"/>
      <color theme="5" tint="-0.499984740745262"/>
      <name val="Calibri"/>
      <family val="2"/>
      <charset val="1"/>
      <scheme val="minor"/>
    </font>
    <font>
      <sz val="10"/>
      <color theme="0"/>
      <name val="Arial Black"/>
      <family val="2"/>
    </font>
    <font>
      <b/>
      <sz val="18"/>
      <color rgb="FF00EA6A"/>
      <name val="Arial"/>
      <family val="2"/>
    </font>
    <font>
      <b/>
      <sz val="9"/>
      <color theme="1" tint="0.14999847407452621"/>
      <name val="Arial"/>
      <family val="2"/>
    </font>
    <font>
      <b/>
      <sz val="10"/>
      <color rgb="FF1539EB"/>
      <name val="Arial"/>
      <family val="2"/>
    </font>
    <font>
      <sz val="10"/>
      <color rgb="FF1539EB"/>
      <name val="Arial"/>
      <family val="2"/>
    </font>
    <font>
      <b/>
      <sz val="18"/>
      <color rgb="FF1539EB"/>
      <name val="Arial"/>
      <family val="2"/>
    </font>
    <font>
      <sz val="8"/>
      <name val="Tahoma"/>
      <family val="2"/>
    </font>
    <font>
      <b/>
      <sz val="18"/>
      <color theme="0"/>
      <name val="Calibri"/>
      <family val="2"/>
      <scheme val="minor"/>
    </font>
    <font>
      <b/>
      <sz val="12"/>
      <color theme="1"/>
      <name val="Arial"/>
      <family val="2"/>
    </font>
    <font>
      <sz val="9"/>
      <name val="Tahoma"/>
      <family val="2"/>
    </font>
    <font>
      <b/>
      <sz val="31"/>
      <color theme="0"/>
      <name val="Calibri"/>
      <family val="2"/>
      <scheme val="minor"/>
    </font>
    <font>
      <b/>
      <sz val="18"/>
      <color theme="0" tint="-4.9989318521683403E-2"/>
      <name val="Arial"/>
      <family val="2"/>
    </font>
    <font>
      <b/>
      <sz val="10"/>
      <name val="Tahoma"/>
      <family val="2"/>
    </font>
    <font>
      <b/>
      <sz val="18"/>
      <color rgb="FFFF0000"/>
      <name val="Calibri"/>
      <family val="2"/>
      <scheme val="minor"/>
    </font>
    <font>
      <b/>
      <sz val="11"/>
      <color theme="1"/>
      <name val="Calibri"/>
      <family val="2"/>
      <scheme val="minor"/>
    </font>
    <font>
      <sz val="24"/>
      <color rgb="FFFFC000"/>
      <name val="Arial Black"/>
      <family val="2"/>
    </font>
    <font>
      <b/>
      <sz val="9"/>
      <color rgb="FFFFC000"/>
      <name val="Arial"/>
      <family val="2"/>
    </font>
    <font>
      <sz val="10"/>
      <color theme="1" tint="0.34998626667073579"/>
      <name val="Arial"/>
      <family val="2"/>
    </font>
    <font>
      <b/>
      <sz val="14"/>
      <color rgb="FF0000FF"/>
      <name val="Arial"/>
      <family val="2"/>
    </font>
    <font>
      <b/>
      <sz val="13"/>
      <color theme="1"/>
      <name val="Arial"/>
      <family val="2"/>
    </font>
    <font>
      <b/>
      <sz val="11"/>
      <color rgb="FFFF0000"/>
      <name val="Calibri"/>
      <family val="2"/>
      <scheme val="minor"/>
    </font>
    <font>
      <b/>
      <sz val="9.5"/>
      <color rgb="FFFFFF00"/>
      <name val="Arial"/>
      <family val="2"/>
    </font>
    <font>
      <b/>
      <sz val="14"/>
      <color rgb="FF002060"/>
      <name val="Arial"/>
      <family val="2"/>
    </font>
    <font>
      <sz val="10"/>
      <color theme="1"/>
      <name val="Calibri"/>
      <family val="2"/>
      <scheme val="minor"/>
    </font>
    <font>
      <b/>
      <sz val="10"/>
      <color theme="1"/>
      <name val="Calibri"/>
      <family val="2"/>
      <scheme val="minor"/>
    </font>
    <font>
      <b/>
      <sz val="14"/>
      <color rgb="FFFF0000"/>
      <name val="Calibri"/>
      <family val="2"/>
      <scheme val="minor"/>
    </font>
    <font>
      <sz val="11"/>
      <color theme="1"/>
      <name val="Calibri"/>
      <family val="2"/>
      <scheme val="minor"/>
    </font>
    <font>
      <b/>
      <sz val="11"/>
      <name val="Calibri"/>
      <family val="2"/>
    </font>
    <font>
      <b/>
      <sz val="11"/>
      <color rgb="FFFFFF00"/>
      <name val="Calibri"/>
      <family val="2"/>
      <scheme val="minor"/>
    </font>
    <font>
      <sz val="11"/>
      <color indexed="9"/>
      <name val="Calibri"/>
      <family val="2"/>
    </font>
    <font>
      <sz val="11"/>
      <color theme="0"/>
      <name val="Calibri"/>
      <family val="2"/>
    </font>
    <font>
      <i/>
      <sz val="11"/>
      <color indexed="8"/>
      <name val="Calibri"/>
      <family val="2"/>
    </font>
    <font>
      <sz val="10"/>
      <name val="Calibri"/>
      <family val="2"/>
    </font>
    <font>
      <sz val="11"/>
      <color indexed="8"/>
      <name val="Calibri"/>
      <family val="2"/>
    </font>
    <font>
      <b/>
      <sz val="18"/>
      <color theme="1"/>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6" tint="-0.249977111117893"/>
        <bgColor indexed="64"/>
      </patternFill>
    </fill>
    <fill>
      <patternFill patternType="solid">
        <fgColor theme="3" tint="-0.499984740745262"/>
        <bgColor indexed="64"/>
      </patternFill>
    </fill>
    <fill>
      <patternFill patternType="solid">
        <fgColor theme="0"/>
        <bgColor indexed="64"/>
      </patternFill>
    </fill>
    <fill>
      <patternFill patternType="solid">
        <fgColor theme="1" tint="0.249977111117893"/>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1"/>
        <bgColor indexed="64"/>
      </patternFill>
    </fill>
    <fill>
      <patternFill patternType="solid">
        <fgColor theme="5"/>
        <bgColor indexed="64"/>
      </patternFill>
    </fill>
    <fill>
      <patternFill patternType="solid">
        <fgColor theme="0" tint="-4.9989318521683403E-2"/>
        <bgColor indexed="64"/>
      </patternFill>
    </fill>
    <fill>
      <patternFill patternType="solid">
        <fgColor theme="6"/>
        <bgColor indexed="64"/>
      </patternFill>
    </fill>
    <fill>
      <patternFill patternType="solid">
        <fgColor rgb="FFFF0000"/>
        <bgColor indexed="64"/>
      </patternFill>
    </fill>
    <fill>
      <patternFill patternType="solid">
        <fgColor rgb="FF8ED2FC"/>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indexed="8"/>
        <bgColor indexed="64"/>
      </patternFill>
    </fill>
    <fill>
      <patternFill patternType="solid">
        <fgColor rgb="FF92D050"/>
        <bgColor indexed="64"/>
      </patternFill>
    </fill>
    <fill>
      <patternFill patternType="solid">
        <fgColor rgb="FFFFFF00"/>
        <bgColor indexed="64"/>
      </patternFill>
    </fill>
    <fill>
      <patternFill patternType="solid">
        <fgColor rgb="FF0B371A"/>
        <bgColor indexed="64"/>
      </patternFill>
    </fill>
    <fill>
      <patternFill patternType="solid">
        <fgColor indexed="16"/>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rgb="FF00EA6A"/>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auto="1"/>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style="medium">
        <color indexed="64"/>
      </left>
      <right style="thin">
        <color indexed="64"/>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64"/>
      </left>
      <right style="medium">
        <color indexed="64"/>
      </right>
      <top/>
      <bottom/>
      <diagonal/>
    </border>
    <border>
      <left style="thin">
        <color auto="1"/>
      </left>
      <right/>
      <top/>
      <bottom/>
      <diagonal/>
    </border>
    <border>
      <left style="medium">
        <color indexed="64"/>
      </left>
      <right style="thin">
        <color indexed="64"/>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indexed="64"/>
      </left>
      <right style="medium">
        <color indexed="64"/>
      </right>
      <top style="thin">
        <color theme="0" tint="-0.499984740745262"/>
      </top>
      <bottom style="thin">
        <color theme="0" tint="-0.499984740745262"/>
      </bottom>
      <diagonal/>
    </border>
    <border>
      <left style="thin">
        <color auto="1"/>
      </left>
      <right/>
      <top style="thin">
        <color theme="0" tint="-0.499984740745262"/>
      </top>
      <bottom style="thin">
        <color theme="0" tint="-0.499984740745262"/>
      </bottom>
      <diagonal/>
    </border>
    <border>
      <left style="medium">
        <color indexed="64"/>
      </left>
      <right style="medium">
        <color indexed="64"/>
      </right>
      <top style="thin">
        <color theme="0" tint="-0.499984740745262"/>
      </top>
      <bottom style="thin">
        <color theme="0" tint="-0.499984740745262"/>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right/>
      <top style="thin">
        <color indexed="64"/>
      </top>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n">
        <color theme="4" tint="0.39994506668294322"/>
      </right>
      <top style="thin">
        <color theme="4" tint="-0.24994659260841701"/>
      </top>
      <bottom style="thin">
        <color theme="4" tint="0.39994506668294322"/>
      </bottom>
      <diagonal/>
    </border>
    <border>
      <left style="thin">
        <color theme="4" tint="-0.2499465926084170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24994659260841701"/>
      </right>
      <top style="thin">
        <color theme="4" tint="0.39994506668294322"/>
      </top>
      <bottom style="thin">
        <color theme="4" tint="0.39994506668294322"/>
      </bottom>
      <diagonal/>
    </border>
    <border>
      <left style="thin">
        <color theme="4" tint="-0.24994659260841701"/>
      </left>
      <right style="thin">
        <color theme="4" tint="0.39994506668294322"/>
      </right>
      <top style="thin">
        <color theme="4" tint="0.39994506668294322"/>
      </top>
      <bottom style="thin">
        <color theme="4" tint="-0.24994659260841701"/>
      </bottom>
      <diagonal/>
    </border>
    <border>
      <left style="thin">
        <color theme="4" tint="0.39994506668294322"/>
      </left>
      <right style="thin">
        <color theme="4" tint="0.39994506668294322"/>
      </right>
      <top style="thin">
        <color theme="4" tint="0.39994506668294322"/>
      </top>
      <bottom style="thin">
        <color theme="4" tint="-0.24994659260841701"/>
      </bottom>
      <diagonal/>
    </border>
    <border>
      <left style="thin">
        <color theme="4" tint="0.39994506668294322"/>
      </left>
      <right style="thin">
        <color theme="4" tint="-0.24994659260841701"/>
      </right>
      <top style="thin">
        <color theme="4" tint="0.39994506668294322"/>
      </top>
      <bottom style="thin">
        <color theme="4" tint="-0.24994659260841701"/>
      </bottom>
      <diagonal/>
    </border>
    <border>
      <left style="thin">
        <color theme="2" tint="-0.749961851863155"/>
      </left>
      <right style="thin">
        <color theme="2" tint="-0.749961851863155"/>
      </right>
      <top/>
      <bottom style="thin">
        <color theme="2" tint="-0.749961851863155"/>
      </bottom>
      <diagonal/>
    </border>
    <border>
      <left style="thin">
        <color indexed="64"/>
      </left>
      <right style="thin">
        <color indexed="64"/>
      </right>
      <top style="medium">
        <color indexed="64"/>
      </top>
      <bottom/>
      <diagonal/>
    </border>
    <border>
      <left style="thin">
        <color auto="1"/>
      </left>
      <right/>
      <top style="medium">
        <color indexed="64"/>
      </top>
      <bottom/>
      <diagonal/>
    </border>
    <border>
      <left style="medium">
        <color indexed="64"/>
      </left>
      <right/>
      <top style="thin">
        <color indexed="64"/>
      </top>
      <bottom/>
      <diagonal/>
    </border>
    <border>
      <left style="medium">
        <color indexed="64"/>
      </left>
      <right style="medium">
        <color indexed="64"/>
      </right>
      <top/>
      <bottom/>
      <diagonal/>
    </border>
    <border>
      <left style="thin">
        <color auto="1"/>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theme="0" tint="-0.499984740745262"/>
      </top>
      <bottom style="thin">
        <color auto="1"/>
      </bottom>
      <diagonal/>
    </border>
    <border>
      <left style="thin">
        <color auto="1"/>
      </left>
      <right style="thin">
        <color auto="1"/>
      </right>
      <top style="thin">
        <color theme="0" tint="-0.499984740745262"/>
      </top>
      <bottom style="thin">
        <color auto="1"/>
      </bottom>
      <diagonal/>
    </border>
    <border>
      <left style="medium">
        <color indexed="64"/>
      </left>
      <right style="medium">
        <color indexed="64"/>
      </right>
      <top style="thin">
        <color theme="0" tint="-0.499984740745262"/>
      </top>
      <bottom style="thin">
        <color auto="1"/>
      </bottom>
      <diagonal/>
    </border>
    <border>
      <left style="thin">
        <color auto="1"/>
      </left>
      <right/>
      <top style="thin">
        <color theme="0" tint="-0.499984740745262"/>
      </top>
      <bottom style="thin">
        <color auto="1"/>
      </bottom>
      <diagonal/>
    </border>
    <border>
      <left style="medium">
        <color indexed="64"/>
      </left>
      <right/>
      <top/>
      <bottom/>
      <diagonal/>
    </border>
    <border>
      <left/>
      <right/>
      <top style="medium">
        <color indexed="64"/>
      </top>
      <bottom/>
      <diagonal/>
    </border>
    <border>
      <left/>
      <right style="medium">
        <color indexed="64"/>
      </right>
      <top/>
      <bottom/>
      <diagonal/>
    </border>
    <border>
      <left style="medium">
        <color indexed="64"/>
      </left>
      <right style="thin">
        <color theme="2" tint="-0.749961851863155"/>
      </right>
      <top style="medium">
        <color indexed="64"/>
      </top>
      <bottom style="medium">
        <color indexed="64"/>
      </bottom>
      <diagonal/>
    </border>
    <border>
      <left style="thin">
        <color theme="2" tint="-0.749961851863155"/>
      </left>
      <right style="thin">
        <color theme="2" tint="-0.749961851863155"/>
      </right>
      <top style="medium">
        <color indexed="64"/>
      </top>
      <bottom style="medium">
        <color indexed="64"/>
      </bottom>
      <diagonal/>
    </border>
    <border>
      <left style="thin">
        <color theme="2" tint="-0.749961851863155"/>
      </left>
      <right style="medium">
        <color indexed="64"/>
      </right>
      <top style="medium">
        <color indexed="64"/>
      </top>
      <bottom style="medium">
        <color indexed="64"/>
      </bottom>
      <diagonal/>
    </border>
    <border>
      <left style="thin">
        <color theme="2" tint="-0.749961851863155"/>
      </left>
      <right/>
      <top/>
      <bottom style="thin">
        <color theme="2" tint="-0.749961851863155"/>
      </bottom>
      <diagonal/>
    </border>
    <border>
      <left/>
      <right/>
      <top/>
      <bottom style="thin">
        <color theme="2" tint="-0.74996185186315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2" tint="-0.749961851863155"/>
      </right>
      <top/>
      <bottom style="thin">
        <color theme="2" tint="-0.749961851863155"/>
      </bottom>
      <diagonal/>
    </border>
    <border>
      <left/>
      <right style="medium">
        <color indexed="64"/>
      </right>
      <top/>
      <bottom style="thin">
        <color theme="2" tint="-0.749961851863155"/>
      </bottom>
      <diagonal/>
    </border>
    <border>
      <left style="medium">
        <color indexed="64"/>
      </left>
      <right style="thin">
        <color theme="2" tint="-0.749961851863155"/>
      </right>
      <top style="thin">
        <color theme="2" tint="-0.749961851863155"/>
      </top>
      <bottom style="thin">
        <color theme="2" tint="-0.749961851863155"/>
      </bottom>
      <diagonal/>
    </border>
    <border>
      <left style="thin">
        <color theme="2" tint="-0.749961851863155"/>
      </left>
      <right style="medium">
        <color indexed="64"/>
      </right>
      <top style="thin">
        <color theme="2" tint="-0.749961851863155"/>
      </top>
      <bottom style="thin">
        <color theme="2" tint="-0.749961851863155"/>
      </bottom>
      <diagonal/>
    </border>
    <border>
      <left style="medium">
        <color indexed="64"/>
      </left>
      <right style="thin">
        <color theme="2" tint="-0.749961851863155"/>
      </right>
      <top style="thin">
        <color theme="2" tint="-0.749961851863155"/>
      </top>
      <bottom style="medium">
        <color indexed="64"/>
      </bottom>
      <diagonal/>
    </border>
    <border>
      <left style="thin">
        <color theme="2" tint="-0.749961851863155"/>
      </left>
      <right style="thin">
        <color theme="2" tint="-0.749961851863155"/>
      </right>
      <top style="thin">
        <color theme="2" tint="-0.749961851863155"/>
      </top>
      <bottom style="medium">
        <color indexed="64"/>
      </bottom>
      <diagonal/>
    </border>
    <border>
      <left style="thin">
        <color theme="2" tint="-0.749961851863155"/>
      </left>
      <right style="medium">
        <color indexed="64"/>
      </right>
      <top/>
      <bottom style="thin">
        <color theme="2" tint="-0.749961851863155"/>
      </bottom>
      <diagonal/>
    </border>
    <border>
      <left style="thin">
        <color indexed="64"/>
      </left>
      <right style="medium">
        <color indexed="64"/>
      </right>
      <top style="thin">
        <color theme="0" tint="-0.499984740745262"/>
      </top>
      <bottom style="thin">
        <color auto="1"/>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2" tint="-0.749961851863155"/>
      </left>
      <right/>
      <top style="thin">
        <color theme="2" tint="-0.749961851863155"/>
      </top>
      <bottom style="medium">
        <color indexed="64"/>
      </bottom>
      <diagonal/>
    </border>
    <border>
      <left/>
      <right/>
      <top style="thin">
        <color theme="2" tint="-0.749961851863155"/>
      </top>
      <bottom style="medium">
        <color indexed="64"/>
      </bottom>
      <diagonal/>
    </border>
    <border>
      <left/>
      <right style="medium">
        <color indexed="64"/>
      </right>
      <top style="thin">
        <color theme="2" tint="-0.749961851863155"/>
      </top>
      <bottom style="medium">
        <color indexed="64"/>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thin">
        <color theme="4" tint="-0.24994659260841701"/>
      </left>
      <right/>
      <top style="thin">
        <color theme="4" tint="-0.24994659260841701"/>
      </top>
      <bottom style="medium">
        <color indexed="64"/>
      </bottom>
      <diagonal/>
    </border>
    <border>
      <left/>
      <right/>
      <top style="thin">
        <color theme="4" tint="-0.24994659260841701"/>
      </top>
      <bottom style="medium">
        <color indexed="64"/>
      </bottom>
      <diagonal/>
    </border>
    <border>
      <left/>
      <right style="thin">
        <color theme="2" tint="-0.749961851863155"/>
      </right>
      <top style="thin">
        <color theme="4" tint="-0.24994659260841701"/>
      </top>
      <bottom style="medium">
        <color indexed="64"/>
      </bottom>
      <diagonal/>
    </border>
    <border>
      <left/>
      <right style="thin">
        <color theme="4" tint="-0.24994659260841701"/>
      </right>
      <top style="thin">
        <color theme="2" tint="-0.749961851863155"/>
      </top>
      <bottom style="medium">
        <color indexed="64"/>
      </bottom>
      <diagonal/>
    </border>
    <border>
      <left/>
      <right style="thin">
        <color theme="4" tint="-0.24994659260841701"/>
      </right>
      <top style="thin">
        <color theme="4" tint="-0.24994659260841701"/>
      </top>
      <bottom style="medium">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bottom style="thick">
        <color indexed="64"/>
      </bottom>
      <diagonal/>
    </border>
    <border>
      <left/>
      <right style="thin">
        <color indexed="64"/>
      </right>
      <top/>
      <bottom/>
      <diagonal/>
    </border>
    <border>
      <left style="thin">
        <color indexed="64"/>
      </left>
      <right style="thick">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auto="1"/>
      </left>
      <right style="thin">
        <color auto="1"/>
      </right>
      <top/>
      <bottom style="thin">
        <color theme="0" tint="-0.499984740745262"/>
      </bottom>
      <diagonal/>
    </border>
    <border>
      <left style="medium">
        <color indexed="64"/>
      </left>
      <right style="thin">
        <color indexed="64"/>
      </right>
      <top style="medium">
        <color indexed="64"/>
      </top>
      <bottom/>
      <diagonal/>
    </border>
    <border>
      <left/>
      <right/>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s>
  <cellStyleXfs count="4">
    <xf numFmtId="0" fontId="0" fillId="0" borderId="0"/>
    <xf numFmtId="164" fontId="11" fillId="0" borderId="0" applyFont="0" applyFill="0" applyBorder="0" applyAlignment="0" applyProtection="0"/>
    <xf numFmtId="0" fontId="19" fillId="0" borderId="0"/>
    <xf numFmtId="0" fontId="92" fillId="0" borderId="0"/>
  </cellStyleXfs>
  <cellXfs count="597">
    <xf numFmtId="0" fontId="0" fillId="0" borderId="0" xfId="0"/>
    <xf numFmtId="0" fontId="1" fillId="0" borderId="0" xfId="0" applyFont="1" applyAlignment="1" applyProtection="1">
      <alignment horizontal="center" vertical="center"/>
      <protection hidden="1"/>
    </xf>
    <xf numFmtId="0" fontId="1" fillId="0" borderId="0" xfId="0" applyFont="1" applyAlignment="1" applyProtection="1">
      <alignment vertical="center"/>
      <protection hidden="1"/>
    </xf>
    <xf numFmtId="0" fontId="14" fillId="0" borderId="0" xfId="0" applyFont="1" applyAlignment="1" applyProtection="1">
      <alignment vertical="center"/>
      <protection hidden="1"/>
    </xf>
    <xf numFmtId="0" fontId="3" fillId="0" borderId="0" xfId="0" applyFont="1" applyAlignment="1" applyProtection="1">
      <alignment horizontal="center" vertical="center"/>
      <protection hidden="1"/>
    </xf>
    <xf numFmtId="0" fontId="3" fillId="0" borderId="0" xfId="0" applyFont="1" applyAlignment="1" applyProtection="1">
      <alignment vertical="center"/>
      <protection hidden="1"/>
    </xf>
    <xf numFmtId="0" fontId="4" fillId="0" borderId="34" xfId="0" applyFont="1" applyBorder="1" applyAlignment="1" applyProtection="1">
      <alignment horizontal="center" vertical="center"/>
      <protection locked="0"/>
    </xf>
    <xf numFmtId="0" fontId="17" fillId="0" borderId="1" xfId="0" quotePrefix="1" applyFont="1" applyBorder="1" applyAlignment="1" applyProtection="1">
      <alignment horizontal="center" vertical="center"/>
      <protection hidden="1"/>
    </xf>
    <xf numFmtId="0" fontId="17" fillId="0" borderId="0" xfId="0" quotePrefix="1" applyFont="1" applyAlignment="1" applyProtection="1">
      <alignment horizontal="center" vertical="center"/>
      <protection hidden="1"/>
    </xf>
    <xf numFmtId="0" fontId="1" fillId="0" borderId="1" xfId="0" applyFont="1" applyBorder="1" applyAlignment="1" applyProtection="1">
      <alignment vertical="center"/>
      <protection hidden="1"/>
    </xf>
    <xf numFmtId="0" fontId="17" fillId="0" borderId="1" xfId="0" applyFont="1" applyBorder="1" applyAlignment="1" applyProtection="1">
      <alignment horizontal="center" vertical="center"/>
      <protection hidden="1"/>
    </xf>
    <xf numFmtId="0" fontId="17" fillId="0" borderId="0" xfId="0" applyFont="1" applyAlignment="1" applyProtection="1">
      <alignment horizontal="center" vertical="center"/>
      <protection hidden="1"/>
    </xf>
    <xf numFmtId="0" fontId="1" fillId="0" borderId="0" xfId="0" applyFont="1" applyAlignment="1" applyProtection="1">
      <alignment vertical="top" wrapText="1"/>
      <protection hidden="1"/>
    </xf>
    <xf numFmtId="0" fontId="26" fillId="0" borderId="0" xfId="0" applyFont="1" applyAlignment="1" applyProtection="1">
      <alignment vertical="center"/>
      <protection hidden="1"/>
    </xf>
    <xf numFmtId="0" fontId="12" fillId="0" borderId="0" xfId="0" applyFont="1" applyAlignment="1" applyProtection="1">
      <alignment vertical="center"/>
      <protection hidden="1"/>
    </xf>
    <xf numFmtId="0" fontId="0" fillId="0" borderId="0" xfId="0" applyAlignment="1" applyProtection="1">
      <alignment vertical="center"/>
      <protection hidden="1"/>
    </xf>
    <xf numFmtId="0" fontId="25" fillId="3" borderId="0" xfId="0" applyFont="1" applyFill="1" applyAlignment="1" applyProtection="1">
      <alignment horizontal="center" vertical="center"/>
      <protection hidden="1"/>
    </xf>
    <xf numFmtId="0" fontId="1" fillId="3" borderId="0" xfId="0" applyFont="1" applyFill="1" applyAlignment="1" applyProtection="1">
      <alignment vertical="center"/>
      <protection hidden="1"/>
    </xf>
    <xf numFmtId="0" fontId="14" fillId="3" borderId="0" xfId="0" applyFont="1" applyFill="1" applyAlignment="1" applyProtection="1">
      <alignment vertical="center"/>
      <protection hidden="1"/>
    </xf>
    <xf numFmtId="0" fontId="23" fillId="0" borderId="0" xfId="0" applyFont="1" applyAlignment="1" applyProtection="1">
      <alignment vertical="center"/>
      <protection hidden="1"/>
    </xf>
    <xf numFmtId="0" fontId="26" fillId="10" borderId="21" xfId="0" applyFont="1" applyFill="1" applyBorder="1" applyAlignment="1" applyProtection="1">
      <alignment horizontal="center" vertical="center"/>
      <protection hidden="1"/>
    </xf>
    <xf numFmtId="0" fontId="26" fillId="10" borderId="26" xfId="0" applyFont="1" applyFill="1" applyBorder="1" applyAlignment="1" applyProtection="1">
      <alignment horizontal="center" vertical="center"/>
      <protection hidden="1"/>
    </xf>
    <xf numFmtId="0" fontId="28" fillId="10" borderId="27" xfId="0" applyFont="1" applyFill="1" applyBorder="1" applyAlignment="1" applyProtection="1">
      <alignment horizontal="center" vertical="center" shrinkToFit="1"/>
      <protection locked="0"/>
    </xf>
    <xf numFmtId="0" fontId="28" fillId="10" borderId="27" xfId="0" applyFont="1" applyFill="1" applyBorder="1" applyAlignment="1" applyProtection="1">
      <alignment vertical="center" shrinkToFit="1"/>
      <protection locked="0"/>
    </xf>
    <xf numFmtId="0" fontId="28" fillId="10" borderId="29" xfId="0" applyFont="1" applyFill="1" applyBorder="1" applyAlignment="1" applyProtection="1">
      <alignment horizontal="center" vertical="center" shrinkToFit="1"/>
      <protection locked="0"/>
    </xf>
    <xf numFmtId="0" fontId="4" fillId="10" borderId="16" xfId="0" applyFont="1" applyFill="1" applyBorder="1" applyAlignment="1" applyProtection="1">
      <alignment horizontal="center" vertical="center"/>
      <protection locked="0"/>
    </xf>
    <xf numFmtId="0" fontId="1" fillId="12" borderId="26" xfId="0" applyFont="1" applyFill="1" applyBorder="1" applyAlignment="1" applyProtection="1">
      <alignment horizontal="center" vertical="center"/>
      <protection hidden="1"/>
    </xf>
    <xf numFmtId="0" fontId="1" fillId="15" borderId="0" xfId="0" applyFont="1" applyFill="1" applyAlignment="1" applyProtection="1">
      <alignment vertical="center"/>
      <protection hidden="1"/>
    </xf>
    <xf numFmtId="0" fontId="1" fillId="15" borderId="0" xfId="0" applyFont="1" applyFill="1" applyAlignment="1" applyProtection="1">
      <alignment horizontal="center" vertical="center"/>
      <protection hidden="1"/>
    </xf>
    <xf numFmtId="0" fontId="8" fillId="15" borderId="0" xfId="0" applyFont="1" applyFill="1" applyAlignment="1" applyProtection="1">
      <alignment horizontal="center" vertical="center"/>
      <protection hidden="1"/>
    </xf>
    <xf numFmtId="0" fontId="15" fillId="15" borderId="0" xfId="0" applyFont="1" applyFill="1" applyAlignment="1" applyProtection="1">
      <alignment vertical="center"/>
      <protection hidden="1"/>
    </xf>
    <xf numFmtId="0" fontId="3" fillId="15" borderId="0" xfId="0" applyFont="1" applyFill="1" applyAlignment="1" applyProtection="1">
      <alignment vertical="center"/>
      <protection hidden="1"/>
    </xf>
    <xf numFmtId="0" fontId="16" fillId="15" borderId="0" xfId="0" applyFont="1" applyFill="1" applyAlignment="1" applyProtection="1">
      <alignment vertical="center"/>
      <protection hidden="1"/>
    </xf>
    <xf numFmtId="0" fontId="3" fillId="15" borderId="0" xfId="0" applyFont="1" applyFill="1" applyAlignment="1" applyProtection="1">
      <alignment horizontal="left" vertical="center" indent="1"/>
      <protection hidden="1"/>
    </xf>
    <xf numFmtId="0" fontId="1" fillId="15" borderId="0" xfId="0" applyFont="1" applyFill="1" applyAlignment="1" applyProtection="1">
      <alignment vertical="top"/>
      <protection hidden="1"/>
    </xf>
    <xf numFmtId="0" fontId="1" fillId="15" borderId="0" xfId="0" applyFont="1" applyFill="1" applyAlignment="1" applyProtection="1">
      <alignment vertical="top" wrapText="1"/>
      <protection hidden="1"/>
    </xf>
    <xf numFmtId="0" fontId="3" fillId="0" borderId="50" xfId="0" quotePrefix="1" applyFont="1" applyBorder="1" applyAlignment="1" applyProtection="1">
      <alignment horizontal="center" vertical="center"/>
      <protection hidden="1"/>
    </xf>
    <xf numFmtId="0" fontId="1" fillId="18" borderId="0" xfId="0" applyFont="1" applyFill="1" applyAlignment="1" applyProtection="1">
      <alignment horizontal="center" vertical="center"/>
      <protection hidden="1"/>
    </xf>
    <xf numFmtId="0" fontId="1" fillId="18" borderId="0" xfId="0" applyFont="1" applyFill="1" applyAlignment="1" applyProtection="1">
      <alignment vertical="center"/>
      <protection hidden="1"/>
    </xf>
    <xf numFmtId="0" fontId="9" fillId="18" borderId="13" xfId="0" applyFont="1" applyFill="1" applyBorder="1" applyAlignment="1" applyProtection="1">
      <alignment horizontal="center" vertical="center"/>
      <protection hidden="1"/>
    </xf>
    <xf numFmtId="0" fontId="9" fillId="18" borderId="14" xfId="0" applyFont="1" applyFill="1" applyBorder="1" applyAlignment="1" applyProtection="1">
      <alignment horizontal="center" vertical="center"/>
      <protection hidden="1"/>
    </xf>
    <xf numFmtId="0" fontId="9" fillId="18" borderId="15" xfId="0" applyFont="1" applyFill="1" applyBorder="1" applyAlignment="1" applyProtection="1">
      <alignment horizontal="center" vertical="center"/>
      <protection hidden="1"/>
    </xf>
    <xf numFmtId="0" fontId="8" fillId="18" borderId="0" xfId="0" applyFont="1" applyFill="1" applyAlignment="1" applyProtection="1">
      <alignment horizontal="center" vertical="center" wrapText="1"/>
      <protection hidden="1"/>
    </xf>
    <xf numFmtId="0" fontId="1" fillId="17" borderId="0" xfId="0" applyFont="1" applyFill="1" applyAlignment="1" applyProtection="1">
      <alignment vertical="center"/>
      <protection hidden="1"/>
    </xf>
    <xf numFmtId="0" fontId="1" fillId="17" borderId="0" xfId="0" applyFont="1" applyFill="1" applyAlignment="1" applyProtection="1">
      <alignment horizontal="center" vertical="center"/>
      <protection hidden="1"/>
    </xf>
    <xf numFmtId="0" fontId="9" fillId="17" borderId="4" xfId="0" applyFont="1" applyFill="1" applyBorder="1" applyAlignment="1" applyProtection="1">
      <alignment horizontal="center" vertical="center"/>
      <protection hidden="1"/>
    </xf>
    <xf numFmtId="0" fontId="9" fillId="17" borderId="1" xfId="0" applyFont="1" applyFill="1" applyBorder="1" applyAlignment="1" applyProtection="1">
      <alignment horizontal="center" vertical="center"/>
      <protection hidden="1"/>
    </xf>
    <xf numFmtId="0" fontId="9" fillId="17" borderId="5" xfId="0" applyFont="1" applyFill="1" applyBorder="1" applyAlignment="1" applyProtection="1">
      <alignment horizontal="center" vertical="center"/>
      <protection hidden="1"/>
    </xf>
    <xf numFmtId="0" fontId="8" fillId="17" borderId="0" xfId="0" applyFont="1" applyFill="1" applyAlignment="1" applyProtection="1">
      <alignment horizontal="center" vertical="center" wrapText="1"/>
      <protection hidden="1"/>
    </xf>
    <xf numFmtId="0" fontId="34" fillId="13" borderId="20" xfId="0" applyFont="1" applyFill="1" applyBorder="1" applyAlignment="1" applyProtection="1">
      <alignment horizontal="center" vertical="center"/>
      <protection hidden="1"/>
    </xf>
    <xf numFmtId="0" fontId="1" fillId="12" borderId="21" xfId="0" applyFont="1" applyFill="1" applyBorder="1" applyAlignment="1" applyProtection="1">
      <alignment horizontal="center" vertical="center"/>
      <protection hidden="1"/>
    </xf>
    <xf numFmtId="0" fontId="6" fillId="12" borderId="22" xfId="0" applyFont="1" applyFill="1" applyBorder="1" applyAlignment="1" applyProtection="1">
      <alignment horizontal="center" vertical="center"/>
      <protection hidden="1"/>
    </xf>
    <xf numFmtId="0" fontId="6" fillId="12" borderId="6" xfId="0" applyFont="1" applyFill="1" applyBorder="1" applyAlignment="1" applyProtection="1">
      <alignment horizontal="center" vertical="center"/>
      <protection hidden="1"/>
    </xf>
    <xf numFmtId="0" fontId="6" fillId="12" borderId="27" xfId="0" applyFont="1" applyFill="1" applyBorder="1" applyAlignment="1" applyProtection="1">
      <alignment horizontal="center" vertical="center"/>
      <protection hidden="1"/>
    </xf>
    <xf numFmtId="0" fontId="6" fillId="12" borderId="28" xfId="0" applyFont="1" applyFill="1" applyBorder="1" applyAlignment="1" applyProtection="1">
      <alignment horizontal="center" vertical="center"/>
      <protection hidden="1"/>
    </xf>
    <xf numFmtId="0" fontId="21" fillId="18" borderId="0" xfId="0" applyFont="1" applyFill="1" applyAlignment="1" applyProtection="1">
      <alignment horizontal="center" vertical="center"/>
      <protection hidden="1"/>
    </xf>
    <xf numFmtId="0" fontId="21" fillId="18" borderId="0" xfId="0" applyFont="1" applyFill="1" applyAlignment="1" applyProtection="1">
      <alignment vertical="center"/>
      <protection hidden="1"/>
    </xf>
    <xf numFmtId="0" fontId="21" fillId="17" borderId="0" xfId="0" applyFont="1" applyFill="1" applyAlignment="1" applyProtection="1">
      <alignment horizontal="center" vertical="center"/>
      <protection hidden="1"/>
    </xf>
    <xf numFmtId="0" fontId="21" fillId="17" borderId="0" xfId="0" applyFont="1" applyFill="1" applyAlignment="1" applyProtection="1">
      <alignment vertical="center"/>
      <protection hidden="1"/>
    </xf>
    <xf numFmtId="0" fontId="21" fillId="0" borderId="0" xfId="0" applyFont="1" applyAlignment="1" applyProtection="1">
      <alignment vertical="center"/>
      <protection hidden="1"/>
    </xf>
    <xf numFmtId="0" fontId="36" fillId="18" borderId="20" xfId="0" applyFont="1" applyFill="1" applyBorder="1" applyAlignment="1" applyProtection="1">
      <alignment vertical="center"/>
      <protection hidden="1"/>
    </xf>
    <xf numFmtId="0" fontId="37" fillId="17" borderId="20" xfId="0" applyFont="1" applyFill="1" applyBorder="1" applyAlignment="1" applyProtection="1">
      <alignment horizontal="center" vertical="center"/>
      <protection hidden="1"/>
    </xf>
    <xf numFmtId="0" fontId="37" fillId="17" borderId="20" xfId="0" applyFont="1" applyFill="1" applyBorder="1" applyAlignment="1" applyProtection="1">
      <alignment vertical="center"/>
      <protection hidden="1"/>
    </xf>
    <xf numFmtId="0" fontId="37" fillId="13" borderId="20" xfId="0" applyFont="1" applyFill="1" applyBorder="1" applyAlignment="1" applyProtection="1">
      <alignment vertical="center"/>
      <protection hidden="1"/>
    </xf>
    <xf numFmtId="0" fontId="8" fillId="18" borderId="32" xfId="0" applyFont="1" applyFill="1" applyBorder="1" applyAlignment="1" applyProtection="1">
      <alignment horizontal="center" vertical="center"/>
      <protection hidden="1"/>
    </xf>
    <xf numFmtId="0" fontId="4" fillId="10" borderId="49" xfId="0" applyFont="1" applyFill="1" applyBorder="1" applyAlignment="1" applyProtection="1">
      <alignment horizontal="center" vertical="center"/>
      <protection locked="0"/>
    </xf>
    <xf numFmtId="0" fontId="8" fillId="18" borderId="1" xfId="0" applyFont="1" applyFill="1" applyBorder="1" applyAlignment="1" applyProtection="1">
      <alignment horizontal="center" vertical="center"/>
      <protection hidden="1"/>
    </xf>
    <xf numFmtId="0" fontId="4" fillId="10" borderId="14" xfId="0" applyFont="1" applyFill="1" applyBorder="1" applyAlignment="1" applyProtection="1">
      <alignment horizontal="center" vertical="center"/>
      <protection locked="0"/>
    </xf>
    <xf numFmtId="0" fontId="8" fillId="18" borderId="11" xfId="0" applyFont="1" applyFill="1" applyBorder="1" applyAlignment="1" applyProtection="1">
      <alignment horizontal="center" vertical="center"/>
      <protection hidden="1"/>
    </xf>
    <xf numFmtId="0" fontId="10" fillId="18" borderId="17"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7" fillId="0" borderId="0" xfId="0" applyFont="1" applyAlignment="1" applyProtection="1">
      <alignment vertical="center"/>
      <protection hidden="1"/>
    </xf>
    <xf numFmtId="0" fontId="7" fillId="15" borderId="0" xfId="0" applyFont="1" applyFill="1" applyAlignment="1" applyProtection="1">
      <alignment vertical="center" shrinkToFit="1"/>
      <protection hidden="1"/>
    </xf>
    <xf numFmtId="0" fontId="7" fillId="15" borderId="0" xfId="0" applyFont="1" applyFill="1" applyAlignment="1" applyProtection="1">
      <alignment vertical="center"/>
      <protection hidden="1"/>
    </xf>
    <xf numFmtId="0" fontId="20" fillId="15" borderId="0" xfId="0" applyFont="1" applyFill="1" applyAlignment="1" applyProtection="1">
      <alignment horizontal="center" vertical="center"/>
      <protection hidden="1"/>
    </xf>
    <xf numFmtId="0" fontId="8" fillId="16" borderId="51" xfId="0" applyFont="1" applyFill="1" applyBorder="1" applyAlignment="1" applyProtection="1">
      <alignment vertical="center"/>
      <protection hidden="1"/>
    </xf>
    <xf numFmtId="0" fontId="8" fillId="16" borderId="51" xfId="0" applyFont="1" applyFill="1" applyBorder="1" applyAlignment="1" applyProtection="1">
      <alignment horizontal="center" vertical="center"/>
      <protection hidden="1"/>
    </xf>
    <xf numFmtId="0" fontId="1" fillId="16" borderId="51" xfId="0" applyFont="1" applyFill="1" applyBorder="1" applyAlignment="1" applyProtection="1">
      <alignment horizontal="center" vertical="center"/>
      <protection hidden="1"/>
    </xf>
    <xf numFmtId="0" fontId="7" fillId="0" borderId="52" xfId="0" applyFont="1" applyBorder="1" applyAlignment="1" applyProtection="1">
      <alignment horizontal="center" vertical="center"/>
      <protection locked="0"/>
    </xf>
    <xf numFmtId="0" fontId="7" fillId="0" borderId="53"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39" fillId="5" borderId="0" xfId="0" applyFont="1" applyFill="1" applyAlignment="1" applyProtection="1">
      <alignment horizontal="center" vertical="center"/>
      <protection hidden="1"/>
    </xf>
    <xf numFmtId="0" fontId="3" fillId="0" borderId="4" xfId="0" applyFont="1" applyBorder="1" applyAlignment="1" applyProtection="1">
      <alignment horizontal="center" vertical="center"/>
      <protection hidden="1"/>
    </xf>
    <xf numFmtId="0" fontId="3" fillId="0" borderId="5" xfId="0" applyFont="1" applyBorder="1" applyAlignment="1" applyProtection="1">
      <alignment vertical="center"/>
      <protection hidden="1"/>
    </xf>
    <xf numFmtId="0" fontId="3" fillId="0" borderId="13" xfId="0" applyFont="1" applyBorder="1" applyAlignment="1" applyProtection="1">
      <alignment horizontal="center" vertical="center"/>
      <protection hidden="1"/>
    </xf>
    <xf numFmtId="0" fontId="3" fillId="0" borderId="46" xfId="0" applyFont="1" applyBorder="1" applyAlignment="1" applyProtection="1">
      <alignment horizontal="center" vertical="center"/>
      <protection hidden="1"/>
    </xf>
    <xf numFmtId="0" fontId="3" fillId="0" borderId="48" xfId="0" applyFont="1" applyBorder="1" applyAlignment="1" applyProtection="1">
      <alignment vertical="center"/>
      <protection hidden="1"/>
    </xf>
    <xf numFmtId="0" fontId="3" fillId="0" borderId="15" xfId="0" applyFont="1" applyBorder="1" applyAlignment="1" applyProtection="1">
      <alignment vertical="center"/>
      <protection hidden="1"/>
    </xf>
    <xf numFmtId="0" fontId="8" fillId="20" borderId="51" xfId="0" applyFont="1" applyFill="1" applyBorder="1" applyAlignment="1" applyProtection="1">
      <alignment vertical="center"/>
      <protection hidden="1"/>
    </xf>
    <xf numFmtId="0" fontId="8" fillId="20" borderId="51" xfId="0" applyFont="1" applyFill="1" applyBorder="1" applyAlignment="1" applyProtection="1">
      <alignment horizontal="center" vertical="center"/>
      <protection hidden="1"/>
    </xf>
    <xf numFmtId="0" fontId="1" fillId="20" borderId="51" xfId="0" applyFont="1" applyFill="1" applyBorder="1" applyAlignment="1" applyProtection="1">
      <alignment horizontal="center" vertical="center"/>
      <protection hidden="1"/>
    </xf>
    <xf numFmtId="0" fontId="6" fillId="12" borderId="22" xfId="0" applyFont="1" applyFill="1" applyBorder="1" applyAlignment="1" applyProtection="1">
      <alignment vertical="center" wrapText="1"/>
      <protection hidden="1"/>
    </xf>
    <xf numFmtId="0" fontId="6" fillId="12" borderId="27" xfId="0" applyFont="1" applyFill="1" applyBorder="1" applyAlignment="1" applyProtection="1">
      <alignment vertical="center" wrapText="1"/>
      <protection hidden="1"/>
    </xf>
    <xf numFmtId="0" fontId="44" fillId="0" borderId="0" xfId="0" applyFont="1" applyAlignment="1" applyProtection="1">
      <alignment vertical="top"/>
      <protection hidden="1"/>
    </xf>
    <xf numFmtId="0" fontId="45" fillId="0" borderId="0" xfId="0" applyFont="1" applyAlignment="1" applyProtection="1">
      <alignment vertical="top"/>
      <protection hidden="1"/>
    </xf>
    <xf numFmtId="0" fontId="44" fillId="0" borderId="0" xfId="0" applyFont="1" applyAlignment="1" applyProtection="1">
      <alignment horizontal="center" vertical="center"/>
      <protection hidden="1"/>
    </xf>
    <xf numFmtId="0" fontId="45" fillId="0" borderId="0" xfId="0" applyFont="1" applyAlignment="1" applyProtection="1">
      <alignment horizontal="center" vertical="center"/>
      <protection hidden="1"/>
    </xf>
    <xf numFmtId="0" fontId="42" fillId="0" borderId="0" xfId="0" applyFont="1" applyAlignment="1" applyProtection="1">
      <alignment vertical="center"/>
      <protection hidden="1"/>
    </xf>
    <xf numFmtId="0" fontId="42" fillId="0" borderId="0" xfId="0"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2" fillId="0" borderId="0" xfId="0" applyFont="1" applyAlignment="1" applyProtection="1">
      <alignment vertical="top"/>
      <protection hidden="1"/>
    </xf>
    <xf numFmtId="0" fontId="42" fillId="0" borderId="0" xfId="0" applyFont="1" applyAlignment="1" applyProtection="1">
      <alignment horizontal="center" vertical="top"/>
      <protection hidden="1"/>
    </xf>
    <xf numFmtId="0" fontId="30" fillId="0" borderId="0" xfId="0" applyFont="1" applyAlignment="1" applyProtection="1">
      <alignment horizontal="center" vertical="top"/>
      <protection hidden="1"/>
    </xf>
    <xf numFmtId="0" fontId="44" fillId="0" borderId="0" xfId="0" applyFont="1" applyAlignment="1" applyProtection="1">
      <alignment vertical="center"/>
      <protection hidden="1"/>
    </xf>
    <xf numFmtId="0" fontId="26" fillId="0" borderId="0" xfId="0" applyFont="1" applyAlignment="1" applyProtection="1">
      <alignment horizontal="center" vertical="center"/>
      <protection hidden="1"/>
    </xf>
    <xf numFmtId="0" fontId="46" fillId="0" borderId="0" xfId="0" applyFont="1" applyAlignment="1" applyProtection="1">
      <alignment horizontal="center" vertical="center"/>
      <protection hidden="1"/>
    </xf>
    <xf numFmtId="0" fontId="23" fillId="0" borderId="0" xfId="0" applyFont="1" applyAlignment="1" applyProtection="1">
      <alignment horizontal="center" vertical="center"/>
      <protection hidden="1"/>
    </xf>
    <xf numFmtId="0" fontId="24" fillId="0" borderId="0" xfId="0" applyFont="1" applyAlignment="1" applyProtection="1">
      <alignment vertical="center"/>
      <protection hidden="1"/>
    </xf>
    <xf numFmtId="0" fontId="7" fillId="0" borderId="21" xfId="0" applyFont="1" applyBorder="1" applyAlignment="1" applyProtection="1">
      <alignment vertical="center" wrapText="1"/>
      <protection locked="0"/>
    </xf>
    <xf numFmtId="0" fontId="7" fillId="0" borderId="23" xfId="0" applyFont="1" applyBorder="1" applyAlignment="1" applyProtection="1">
      <alignment vertical="center" wrapText="1"/>
      <protection locked="0"/>
    </xf>
    <xf numFmtId="0" fontId="7" fillId="0" borderId="26" xfId="0" applyFont="1" applyBorder="1" applyAlignment="1" applyProtection="1">
      <alignment vertical="center" wrapText="1"/>
      <protection locked="0"/>
    </xf>
    <xf numFmtId="0" fontId="7" fillId="0" borderId="27" xfId="0" applyFont="1" applyBorder="1" applyAlignment="1" applyProtection="1">
      <alignment vertical="center" wrapText="1"/>
      <protection locked="0"/>
    </xf>
    <xf numFmtId="0" fontId="50" fillId="0" borderId="30" xfId="0" applyFont="1" applyBorder="1" applyAlignment="1" applyProtection="1">
      <alignment vertical="center" wrapText="1" shrinkToFit="1"/>
      <protection locked="0"/>
    </xf>
    <xf numFmtId="1" fontId="7" fillId="0" borderId="23" xfId="0" applyNumberFormat="1" applyFont="1" applyBorder="1" applyAlignment="1" applyProtection="1">
      <alignment horizontal="center" vertical="center"/>
      <protection locked="0"/>
    </xf>
    <xf numFmtId="1" fontId="7" fillId="0" borderId="27" xfId="0" applyNumberFormat="1" applyFont="1" applyBorder="1" applyAlignment="1" applyProtection="1">
      <alignment vertical="center"/>
      <protection locked="0"/>
    </xf>
    <xf numFmtId="1" fontId="7" fillId="0" borderId="27" xfId="0" applyNumberFormat="1" applyFont="1" applyBorder="1" applyAlignment="1" applyProtection="1">
      <alignment horizontal="center" vertical="center"/>
      <protection locked="0"/>
    </xf>
    <xf numFmtId="1" fontId="7" fillId="0" borderId="29" xfId="0" applyNumberFormat="1" applyFont="1" applyBorder="1" applyAlignment="1" applyProtection="1">
      <alignment horizontal="center" vertical="center"/>
      <protection locked="0"/>
    </xf>
    <xf numFmtId="1" fontId="2" fillId="6" borderId="27" xfId="0" applyNumberFormat="1" applyFont="1" applyFill="1" applyBorder="1" applyAlignment="1" applyProtection="1">
      <alignment horizontal="center" vertical="center"/>
      <protection locked="0"/>
    </xf>
    <xf numFmtId="1" fontId="2" fillId="6" borderId="29" xfId="0" applyNumberFormat="1" applyFont="1" applyFill="1" applyBorder="1" applyAlignment="1" applyProtection="1">
      <alignment horizontal="center" vertical="center"/>
      <protection locked="0"/>
    </xf>
    <xf numFmtId="0" fontId="1" fillId="0" borderId="2" xfId="0" applyFont="1" applyBorder="1" applyAlignment="1" applyProtection="1">
      <alignment vertical="center"/>
      <protection hidden="1"/>
    </xf>
    <xf numFmtId="0" fontId="40" fillId="17" borderId="0" xfId="0" applyFont="1" applyFill="1" applyAlignment="1" applyProtection="1">
      <alignment horizontal="center" vertical="center" wrapText="1"/>
      <protection hidden="1"/>
    </xf>
    <xf numFmtId="0" fontId="52" fillId="17" borderId="17" xfId="0" applyFont="1" applyFill="1" applyBorder="1" applyAlignment="1" applyProtection="1">
      <alignment horizontal="center" vertical="center" wrapText="1"/>
      <protection hidden="1"/>
    </xf>
    <xf numFmtId="0" fontId="41" fillId="0" borderId="3" xfId="0" applyFont="1" applyBorder="1" applyAlignment="1" applyProtection="1">
      <alignment vertical="center" wrapText="1"/>
      <protection hidden="1"/>
    </xf>
    <xf numFmtId="0" fontId="41" fillId="0" borderId="1" xfId="0" applyFont="1" applyBorder="1" applyAlignment="1" applyProtection="1">
      <alignment vertical="center" wrapText="1"/>
      <protection hidden="1"/>
    </xf>
    <xf numFmtId="0" fontId="51" fillId="13" borderId="20" xfId="0" applyFont="1" applyFill="1" applyBorder="1" applyAlignment="1" applyProtection="1">
      <alignment vertical="center" wrapText="1"/>
      <protection hidden="1"/>
    </xf>
    <xf numFmtId="0" fontId="41" fillId="0" borderId="2" xfId="0" applyFont="1" applyBorder="1" applyAlignment="1" applyProtection="1">
      <alignment vertical="center" wrapText="1"/>
      <protection hidden="1"/>
    </xf>
    <xf numFmtId="0" fontId="3" fillId="11" borderId="0" xfId="0" applyFont="1" applyFill="1" applyAlignment="1" applyProtection="1">
      <alignment vertical="center"/>
      <protection hidden="1"/>
    </xf>
    <xf numFmtId="0" fontId="3" fillId="11" borderId="0" xfId="0" applyFont="1" applyFill="1" applyAlignment="1" applyProtection="1">
      <alignment horizontal="center" vertical="center"/>
      <protection hidden="1"/>
    </xf>
    <xf numFmtId="0" fontId="13" fillId="11" borderId="0" xfId="0" applyFont="1" applyFill="1" applyAlignment="1" applyProtection="1">
      <alignment vertical="center"/>
      <protection hidden="1"/>
    </xf>
    <xf numFmtId="0" fontId="5" fillId="11" borderId="0" xfId="0" applyFont="1" applyFill="1" applyAlignment="1" applyProtection="1">
      <alignment vertical="center"/>
      <protection hidden="1"/>
    </xf>
    <xf numFmtId="0" fontId="18" fillId="11" borderId="0" xfId="0" applyFont="1" applyFill="1" applyAlignment="1" applyProtection="1">
      <alignment vertical="center"/>
      <protection hidden="1"/>
    </xf>
    <xf numFmtId="0" fontId="3" fillId="21" borderId="20" xfId="0" quotePrefix="1" applyFont="1" applyFill="1" applyBorder="1" applyAlignment="1" applyProtection="1">
      <alignment horizontal="center" vertical="center"/>
      <protection hidden="1"/>
    </xf>
    <xf numFmtId="0" fontId="3" fillId="21" borderId="31" xfId="0" quotePrefix="1" applyFont="1" applyFill="1" applyBorder="1" applyAlignment="1" applyProtection="1">
      <alignment horizontal="center" vertical="center"/>
      <protection hidden="1"/>
    </xf>
    <xf numFmtId="0" fontId="48" fillId="0" borderId="0" xfId="0" applyFont="1" applyAlignment="1" applyProtection="1">
      <alignment vertical="center"/>
      <protection hidden="1"/>
    </xf>
    <xf numFmtId="0" fontId="58" fillId="0" borderId="0" xfId="0" applyFont="1" applyAlignment="1" applyProtection="1">
      <alignment vertical="center"/>
      <protection hidden="1"/>
    </xf>
    <xf numFmtId="0" fontId="1" fillId="0" borderId="0" xfId="0" applyFont="1" applyAlignment="1" applyProtection="1">
      <alignment horizontal="right" vertical="center"/>
      <protection hidden="1"/>
    </xf>
    <xf numFmtId="9" fontId="1" fillId="0" borderId="0" xfId="0" applyNumberFormat="1" applyFont="1" applyAlignment="1" applyProtection="1">
      <alignment vertical="center"/>
      <protection hidden="1"/>
    </xf>
    <xf numFmtId="0" fontId="1" fillId="12" borderId="46" xfId="0" applyFont="1" applyFill="1" applyBorder="1" applyAlignment="1" applyProtection="1">
      <alignment horizontal="center" vertical="center"/>
      <protection hidden="1"/>
    </xf>
    <xf numFmtId="0" fontId="6" fillId="12" borderId="47" xfId="0" applyFont="1" applyFill="1" applyBorder="1" applyAlignment="1" applyProtection="1">
      <alignment horizontal="center" vertical="center"/>
      <protection hidden="1"/>
    </xf>
    <xf numFmtId="0" fontId="6" fillId="12" borderId="47" xfId="0" applyFont="1" applyFill="1" applyBorder="1" applyAlignment="1" applyProtection="1">
      <alignment vertical="center" wrapText="1"/>
      <protection hidden="1"/>
    </xf>
    <xf numFmtId="0" fontId="6" fillId="12" borderId="48" xfId="0" applyFont="1" applyFill="1" applyBorder="1" applyAlignment="1" applyProtection="1">
      <alignment horizontal="center" vertical="center"/>
      <protection hidden="1"/>
    </xf>
    <xf numFmtId="0" fontId="7" fillId="0" borderId="47" xfId="0" applyFont="1" applyBorder="1" applyAlignment="1" applyProtection="1">
      <alignment horizontal="center" vertical="center"/>
      <protection locked="0"/>
    </xf>
    <xf numFmtId="0" fontId="7" fillId="0" borderId="64" xfId="0" applyFont="1" applyBorder="1" applyAlignment="1" applyProtection="1">
      <alignment horizontal="center" vertical="center"/>
      <protection locked="0"/>
    </xf>
    <xf numFmtId="0" fontId="1" fillId="6" borderId="46" xfId="0" applyFont="1" applyFill="1" applyBorder="1" applyAlignment="1" applyProtection="1">
      <alignment horizontal="center" vertical="center"/>
      <protection hidden="1"/>
    </xf>
    <xf numFmtId="1" fontId="2" fillId="6" borderId="47" xfId="0" applyNumberFormat="1" applyFont="1" applyFill="1" applyBorder="1" applyAlignment="1" applyProtection="1">
      <alignment horizontal="center" vertical="center"/>
      <protection hidden="1"/>
    </xf>
    <xf numFmtId="1" fontId="2" fillId="6" borderId="64" xfId="0" applyNumberFormat="1" applyFont="1" applyFill="1" applyBorder="1" applyAlignment="1" applyProtection="1">
      <alignment horizontal="center" vertical="center"/>
      <protection hidden="1"/>
    </xf>
    <xf numFmtId="1" fontId="2" fillId="14" borderId="47" xfId="0" applyNumberFormat="1" applyFont="1" applyFill="1" applyBorder="1" applyAlignment="1" applyProtection="1">
      <alignment horizontal="center" vertical="center"/>
      <protection hidden="1"/>
    </xf>
    <xf numFmtId="1" fontId="2" fillId="14" borderId="47" xfId="0" applyNumberFormat="1" applyFont="1" applyFill="1" applyBorder="1" applyAlignment="1" applyProtection="1">
      <alignment vertical="center"/>
      <protection hidden="1"/>
    </xf>
    <xf numFmtId="1" fontId="2" fillId="14" borderId="64" xfId="0" applyNumberFormat="1" applyFont="1" applyFill="1" applyBorder="1" applyAlignment="1" applyProtection="1">
      <alignment horizontal="center" vertical="center"/>
      <protection hidden="1"/>
    </xf>
    <xf numFmtId="0" fontId="1" fillId="12" borderId="4" xfId="0" applyFont="1" applyFill="1" applyBorder="1" applyAlignment="1" applyProtection="1">
      <alignment horizontal="center" vertical="center"/>
      <protection hidden="1"/>
    </xf>
    <xf numFmtId="0" fontId="6" fillId="12" borderId="1" xfId="0" applyFont="1" applyFill="1" applyBorder="1" applyAlignment="1" applyProtection="1">
      <alignment horizontal="center" vertical="center"/>
      <protection hidden="1"/>
    </xf>
    <xf numFmtId="0" fontId="6" fillId="12" borderId="1" xfId="0" applyFont="1" applyFill="1" applyBorder="1" applyAlignment="1" applyProtection="1">
      <alignment vertical="center" wrapText="1"/>
      <protection hidden="1"/>
    </xf>
    <xf numFmtId="0" fontId="6" fillId="12" borderId="5" xfId="0" applyFont="1" applyFill="1" applyBorder="1" applyAlignment="1" applyProtection="1">
      <alignment horizontal="center" vertical="center"/>
      <protection hidden="1"/>
    </xf>
    <xf numFmtId="0" fontId="7" fillId="0" borderId="4"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7" fillId="0" borderId="2" xfId="0" applyFont="1" applyBorder="1" applyAlignment="1" applyProtection="1">
      <alignment horizontal="center" vertical="center"/>
      <protection locked="0"/>
    </xf>
    <xf numFmtId="0" fontId="1" fillId="6" borderId="4" xfId="0" applyFont="1" applyFill="1" applyBorder="1" applyAlignment="1" applyProtection="1">
      <alignment horizontal="center" vertical="center"/>
      <protection hidden="1"/>
    </xf>
    <xf numFmtId="0" fontId="35" fillId="14" borderId="65" xfId="0" applyFont="1" applyFill="1" applyBorder="1" applyAlignment="1" applyProtection="1">
      <alignment vertical="center" wrapText="1" shrinkToFit="1"/>
      <protection hidden="1"/>
    </xf>
    <xf numFmtId="164" fontId="8" fillId="6" borderId="1" xfId="1" applyFont="1" applyFill="1" applyBorder="1" applyAlignment="1" applyProtection="1">
      <alignment horizontal="center" vertical="center"/>
      <protection hidden="1"/>
    </xf>
    <xf numFmtId="164" fontId="8" fillId="14" borderId="1" xfId="1" applyFont="1" applyFill="1" applyBorder="1" applyAlignment="1" applyProtection="1">
      <alignment horizontal="center" vertical="center"/>
      <protection hidden="1"/>
    </xf>
    <xf numFmtId="0" fontId="53" fillId="2" borderId="14" xfId="0" applyFont="1" applyFill="1" applyBorder="1" applyAlignment="1" applyProtection="1">
      <alignment horizontal="center" vertical="center"/>
      <protection hidden="1"/>
    </xf>
    <xf numFmtId="0" fontId="53" fillId="2" borderId="1" xfId="0" applyFont="1" applyFill="1" applyBorder="1" applyAlignment="1" applyProtection="1">
      <alignment horizontal="center" vertical="center"/>
      <protection hidden="1"/>
    </xf>
    <xf numFmtId="0" fontId="19" fillId="21" borderId="11" xfId="0" applyFont="1" applyFill="1" applyBorder="1" applyAlignment="1" applyProtection="1">
      <alignment horizontal="center" vertical="center"/>
      <protection hidden="1"/>
    </xf>
    <xf numFmtId="0" fontId="19" fillId="21" borderId="2" xfId="0" applyFont="1" applyFill="1" applyBorder="1" applyAlignment="1" applyProtection="1">
      <alignment horizontal="center" vertical="center"/>
      <protection hidden="1"/>
    </xf>
    <xf numFmtId="0" fontId="19" fillId="21" borderId="10" xfId="0" applyFont="1" applyFill="1" applyBorder="1" applyAlignment="1" applyProtection="1">
      <alignment horizontal="center" vertical="center"/>
      <protection hidden="1"/>
    </xf>
    <xf numFmtId="0" fontId="19" fillId="21" borderId="3" xfId="0" applyFont="1" applyFill="1" applyBorder="1" applyAlignment="1" applyProtection="1">
      <alignment horizontal="center" vertical="center"/>
      <protection hidden="1"/>
    </xf>
    <xf numFmtId="0" fontId="22" fillId="21" borderId="3" xfId="0" applyFont="1" applyFill="1" applyBorder="1" applyAlignment="1" applyProtection="1">
      <alignment horizontal="center" vertical="center"/>
      <protection hidden="1"/>
    </xf>
    <xf numFmtId="0" fontId="33" fillId="0" borderId="9" xfId="0" applyFont="1" applyBorder="1" applyAlignment="1" applyProtection="1">
      <alignment horizontal="left" vertical="center" indent="1" shrinkToFit="1"/>
      <protection locked="0"/>
    </xf>
    <xf numFmtId="0" fontId="63" fillId="21" borderId="10" xfId="0" applyFont="1" applyFill="1" applyBorder="1" applyAlignment="1" applyProtection="1">
      <alignment horizontal="center" vertical="center"/>
      <protection locked="0"/>
    </xf>
    <xf numFmtId="0" fontId="63" fillId="21" borderId="8" xfId="0" applyFont="1" applyFill="1" applyBorder="1" applyAlignment="1" applyProtection="1">
      <alignment horizontal="left" vertical="center" indent="1"/>
      <protection locked="0"/>
    </xf>
    <xf numFmtId="0" fontId="63" fillId="21" borderId="3" xfId="0" applyFont="1" applyFill="1" applyBorder="1" applyAlignment="1" applyProtection="1">
      <alignment horizontal="center" vertical="center"/>
      <protection locked="0"/>
    </xf>
    <xf numFmtId="0" fontId="63" fillId="21" borderId="1" xfId="0" applyFont="1" applyFill="1" applyBorder="1" applyAlignment="1" applyProtection="1">
      <alignment horizontal="left" vertical="center" indent="1"/>
      <protection locked="0"/>
    </xf>
    <xf numFmtId="0" fontId="62" fillId="21" borderId="8" xfId="0" applyFont="1" applyFill="1" applyBorder="1" applyAlignment="1" applyProtection="1">
      <alignment horizontal="left" vertical="center" indent="1"/>
      <protection locked="0"/>
    </xf>
    <xf numFmtId="0" fontId="62" fillId="21" borderId="1" xfId="0" applyFont="1" applyFill="1" applyBorder="1" applyAlignment="1" applyProtection="1">
      <alignment horizontal="left" vertical="center" indent="1"/>
      <protection locked="0"/>
    </xf>
    <xf numFmtId="0" fontId="6" fillId="18" borderId="20" xfId="0" applyFont="1" applyFill="1" applyBorder="1" applyAlignment="1" applyProtection="1">
      <alignment horizontal="center" vertical="center"/>
      <protection hidden="1"/>
    </xf>
    <xf numFmtId="0" fontId="44" fillId="0" borderId="0" xfId="0" applyFont="1" applyAlignment="1" applyProtection="1">
      <alignment vertical="top" wrapText="1"/>
      <protection hidden="1"/>
    </xf>
    <xf numFmtId="0" fontId="44" fillId="0" borderId="17" xfId="0" applyFont="1" applyBorder="1" applyAlignment="1" applyProtection="1">
      <alignment vertical="top" wrapText="1"/>
      <protection hidden="1"/>
    </xf>
    <xf numFmtId="0" fontId="31" fillId="0" borderId="66" xfId="0" applyFont="1" applyBorder="1" applyAlignment="1" applyProtection="1">
      <alignment horizontal="center" vertical="center"/>
      <protection hidden="1"/>
    </xf>
    <xf numFmtId="0" fontId="31" fillId="0" borderId="67" xfId="0" applyFont="1" applyBorder="1" applyAlignment="1" applyProtection="1">
      <alignment horizontal="center" vertical="center"/>
      <protection hidden="1"/>
    </xf>
    <xf numFmtId="0" fontId="31" fillId="0" borderId="70" xfId="0" applyFont="1" applyBorder="1" applyAlignment="1" applyProtection="1">
      <alignment horizontal="center" vertical="center"/>
      <protection hidden="1"/>
    </xf>
    <xf numFmtId="0" fontId="31" fillId="0" borderId="71" xfId="0" applyFont="1" applyBorder="1" applyAlignment="1" applyProtection="1">
      <alignment horizontal="center" vertical="center"/>
      <protection hidden="1"/>
    </xf>
    <xf numFmtId="0" fontId="65" fillId="0" borderId="67" xfId="0" applyFont="1" applyBorder="1" applyAlignment="1" applyProtection="1">
      <alignment horizontal="left" vertical="center"/>
      <protection hidden="1"/>
    </xf>
    <xf numFmtId="164" fontId="31" fillId="26" borderId="68" xfId="1" applyFont="1" applyFill="1" applyBorder="1" applyAlignment="1" applyProtection="1">
      <alignment horizontal="center" vertical="center"/>
      <protection hidden="1"/>
    </xf>
    <xf numFmtId="164" fontId="31" fillId="12" borderId="68" xfId="1" applyFont="1" applyFill="1" applyBorder="1" applyAlignment="1" applyProtection="1">
      <alignment horizontal="center" vertical="center"/>
      <protection hidden="1"/>
    </xf>
    <xf numFmtId="0" fontId="28" fillId="10" borderId="23" xfId="0" quotePrefix="1" applyFont="1" applyFill="1" applyBorder="1" applyAlignment="1" applyProtection="1">
      <alignment horizontal="center" vertical="center" shrinkToFit="1"/>
      <protection locked="0"/>
    </xf>
    <xf numFmtId="0" fontId="47" fillId="0" borderId="0" xfId="0" applyFont="1" applyAlignment="1" applyProtection="1">
      <alignment horizontal="center" vertical="center"/>
      <protection hidden="1"/>
    </xf>
    <xf numFmtId="0" fontId="65" fillId="0" borderId="71" xfId="0" applyFont="1" applyBorder="1" applyAlignment="1" applyProtection="1">
      <alignment horizontal="left" vertical="center"/>
      <protection hidden="1"/>
    </xf>
    <xf numFmtId="0" fontId="0" fillId="19" borderId="0" xfId="0" applyFill="1"/>
    <xf numFmtId="0" fontId="7" fillId="0" borderId="73" xfId="0" applyFont="1" applyBorder="1" applyAlignment="1" applyProtection="1">
      <alignment vertical="center" wrapText="1"/>
      <protection locked="0"/>
    </xf>
    <xf numFmtId="0" fontId="7" fillId="0" borderId="74" xfId="0" applyFont="1" applyBorder="1" applyAlignment="1" applyProtection="1">
      <alignment vertical="center" wrapText="1"/>
      <protection locked="0"/>
    </xf>
    <xf numFmtId="1" fontId="2" fillId="6" borderId="74" xfId="0" applyNumberFormat="1" applyFont="1" applyFill="1" applyBorder="1" applyAlignment="1" applyProtection="1">
      <alignment horizontal="center" vertical="center"/>
      <protection locked="0"/>
    </xf>
    <xf numFmtId="1" fontId="2" fillId="6" borderId="76" xfId="0" applyNumberFormat="1" applyFont="1" applyFill="1" applyBorder="1" applyAlignment="1" applyProtection="1">
      <alignment horizontal="center" vertical="center"/>
      <protection locked="0"/>
    </xf>
    <xf numFmtId="0" fontId="50" fillId="0" borderId="75" xfId="0" applyFont="1" applyBorder="1" applyAlignment="1" applyProtection="1">
      <alignment vertical="center" wrapText="1" shrinkToFit="1"/>
      <protection locked="0"/>
    </xf>
    <xf numFmtId="1" fontId="7" fillId="0" borderId="74" xfId="0" applyNumberFormat="1" applyFont="1" applyBorder="1" applyAlignment="1" applyProtection="1">
      <alignment horizontal="center" vertical="center"/>
      <protection locked="0"/>
    </xf>
    <xf numFmtId="1" fontId="7" fillId="0" borderId="74" xfId="0" applyNumberFormat="1" applyFont="1" applyBorder="1" applyAlignment="1" applyProtection="1">
      <alignment vertical="center"/>
      <protection locked="0"/>
    </xf>
    <xf numFmtId="1" fontId="7" fillId="0" borderId="76" xfId="0" applyNumberFormat="1" applyFont="1" applyBorder="1" applyAlignment="1" applyProtection="1">
      <alignment horizontal="center" vertical="center"/>
      <protection locked="0"/>
    </xf>
    <xf numFmtId="0" fontId="31" fillId="0" borderId="0" xfId="0" applyFont="1" applyAlignment="1" applyProtection="1">
      <alignment horizontal="center" vertical="center"/>
      <protection hidden="1"/>
    </xf>
    <xf numFmtId="0" fontId="27" fillId="0" borderId="78" xfId="0" applyFont="1" applyBorder="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0" borderId="17" xfId="0" applyFont="1" applyBorder="1" applyAlignment="1" applyProtection="1">
      <alignment horizontal="center" vertical="center"/>
      <protection hidden="1"/>
    </xf>
    <xf numFmtId="0" fontId="8" fillId="19" borderId="21" xfId="0" applyFont="1" applyFill="1" applyBorder="1" applyAlignment="1" applyProtection="1">
      <alignment horizontal="center" vertical="center"/>
      <protection hidden="1"/>
    </xf>
    <xf numFmtId="0" fontId="8" fillId="19" borderId="23" xfId="0" applyFont="1" applyFill="1" applyBorder="1" applyAlignment="1" applyProtection="1">
      <alignment horizontal="center" vertical="center"/>
      <protection hidden="1"/>
    </xf>
    <xf numFmtId="0" fontId="8" fillId="19" borderId="24" xfId="0" applyFont="1" applyFill="1" applyBorder="1" applyAlignment="1" applyProtection="1">
      <alignment horizontal="center" vertical="center"/>
      <protection hidden="1"/>
    </xf>
    <xf numFmtId="0" fontId="9" fillId="19" borderId="21" xfId="0" applyFont="1" applyFill="1" applyBorder="1" applyAlignment="1" applyProtection="1">
      <alignment horizontal="center" vertical="center"/>
      <protection hidden="1"/>
    </xf>
    <xf numFmtId="0" fontId="9" fillId="19" borderId="23" xfId="0" applyFont="1" applyFill="1" applyBorder="1" applyAlignment="1" applyProtection="1">
      <alignment horizontal="center" vertical="center"/>
      <protection hidden="1"/>
    </xf>
    <xf numFmtId="0" fontId="9" fillId="19" borderId="24" xfId="0" applyFont="1" applyFill="1" applyBorder="1" applyAlignment="1" applyProtection="1">
      <alignment horizontal="center" vertical="center"/>
      <protection hidden="1"/>
    </xf>
    <xf numFmtId="0" fontId="4" fillId="19" borderId="77" xfId="0" applyFont="1" applyFill="1" applyBorder="1" applyAlignment="1" applyProtection="1">
      <alignment horizontal="center" vertical="center"/>
      <protection locked="0"/>
    </xf>
    <xf numFmtId="0" fontId="4" fillId="19" borderId="23" xfId="0" applyFont="1" applyFill="1" applyBorder="1" applyAlignment="1" applyProtection="1">
      <alignment horizontal="center" vertical="center"/>
      <protection locked="0"/>
    </xf>
    <xf numFmtId="0" fontId="4" fillId="19" borderId="25" xfId="0" applyFont="1" applyFill="1" applyBorder="1" applyAlignment="1" applyProtection="1">
      <alignment horizontal="center" vertical="center"/>
      <protection locked="0"/>
    </xf>
    <xf numFmtId="0" fontId="8" fillId="19" borderId="77" xfId="0" applyFont="1" applyFill="1" applyBorder="1" applyAlignment="1" applyProtection="1">
      <alignment horizontal="center" vertical="center"/>
      <protection hidden="1"/>
    </xf>
    <xf numFmtId="0" fontId="8" fillId="19" borderId="22" xfId="0" applyFont="1" applyFill="1" applyBorder="1" applyAlignment="1" applyProtection="1">
      <alignment horizontal="center" vertical="center" wrapText="1"/>
      <protection hidden="1"/>
    </xf>
    <xf numFmtId="0" fontId="10" fillId="19" borderId="0" xfId="0" applyFont="1" applyFill="1" applyAlignment="1" applyProtection="1">
      <alignment horizontal="center" vertical="center" wrapText="1"/>
      <protection hidden="1"/>
    </xf>
    <xf numFmtId="0" fontId="10" fillId="19" borderId="0" xfId="0" applyFont="1" applyFill="1" applyAlignment="1" applyProtection="1">
      <alignment horizontal="center" vertical="center"/>
      <protection hidden="1"/>
    </xf>
    <xf numFmtId="0" fontId="8" fillId="19" borderId="63" xfId="0" applyFont="1" applyFill="1" applyBorder="1" applyAlignment="1" applyProtection="1">
      <alignment horizontal="center" vertical="center"/>
      <protection hidden="1"/>
    </xf>
    <xf numFmtId="0" fontId="4" fillId="19" borderId="0" xfId="0" applyFont="1" applyFill="1" applyAlignment="1" applyProtection="1">
      <alignment horizontal="center" vertical="center"/>
      <protection locked="0"/>
    </xf>
    <xf numFmtId="0" fontId="8" fillId="19" borderId="35" xfId="0" applyFont="1" applyFill="1" applyBorder="1" applyAlignment="1" applyProtection="1">
      <alignment horizontal="center" vertical="center"/>
      <protection hidden="1"/>
    </xf>
    <xf numFmtId="0" fontId="1" fillId="19" borderId="0" xfId="0" applyFont="1" applyFill="1" applyAlignment="1" applyProtection="1">
      <alignment vertical="center"/>
      <protection hidden="1"/>
    </xf>
    <xf numFmtId="0" fontId="35" fillId="6" borderId="65" xfId="0" applyFont="1" applyFill="1" applyBorder="1" applyAlignment="1" applyProtection="1">
      <alignment vertical="center" wrapText="1" shrinkToFit="1"/>
      <protection hidden="1"/>
    </xf>
    <xf numFmtId="0" fontId="1" fillId="14" borderId="46" xfId="0" applyFont="1" applyFill="1" applyBorder="1" applyAlignment="1" applyProtection="1">
      <alignment horizontal="center" vertical="center"/>
      <protection hidden="1"/>
    </xf>
    <xf numFmtId="0" fontId="1" fillId="14" borderId="4" xfId="0" applyFont="1" applyFill="1" applyBorder="1" applyAlignment="1" applyProtection="1">
      <alignment horizontal="center" vertical="center"/>
      <protection hidden="1"/>
    </xf>
    <xf numFmtId="0" fontId="12" fillId="18" borderId="0" xfId="0" applyFont="1" applyFill="1" applyAlignment="1" applyProtection="1">
      <alignment horizontal="center" vertical="center"/>
      <protection hidden="1"/>
    </xf>
    <xf numFmtId="0" fontId="67" fillId="18" borderId="0" xfId="0" applyFont="1" applyFill="1" applyAlignment="1" applyProtection="1">
      <alignment horizontal="center" vertical="center"/>
      <protection hidden="1"/>
    </xf>
    <xf numFmtId="0" fontId="67" fillId="17" borderId="0" xfId="0" applyFont="1" applyFill="1" applyAlignment="1" applyProtection="1">
      <alignment horizontal="center" vertical="center"/>
      <protection hidden="1"/>
    </xf>
    <xf numFmtId="0" fontId="21" fillId="24" borderId="0" xfId="0" applyFont="1" applyFill="1" applyAlignment="1" applyProtection="1">
      <alignment horizontal="center" vertical="center"/>
      <protection hidden="1"/>
    </xf>
    <xf numFmtId="0" fontId="21" fillId="24" borderId="0" xfId="0" applyFont="1" applyFill="1" applyAlignment="1" applyProtection="1">
      <alignment vertical="center"/>
      <protection hidden="1"/>
    </xf>
    <xf numFmtId="0" fontId="8" fillId="13" borderId="65" xfId="0" applyFont="1" applyFill="1" applyBorder="1" applyAlignment="1" applyProtection="1">
      <alignment horizontal="center" vertical="center"/>
      <protection hidden="1"/>
    </xf>
    <xf numFmtId="0" fontId="21" fillId="19" borderId="0" xfId="0" applyFont="1" applyFill="1" applyAlignment="1" applyProtection="1">
      <alignment vertical="center"/>
      <protection hidden="1"/>
    </xf>
    <xf numFmtId="0" fontId="1" fillId="19" borderId="0" xfId="0" applyFont="1" applyFill="1" applyAlignment="1" applyProtection="1">
      <alignment horizontal="center" vertical="center"/>
      <protection hidden="1"/>
    </xf>
    <xf numFmtId="0" fontId="21" fillId="19" borderId="0" xfId="0" applyFont="1" applyFill="1" applyAlignment="1" applyProtection="1">
      <alignment horizontal="center" vertical="center"/>
      <protection hidden="1"/>
    </xf>
    <xf numFmtId="0" fontId="19" fillId="0" borderId="90" xfId="0" applyFont="1" applyBorder="1" applyAlignment="1" applyProtection="1">
      <alignment horizontal="center" vertical="center"/>
      <protection hidden="1"/>
    </xf>
    <xf numFmtId="0" fontId="19" fillId="0" borderId="92" xfId="0" applyFont="1" applyBorder="1" applyAlignment="1" applyProtection="1">
      <alignment horizontal="center" vertical="center"/>
      <protection hidden="1"/>
    </xf>
    <xf numFmtId="0" fontId="3" fillId="0" borderId="93" xfId="0" quotePrefix="1" applyFont="1" applyBorder="1" applyAlignment="1" applyProtection="1">
      <alignment horizontal="center" vertical="center"/>
      <protection hidden="1"/>
    </xf>
    <xf numFmtId="0" fontId="14" fillId="19" borderId="0" xfId="0" applyFont="1" applyFill="1" applyAlignment="1" applyProtection="1">
      <alignment vertical="center"/>
      <protection hidden="1"/>
    </xf>
    <xf numFmtId="0" fontId="3" fillId="19" borderId="0" xfId="0" applyFont="1" applyFill="1" applyAlignment="1" applyProtection="1">
      <alignment vertical="center"/>
      <protection hidden="1"/>
    </xf>
    <xf numFmtId="0" fontId="3" fillId="19" borderId="0" xfId="0" applyFont="1" applyFill="1" applyAlignment="1" applyProtection="1">
      <alignment horizontal="center" vertical="center"/>
      <protection hidden="1"/>
    </xf>
    <xf numFmtId="0" fontId="30" fillId="0" borderId="0" xfId="0" applyFont="1" applyAlignment="1" applyProtection="1">
      <alignment horizontal="left" vertical="top" indent="18"/>
      <protection hidden="1"/>
    </xf>
    <xf numFmtId="0" fontId="45" fillId="0" borderId="0" xfId="0" applyFont="1" applyAlignment="1" applyProtection="1">
      <alignment horizontal="left" vertical="top" indent="18"/>
      <protection hidden="1"/>
    </xf>
    <xf numFmtId="0" fontId="42" fillId="19" borderId="0" xfId="0" applyFont="1" applyFill="1" applyAlignment="1" applyProtection="1">
      <alignment vertical="center"/>
      <protection hidden="1"/>
    </xf>
    <xf numFmtId="0" fontId="42" fillId="19" borderId="0" xfId="0" applyFont="1" applyFill="1" applyAlignment="1" applyProtection="1">
      <alignment vertical="top"/>
      <protection hidden="1"/>
    </xf>
    <xf numFmtId="0" fontId="44" fillId="19" borderId="0" xfId="0" applyFont="1" applyFill="1" applyAlignment="1" applyProtection="1">
      <alignment vertical="top"/>
      <protection hidden="1"/>
    </xf>
    <xf numFmtId="0" fontId="44" fillId="19" borderId="0" xfId="0" applyFont="1" applyFill="1" applyAlignment="1" applyProtection="1">
      <alignment vertical="center"/>
      <protection hidden="1"/>
    </xf>
    <xf numFmtId="0" fontId="26" fillId="19" borderId="0" xfId="0" applyFont="1" applyFill="1" applyAlignment="1" applyProtection="1">
      <alignment vertical="center"/>
      <protection hidden="1"/>
    </xf>
    <xf numFmtId="0" fontId="26" fillId="19" borderId="0" xfId="0" applyFont="1" applyFill="1" applyAlignment="1" applyProtection="1">
      <alignment horizontal="center" vertical="center"/>
      <protection hidden="1"/>
    </xf>
    <xf numFmtId="0" fontId="23" fillId="19" borderId="0" xfId="0" applyFont="1" applyFill="1" applyAlignment="1" applyProtection="1">
      <alignment vertical="center"/>
      <protection hidden="1"/>
    </xf>
    <xf numFmtId="0" fontId="27" fillId="19" borderId="72" xfId="0" applyFont="1" applyFill="1" applyBorder="1" applyAlignment="1" applyProtection="1">
      <alignment horizontal="center" vertical="center" wrapText="1"/>
      <protection hidden="1"/>
    </xf>
    <xf numFmtId="0" fontId="27" fillId="19" borderId="72" xfId="0" applyFont="1" applyFill="1" applyBorder="1" applyAlignment="1" applyProtection="1">
      <alignment horizontal="center" vertical="center"/>
      <protection hidden="1"/>
    </xf>
    <xf numFmtId="0" fontId="31" fillId="0" borderId="47" xfId="0" applyFont="1" applyBorder="1" applyAlignment="1" applyProtection="1">
      <alignment horizontal="center" vertical="center"/>
      <protection hidden="1"/>
    </xf>
    <xf numFmtId="0" fontId="31" fillId="0" borderId="47" xfId="0" applyFont="1" applyBorder="1" applyAlignment="1" applyProtection="1">
      <alignment vertical="center"/>
      <protection hidden="1"/>
    </xf>
    <xf numFmtId="0" fontId="31" fillId="0" borderId="1" xfId="0" applyFont="1" applyBorder="1" applyAlignment="1" applyProtection="1">
      <alignment horizontal="center" vertical="center"/>
      <protection hidden="1"/>
    </xf>
    <xf numFmtId="0" fontId="31" fillId="0" borderId="1" xfId="0" applyFont="1" applyBorder="1" applyAlignment="1" applyProtection="1">
      <alignment vertical="center"/>
      <protection hidden="1"/>
    </xf>
    <xf numFmtId="0" fontId="42" fillId="19" borderId="0" xfId="0" applyFont="1" applyFill="1" applyAlignment="1" applyProtection="1">
      <alignment horizontal="center" vertical="center"/>
      <protection hidden="1"/>
    </xf>
    <xf numFmtId="0" fontId="27" fillId="23" borderId="72" xfId="0" applyFont="1" applyFill="1" applyBorder="1" applyAlignment="1" applyProtection="1">
      <alignment horizontal="center" vertical="center" wrapText="1"/>
      <protection hidden="1"/>
    </xf>
    <xf numFmtId="0" fontId="1" fillId="23" borderId="0" xfId="0" applyFont="1" applyFill="1" applyAlignment="1" applyProtection="1">
      <alignment vertical="center"/>
      <protection hidden="1"/>
    </xf>
    <xf numFmtId="0" fontId="8" fillId="19" borderId="22" xfId="0" applyFont="1" applyFill="1" applyBorder="1" applyAlignment="1" applyProtection="1">
      <alignment horizontal="center" vertical="center"/>
      <protection hidden="1"/>
    </xf>
    <xf numFmtId="0" fontId="12" fillId="19" borderId="77" xfId="0" applyFont="1" applyFill="1" applyBorder="1" applyAlignment="1" applyProtection="1">
      <alignment horizontal="center" vertical="center"/>
      <protection hidden="1"/>
    </xf>
    <xf numFmtId="0" fontId="12" fillId="19" borderId="25" xfId="0" applyFont="1" applyFill="1" applyBorder="1" applyAlignment="1" applyProtection="1">
      <alignment horizontal="center" vertical="center"/>
      <protection hidden="1"/>
    </xf>
    <xf numFmtId="0" fontId="40" fillId="19" borderId="63" xfId="0" applyFont="1" applyFill="1" applyBorder="1" applyAlignment="1" applyProtection="1">
      <alignment horizontal="center" vertical="center" wrapText="1"/>
      <protection hidden="1"/>
    </xf>
    <xf numFmtId="0" fontId="52" fillId="19" borderId="0" xfId="0" applyFont="1" applyFill="1" applyAlignment="1" applyProtection="1">
      <alignment horizontal="center" vertical="center" wrapText="1"/>
      <protection hidden="1"/>
    </xf>
    <xf numFmtId="0" fontId="25" fillId="19" borderId="0" xfId="0" applyFont="1" applyFill="1" applyAlignment="1" applyProtection="1">
      <alignment horizontal="center" vertical="center"/>
      <protection hidden="1"/>
    </xf>
    <xf numFmtId="0" fontId="13" fillId="19" borderId="31" xfId="0" applyFont="1" applyFill="1" applyBorder="1" applyAlignment="1" applyProtection="1">
      <alignment vertical="center"/>
      <protection hidden="1"/>
    </xf>
    <xf numFmtId="0" fontId="13" fillId="19" borderId="3" xfId="0" applyFont="1" applyFill="1" applyBorder="1" applyAlignment="1" applyProtection="1">
      <alignment vertical="center"/>
      <protection hidden="1"/>
    </xf>
    <xf numFmtId="0" fontId="34" fillId="19" borderId="20" xfId="0" applyFont="1" applyFill="1" applyBorder="1" applyAlignment="1" applyProtection="1">
      <alignment horizontal="center" vertical="center"/>
      <protection hidden="1"/>
    </xf>
    <xf numFmtId="0" fontId="36" fillId="19" borderId="20" xfId="0" applyFont="1" applyFill="1" applyBorder="1" applyAlignment="1" applyProtection="1">
      <alignment horizontal="center" vertical="center"/>
      <protection hidden="1"/>
    </xf>
    <xf numFmtId="0" fontId="50" fillId="19" borderId="75" xfId="0" applyFont="1" applyFill="1" applyBorder="1" applyAlignment="1" applyProtection="1">
      <alignment vertical="center" wrapText="1" shrinkToFit="1"/>
      <protection locked="0"/>
    </xf>
    <xf numFmtId="0" fontId="1" fillId="12" borderId="73" xfId="0" applyFont="1" applyFill="1" applyBorder="1" applyAlignment="1" applyProtection="1">
      <alignment horizontal="center" vertical="center"/>
      <protection hidden="1"/>
    </xf>
    <xf numFmtId="0" fontId="6" fillId="12" borderId="74" xfId="0" applyFont="1" applyFill="1" applyBorder="1" applyAlignment="1" applyProtection="1">
      <alignment horizontal="center" vertical="center"/>
      <protection hidden="1"/>
    </xf>
    <xf numFmtId="0" fontId="6" fillId="12" borderId="74" xfId="0" applyFont="1" applyFill="1" applyBorder="1" applyAlignment="1" applyProtection="1">
      <alignment vertical="center" wrapText="1"/>
      <protection hidden="1"/>
    </xf>
    <xf numFmtId="0" fontId="6" fillId="12" borderId="95" xfId="0" applyFont="1" applyFill="1" applyBorder="1" applyAlignment="1" applyProtection="1">
      <alignment horizontal="center" vertical="center"/>
      <protection hidden="1"/>
    </xf>
    <xf numFmtId="164" fontId="26" fillId="7" borderId="7" xfId="1" applyFont="1" applyFill="1" applyBorder="1" applyAlignment="1" applyProtection="1">
      <alignment vertical="center"/>
      <protection hidden="1"/>
    </xf>
    <xf numFmtId="164" fontId="26" fillId="7" borderId="4" xfId="1" applyFont="1" applyFill="1" applyBorder="1" applyAlignment="1" applyProtection="1">
      <alignment vertical="center"/>
      <protection hidden="1"/>
    </xf>
    <xf numFmtId="0" fontId="33" fillId="0" borderId="5" xfId="0" applyFont="1" applyBorder="1" applyAlignment="1" applyProtection="1">
      <alignment horizontal="left" vertical="center" indent="1" shrinkToFit="1"/>
      <protection locked="0"/>
    </xf>
    <xf numFmtId="0" fontId="32" fillId="0" borderId="5" xfId="0" applyFont="1" applyBorder="1" applyAlignment="1" applyProtection="1">
      <alignment horizontal="left" vertical="center" indent="1" shrinkToFit="1"/>
      <protection locked="0"/>
    </xf>
    <xf numFmtId="0" fontId="27" fillId="8" borderId="38" xfId="0" applyFont="1" applyFill="1" applyBorder="1" applyAlignment="1" applyProtection="1">
      <alignment horizontal="center" vertical="center"/>
      <protection hidden="1"/>
    </xf>
    <xf numFmtId="0" fontId="27" fillId="8" borderId="39" xfId="0" applyFont="1" applyFill="1" applyBorder="1" applyAlignment="1" applyProtection="1">
      <alignment horizontal="center" vertical="center"/>
      <protection hidden="1"/>
    </xf>
    <xf numFmtId="0" fontId="27" fillId="8" borderId="34" xfId="0" applyFont="1" applyFill="1" applyBorder="1" applyAlignment="1" applyProtection="1">
      <alignment horizontal="center" vertical="center"/>
      <protection hidden="1"/>
    </xf>
    <xf numFmtId="0" fontId="27" fillId="8" borderId="19" xfId="0" applyFont="1" applyFill="1" applyBorder="1" applyAlignment="1" applyProtection="1">
      <alignment horizontal="center" vertical="center"/>
      <protection hidden="1"/>
    </xf>
    <xf numFmtId="0" fontId="68" fillId="10" borderId="28" xfId="0" applyFont="1" applyFill="1" applyBorder="1" applyAlignment="1" applyProtection="1">
      <alignment horizontal="center" vertical="center" shrinkToFit="1"/>
      <protection hidden="1"/>
    </xf>
    <xf numFmtId="0" fontId="30" fillId="0" borderId="0" xfId="0" applyFont="1" applyAlignment="1" applyProtection="1">
      <alignment horizontal="left" vertical="top"/>
      <protection hidden="1"/>
    </xf>
    <xf numFmtId="0" fontId="72" fillId="28" borderId="20" xfId="0" applyFont="1" applyFill="1" applyBorder="1" applyAlignment="1" applyProtection="1">
      <alignment vertical="center"/>
      <protection hidden="1"/>
    </xf>
    <xf numFmtId="0" fontId="0" fillId="28" borderId="20" xfId="0" applyFill="1" applyBorder="1" applyAlignment="1" applyProtection="1">
      <alignment vertical="center"/>
      <protection hidden="1"/>
    </xf>
    <xf numFmtId="0" fontId="57" fillId="28" borderId="0" xfId="0" applyFont="1" applyFill="1" applyAlignment="1" applyProtection="1">
      <alignment vertical="center"/>
      <protection hidden="1"/>
    </xf>
    <xf numFmtId="0" fontId="0" fillId="28" borderId="0" xfId="0" applyFill="1" applyAlignment="1" applyProtection="1">
      <alignment vertical="center"/>
      <protection hidden="1"/>
    </xf>
    <xf numFmtId="0" fontId="0" fillId="28" borderId="0" xfId="0" applyFill="1" applyAlignment="1" applyProtection="1">
      <alignment horizontal="center" vertical="center"/>
      <protection hidden="1"/>
    </xf>
    <xf numFmtId="0" fontId="0" fillId="0" borderId="0" xfId="0" applyProtection="1">
      <protection hidden="1"/>
    </xf>
    <xf numFmtId="0" fontId="73" fillId="28" borderId="0" xfId="0" applyFont="1" applyFill="1" applyAlignment="1" applyProtection="1">
      <alignment vertical="center"/>
      <protection hidden="1"/>
    </xf>
    <xf numFmtId="0" fontId="12" fillId="19" borderId="0" xfId="0" applyFont="1" applyFill="1" applyAlignment="1" applyProtection="1">
      <alignment vertical="center"/>
      <protection hidden="1"/>
    </xf>
    <xf numFmtId="0" fontId="28" fillId="19" borderId="0" xfId="0" applyFont="1" applyFill="1" applyAlignment="1" applyProtection="1">
      <alignment vertical="center" shrinkToFit="1"/>
      <protection hidden="1"/>
    </xf>
    <xf numFmtId="0" fontId="29" fillId="19" borderId="0" xfId="0" applyFont="1" applyFill="1" applyAlignment="1" applyProtection="1">
      <alignment horizontal="right" vertical="center" shrinkToFit="1"/>
      <protection hidden="1"/>
    </xf>
    <xf numFmtId="0" fontId="26" fillId="19" borderId="0" xfId="0" quotePrefix="1" applyFont="1" applyFill="1" applyAlignment="1" applyProtection="1">
      <alignment vertical="center"/>
      <protection hidden="1"/>
    </xf>
    <xf numFmtId="0" fontId="76" fillId="19" borderId="0" xfId="0" applyFont="1" applyFill="1" applyAlignment="1" applyProtection="1">
      <alignment horizontal="center" vertical="center"/>
      <protection hidden="1"/>
    </xf>
    <xf numFmtId="0" fontId="13" fillId="7" borderId="0" xfId="0" applyFont="1" applyFill="1" applyProtection="1">
      <protection hidden="1"/>
    </xf>
    <xf numFmtId="0" fontId="1" fillId="7" borderId="0" xfId="0" applyFont="1" applyFill="1" applyAlignment="1" applyProtection="1">
      <alignment vertical="center"/>
      <protection hidden="1"/>
    </xf>
    <xf numFmtId="0" fontId="7" fillId="7" borderId="0" xfId="0" applyFont="1" applyFill="1" applyAlignment="1" applyProtection="1">
      <alignment vertical="center" shrinkToFit="1"/>
      <protection hidden="1"/>
    </xf>
    <xf numFmtId="0" fontId="13" fillId="7" borderId="0" xfId="0" applyFont="1" applyFill="1" applyAlignment="1" applyProtection="1">
      <alignment vertical="center"/>
      <protection hidden="1"/>
    </xf>
    <xf numFmtId="164" fontId="27" fillId="7" borderId="4" xfId="1" applyFont="1" applyFill="1" applyBorder="1" applyAlignment="1" applyProtection="1">
      <alignment vertical="center"/>
      <protection hidden="1"/>
    </xf>
    <xf numFmtId="0" fontId="77" fillId="0" borderId="5" xfId="0" applyFont="1" applyBorder="1" applyAlignment="1" applyProtection="1">
      <alignment horizontal="left" vertical="center" indent="1" shrinkToFit="1"/>
      <protection locked="0"/>
    </xf>
    <xf numFmtId="0" fontId="78" fillId="10" borderId="1" xfId="0" applyFont="1" applyFill="1" applyBorder="1" applyAlignment="1" applyProtection="1">
      <alignment horizontal="center" vertical="center"/>
      <protection hidden="1"/>
    </xf>
    <xf numFmtId="0" fontId="79" fillId="28" borderId="0" xfId="0" applyFont="1" applyFill="1" applyAlignment="1" applyProtection="1">
      <alignment horizontal="center" vertical="center"/>
      <protection hidden="1"/>
    </xf>
    <xf numFmtId="0" fontId="79" fillId="28" borderId="0" xfId="0" applyFont="1" applyFill="1" applyAlignment="1" applyProtection="1">
      <alignment vertical="center"/>
      <protection hidden="1"/>
    </xf>
    <xf numFmtId="0" fontId="8" fillId="29" borderId="1" xfId="0" applyFont="1" applyFill="1" applyBorder="1" applyAlignment="1" applyProtection="1">
      <alignment horizontal="center" vertical="center"/>
      <protection hidden="1"/>
    </xf>
    <xf numFmtId="0" fontId="52" fillId="18" borderId="1" xfId="0" applyFont="1" applyFill="1" applyBorder="1" applyAlignment="1" applyProtection="1">
      <alignment horizontal="center" vertical="center"/>
      <protection hidden="1"/>
    </xf>
    <xf numFmtId="0" fontId="81" fillId="17" borderId="1" xfId="0" applyFont="1" applyFill="1" applyBorder="1" applyAlignment="1" applyProtection="1">
      <alignment horizontal="center" vertical="center"/>
      <protection hidden="1"/>
    </xf>
    <xf numFmtId="0" fontId="12" fillId="17" borderId="0" xfId="0" applyFont="1" applyFill="1" applyAlignment="1" applyProtection="1">
      <alignment horizontal="left" vertical="center" indent="1"/>
      <protection hidden="1"/>
    </xf>
    <xf numFmtId="0" fontId="0" fillId="19" borderId="0" xfId="0" applyFill="1" applyProtection="1">
      <protection hidden="1"/>
    </xf>
    <xf numFmtId="0" fontId="0" fillId="27" borderId="0" xfId="0" applyFill="1" applyAlignment="1" applyProtection="1">
      <alignment vertical="center"/>
      <protection hidden="1"/>
    </xf>
    <xf numFmtId="0" fontId="0" fillId="19" borderId="0" xfId="0" applyFill="1" applyAlignment="1" applyProtection="1">
      <alignment vertical="center"/>
      <protection hidden="1"/>
    </xf>
    <xf numFmtId="0" fontId="66" fillId="19" borderId="0" xfId="0" applyFont="1" applyFill="1" applyProtection="1">
      <protection hidden="1"/>
    </xf>
    <xf numFmtId="0" fontId="82" fillId="7" borderId="0" xfId="0" applyFont="1" applyFill="1" applyAlignment="1" applyProtection="1">
      <alignment horizontal="left" vertical="center" wrapText="1" indent="1"/>
      <protection hidden="1"/>
    </xf>
    <xf numFmtId="0" fontId="18" fillId="0" borderId="90" xfId="0" applyFont="1" applyBorder="1" applyAlignment="1" applyProtection="1">
      <alignment horizontal="center" vertical="center"/>
      <protection hidden="1"/>
    </xf>
    <xf numFmtId="0" fontId="5" fillId="0" borderId="50" xfId="0" applyFont="1" applyBorder="1" applyAlignment="1" applyProtection="1">
      <alignment vertical="center"/>
      <protection hidden="1"/>
    </xf>
    <xf numFmtId="0" fontId="5" fillId="0" borderId="93" xfId="0" applyFont="1" applyBorder="1" applyAlignment="1" applyProtection="1">
      <alignment vertical="center"/>
      <protection hidden="1"/>
    </xf>
    <xf numFmtId="0" fontId="72" fillId="28" borderId="0" xfId="0" applyFont="1" applyFill="1" applyAlignment="1" applyProtection="1">
      <alignment vertical="center"/>
      <protection hidden="1"/>
    </xf>
    <xf numFmtId="0" fontId="85" fillId="28" borderId="0" xfId="0" applyFont="1" applyFill="1" applyAlignment="1" applyProtection="1">
      <alignment vertical="center"/>
      <protection hidden="1"/>
    </xf>
    <xf numFmtId="0" fontId="0" fillId="30" borderId="0" xfId="0" applyFill="1" applyProtection="1">
      <protection hidden="1"/>
    </xf>
    <xf numFmtId="0" fontId="70" fillId="30" borderId="0" xfId="0" applyFont="1" applyFill="1" applyAlignment="1" applyProtection="1">
      <alignment horizontal="center" vertical="center" shrinkToFit="1"/>
      <protection hidden="1"/>
    </xf>
    <xf numFmtId="0" fontId="19" fillId="19" borderId="0" xfId="0" applyFont="1" applyFill="1" applyAlignment="1" applyProtection="1">
      <alignment horizontal="center" vertical="center"/>
      <protection hidden="1"/>
    </xf>
    <xf numFmtId="0" fontId="3" fillId="19" borderId="0" xfId="0" quotePrefix="1" applyFont="1" applyFill="1" applyAlignment="1" applyProtection="1">
      <alignment horizontal="center" vertical="center"/>
      <protection hidden="1"/>
    </xf>
    <xf numFmtId="0" fontId="5" fillId="19" borderId="0" xfId="0" applyFont="1" applyFill="1" applyAlignment="1" applyProtection="1">
      <alignment vertical="center"/>
      <protection hidden="1"/>
    </xf>
    <xf numFmtId="0" fontId="5" fillId="19" borderId="0" xfId="0" applyFont="1" applyFill="1" applyAlignment="1" applyProtection="1">
      <alignment vertical="center"/>
      <protection locked="0"/>
    </xf>
    <xf numFmtId="0" fontId="15" fillId="19" borderId="0" xfId="0" applyFont="1" applyFill="1" applyAlignment="1" applyProtection="1">
      <alignment vertical="center"/>
      <protection hidden="1"/>
    </xf>
    <xf numFmtId="0" fontId="73" fillId="0" borderId="0" xfId="0" applyFont="1" applyAlignment="1">
      <alignment horizontal="left"/>
    </xf>
    <xf numFmtId="0" fontId="0" fillId="0" borderId="0" xfId="0" applyAlignment="1">
      <alignment horizontal="left"/>
    </xf>
    <xf numFmtId="0" fontId="0" fillId="0" borderId="0" xfId="0" applyAlignment="1">
      <alignment horizontal="center"/>
    </xf>
    <xf numFmtId="0" fontId="89" fillId="18" borderId="110" xfId="0" applyFont="1" applyFill="1" applyBorder="1" applyAlignment="1" applyProtection="1">
      <alignment horizontal="center" vertical="center" textRotation="90" shrinkToFit="1"/>
      <protection hidden="1"/>
    </xf>
    <xf numFmtId="0" fontId="88" fillId="8" borderId="110" xfId="0" applyFont="1" applyFill="1" applyBorder="1" applyAlignment="1" applyProtection="1">
      <alignment horizontal="center" vertical="center" textRotation="90" shrinkToFit="1"/>
      <protection hidden="1"/>
    </xf>
    <xf numFmtId="1" fontId="91" fillId="0" borderId="111" xfId="0" applyNumberFormat="1" applyFont="1" applyBorder="1" applyAlignment="1" applyProtection="1">
      <alignment horizontal="center" vertical="center"/>
      <protection hidden="1"/>
    </xf>
    <xf numFmtId="1" fontId="91" fillId="0" borderId="8" xfId="3" applyNumberFormat="1" applyFont="1" applyBorder="1" applyAlignment="1" applyProtection="1">
      <alignment horizontal="center" vertical="center"/>
      <protection hidden="1"/>
    </xf>
    <xf numFmtId="1" fontId="91" fillId="0" borderId="112" xfId="3" applyNumberFormat="1" applyFont="1" applyBorder="1" applyAlignment="1" applyProtection="1">
      <alignment horizontal="center" vertical="center"/>
      <protection hidden="1"/>
    </xf>
    <xf numFmtId="0" fontId="90" fillId="34" borderId="8" xfId="0" applyFont="1" applyFill="1" applyBorder="1" applyAlignment="1">
      <alignment horizontal="center" vertical="center" wrapText="1"/>
    </xf>
    <xf numFmtId="0" fontId="0" fillId="34" borderId="8" xfId="0" applyFill="1" applyBorder="1" applyAlignment="1" applyProtection="1">
      <alignment horizontal="center" vertical="center"/>
      <protection hidden="1"/>
    </xf>
    <xf numFmtId="0" fontId="0" fillId="34" borderId="8" xfId="0" applyFill="1" applyBorder="1" applyAlignment="1" applyProtection="1">
      <alignment horizontal="left" vertical="center"/>
      <protection hidden="1"/>
    </xf>
    <xf numFmtId="0" fontId="0" fillId="34" borderId="11" xfId="0" applyFill="1" applyBorder="1" applyAlignment="1" applyProtection="1">
      <alignment horizontal="center" vertical="center"/>
      <protection hidden="1"/>
    </xf>
    <xf numFmtId="0" fontId="90" fillId="34" borderId="113" xfId="0" applyFont="1" applyFill="1" applyBorder="1" applyAlignment="1">
      <alignment horizontal="center" vertical="center" wrapText="1"/>
    </xf>
    <xf numFmtId="0" fontId="0" fillId="34" borderId="113" xfId="0" applyFill="1" applyBorder="1" applyAlignment="1" applyProtection="1">
      <alignment horizontal="center" vertical="center"/>
      <protection hidden="1"/>
    </xf>
    <xf numFmtId="0" fontId="0" fillId="34" borderId="113" xfId="0" applyFill="1" applyBorder="1" applyAlignment="1" applyProtection="1">
      <alignment horizontal="left" vertical="center"/>
      <protection hidden="1"/>
    </xf>
    <xf numFmtId="0" fontId="0" fillId="34" borderId="114" xfId="0" applyFill="1" applyBorder="1" applyAlignment="1" applyProtection="1">
      <alignment horizontal="center" vertical="center"/>
      <protection hidden="1"/>
    </xf>
    <xf numFmtId="0" fontId="86" fillId="19" borderId="8" xfId="0" applyFont="1" applyFill="1" applyBorder="1" applyAlignment="1" applyProtection="1">
      <alignment horizontal="center" vertical="center"/>
      <protection hidden="1"/>
    </xf>
    <xf numFmtId="0" fontId="86" fillId="19" borderId="8" xfId="0" applyFont="1" applyFill="1" applyBorder="1" applyAlignment="1" applyProtection="1">
      <alignment horizontal="center" vertical="center" wrapText="1"/>
      <protection hidden="1"/>
    </xf>
    <xf numFmtId="0" fontId="89" fillId="19" borderId="116" xfId="0" applyFont="1" applyFill="1" applyBorder="1" applyAlignment="1" applyProtection="1">
      <alignment horizontal="center" vertical="center" textRotation="90" shrinkToFit="1"/>
      <protection hidden="1"/>
    </xf>
    <xf numFmtId="0" fontId="89" fillId="19" borderId="23" xfId="0" applyFont="1" applyFill="1" applyBorder="1" applyAlignment="1" applyProtection="1">
      <alignment horizontal="center" vertical="center" textRotation="90" shrinkToFit="1"/>
      <protection hidden="1"/>
    </xf>
    <xf numFmtId="0" fontId="88" fillId="19" borderId="23" xfId="0" applyFont="1" applyFill="1" applyBorder="1" applyAlignment="1" applyProtection="1">
      <alignment horizontal="center" vertical="center" textRotation="90" shrinkToFit="1"/>
      <protection hidden="1"/>
    </xf>
    <xf numFmtId="0" fontId="88" fillId="19" borderId="25" xfId="0" applyFont="1" applyFill="1" applyBorder="1" applyAlignment="1" applyProtection="1">
      <alignment horizontal="center" vertical="center"/>
      <protection hidden="1"/>
    </xf>
    <xf numFmtId="0" fontId="7" fillId="35" borderId="4" xfId="0" applyFont="1" applyFill="1" applyBorder="1" applyAlignment="1" applyProtection="1">
      <alignment horizontal="center" vertical="center"/>
      <protection locked="0"/>
    </xf>
    <xf numFmtId="0" fontId="7" fillId="35" borderId="1" xfId="0" applyFont="1" applyFill="1" applyBorder="1" applyAlignment="1" applyProtection="1">
      <alignment horizontal="center" vertical="center"/>
      <protection locked="0"/>
    </xf>
    <xf numFmtId="0" fontId="7" fillId="35" borderId="5" xfId="0" applyFont="1" applyFill="1" applyBorder="1" applyAlignment="1" applyProtection="1">
      <alignment horizontal="center" vertical="center"/>
      <protection locked="0"/>
    </xf>
    <xf numFmtId="0" fontId="7" fillId="35" borderId="2" xfId="0" applyFont="1" applyFill="1" applyBorder="1" applyAlignment="1" applyProtection="1">
      <alignment horizontal="center" vertical="center"/>
      <protection locked="0"/>
    </xf>
    <xf numFmtId="0" fontId="1" fillId="12" borderId="7" xfId="0" applyFont="1" applyFill="1" applyBorder="1" applyAlignment="1" applyProtection="1">
      <alignment horizontal="center" vertical="center"/>
      <protection hidden="1"/>
    </xf>
    <xf numFmtId="0" fontId="6" fillId="12" borderId="8" xfId="0" applyFont="1" applyFill="1" applyBorder="1" applyAlignment="1" applyProtection="1">
      <alignment horizontal="center" vertical="center"/>
      <protection hidden="1"/>
    </xf>
    <xf numFmtId="0" fontId="6" fillId="12" borderId="8" xfId="0" applyFont="1" applyFill="1" applyBorder="1" applyAlignment="1" applyProtection="1">
      <alignment vertical="center" wrapText="1"/>
      <protection hidden="1"/>
    </xf>
    <xf numFmtId="0" fontId="6" fillId="12" borderId="9" xfId="0" applyFont="1" applyFill="1" applyBorder="1" applyAlignment="1" applyProtection="1">
      <alignment horizontal="center" vertical="center"/>
      <protection hidden="1"/>
    </xf>
    <xf numFmtId="0" fontId="7" fillId="35" borderId="7" xfId="0" applyFont="1" applyFill="1" applyBorder="1" applyAlignment="1" applyProtection="1">
      <alignment horizontal="center" vertical="center"/>
      <protection locked="0"/>
    </xf>
    <xf numFmtId="0" fontId="7" fillId="35" borderId="8" xfId="0" applyFont="1" applyFill="1" applyBorder="1" applyAlignment="1" applyProtection="1">
      <alignment horizontal="center" vertical="center"/>
      <protection locked="0"/>
    </xf>
    <xf numFmtId="0" fontId="7" fillId="35" borderId="9" xfId="0" applyFont="1" applyFill="1" applyBorder="1" applyAlignment="1" applyProtection="1">
      <alignment horizontal="center" vertical="center"/>
      <protection locked="0"/>
    </xf>
    <xf numFmtId="0" fontId="1" fillId="6" borderId="7" xfId="0" applyFont="1" applyFill="1" applyBorder="1" applyAlignment="1" applyProtection="1">
      <alignment horizontal="center" vertical="center"/>
      <protection hidden="1"/>
    </xf>
    <xf numFmtId="0" fontId="7" fillId="35" borderId="11" xfId="0" applyFont="1" applyFill="1" applyBorder="1" applyAlignment="1" applyProtection="1">
      <alignment horizontal="center" vertical="center"/>
      <protection locked="0"/>
    </xf>
    <xf numFmtId="164" fontId="8" fillId="6" borderId="8" xfId="1" applyFont="1" applyFill="1" applyBorder="1" applyAlignment="1" applyProtection="1">
      <alignment horizontal="center" vertical="center"/>
      <protection hidden="1"/>
    </xf>
    <xf numFmtId="1" fontId="2" fillId="6" borderId="8" xfId="0" applyNumberFormat="1" applyFont="1" applyFill="1" applyBorder="1" applyAlignment="1" applyProtection="1">
      <alignment horizontal="center" vertical="center"/>
      <protection hidden="1"/>
    </xf>
    <xf numFmtId="1" fontId="2" fillId="6" borderId="11" xfId="0" applyNumberFormat="1" applyFont="1" applyFill="1" applyBorder="1" applyAlignment="1" applyProtection="1">
      <alignment horizontal="center" vertical="center"/>
      <protection hidden="1"/>
    </xf>
    <xf numFmtId="0" fontId="35" fillId="6" borderId="12" xfId="0" applyFont="1" applyFill="1" applyBorder="1" applyAlignment="1" applyProtection="1">
      <alignment vertical="center" wrapText="1" shrinkToFit="1"/>
      <protection hidden="1"/>
    </xf>
    <xf numFmtId="0" fontId="1" fillId="14" borderId="7" xfId="0" applyFont="1" applyFill="1" applyBorder="1" applyAlignment="1" applyProtection="1">
      <alignment horizontal="center" vertical="center"/>
      <protection hidden="1"/>
    </xf>
    <xf numFmtId="164" fontId="8" fillId="14" borderId="8" xfId="1" applyFont="1" applyFill="1" applyBorder="1" applyAlignment="1" applyProtection="1">
      <alignment horizontal="center" vertical="center"/>
      <protection hidden="1"/>
    </xf>
    <xf numFmtId="1" fontId="2" fillId="14" borderId="8" xfId="0" applyNumberFormat="1" applyFont="1" applyFill="1" applyBorder="1" applyAlignment="1" applyProtection="1">
      <alignment horizontal="center" vertical="center"/>
      <protection hidden="1"/>
    </xf>
    <xf numFmtId="1" fontId="2" fillId="14" borderId="8" xfId="0" applyNumberFormat="1" applyFont="1" applyFill="1" applyBorder="1" applyAlignment="1" applyProtection="1">
      <alignment vertical="center"/>
      <protection hidden="1"/>
    </xf>
    <xf numFmtId="1" fontId="2" fillId="14" borderId="11" xfId="0" applyNumberFormat="1" applyFont="1" applyFill="1" applyBorder="1" applyAlignment="1" applyProtection="1">
      <alignment horizontal="center" vertical="center"/>
      <protection hidden="1"/>
    </xf>
    <xf numFmtId="0" fontId="8" fillId="13" borderId="18" xfId="0" applyFont="1" applyFill="1" applyBorder="1" applyAlignment="1" applyProtection="1">
      <alignment horizontal="center" vertical="center"/>
      <protection hidden="1"/>
    </xf>
    <xf numFmtId="0" fontId="1" fillId="12" borderId="13" xfId="0" applyFont="1" applyFill="1" applyBorder="1" applyAlignment="1" applyProtection="1">
      <alignment horizontal="center" vertical="center"/>
      <protection hidden="1"/>
    </xf>
    <xf numFmtId="0" fontId="6" fillId="12" borderId="14" xfId="0" applyFont="1" applyFill="1" applyBorder="1" applyAlignment="1" applyProtection="1">
      <alignment horizontal="center" vertical="center"/>
      <protection hidden="1"/>
    </xf>
    <xf numFmtId="0" fontId="6" fillId="12" borderId="14" xfId="0" applyFont="1" applyFill="1" applyBorder="1" applyAlignment="1" applyProtection="1">
      <alignment vertical="center" wrapText="1"/>
      <protection hidden="1"/>
    </xf>
    <xf numFmtId="0" fontId="6" fillId="12" borderId="15" xfId="0" applyFont="1" applyFill="1" applyBorder="1" applyAlignment="1" applyProtection="1">
      <alignment horizontal="center" vertical="center"/>
      <protection hidden="1"/>
    </xf>
    <xf numFmtId="0" fontId="7" fillId="0" borderId="13" xfId="0" applyFont="1" applyBorder="1" applyAlignment="1" applyProtection="1">
      <alignment horizontal="center" vertical="center"/>
      <protection locked="0"/>
    </xf>
    <xf numFmtId="0" fontId="7" fillId="0" borderId="14" xfId="0" applyFont="1" applyBorder="1" applyAlignment="1" applyProtection="1">
      <alignment horizontal="center" vertical="center"/>
      <protection locked="0"/>
    </xf>
    <xf numFmtId="0" fontId="7" fillId="0" borderId="15" xfId="0" applyFont="1" applyBorder="1" applyAlignment="1" applyProtection="1">
      <alignment horizontal="center" vertical="center"/>
      <protection locked="0"/>
    </xf>
    <xf numFmtId="0" fontId="1" fillId="6" borderId="13" xfId="0" applyFont="1" applyFill="1" applyBorder="1" applyAlignment="1" applyProtection="1">
      <alignment horizontal="center" vertical="center"/>
      <protection hidden="1"/>
    </xf>
    <xf numFmtId="0" fontId="7" fillId="0" borderId="16" xfId="0" applyFont="1" applyBorder="1" applyAlignment="1" applyProtection="1">
      <alignment horizontal="center" vertical="center"/>
      <protection locked="0"/>
    </xf>
    <xf numFmtId="164" fontId="8" fillId="6" borderId="14" xfId="1" applyFont="1" applyFill="1" applyBorder="1" applyAlignment="1" applyProtection="1">
      <alignment horizontal="center" vertical="center"/>
      <protection hidden="1"/>
    </xf>
    <xf numFmtId="0" fontId="35" fillId="6" borderId="18" xfId="0" applyFont="1" applyFill="1" applyBorder="1" applyAlignment="1" applyProtection="1">
      <alignment vertical="center" wrapText="1" shrinkToFit="1"/>
      <protection hidden="1"/>
    </xf>
    <xf numFmtId="0" fontId="1" fillId="14" borderId="13" xfId="0" applyFont="1" applyFill="1" applyBorder="1" applyAlignment="1" applyProtection="1">
      <alignment horizontal="center" vertical="center"/>
      <protection hidden="1"/>
    </xf>
    <xf numFmtId="164" fontId="8" fillId="14" borderId="14" xfId="1" applyFont="1" applyFill="1" applyBorder="1" applyAlignment="1" applyProtection="1">
      <alignment horizontal="center" vertical="center"/>
      <protection hidden="1"/>
    </xf>
    <xf numFmtId="0" fontId="7" fillId="35" borderId="13" xfId="0" applyFont="1" applyFill="1" applyBorder="1" applyAlignment="1" applyProtection="1">
      <alignment horizontal="center" vertical="center"/>
      <protection locked="0"/>
    </xf>
    <xf numFmtId="0" fontId="7" fillId="35" borderId="14" xfId="0" applyFont="1" applyFill="1" applyBorder="1" applyAlignment="1" applyProtection="1">
      <alignment horizontal="center" vertical="center"/>
      <protection locked="0"/>
    </xf>
    <xf numFmtId="0" fontId="7" fillId="35" borderId="15" xfId="0" applyFont="1" applyFill="1" applyBorder="1" applyAlignment="1" applyProtection="1">
      <alignment horizontal="center" vertical="center"/>
      <protection locked="0"/>
    </xf>
    <xf numFmtId="0" fontId="7" fillId="35" borderId="16" xfId="0" applyFont="1" applyFill="1" applyBorder="1" applyAlignment="1" applyProtection="1">
      <alignment horizontal="center" vertical="center"/>
      <protection locked="0"/>
    </xf>
    <xf numFmtId="0" fontId="8" fillId="35" borderId="12" xfId="0" applyFont="1" applyFill="1" applyBorder="1" applyAlignment="1" applyProtection="1">
      <alignment horizontal="center" vertical="center"/>
      <protection hidden="1"/>
    </xf>
    <xf numFmtId="0" fontId="8" fillId="35" borderId="65" xfId="0" applyFont="1" applyFill="1" applyBorder="1" applyAlignment="1" applyProtection="1">
      <alignment horizontal="center" vertical="center"/>
      <protection hidden="1"/>
    </xf>
    <xf numFmtId="0" fontId="8" fillId="35" borderId="18" xfId="0" applyFont="1" applyFill="1" applyBorder="1" applyAlignment="1" applyProtection="1">
      <alignment horizontal="center" vertical="center"/>
      <protection hidden="1"/>
    </xf>
    <xf numFmtId="0" fontId="8" fillId="13" borderId="35" xfId="0" applyFont="1" applyFill="1" applyBorder="1" applyAlignment="1" applyProtection="1">
      <alignment horizontal="center" vertical="center"/>
      <protection hidden="1"/>
    </xf>
    <xf numFmtId="0" fontId="1" fillId="12" borderId="37" xfId="0" applyFont="1" applyFill="1" applyBorder="1" applyAlignment="1" applyProtection="1">
      <alignment horizontal="center" vertical="center"/>
      <protection hidden="1"/>
    </xf>
    <xf numFmtId="0" fontId="7" fillId="0" borderId="37" xfId="0" applyFont="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0" borderId="6" xfId="0" applyFont="1" applyBorder="1" applyAlignment="1" applyProtection="1">
      <alignment horizontal="center" vertical="center"/>
      <protection locked="0"/>
    </xf>
    <xf numFmtId="0" fontId="1" fillId="6" borderId="37" xfId="0" applyFont="1" applyFill="1" applyBorder="1" applyAlignment="1" applyProtection="1">
      <alignment horizontal="center" vertical="center"/>
      <protection hidden="1"/>
    </xf>
    <xf numFmtId="0" fontId="7" fillId="0" borderId="40" xfId="0" applyFont="1" applyBorder="1" applyAlignment="1" applyProtection="1">
      <alignment horizontal="center" vertical="center"/>
      <protection locked="0"/>
    </xf>
    <xf numFmtId="164" fontId="8" fillId="6" borderId="22" xfId="1" applyFont="1" applyFill="1" applyBorder="1" applyAlignment="1" applyProtection="1">
      <alignment horizontal="center" vertical="center"/>
      <protection hidden="1"/>
    </xf>
    <xf numFmtId="1" fontId="2" fillId="6" borderId="60" xfId="0" applyNumberFormat="1" applyFont="1" applyFill="1" applyBorder="1" applyAlignment="1" applyProtection="1">
      <alignment horizontal="center" vertical="center"/>
      <protection hidden="1"/>
    </xf>
    <xf numFmtId="1" fontId="2" fillId="6" borderId="61" xfId="0" applyNumberFormat="1" applyFont="1" applyFill="1" applyBorder="1" applyAlignment="1" applyProtection="1">
      <alignment horizontal="center" vertical="center"/>
      <protection hidden="1"/>
    </xf>
    <xf numFmtId="0" fontId="35" fillId="6" borderId="35" xfId="0" applyFont="1" applyFill="1" applyBorder="1" applyAlignment="1" applyProtection="1">
      <alignment vertical="center" wrapText="1" shrinkToFit="1"/>
      <protection hidden="1"/>
    </xf>
    <xf numFmtId="0" fontId="1" fillId="14" borderId="37" xfId="0" applyFont="1" applyFill="1" applyBorder="1" applyAlignment="1" applyProtection="1">
      <alignment horizontal="center" vertical="center"/>
      <protection hidden="1"/>
    </xf>
    <xf numFmtId="164" fontId="8" fillId="14" borderId="22" xfId="1" applyFont="1" applyFill="1" applyBorder="1" applyAlignment="1" applyProtection="1">
      <alignment horizontal="center" vertical="center"/>
      <protection hidden="1"/>
    </xf>
    <xf numFmtId="1" fontId="2" fillId="14" borderId="60" xfId="0" applyNumberFormat="1" applyFont="1" applyFill="1" applyBorder="1" applyAlignment="1" applyProtection="1">
      <alignment horizontal="center" vertical="center"/>
      <protection hidden="1"/>
    </xf>
    <xf numFmtId="1" fontId="2" fillId="14" borderId="60" xfId="0" applyNumberFormat="1" applyFont="1" applyFill="1" applyBorder="1" applyAlignment="1" applyProtection="1">
      <alignment vertical="center"/>
      <protection hidden="1"/>
    </xf>
    <xf numFmtId="1" fontId="2" fillId="14" borderId="61" xfId="0" applyNumberFormat="1" applyFont="1" applyFill="1" applyBorder="1" applyAlignment="1" applyProtection="1">
      <alignment horizontal="center" vertical="center"/>
      <protection hidden="1"/>
    </xf>
    <xf numFmtId="0" fontId="35" fillId="14" borderId="35" xfId="0" applyFont="1" applyFill="1" applyBorder="1" applyAlignment="1" applyProtection="1">
      <alignment vertical="center" wrapText="1" shrinkToFit="1"/>
      <protection hidden="1"/>
    </xf>
    <xf numFmtId="0" fontId="35" fillId="14" borderId="12" xfId="0" applyFont="1" applyFill="1" applyBorder="1" applyAlignment="1" applyProtection="1">
      <alignment vertical="center" wrapText="1" shrinkToFit="1"/>
      <protection hidden="1"/>
    </xf>
    <xf numFmtId="1" fontId="2" fillId="6" borderId="14" xfId="0" applyNumberFormat="1" applyFont="1" applyFill="1" applyBorder="1" applyAlignment="1" applyProtection="1">
      <alignment horizontal="center" vertical="center"/>
      <protection hidden="1"/>
    </xf>
    <xf numFmtId="1" fontId="2" fillId="6" borderId="16" xfId="0" applyNumberFormat="1" applyFont="1" applyFill="1" applyBorder="1" applyAlignment="1" applyProtection="1">
      <alignment horizontal="center" vertical="center"/>
      <protection hidden="1"/>
    </xf>
    <xf numFmtId="1" fontId="2" fillId="14" borderId="14" xfId="0" applyNumberFormat="1" applyFont="1" applyFill="1" applyBorder="1" applyAlignment="1" applyProtection="1">
      <alignment horizontal="center" vertical="center"/>
      <protection hidden="1"/>
    </xf>
    <xf numFmtId="1" fontId="2" fillId="14" borderId="14" xfId="0" applyNumberFormat="1" applyFont="1" applyFill="1" applyBorder="1" applyAlignment="1" applyProtection="1">
      <alignment vertical="center"/>
      <protection hidden="1"/>
    </xf>
    <xf numFmtId="1" fontId="2" fillId="14" borderId="16" xfId="0" applyNumberFormat="1" applyFont="1" applyFill="1" applyBorder="1" applyAlignment="1" applyProtection="1">
      <alignment horizontal="center" vertical="center"/>
      <protection hidden="1"/>
    </xf>
    <xf numFmtId="0" fontId="35" fillId="14" borderId="18" xfId="0" applyFont="1" applyFill="1" applyBorder="1" applyAlignment="1" applyProtection="1">
      <alignment vertical="center" wrapText="1" shrinkToFit="1"/>
      <protection hidden="1"/>
    </xf>
    <xf numFmtId="0" fontId="8" fillId="35" borderId="35" xfId="0" applyFont="1" applyFill="1" applyBorder="1" applyAlignment="1" applyProtection="1">
      <alignment horizontal="center" vertical="center"/>
      <protection hidden="1"/>
    </xf>
    <xf numFmtId="0" fontId="7" fillId="35" borderId="37" xfId="0" applyFont="1" applyFill="1" applyBorder="1" applyAlignment="1" applyProtection="1">
      <alignment horizontal="center" vertical="center"/>
      <protection locked="0"/>
    </xf>
    <xf numFmtId="0" fontId="7" fillId="35" borderId="22" xfId="0" applyFont="1" applyFill="1" applyBorder="1" applyAlignment="1" applyProtection="1">
      <alignment horizontal="center" vertical="center"/>
      <protection locked="0"/>
    </xf>
    <xf numFmtId="0" fontId="7" fillId="35" borderId="6" xfId="0" applyFont="1" applyFill="1" applyBorder="1" applyAlignment="1" applyProtection="1">
      <alignment horizontal="center" vertical="center"/>
      <protection locked="0"/>
    </xf>
    <xf numFmtId="0" fontId="7" fillId="35" borderId="40" xfId="0" applyFont="1" applyFill="1" applyBorder="1" applyAlignment="1" applyProtection="1">
      <alignment horizontal="center" vertical="center"/>
      <protection locked="0"/>
    </xf>
    <xf numFmtId="0" fontId="0" fillId="34" borderId="1" xfId="0" applyFill="1" applyBorder="1" applyAlignment="1" applyProtection="1">
      <alignment horizontal="center" vertical="center"/>
      <protection hidden="1"/>
    </xf>
    <xf numFmtId="0" fontId="0" fillId="34" borderId="1" xfId="0" applyFill="1" applyBorder="1" applyAlignment="1" applyProtection="1">
      <alignment horizontal="left" vertical="center"/>
      <protection hidden="1"/>
    </xf>
    <xf numFmtId="0" fontId="0" fillId="34" borderId="2" xfId="0" applyFill="1" applyBorder="1" applyAlignment="1" applyProtection="1">
      <alignment horizontal="center" vertical="center"/>
      <protection hidden="1"/>
    </xf>
    <xf numFmtId="0" fontId="0" fillId="34" borderId="118" xfId="0" applyFill="1" applyBorder="1" applyAlignment="1" applyProtection="1">
      <alignment horizontal="center" vertical="center"/>
      <protection hidden="1"/>
    </xf>
    <xf numFmtId="0" fontId="0" fillId="34" borderId="118" xfId="0" applyFill="1" applyBorder="1" applyAlignment="1" applyProtection="1">
      <alignment horizontal="left" vertical="center"/>
      <protection hidden="1"/>
    </xf>
    <xf numFmtId="0" fontId="0" fillId="34" borderId="119" xfId="0" applyFill="1" applyBorder="1" applyAlignment="1" applyProtection="1">
      <alignment horizontal="center" vertical="center"/>
      <protection hidden="1"/>
    </xf>
    <xf numFmtId="0" fontId="28" fillId="10" borderId="120" xfId="0" applyFont="1" applyFill="1" applyBorder="1" applyAlignment="1" applyProtection="1">
      <alignment vertical="center" shrinkToFit="1"/>
      <protection locked="0"/>
    </xf>
    <xf numFmtId="0" fontId="27" fillId="23" borderId="60" xfId="0" applyFont="1" applyFill="1" applyBorder="1" applyAlignment="1" applyProtection="1">
      <alignment horizontal="center" vertical="center" wrapText="1"/>
      <protection hidden="1"/>
    </xf>
    <xf numFmtId="0" fontId="27" fillId="19" borderId="121" xfId="0" applyFont="1" applyFill="1" applyBorder="1" applyAlignment="1" applyProtection="1">
      <alignment horizontal="center" vertical="center"/>
      <protection hidden="1"/>
    </xf>
    <xf numFmtId="0" fontId="23" fillId="0" borderId="1" xfId="0" applyFont="1" applyBorder="1" applyAlignment="1" applyProtection="1">
      <alignment horizontal="center" vertical="center"/>
      <protection hidden="1"/>
    </xf>
    <xf numFmtId="0" fontId="0" fillId="34" borderId="117" xfId="0" applyFill="1" applyBorder="1" applyAlignment="1" applyProtection="1">
      <alignment horizontal="center" vertical="center"/>
      <protection hidden="1"/>
    </xf>
    <xf numFmtId="0" fontId="23" fillId="0" borderId="8" xfId="0" applyFont="1" applyBorder="1" applyAlignment="1" applyProtection="1">
      <alignment horizontal="center" vertical="center"/>
      <protection hidden="1"/>
    </xf>
    <xf numFmtId="0" fontId="31" fillId="0" borderId="8" xfId="0" applyFont="1" applyBorder="1" applyAlignment="1" applyProtection="1">
      <alignment horizontal="center" vertical="center"/>
      <protection hidden="1"/>
    </xf>
    <xf numFmtId="0" fontId="31" fillId="0" borderId="8" xfId="0" applyFont="1" applyBorder="1" applyAlignment="1" applyProtection="1">
      <alignment vertical="center"/>
      <protection hidden="1"/>
    </xf>
    <xf numFmtId="0" fontId="23" fillId="0" borderId="113" xfId="0" applyFont="1" applyBorder="1" applyAlignment="1" applyProtection="1">
      <alignment horizontal="center" vertical="center"/>
      <protection hidden="1"/>
    </xf>
    <xf numFmtId="0" fontId="31" fillId="0" borderId="113" xfId="0" applyFont="1" applyBorder="1" applyAlignment="1" applyProtection="1">
      <alignment horizontal="center" vertical="center"/>
      <protection hidden="1"/>
    </xf>
    <xf numFmtId="0" fontId="31" fillId="0" borderId="113" xfId="0" applyFont="1" applyBorder="1" applyAlignment="1" applyProtection="1">
      <alignment vertical="center"/>
      <protection hidden="1"/>
    </xf>
    <xf numFmtId="0" fontId="31" fillId="0" borderId="122" xfId="0" applyFont="1" applyBorder="1" applyAlignment="1" applyProtection="1">
      <alignment horizontal="center" vertical="center"/>
      <protection hidden="1"/>
    </xf>
    <xf numFmtId="0" fontId="31" fillId="0" borderId="123" xfId="0" applyFont="1" applyBorder="1" applyAlignment="1" applyProtection="1">
      <alignment horizontal="center" vertical="center"/>
      <protection hidden="1"/>
    </xf>
    <xf numFmtId="0" fontId="31" fillId="0" borderId="124" xfId="0" applyFont="1" applyBorder="1" applyAlignment="1" applyProtection="1">
      <alignment horizontal="center" vertical="center"/>
      <protection hidden="1"/>
    </xf>
    <xf numFmtId="0" fontId="65" fillId="0" borderId="124" xfId="0" applyFont="1" applyBorder="1" applyAlignment="1" applyProtection="1">
      <alignment horizontal="left" vertical="center"/>
      <protection hidden="1"/>
    </xf>
    <xf numFmtId="0" fontId="69" fillId="19" borderId="0" xfId="0" applyFont="1" applyFill="1" applyAlignment="1" applyProtection="1">
      <alignment horizontal="left" vertical="center" indent="1"/>
      <protection hidden="1"/>
    </xf>
    <xf numFmtId="0" fontId="75" fillId="9" borderId="17" xfId="0" applyFont="1" applyFill="1" applyBorder="1" applyAlignment="1" applyProtection="1">
      <alignment horizontal="left" vertical="center" wrapText="1" indent="6" shrinkToFit="1"/>
      <protection hidden="1"/>
    </xf>
    <xf numFmtId="0" fontId="75" fillId="9" borderId="17" xfId="0" applyFont="1" applyFill="1" applyBorder="1" applyAlignment="1" applyProtection="1">
      <alignment horizontal="left" vertical="center" indent="6" shrinkToFit="1"/>
      <protection hidden="1"/>
    </xf>
    <xf numFmtId="0" fontId="12" fillId="7" borderId="85" xfId="0" applyFont="1" applyFill="1" applyBorder="1" applyAlignment="1" applyProtection="1">
      <alignment horizontal="center" vertical="center"/>
      <protection hidden="1"/>
    </xf>
    <xf numFmtId="0" fontId="12" fillId="7" borderId="87" xfId="0" applyFont="1" applyFill="1" applyBorder="1" applyAlignment="1" applyProtection="1">
      <alignment horizontal="center" vertical="center"/>
      <protection hidden="1"/>
    </xf>
    <xf numFmtId="0" fontId="12" fillId="8" borderId="85" xfId="0" applyFont="1" applyFill="1" applyBorder="1" applyAlignment="1" applyProtection="1">
      <alignment horizontal="center" vertical="center"/>
      <protection hidden="1"/>
    </xf>
    <xf numFmtId="0" fontId="12" fillId="8" borderId="86" xfId="0" applyFont="1" applyFill="1" applyBorder="1" applyAlignment="1" applyProtection="1">
      <alignment horizontal="center" vertical="center"/>
      <protection hidden="1"/>
    </xf>
    <xf numFmtId="0" fontId="12" fillId="8" borderId="87" xfId="0" applyFont="1" applyFill="1" applyBorder="1" applyAlignment="1" applyProtection="1">
      <alignment horizontal="center" vertical="center"/>
      <protection hidden="1"/>
    </xf>
    <xf numFmtId="0" fontId="74" fillId="9" borderId="17" xfId="0" applyFont="1" applyFill="1" applyBorder="1" applyAlignment="1" applyProtection="1">
      <alignment horizontal="center" vertical="center" shrinkToFit="1"/>
      <protection hidden="1"/>
    </xf>
    <xf numFmtId="0" fontId="80" fillId="23" borderId="0" xfId="0" applyFont="1" applyFill="1" applyAlignment="1" applyProtection="1">
      <alignment horizontal="center" vertical="center"/>
      <protection hidden="1"/>
    </xf>
    <xf numFmtId="0" fontId="60" fillId="11" borderId="0" xfId="0" applyFont="1" applyFill="1" applyAlignment="1" applyProtection="1">
      <alignment horizontal="center" vertical="center" shrinkToFit="1"/>
      <protection hidden="1"/>
    </xf>
    <xf numFmtId="0" fontId="54" fillId="4" borderId="1" xfId="0" applyFont="1" applyFill="1" applyBorder="1" applyAlignment="1" applyProtection="1">
      <alignment horizontal="center" vertical="center"/>
      <protection hidden="1"/>
    </xf>
    <xf numFmtId="0" fontId="64" fillId="2" borderId="1" xfId="0" applyFont="1" applyFill="1" applyBorder="1" applyAlignment="1" applyProtection="1">
      <alignment horizontal="left" vertical="center" indent="1"/>
      <protection locked="0"/>
    </xf>
    <xf numFmtId="0" fontId="53" fillId="2" borderId="1" xfId="0" applyFont="1" applyFill="1" applyBorder="1" applyAlignment="1" applyProtection="1">
      <alignment horizontal="center" vertical="center"/>
      <protection hidden="1"/>
    </xf>
    <xf numFmtId="0" fontId="53" fillId="2" borderId="14" xfId="0" applyFont="1" applyFill="1" applyBorder="1" applyAlignment="1" applyProtection="1">
      <alignment horizontal="center" vertical="center"/>
      <protection hidden="1"/>
    </xf>
    <xf numFmtId="0" fontId="61" fillId="4" borderId="2" xfId="0" applyFont="1" applyFill="1" applyBorder="1" applyAlignment="1" applyProtection="1">
      <alignment horizontal="center" vertical="center"/>
      <protection hidden="1"/>
    </xf>
    <xf numFmtId="0" fontId="61" fillId="4" borderId="31" xfId="0" applyFont="1" applyFill="1" applyBorder="1" applyAlignment="1" applyProtection="1">
      <alignment horizontal="center" vertical="center"/>
      <protection hidden="1"/>
    </xf>
    <xf numFmtId="0" fontId="61" fillId="4" borderId="3" xfId="0" applyFont="1" applyFill="1" applyBorder="1" applyAlignment="1" applyProtection="1">
      <alignment horizontal="center" vertical="center"/>
      <protection hidden="1"/>
    </xf>
    <xf numFmtId="0" fontId="55" fillId="4" borderId="2" xfId="0" applyFont="1" applyFill="1" applyBorder="1" applyAlignment="1" applyProtection="1">
      <alignment horizontal="center" vertical="center"/>
      <protection hidden="1"/>
    </xf>
    <xf numFmtId="0" fontId="55" fillId="4" borderId="31" xfId="0" applyFont="1" applyFill="1" applyBorder="1" applyAlignment="1" applyProtection="1">
      <alignment horizontal="center" vertical="center"/>
      <protection hidden="1"/>
    </xf>
    <xf numFmtId="0" fontId="55" fillId="4" borderId="3" xfId="0" applyFont="1" applyFill="1" applyBorder="1" applyAlignment="1" applyProtection="1">
      <alignment horizontal="center" vertical="center"/>
      <protection hidden="1"/>
    </xf>
    <xf numFmtId="0" fontId="40" fillId="17" borderId="35" xfId="0" applyFont="1" applyFill="1" applyBorder="1" applyAlignment="1" applyProtection="1">
      <alignment horizontal="center" vertical="center" wrapText="1"/>
      <protection hidden="1"/>
    </xf>
    <xf numFmtId="0" fontId="40" fillId="17" borderId="63" xfId="0" applyFont="1" applyFill="1" applyBorder="1" applyAlignment="1" applyProtection="1">
      <alignment horizontal="center" vertical="center" wrapText="1"/>
      <protection hidden="1"/>
    </xf>
    <xf numFmtId="0" fontId="40" fillId="17" borderId="36" xfId="0" applyFont="1" applyFill="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1" fillId="0" borderId="0" xfId="0" applyFont="1" applyAlignment="1" applyProtection="1">
      <alignment horizontal="center" vertical="center"/>
      <protection hidden="1"/>
    </xf>
    <xf numFmtId="0" fontId="10" fillId="18" borderId="17" xfId="0" applyFont="1" applyFill="1" applyBorder="1" applyAlignment="1" applyProtection="1">
      <alignment horizontal="center" vertical="center" wrapText="1"/>
      <protection hidden="1"/>
    </xf>
    <xf numFmtId="0" fontId="10" fillId="18" borderId="17" xfId="0" applyFont="1" applyFill="1" applyBorder="1" applyAlignment="1" applyProtection="1">
      <alignment horizontal="center" vertical="center"/>
      <protection hidden="1"/>
    </xf>
    <xf numFmtId="0" fontId="52" fillId="17" borderId="17" xfId="0" applyFont="1" applyFill="1" applyBorder="1" applyAlignment="1" applyProtection="1">
      <alignment horizontal="center" vertical="center" wrapText="1"/>
      <protection hidden="1"/>
    </xf>
    <xf numFmtId="0" fontId="8" fillId="7" borderId="79" xfId="0" applyFont="1" applyFill="1" applyBorder="1" applyAlignment="1" applyProtection="1">
      <alignment horizontal="center" vertical="center"/>
      <protection hidden="1"/>
    </xf>
    <xf numFmtId="0" fontId="13" fillId="10" borderId="2" xfId="0" applyFont="1" applyFill="1" applyBorder="1" applyAlignment="1" applyProtection="1">
      <alignment horizontal="center" vertical="center"/>
      <protection hidden="1"/>
    </xf>
    <xf numFmtId="0" fontId="13" fillId="10" borderId="3" xfId="0" applyFont="1" applyFill="1" applyBorder="1" applyAlignment="1" applyProtection="1">
      <alignment horizontal="center" vertical="center"/>
      <protection hidden="1"/>
    </xf>
    <xf numFmtId="0" fontId="12" fillId="13" borderId="62" xfId="0" applyFont="1" applyFill="1" applyBorder="1" applyAlignment="1" applyProtection="1">
      <alignment horizontal="center" vertical="center"/>
      <protection hidden="1"/>
    </xf>
    <xf numFmtId="0" fontId="12" fillId="13" borderId="42" xfId="0" applyFont="1" applyFill="1" applyBorder="1" applyAlignment="1" applyProtection="1">
      <alignment horizontal="center" vertical="center"/>
      <protection hidden="1"/>
    </xf>
    <xf numFmtId="0" fontId="12" fillId="13" borderId="40" xfId="0" applyFont="1" applyFill="1" applyBorder="1" applyAlignment="1" applyProtection="1">
      <alignment horizontal="center" vertical="center"/>
      <protection hidden="1"/>
    </xf>
    <xf numFmtId="0" fontId="12" fillId="13" borderId="34" xfId="0" applyFont="1" applyFill="1" applyBorder="1" applyAlignment="1" applyProtection="1">
      <alignment horizontal="center" vertical="center"/>
      <protection hidden="1"/>
    </xf>
    <xf numFmtId="0" fontId="40" fillId="18" borderId="35" xfId="0" applyFont="1" applyFill="1" applyBorder="1" applyAlignment="1" applyProtection="1">
      <alignment horizontal="center" vertical="center" wrapText="1"/>
      <protection hidden="1"/>
    </xf>
    <xf numFmtId="0" fontId="40" fillId="18" borderId="63" xfId="0" applyFont="1" applyFill="1" applyBorder="1" applyAlignment="1" applyProtection="1">
      <alignment horizontal="center" vertical="center" wrapText="1"/>
      <protection hidden="1"/>
    </xf>
    <xf numFmtId="0" fontId="40" fillId="18" borderId="36" xfId="0" applyFont="1" applyFill="1" applyBorder="1" applyAlignment="1" applyProtection="1">
      <alignment horizontal="center" vertical="center" wrapText="1"/>
      <protection hidden="1"/>
    </xf>
    <xf numFmtId="0" fontId="8" fillId="13" borderId="7" xfId="0" applyFont="1" applyFill="1" applyBorder="1" applyAlignment="1" applyProtection="1">
      <alignment horizontal="center" vertical="center"/>
      <protection hidden="1"/>
    </xf>
    <xf numFmtId="0" fontId="8" fillId="13" borderId="13" xfId="0" applyFont="1" applyFill="1" applyBorder="1" applyAlignment="1" applyProtection="1">
      <alignment horizontal="center" vertical="center"/>
      <protection hidden="1"/>
    </xf>
    <xf numFmtId="0" fontId="8" fillId="13" borderId="8" xfId="0" applyFont="1" applyFill="1" applyBorder="1" applyAlignment="1" applyProtection="1">
      <alignment horizontal="center" vertical="center"/>
      <protection hidden="1"/>
    </xf>
    <xf numFmtId="0" fontId="8" fillId="13" borderId="14" xfId="0" applyFont="1" applyFill="1" applyBorder="1" applyAlignment="1" applyProtection="1">
      <alignment horizontal="center" vertical="center"/>
      <protection hidden="1"/>
    </xf>
    <xf numFmtId="0" fontId="8" fillId="13" borderId="24" xfId="0" applyFont="1" applyFill="1" applyBorder="1" applyAlignment="1" applyProtection="1">
      <alignment horizontal="center" vertical="center"/>
      <protection hidden="1"/>
    </xf>
    <xf numFmtId="0" fontId="8" fillId="13" borderId="19" xfId="0" applyFont="1" applyFill="1" applyBorder="1" applyAlignment="1" applyProtection="1">
      <alignment horizontal="center" vertical="center"/>
      <protection hidden="1"/>
    </xf>
    <xf numFmtId="0" fontId="5" fillId="0" borderId="50" xfId="0" applyFont="1" applyBorder="1" applyAlignment="1" applyProtection="1">
      <alignment vertical="center"/>
      <protection locked="0"/>
    </xf>
    <xf numFmtId="0" fontId="5" fillId="0" borderId="91" xfId="0" applyFont="1" applyBorder="1" applyAlignment="1" applyProtection="1">
      <alignment vertical="center"/>
      <protection locked="0"/>
    </xf>
    <xf numFmtId="0" fontId="12" fillId="16" borderId="51" xfId="0" applyFont="1" applyFill="1" applyBorder="1" applyAlignment="1" applyProtection="1">
      <alignment vertical="center"/>
      <protection hidden="1"/>
    </xf>
    <xf numFmtId="0" fontId="7" fillId="0" borderId="54" xfId="0" applyFont="1" applyBorder="1" applyAlignment="1" applyProtection="1">
      <alignment vertical="center" shrinkToFit="1"/>
      <protection locked="0"/>
    </xf>
    <xf numFmtId="0" fontId="7" fillId="0" borderId="55" xfId="0" applyFont="1" applyBorder="1" applyAlignment="1" applyProtection="1">
      <alignment vertical="center" shrinkToFit="1"/>
      <protection locked="0"/>
    </xf>
    <xf numFmtId="0" fontId="7" fillId="0" borderId="57" xfId="0" applyFont="1" applyBorder="1" applyAlignment="1" applyProtection="1">
      <alignment vertical="center" shrinkToFit="1"/>
      <protection locked="0"/>
    </xf>
    <xf numFmtId="0" fontId="7" fillId="0" borderId="58" xfId="0" applyFont="1" applyBorder="1" applyAlignment="1" applyProtection="1">
      <alignment vertical="center" shrinkToFit="1"/>
      <protection locked="0"/>
    </xf>
    <xf numFmtId="0" fontId="13" fillId="17" borderId="59" xfId="0" applyFont="1" applyFill="1" applyBorder="1" applyAlignment="1" applyProtection="1">
      <alignment horizontal="center" vertical="center"/>
      <protection hidden="1"/>
    </xf>
    <xf numFmtId="0" fontId="13" fillId="17" borderId="94" xfId="0" applyFont="1" applyFill="1" applyBorder="1" applyAlignment="1" applyProtection="1">
      <alignment horizontal="center" vertical="center"/>
      <protection hidden="1"/>
    </xf>
    <xf numFmtId="0" fontId="8" fillId="15" borderId="88" xfId="0" applyFont="1" applyFill="1" applyBorder="1" applyAlignment="1" applyProtection="1">
      <alignment horizontal="center"/>
      <protection hidden="1"/>
    </xf>
    <xf numFmtId="0" fontId="8" fillId="15" borderId="59" xfId="0" applyFont="1" applyFill="1" applyBorder="1" applyAlignment="1" applyProtection="1">
      <alignment horizontal="center"/>
      <protection hidden="1"/>
    </xf>
    <xf numFmtId="0" fontId="8" fillId="17" borderId="12" xfId="0" applyFont="1" applyFill="1" applyBorder="1" applyAlignment="1" applyProtection="1">
      <alignment horizontal="center" vertical="center"/>
      <protection hidden="1"/>
    </xf>
    <xf numFmtId="0" fontId="8" fillId="17" borderId="18" xfId="0" applyFont="1" applyFill="1" applyBorder="1" applyAlignment="1" applyProtection="1">
      <alignment horizontal="center" vertical="center"/>
      <protection hidden="1"/>
    </xf>
    <xf numFmtId="0" fontId="10" fillId="17" borderId="17" xfId="0" applyFont="1" applyFill="1" applyBorder="1" applyAlignment="1" applyProtection="1">
      <alignment horizontal="center" vertical="center" wrapText="1"/>
      <protection hidden="1"/>
    </xf>
    <xf numFmtId="0" fontId="13" fillId="0" borderId="1" xfId="0" applyFont="1" applyBorder="1" applyAlignment="1" applyProtection="1">
      <alignment horizontal="center"/>
      <protection hidden="1"/>
    </xf>
    <xf numFmtId="0" fontId="13" fillId="0" borderId="1" xfId="0" applyFont="1" applyBorder="1" applyAlignment="1" applyProtection="1">
      <alignment horizontal="center" vertical="center"/>
      <protection hidden="1"/>
    </xf>
    <xf numFmtId="0" fontId="13" fillId="0" borderId="2" xfId="0" applyFont="1" applyBorder="1" applyAlignment="1" applyProtection="1">
      <alignment horizontal="center" vertical="center"/>
      <protection hidden="1"/>
    </xf>
    <xf numFmtId="0" fontId="13" fillId="0" borderId="31" xfId="0" applyFont="1" applyBorder="1" applyAlignment="1" applyProtection="1">
      <alignment horizontal="center" vertical="center"/>
      <protection hidden="1"/>
    </xf>
    <xf numFmtId="0" fontId="13" fillId="0" borderId="3" xfId="0" applyFont="1" applyBorder="1" applyAlignment="1" applyProtection="1">
      <alignment horizontal="center" vertical="center"/>
      <protection hidden="1"/>
    </xf>
    <xf numFmtId="0" fontId="5" fillId="0" borderId="98" xfId="0" applyFont="1" applyBorder="1" applyAlignment="1" applyProtection="1">
      <alignment vertical="center"/>
      <protection locked="0"/>
    </xf>
    <xf numFmtId="0" fontId="5" fillId="0" borderId="99" xfId="0" applyFont="1" applyBorder="1" applyAlignment="1" applyProtection="1">
      <alignment vertical="center"/>
      <protection locked="0"/>
    </xf>
    <xf numFmtId="0" fontId="5" fillId="0" borderId="100" xfId="0" applyFont="1" applyBorder="1" applyAlignment="1" applyProtection="1">
      <alignment vertical="center"/>
      <protection locked="0"/>
    </xf>
    <xf numFmtId="0" fontId="4" fillId="0" borderId="105" xfId="0" applyFont="1" applyBorder="1" applyAlignment="1" applyProtection="1">
      <alignment horizontal="center" vertical="center"/>
      <protection locked="0"/>
    </xf>
    <xf numFmtId="0" fontId="4" fillId="0" borderId="106" xfId="0" applyFont="1" applyBorder="1" applyAlignment="1" applyProtection="1">
      <alignment horizontal="center" vertical="center"/>
      <protection locked="0"/>
    </xf>
    <xf numFmtId="0" fontId="4" fillId="0" borderId="109" xfId="0" applyFont="1" applyBorder="1" applyAlignment="1" applyProtection="1">
      <alignment horizontal="center" vertical="center"/>
      <protection locked="0"/>
    </xf>
    <xf numFmtId="0" fontId="4" fillId="0" borderId="107" xfId="0" applyFont="1" applyBorder="1" applyAlignment="1" applyProtection="1">
      <alignment horizontal="center" vertical="center"/>
      <protection locked="0"/>
    </xf>
    <xf numFmtId="0" fontId="16" fillId="11" borderId="98" xfId="0" applyFont="1" applyFill="1" applyBorder="1" applyAlignment="1" applyProtection="1">
      <alignment horizontal="center" vertical="center"/>
      <protection hidden="1"/>
    </xf>
    <xf numFmtId="0" fontId="16" fillId="11" borderId="108" xfId="0" applyFont="1" applyFill="1" applyBorder="1" applyAlignment="1" applyProtection="1">
      <alignment horizontal="center" vertical="center"/>
      <protection hidden="1"/>
    </xf>
    <xf numFmtId="0" fontId="17" fillId="0" borderId="1" xfId="0" applyFont="1" applyBorder="1" applyAlignment="1" applyProtection="1">
      <alignment vertical="center"/>
      <protection hidden="1"/>
    </xf>
    <xf numFmtId="0" fontId="17" fillId="0" borderId="0" xfId="0" applyFont="1" applyAlignment="1" applyProtection="1">
      <alignment vertical="center"/>
      <protection hidden="1"/>
    </xf>
    <xf numFmtId="0" fontId="17" fillId="0" borderId="2" xfId="0" applyFont="1" applyBorder="1" applyAlignment="1" applyProtection="1">
      <alignment vertical="center"/>
      <protection hidden="1"/>
    </xf>
    <xf numFmtId="0" fontId="17" fillId="0" borderId="31" xfId="0" applyFont="1" applyBorder="1" applyAlignment="1" applyProtection="1">
      <alignment vertical="center"/>
      <protection hidden="1"/>
    </xf>
    <xf numFmtId="0" fontId="10" fillId="17" borderId="17" xfId="0" applyFont="1" applyFill="1" applyBorder="1" applyAlignment="1" applyProtection="1">
      <alignment horizontal="center" vertical="center"/>
      <protection hidden="1"/>
    </xf>
    <xf numFmtId="0" fontId="8" fillId="18" borderId="1" xfId="0" applyFont="1" applyFill="1" applyBorder="1" applyAlignment="1" applyProtection="1">
      <alignment horizontal="center" vertical="center" wrapText="1"/>
      <protection hidden="1"/>
    </xf>
    <xf numFmtId="0" fontId="8" fillId="18" borderId="14" xfId="0" applyFont="1" applyFill="1" applyBorder="1" applyAlignment="1" applyProtection="1">
      <alignment horizontal="center" vertical="center" wrapText="1"/>
      <protection hidden="1"/>
    </xf>
    <xf numFmtId="0" fontId="13" fillId="10" borderId="31" xfId="0" applyFont="1" applyFill="1" applyBorder="1" applyAlignment="1" applyProtection="1">
      <alignment horizontal="center" vertical="center"/>
      <protection hidden="1"/>
    </xf>
    <xf numFmtId="0" fontId="22" fillId="17" borderId="31" xfId="0" applyFont="1" applyFill="1" applyBorder="1" applyAlignment="1" applyProtection="1">
      <alignment horizontal="left" vertical="center" shrinkToFit="1"/>
      <protection hidden="1"/>
    </xf>
    <xf numFmtId="0" fontId="22" fillId="17" borderId="3" xfId="0" applyFont="1" applyFill="1" applyBorder="1" applyAlignment="1" applyProtection="1">
      <alignment horizontal="left" vertical="center" shrinkToFit="1"/>
      <protection hidden="1"/>
    </xf>
    <xf numFmtId="0" fontId="8" fillId="17" borderId="37" xfId="0" applyFont="1" applyFill="1" applyBorder="1" applyAlignment="1" applyProtection="1">
      <alignment horizontal="center" vertical="center"/>
      <protection hidden="1"/>
    </xf>
    <xf numFmtId="0" fontId="8" fillId="17" borderId="38" xfId="0" applyFont="1" applyFill="1" applyBorder="1" applyAlignment="1" applyProtection="1">
      <alignment horizontal="center" vertical="center"/>
      <protection hidden="1"/>
    </xf>
    <xf numFmtId="0" fontId="49" fillId="23" borderId="20" xfId="0" applyFont="1" applyFill="1" applyBorder="1" applyAlignment="1" applyProtection="1">
      <alignment horizontal="center" vertical="center" wrapText="1"/>
      <protection hidden="1"/>
    </xf>
    <xf numFmtId="0" fontId="8" fillId="17" borderId="88" xfId="0" applyFont="1" applyFill="1" applyBorder="1" applyAlignment="1" applyProtection="1">
      <alignment horizontal="center"/>
      <protection hidden="1"/>
    </xf>
    <xf numFmtId="0" fontId="8" fillId="17" borderId="59" xfId="0" applyFont="1" applyFill="1" applyBorder="1" applyAlignment="1" applyProtection="1">
      <alignment horizontal="center"/>
      <protection hidden="1"/>
    </xf>
    <xf numFmtId="0" fontId="12" fillId="20" borderId="51" xfId="0" applyFont="1" applyFill="1" applyBorder="1" applyAlignment="1" applyProtection="1">
      <alignment horizontal="center" vertical="center"/>
      <protection hidden="1"/>
    </xf>
    <xf numFmtId="0" fontId="13" fillId="17" borderId="80" xfId="0" applyFont="1" applyFill="1" applyBorder="1" applyAlignment="1" applyProtection="1">
      <alignment horizontal="center" vertical="center"/>
      <protection hidden="1"/>
    </xf>
    <xf numFmtId="0" fontId="13" fillId="17" borderId="81" xfId="0" applyFont="1" applyFill="1" applyBorder="1" applyAlignment="1" applyProtection="1">
      <alignment horizontal="center" vertical="center"/>
      <protection hidden="1"/>
    </xf>
    <xf numFmtId="0" fontId="13" fillId="17" borderId="82" xfId="0" applyFont="1" applyFill="1" applyBorder="1" applyAlignment="1" applyProtection="1">
      <alignment horizontal="center" vertical="center"/>
      <protection hidden="1"/>
    </xf>
    <xf numFmtId="0" fontId="8" fillId="18" borderId="62" xfId="0" applyFont="1" applyFill="1" applyBorder="1" applyAlignment="1" applyProtection="1">
      <alignment horizontal="center" vertical="center"/>
      <protection hidden="1"/>
    </xf>
    <xf numFmtId="0" fontId="8" fillId="18" borderId="42" xfId="0" applyFont="1" applyFill="1" applyBorder="1" applyAlignment="1" applyProtection="1">
      <alignment horizontal="center" vertical="center"/>
      <protection hidden="1"/>
    </xf>
    <xf numFmtId="0" fontId="59" fillId="19" borderId="0" xfId="0" applyFont="1" applyFill="1" applyAlignment="1" applyProtection="1">
      <alignment horizontal="center" vertical="center" wrapText="1"/>
      <protection hidden="1"/>
    </xf>
    <xf numFmtId="0" fontId="22" fillId="18" borderId="2" xfId="0" applyFont="1" applyFill="1" applyBorder="1" applyAlignment="1" applyProtection="1">
      <alignment horizontal="center" vertical="center"/>
      <protection hidden="1"/>
    </xf>
    <xf numFmtId="0" fontId="22" fillId="18" borderId="31" xfId="0" applyFont="1" applyFill="1" applyBorder="1" applyAlignment="1" applyProtection="1">
      <alignment horizontal="center" vertical="center"/>
      <protection hidden="1"/>
    </xf>
    <xf numFmtId="0" fontId="22" fillId="18" borderId="31" xfId="0" applyFont="1" applyFill="1" applyBorder="1" applyAlignment="1" applyProtection="1">
      <alignment vertical="center"/>
      <protection hidden="1"/>
    </xf>
    <xf numFmtId="0" fontId="22" fillId="18" borderId="3" xfId="0" applyFont="1" applyFill="1" applyBorder="1" applyAlignment="1" applyProtection="1">
      <alignment vertical="center"/>
      <protection hidden="1"/>
    </xf>
    <xf numFmtId="0" fontId="13" fillId="17" borderId="2" xfId="0" applyFont="1" applyFill="1" applyBorder="1" applyAlignment="1" applyProtection="1">
      <alignment horizontal="center" vertical="center"/>
      <protection hidden="1"/>
    </xf>
    <xf numFmtId="0" fontId="13" fillId="17" borderId="31" xfId="0" applyFont="1" applyFill="1" applyBorder="1" applyAlignment="1" applyProtection="1">
      <alignment horizontal="center" vertical="center"/>
      <protection hidden="1"/>
    </xf>
    <xf numFmtId="0" fontId="13" fillId="18" borderId="32" xfId="0" applyFont="1" applyFill="1" applyBorder="1" applyAlignment="1" applyProtection="1">
      <alignment horizontal="center" vertical="center" shrinkToFit="1"/>
      <protection hidden="1"/>
    </xf>
    <xf numFmtId="0" fontId="13" fillId="18" borderId="31" xfId="0" applyFont="1" applyFill="1" applyBorder="1" applyAlignment="1" applyProtection="1">
      <alignment horizontal="center" vertical="center" shrinkToFit="1"/>
      <protection hidden="1"/>
    </xf>
    <xf numFmtId="0" fontId="13" fillId="18" borderId="33" xfId="0" applyFont="1" applyFill="1" applyBorder="1" applyAlignment="1" applyProtection="1">
      <alignment horizontal="center" vertical="center" shrinkToFit="1"/>
      <protection hidden="1"/>
    </xf>
    <xf numFmtId="0" fontId="8" fillId="18" borderId="12" xfId="0" applyFont="1" applyFill="1" applyBorder="1" applyAlignment="1" applyProtection="1">
      <alignment horizontal="center" vertical="center"/>
      <protection hidden="1"/>
    </xf>
    <xf numFmtId="0" fontId="8" fillId="18" borderId="18" xfId="0" applyFont="1" applyFill="1" applyBorder="1" applyAlignment="1" applyProtection="1">
      <alignment horizontal="center" vertical="center"/>
      <protection hidden="1"/>
    </xf>
    <xf numFmtId="0" fontId="13" fillId="15" borderId="83" xfId="0" applyFont="1" applyFill="1" applyBorder="1" applyAlignment="1" applyProtection="1">
      <alignment horizontal="center" vertical="center"/>
      <protection hidden="1"/>
    </xf>
    <xf numFmtId="0" fontId="13" fillId="15" borderId="84" xfId="0" applyFont="1" applyFill="1" applyBorder="1" applyAlignment="1" applyProtection="1">
      <alignment horizontal="center" vertical="center"/>
      <protection hidden="1"/>
    </xf>
    <xf numFmtId="0" fontId="13" fillId="15" borderId="89" xfId="0" applyFont="1" applyFill="1" applyBorder="1" applyAlignment="1" applyProtection="1">
      <alignment horizontal="center" vertical="center"/>
      <protection hidden="1"/>
    </xf>
    <xf numFmtId="0" fontId="13" fillId="15" borderId="85" xfId="0" applyFont="1" applyFill="1" applyBorder="1" applyAlignment="1" applyProtection="1">
      <alignment horizontal="center" vertical="center"/>
      <protection hidden="1"/>
    </xf>
    <xf numFmtId="0" fontId="13" fillId="15" borderId="86" xfId="0" applyFont="1" applyFill="1" applyBorder="1" applyAlignment="1" applyProtection="1">
      <alignment horizontal="center" vertical="center"/>
      <protection hidden="1"/>
    </xf>
    <xf numFmtId="0" fontId="13" fillId="15" borderId="87" xfId="0" applyFont="1" applyFill="1" applyBorder="1" applyAlignment="1" applyProtection="1">
      <alignment horizontal="center" vertical="center"/>
      <protection hidden="1"/>
    </xf>
    <xf numFmtId="0" fontId="8" fillId="17" borderId="1" xfId="0" applyFont="1" applyFill="1" applyBorder="1" applyAlignment="1" applyProtection="1">
      <alignment horizontal="center" vertical="center" wrapText="1"/>
      <protection hidden="1"/>
    </xf>
    <xf numFmtId="0" fontId="8" fillId="17" borderId="14" xfId="0" applyFont="1" applyFill="1" applyBorder="1" applyAlignment="1" applyProtection="1">
      <alignment horizontal="center" vertical="center" wrapText="1"/>
      <protection hidden="1"/>
    </xf>
    <xf numFmtId="164" fontId="71" fillId="22" borderId="49" xfId="1" applyFont="1" applyFill="1" applyBorder="1" applyAlignment="1" applyProtection="1">
      <alignment horizontal="center" vertical="center"/>
      <protection hidden="1"/>
    </xf>
    <xf numFmtId="164" fontId="71" fillId="22" borderId="96" xfId="1" applyFont="1" applyFill="1" applyBorder="1" applyAlignment="1" applyProtection="1">
      <alignment horizontal="center" vertical="center"/>
      <protection hidden="1"/>
    </xf>
    <xf numFmtId="164" fontId="71" fillId="22" borderId="97" xfId="1" applyFont="1" applyFill="1" applyBorder="1" applyAlignment="1" applyProtection="1">
      <alignment horizontal="center" vertical="center"/>
      <protection hidden="1"/>
    </xf>
    <xf numFmtId="0" fontId="24" fillId="22" borderId="43" xfId="0" applyFont="1" applyFill="1" applyBorder="1" applyAlignment="1" applyProtection="1">
      <alignment horizontal="center" vertical="center"/>
      <protection hidden="1"/>
    </xf>
    <xf numFmtId="0" fontId="24" fillId="22" borderId="44" xfId="0" applyFont="1" applyFill="1" applyBorder="1" applyAlignment="1" applyProtection="1">
      <alignment horizontal="center" vertical="center"/>
      <protection hidden="1"/>
    </xf>
    <xf numFmtId="0" fontId="24" fillId="22" borderId="45" xfId="0" applyFont="1" applyFill="1" applyBorder="1" applyAlignment="1" applyProtection="1">
      <alignment horizontal="center" vertical="center"/>
      <protection hidden="1"/>
    </xf>
    <xf numFmtId="0" fontId="24" fillId="25" borderId="43" xfId="0" applyFont="1" applyFill="1" applyBorder="1" applyAlignment="1" applyProtection="1">
      <alignment horizontal="center" vertical="center"/>
      <protection hidden="1"/>
    </xf>
    <xf numFmtId="0" fontId="24" fillId="25" borderId="44" xfId="0" applyFont="1" applyFill="1" applyBorder="1" applyAlignment="1" applyProtection="1">
      <alignment horizontal="center" vertical="center"/>
      <protection hidden="1"/>
    </xf>
    <xf numFmtId="0" fontId="27" fillId="0" borderId="60" xfId="0" applyFont="1" applyBorder="1" applyAlignment="1" applyProtection="1">
      <alignment horizontal="center" vertical="center"/>
      <protection hidden="1"/>
    </xf>
    <xf numFmtId="0" fontId="27" fillId="0" borderId="23" xfId="0" applyFont="1" applyBorder="1" applyAlignment="1" applyProtection="1">
      <alignment horizontal="center" vertical="center"/>
      <protection hidden="1"/>
    </xf>
    <xf numFmtId="0" fontId="27" fillId="0" borderId="39" xfId="0" applyFont="1" applyBorder="1" applyAlignment="1" applyProtection="1">
      <alignment horizontal="center" vertical="center"/>
      <protection hidden="1"/>
    </xf>
    <xf numFmtId="0" fontId="27" fillId="0" borderId="46" xfId="0" applyFont="1" applyBorder="1" applyAlignment="1" applyProtection="1">
      <alignment horizontal="center" vertical="center"/>
      <protection hidden="1"/>
    </xf>
    <xf numFmtId="0" fontId="27" fillId="0" borderId="21" xfId="0" applyFont="1" applyBorder="1" applyAlignment="1" applyProtection="1">
      <alignment horizontal="center" vertical="center"/>
      <protection hidden="1"/>
    </xf>
    <xf numFmtId="0" fontId="27" fillId="0" borderId="13" xfId="0" applyFont="1" applyBorder="1" applyAlignment="1" applyProtection="1">
      <alignment horizontal="center" vertical="center"/>
      <protection hidden="1"/>
    </xf>
    <xf numFmtId="0" fontId="27" fillId="0" borderId="60" xfId="0" applyFont="1" applyBorder="1" applyAlignment="1" applyProtection="1">
      <alignment horizontal="center" vertical="center" wrapText="1"/>
      <protection hidden="1"/>
    </xf>
    <xf numFmtId="0" fontId="27" fillId="0" borderId="23" xfId="0" applyFont="1" applyBorder="1" applyAlignment="1" applyProtection="1">
      <alignment horizontal="center" vertical="center" wrapText="1"/>
      <protection hidden="1"/>
    </xf>
    <xf numFmtId="0" fontId="27" fillId="0" borderId="39" xfId="0" applyFont="1" applyBorder="1" applyAlignment="1" applyProtection="1">
      <alignment horizontal="center" vertical="center" wrapText="1"/>
      <protection hidden="1"/>
    </xf>
    <xf numFmtId="0" fontId="27" fillId="0" borderId="47" xfId="0" applyFont="1" applyBorder="1" applyAlignment="1" applyProtection="1">
      <alignment horizontal="center" vertical="center"/>
      <protection hidden="1"/>
    </xf>
    <xf numFmtId="0" fontId="27" fillId="0" borderId="14" xfId="0" applyFont="1" applyBorder="1" applyAlignment="1" applyProtection="1">
      <alignment horizontal="center" vertical="center"/>
      <protection hidden="1"/>
    </xf>
    <xf numFmtId="0" fontId="27" fillId="0" borderId="61" xfId="0" applyFont="1" applyBorder="1" applyAlignment="1" applyProtection="1">
      <alignment horizontal="center" vertical="center"/>
      <protection hidden="1"/>
    </xf>
    <xf numFmtId="0" fontId="27" fillId="0" borderId="25" xfId="0" applyFont="1" applyBorder="1" applyAlignment="1" applyProtection="1">
      <alignment horizontal="center" vertical="center"/>
      <protection hidden="1"/>
    </xf>
    <xf numFmtId="0" fontId="27" fillId="0" borderId="34" xfId="0" applyFont="1" applyBorder="1" applyAlignment="1" applyProtection="1">
      <alignment horizontal="center" vertical="center"/>
      <protection hidden="1"/>
    </xf>
    <xf numFmtId="164" fontId="71" fillId="25" borderId="62" xfId="1" applyFont="1" applyFill="1" applyBorder="1" applyAlignment="1" applyProtection="1">
      <alignment horizontal="center" vertical="center"/>
      <protection hidden="1"/>
    </xf>
    <xf numFmtId="164" fontId="71" fillId="25" borderId="41" xfId="1" applyFont="1" applyFill="1" applyBorder="1" applyAlignment="1" applyProtection="1">
      <alignment horizontal="center" vertical="center"/>
      <protection hidden="1"/>
    </xf>
    <xf numFmtId="164" fontId="71" fillId="25" borderId="69" xfId="1" applyFont="1" applyFill="1" applyBorder="1" applyAlignment="1" applyProtection="1">
      <alignment horizontal="center" vertical="center"/>
      <protection hidden="1"/>
    </xf>
    <xf numFmtId="0" fontId="93" fillId="0" borderId="0" xfId="0" applyFont="1" applyAlignment="1">
      <alignment horizontal="left" vertical="top" indent="6"/>
    </xf>
    <xf numFmtId="0" fontId="88" fillId="33" borderId="22" xfId="0" applyFont="1" applyFill="1" applyBorder="1" applyAlignment="1" applyProtection="1">
      <alignment horizontal="center" vertical="center"/>
      <protection hidden="1"/>
    </xf>
    <xf numFmtId="0" fontId="88" fillId="33" borderId="115" xfId="0" applyFont="1" applyFill="1" applyBorder="1" applyAlignment="1" applyProtection="1">
      <alignment horizontal="center" vertical="center"/>
      <protection hidden="1"/>
    </xf>
    <xf numFmtId="0" fontId="88" fillId="31" borderId="2" xfId="0" applyFont="1" applyFill="1" applyBorder="1" applyAlignment="1" applyProtection="1">
      <alignment horizontal="center" vertical="center"/>
      <protection hidden="1"/>
    </xf>
    <xf numFmtId="0" fontId="88" fillId="31" borderId="31" xfId="0" applyFont="1" applyFill="1" applyBorder="1" applyAlignment="1" applyProtection="1">
      <alignment horizontal="center" vertical="center"/>
      <protection hidden="1"/>
    </xf>
    <xf numFmtId="0" fontId="88" fillId="31" borderId="3" xfId="0" applyFont="1" applyFill="1" applyBorder="1" applyAlignment="1" applyProtection="1">
      <alignment horizontal="center" vertical="center"/>
      <protection hidden="1"/>
    </xf>
    <xf numFmtId="0" fontId="88" fillId="32" borderId="2" xfId="0" applyFont="1" applyFill="1" applyBorder="1" applyAlignment="1" applyProtection="1">
      <alignment horizontal="center" vertical="center"/>
      <protection hidden="1"/>
    </xf>
    <xf numFmtId="0" fontId="88" fillId="32" borderId="31" xfId="0" applyFont="1" applyFill="1" applyBorder="1" applyAlignment="1" applyProtection="1">
      <alignment horizontal="center" vertical="center"/>
      <protection hidden="1"/>
    </xf>
    <xf numFmtId="0" fontId="88" fillId="32" borderId="3" xfId="0" applyFont="1" applyFill="1" applyBorder="1" applyAlignment="1" applyProtection="1">
      <alignment horizontal="center" vertical="center"/>
      <protection hidden="1"/>
    </xf>
    <xf numFmtId="0" fontId="87" fillId="23" borderId="2" xfId="0" applyFont="1" applyFill="1" applyBorder="1" applyAlignment="1">
      <alignment horizontal="center"/>
    </xf>
    <xf numFmtId="0" fontId="87" fillId="23" borderId="31" xfId="0" applyFont="1" applyFill="1" applyBorder="1" applyAlignment="1">
      <alignment horizontal="center"/>
    </xf>
    <xf numFmtId="0" fontId="87" fillId="23" borderId="3" xfId="0" applyFont="1" applyFill="1" applyBorder="1" applyAlignment="1">
      <alignment horizontal="center"/>
    </xf>
    <xf numFmtId="0" fontId="86" fillId="5" borderId="1" xfId="0" applyFont="1" applyFill="1" applyBorder="1" applyAlignment="1" applyProtection="1">
      <alignment horizontal="center" vertical="center"/>
      <protection hidden="1"/>
    </xf>
    <xf numFmtId="0" fontId="86" fillId="5" borderId="1" xfId="0" applyFont="1" applyFill="1" applyBorder="1" applyAlignment="1" applyProtection="1">
      <alignment horizontal="center" vertical="center" wrapText="1"/>
      <protection hidden="1"/>
    </xf>
    <xf numFmtId="0" fontId="86" fillId="5" borderId="22" xfId="0" applyFont="1" applyFill="1" applyBorder="1" applyAlignment="1" applyProtection="1">
      <alignment horizontal="center" vertical="center" wrapText="1"/>
      <protection hidden="1"/>
    </xf>
    <xf numFmtId="0" fontId="86" fillId="5" borderId="23" xfId="0" applyFont="1" applyFill="1" applyBorder="1" applyAlignment="1" applyProtection="1">
      <alignment horizontal="center" vertical="center" wrapText="1"/>
      <protection hidden="1"/>
    </xf>
    <xf numFmtId="0" fontId="86" fillId="5" borderId="8" xfId="0" applyFont="1" applyFill="1" applyBorder="1" applyAlignment="1" applyProtection="1">
      <alignment horizontal="center" vertical="center" wrapText="1"/>
      <protection hidden="1"/>
    </xf>
    <xf numFmtId="0" fontId="0" fillId="28" borderId="0" xfId="0" applyFill="1" applyAlignment="1" applyProtection="1">
      <alignment horizontal="left" vertical="center" wrapText="1"/>
      <protection hidden="1"/>
    </xf>
    <xf numFmtId="0" fontId="84" fillId="29" borderId="101" xfId="0" applyFont="1" applyFill="1" applyBorder="1" applyAlignment="1" applyProtection="1">
      <alignment horizontal="center" vertical="center" wrapText="1"/>
      <protection hidden="1"/>
    </xf>
    <xf numFmtId="0" fontId="84" fillId="29" borderId="102" xfId="0" applyFont="1" applyFill="1" applyBorder="1" applyAlignment="1" applyProtection="1">
      <alignment horizontal="center" vertical="center" wrapText="1"/>
      <protection hidden="1"/>
    </xf>
    <xf numFmtId="0" fontId="84" fillId="29" borderId="103" xfId="0" applyFont="1" applyFill="1" applyBorder="1" applyAlignment="1" applyProtection="1">
      <alignment horizontal="center" vertical="center" wrapText="1"/>
      <protection hidden="1"/>
    </xf>
    <xf numFmtId="0" fontId="84" fillId="29" borderId="104" xfId="0" applyFont="1" applyFill="1" applyBorder="1" applyAlignment="1" applyProtection="1">
      <alignment horizontal="center" vertical="center" wrapText="1"/>
      <protection hidden="1"/>
    </xf>
  </cellXfs>
  <cellStyles count="4">
    <cellStyle name="Comma [0]" xfId="1" builtinId="6"/>
    <cellStyle name="Normal" xfId="0" builtinId="0"/>
    <cellStyle name="Normal 2" xfId="2" xr:uid="{00000000-0005-0000-0000-000002000000}"/>
    <cellStyle name="Normal_KELAS 7" xfId="3" xr:uid="{00000000-0005-0000-0000-000003000000}"/>
  </cellStyles>
  <dxfs count="355">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val="0"/>
        <i val="0"/>
        <color rgb="FFC00000"/>
      </font>
    </dxf>
    <dxf>
      <font>
        <b val="0"/>
        <i val="0"/>
        <color rgb="FFC00000"/>
      </font>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color theme="8" tint="0.79998168889431442"/>
      </font>
    </dxf>
    <dxf>
      <fill>
        <patternFill patternType="none">
          <bgColor auto="1"/>
        </patternFill>
      </fill>
      <border>
        <left/>
        <right/>
        <top/>
        <bottom/>
        <vertical/>
        <horizontal/>
      </border>
    </dxf>
    <dxf>
      <border>
        <bottom style="thin">
          <color auto="1"/>
        </bottom>
        <vertical/>
        <horizontal/>
      </border>
    </dxf>
    <dxf>
      <font>
        <color theme="8" tint="0.79998168889431442"/>
      </font>
    </dxf>
    <dxf>
      <font>
        <color theme="5" tint="0.79998168889431442"/>
      </font>
    </dxf>
    <dxf>
      <font>
        <color theme="5" tint="0.79998168889431442"/>
      </font>
    </dxf>
    <dxf>
      <font>
        <color auto="1"/>
      </font>
      <fill>
        <patternFill>
          <bgColor rgb="FFFFFF00"/>
        </patternFill>
      </fill>
    </dxf>
    <dxf>
      <font>
        <color theme="8" tint="0.59996337778862885"/>
      </font>
      <fill>
        <patternFill>
          <bgColor theme="8" tint="0.59996337778862885"/>
        </patternFill>
      </fill>
      <border>
        <left/>
        <right/>
        <top/>
        <bottom/>
        <vertical/>
        <horizontal/>
      </border>
    </dxf>
    <dxf>
      <font>
        <color theme="8" tint="0.59996337778862885"/>
      </font>
      <fill>
        <patternFill>
          <bgColor theme="8" tint="0.59996337778862885"/>
        </patternFill>
      </fill>
      <border>
        <left/>
        <right/>
        <top/>
        <bottom/>
        <vertical/>
        <horizontal/>
      </border>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color auto="1"/>
      </font>
      <fill>
        <patternFill>
          <bgColor rgb="FFFFFF00"/>
        </patternFill>
      </fill>
    </dxf>
    <dxf>
      <font>
        <color auto="1"/>
      </font>
      <fill>
        <patternFill>
          <bgColor rgb="FFFFFF00"/>
        </patternFill>
      </fill>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ont>
        <b/>
        <i val="0"/>
        <color rgb="FFFFFF00"/>
      </font>
      <fill>
        <patternFill>
          <bgColor rgb="FFFF0000"/>
        </patternFill>
      </fill>
    </dxf>
    <dxf>
      <fill>
        <patternFill patternType="none">
          <bgColor auto="1"/>
        </patternFill>
      </fill>
      <border>
        <left/>
        <right/>
        <top/>
        <bottom/>
        <vertical/>
        <horizontal/>
      </border>
    </dxf>
    <dxf>
      <border>
        <bottom style="thin">
          <color auto="1"/>
        </bottom>
        <vertical/>
        <horizontal/>
      </border>
    </dxf>
    <dxf>
      <font>
        <b/>
        <i val="0"/>
        <color theme="0"/>
      </font>
      <fill>
        <patternFill>
          <bgColor rgb="FFC00000"/>
        </patternFill>
      </fill>
    </dxf>
    <dxf>
      <font>
        <b/>
        <i val="0"/>
        <color theme="0"/>
      </font>
      <fill>
        <patternFill>
          <bgColor rgb="FFC00000"/>
        </patternFill>
      </fill>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patternType="none">
          <bgColor auto="1"/>
        </patternFill>
      </fill>
      <border>
        <left/>
        <right/>
        <top/>
        <bottom/>
        <vertical/>
        <horizontal/>
      </border>
    </dxf>
    <dxf>
      <border>
        <bottom style="thin">
          <color auto="1"/>
        </bottom>
        <vertical/>
        <horizontal/>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colors>
    <mruColors>
      <color rgb="FF00EA6A"/>
      <color rgb="FF8ED2FC"/>
      <color rgb="FF0B371A"/>
      <color rgb="FF0000FF"/>
      <color rgb="FF1539EB"/>
      <color rgb="FF0066FF"/>
      <color rgb="FFFFFFCC"/>
      <color rgb="FF47CFFF"/>
      <color rgb="FFF4F7ED"/>
      <color rgb="FF8A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PA-Non'!G10"/><Relationship Id="rId3" Type="http://schemas.openxmlformats.org/officeDocument/2006/relationships/hyperlink" Target="#PA!G10"/><Relationship Id="rId7" Type="http://schemas.openxmlformats.org/officeDocument/2006/relationships/hyperlink" Target="http://mgmptiksmp-tuban.blogspot.com/" TargetMode="External"/><Relationship Id="rId12" Type="http://schemas.openxmlformats.org/officeDocument/2006/relationships/image" Target="../media/image6.png"/><Relationship Id="rId2" Type="http://schemas.openxmlformats.org/officeDocument/2006/relationships/hyperlink" Target="#Data!A1"/><Relationship Id="rId1" Type="http://schemas.openxmlformats.org/officeDocument/2006/relationships/image" Target="../media/image1.jpeg"/><Relationship Id="rId6" Type="http://schemas.openxmlformats.org/officeDocument/2006/relationships/image" Target="../media/image2.png"/><Relationship Id="rId11" Type="http://schemas.openxmlformats.org/officeDocument/2006/relationships/hyperlink" Target="#Help!A1"/><Relationship Id="rId5" Type="http://schemas.openxmlformats.org/officeDocument/2006/relationships/hyperlink" Target="#'Leger Mid'!A1"/><Relationship Id="rId10" Type="http://schemas.openxmlformats.org/officeDocument/2006/relationships/image" Target="../media/image5.png"/><Relationship Id="rId4" Type="http://schemas.openxmlformats.org/officeDocument/2006/relationships/hyperlink" Target="#'DKN (2)'!A1"/><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Data!F325"/><Relationship Id="rId13" Type="http://schemas.openxmlformats.org/officeDocument/2006/relationships/hyperlink" Target="#Data!F365"/><Relationship Id="rId3" Type="http://schemas.openxmlformats.org/officeDocument/2006/relationships/hyperlink" Target="#Data!F85"/><Relationship Id="rId7" Type="http://schemas.openxmlformats.org/officeDocument/2006/relationships/hyperlink" Target="#Data!F125"/><Relationship Id="rId12" Type="http://schemas.openxmlformats.org/officeDocument/2006/relationships/hyperlink" Target="#Data!C5"/><Relationship Id="rId2" Type="http://schemas.openxmlformats.org/officeDocument/2006/relationships/hyperlink" Target="#Data!F45"/><Relationship Id="rId16" Type="http://schemas.openxmlformats.org/officeDocument/2006/relationships/hyperlink" Target="#Data!F485"/><Relationship Id="rId1" Type="http://schemas.openxmlformats.org/officeDocument/2006/relationships/hyperlink" Target="#Data!F5"/><Relationship Id="rId6" Type="http://schemas.openxmlformats.org/officeDocument/2006/relationships/hyperlink" Target="#Data!F245"/><Relationship Id="rId11" Type="http://schemas.openxmlformats.org/officeDocument/2006/relationships/image" Target="../media/image7.png"/><Relationship Id="rId5" Type="http://schemas.openxmlformats.org/officeDocument/2006/relationships/hyperlink" Target="#Data!F205"/><Relationship Id="rId15" Type="http://schemas.openxmlformats.org/officeDocument/2006/relationships/hyperlink" Target="#Data!F445"/><Relationship Id="rId10" Type="http://schemas.openxmlformats.org/officeDocument/2006/relationships/hyperlink" Target="#Sheet1!A1"/><Relationship Id="rId4" Type="http://schemas.openxmlformats.org/officeDocument/2006/relationships/hyperlink" Target="#Data!F165"/><Relationship Id="rId9" Type="http://schemas.openxmlformats.org/officeDocument/2006/relationships/hyperlink" Target="#Data!F285"/><Relationship Id="rId14" Type="http://schemas.openxmlformats.org/officeDocument/2006/relationships/hyperlink" Target="#Data!F405"/></Relationships>
</file>

<file path=xl/drawings/_rels/drawing4.xml.rels><?xml version="1.0" encoding="UTF-8" standalone="yes"?>
<Relationships xmlns="http://schemas.openxmlformats.org/package/2006/relationships"><Relationship Id="rId8" Type="http://schemas.openxmlformats.org/officeDocument/2006/relationships/hyperlink" Target="#'PA-Non'!G298"/><Relationship Id="rId3" Type="http://schemas.openxmlformats.org/officeDocument/2006/relationships/hyperlink" Target="#'PA-Non'!G82"/><Relationship Id="rId7" Type="http://schemas.openxmlformats.org/officeDocument/2006/relationships/hyperlink" Target="#'PA-Non'!G118"/><Relationship Id="rId12" Type="http://schemas.openxmlformats.org/officeDocument/2006/relationships/hyperlink" Target="#'PA-Non'!G334"/><Relationship Id="rId2" Type="http://schemas.openxmlformats.org/officeDocument/2006/relationships/hyperlink" Target="#'PA-Non'!G46"/><Relationship Id="rId1" Type="http://schemas.openxmlformats.org/officeDocument/2006/relationships/hyperlink" Target="#'PA-Non'!G10"/><Relationship Id="rId6" Type="http://schemas.openxmlformats.org/officeDocument/2006/relationships/hyperlink" Target="#'PA-Non'!G226"/><Relationship Id="rId11" Type="http://schemas.openxmlformats.org/officeDocument/2006/relationships/image" Target="../media/image7.png"/><Relationship Id="rId5" Type="http://schemas.openxmlformats.org/officeDocument/2006/relationships/hyperlink" Target="#'PA-Non'!G190"/><Relationship Id="rId10" Type="http://schemas.openxmlformats.org/officeDocument/2006/relationships/hyperlink" Target="#Sheet1!A1"/><Relationship Id="rId4" Type="http://schemas.openxmlformats.org/officeDocument/2006/relationships/hyperlink" Target="#'PA-Non'!G154"/><Relationship Id="rId9" Type="http://schemas.openxmlformats.org/officeDocument/2006/relationships/hyperlink" Target="#'PA-Non'!G262"/></Relationships>
</file>

<file path=xl/drawings/_rels/drawing5.xml.rels><?xml version="1.0" encoding="UTF-8" standalone="yes"?>
<Relationships xmlns="http://schemas.openxmlformats.org/package/2006/relationships"><Relationship Id="rId8" Type="http://schemas.openxmlformats.org/officeDocument/2006/relationships/hyperlink" Target="#PA!G130"/><Relationship Id="rId13" Type="http://schemas.openxmlformats.org/officeDocument/2006/relationships/hyperlink" Target="#PA!AC532"/><Relationship Id="rId3" Type="http://schemas.openxmlformats.org/officeDocument/2006/relationships/hyperlink" Target="#PA!G50"/><Relationship Id="rId7" Type="http://schemas.openxmlformats.org/officeDocument/2006/relationships/hyperlink" Target="#PA!G250"/><Relationship Id="rId12" Type="http://schemas.openxmlformats.org/officeDocument/2006/relationships/image" Target="../media/image7.png"/><Relationship Id="rId17" Type="http://schemas.openxmlformats.org/officeDocument/2006/relationships/hyperlink" Target="#PA!G490"/><Relationship Id="rId2" Type="http://schemas.openxmlformats.org/officeDocument/2006/relationships/hyperlink" Target="#PA!G10"/><Relationship Id="rId16" Type="http://schemas.openxmlformats.org/officeDocument/2006/relationships/hyperlink" Target="#PA!G450"/><Relationship Id="rId1" Type="http://schemas.openxmlformats.org/officeDocument/2006/relationships/hyperlink" Target="#PA!I532"/><Relationship Id="rId6" Type="http://schemas.openxmlformats.org/officeDocument/2006/relationships/hyperlink" Target="#PA!G210"/><Relationship Id="rId11" Type="http://schemas.openxmlformats.org/officeDocument/2006/relationships/hyperlink" Target="#Sheet1!A1"/><Relationship Id="rId5" Type="http://schemas.openxmlformats.org/officeDocument/2006/relationships/hyperlink" Target="#PA!G170"/><Relationship Id="rId15" Type="http://schemas.openxmlformats.org/officeDocument/2006/relationships/hyperlink" Target="#PA!G410"/><Relationship Id="rId10" Type="http://schemas.openxmlformats.org/officeDocument/2006/relationships/hyperlink" Target="#PA!G290"/><Relationship Id="rId4" Type="http://schemas.openxmlformats.org/officeDocument/2006/relationships/hyperlink" Target="#PA!G90"/><Relationship Id="rId9" Type="http://schemas.openxmlformats.org/officeDocument/2006/relationships/hyperlink" Target="#PA!G330"/><Relationship Id="rId14" Type="http://schemas.openxmlformats.org/officeDocument/2006/relationships/hyperlink" Target="#PA!G370"/></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Sheet1!A1"/></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Sheet1!A1"/></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Sheet1!A1"/><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314326</xdr:colOff>
      <xdr:row>2</xdr:row>
      <xdr:rowOff>0</xdr:rowOff>
    </xdr:from>
    <xdr:to>
      <xdr:col>3</xdr:col>
      <xdr:colOff>161925</xdr:colOff>
      <xdr:row>17</xdr:row>
      <xdr:rowOff>47624</xdr:rowOff>
    </xdr:to>
    <xdr:sp macro="" textlink="">
      <xdr:nvSpPr>
        <xdr:cNvPr id="2" name="Frame 1">
          <a:extLst>
            <a:ext uri="{FF2B5EF4-FFF2-40B4-BE49-F238E27FC236}">
              <a16:creationId xmlns:a16="http://schemas.microsoft.com/office/drawing/2014/main" id="{00000000-0008-0000-0000-000002000000}"/>
            </a:ext>
          </a:extLst>
        </xdr:cNvPr>
        <xdr:cNvSpPr/>
      </xdr:nvSpPr>
      <xdr:spPr bwMode="auto">
        <a:xfrm>
          <a:off x="314326" y="457200"/>
          <a:ext cx="2990849" cy="3876674"/>
        </a:xfrm>
        <a:prstGeom prst="frame">
          <a:avLst>
            <a:gd name="adj1" fmla="val 2236"/>
          </a:avLst>
        </a:prstGeom>
        <a:solidFill>
          <a:srgbClr val="FFC000"/>
        </a:solidFill>
        <a:ln>
          <a:headEnd type="none" w="med" len="med"/>
          <a:tailEnd type="none" w="med" len="med"/>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wrap="square" lIns="18288" tIns="0" rIns="0" bIns="0" rtlCol="0" anchor="ctr" upright="1"/>
        <a:lstStyle/>
        <a:p>
          <a:pPr algn="ctr"/>
          <a:endParaRPr lang="id-ID" sz="1100"/>
        </a:p>
      </xdr:txBody>
    </xdr:sp>
    <xdr:clientData/>
  </xdr:twoCellAnchor>
  <xdr:twoCellAnchor>
    <xdr:from>
      <xdr:col>9</xdr:col>
      <xdr:colOff>117763</xdr:colOff>
      <xdr:row>2</xdr:row>
      <xdr:rowOff>9525</xdr:rowOff>
    </xdr:from>
    <xdr:to>
      <xdr:col>12</xdr:col>
      <xdr:colOff>108238</xdr:colOff>
      <xdr:row>17</xdr:row>
      <xdr:rowOff>9525</xdr:rowOff>
    </xdr:to>
    <xdr:sp macro="" textlink="">
      <xdr:nvSpPr>
        <xdr:cNvPr id="3" name="Round Diagonal Corner Rectangle 2">
          <a:extLst>
            <a:ext uri="{FF2B5EF4-FFF2-40B4-BE49-F238E27FC236}">
              <a16:creationId xmlns:a16="http://schemas.microsoft.com/office/drawing/2014/main" id="{00000000-0008-0000-0000-000003000000}"/>
            </a:ext>
          </a:extLst>
        </xdr:cNvPr>
        <xdr:cNvSpPr/>
      </xdr:nvSpPr>
      <xdr:spPr bwMode="auto">
        <a:xfrm>
          <a:off x="3441988" y="466725"/>
          <a:ext cx="1447800" cy="3829050"/>
        </a:xfrm>
        <a:prstGeom prst="round2DiagRect">
          <a:avLst/>
        </a:prstGeom>
        <a:solidFill>
          <a:srgbClr val="0B371A"/>
        </a:solidFill>
        <a:ln>
          <a:solidFill>
            <a:srgbClr val="FFC000"/>
          </a:solidFill>
          <a:headEnd type="none" w="med" len="med"/>
          <a:tailEnd type="none" w="med" len="med"/>
        </a:ln>
      </xdr:spPr>
      <xdr:style>
        <a:lnRef idx="3">
          <a:schemeClr val="lt1"/>
        </a:lnRef>
        <a:fillRef idx="1">
          <a:schemeClr val="accent4"/>
        </a:fillRef>
        <a:effectRef idx="1">
          <a:schemeClr val="accent4"/>
        </a:effectRef>
        <a:fontRef idx="minor">
          <a:schemeClr val="lt1"/>
        </a:fontRef>
      </xdr:style>
      <xdr:txBody>
        <a:bodyPr vertOverflow="clip" wrap="square" lIns="18288" tIns="0" rIns="0" bIns="0" rtlCol="0" anchor="ctr" upright="1"/>
        <a:lstStyle/>
        <a:p>
          <a:pPr algn="ctr"/>
          <a:endParaRPr lang="id-ID" sz="1100"/>
        </a:p>
      </xdr:txBody>
    </xdr:sp>
    <xdr:clientData/>
  </xdr:twoCellAnchor>
  <xdr:twoCellAnchor>
    <xdr:from>
      <xdr:col>1</xdr:col>
      <xdr:colOff>228600</xdr:colOff>
      <xdr:row>0</xdr:row>
      <xdr:rowOff>133349</xdr:rowOff>
    </xdr:from>
    <xdr:to>
      <xdr:col>11</xdr:col>
      <xdr:colOff>95250</xdr:colOff>
      <xdr:row>1</xdr:row>
      <xdr:rowOff>85724</xdr:rowOff>
    </xdr:to>
    <xdr:sp macro="" textlink="">
      <xdr:nvSpPr>
        <xdr:cNvPr id="4" name="WordArt 1">
          <a:extLst>
            <a:ext uri="{FF2B5EF4-FFF2-40B4-BE49-F238E27FC236}">
              <a16:creationId xmlns:a16="http://schemas.microsoft.com/office/drawing/2014/main" id="{00000000-0008-0000-0000-000004000000}"/>
            </a:ext>
          </a:extLst>
        </xdr:cNvPr>
        <xdr:cNvSpPr>
          <a:spLocks noChangeArrowheads="1" noChangeShapeType="1" noTextEdit="1"/>
        </xdr:cNvSpPr>
      </xdr:nvSpPr>
      <xdr:spPr bwMode="auto">
        <a:xfrm>
          <a:off x="561975" y="133349"/>
          <a:ext cx="4133850" cy="219075"/>
        </a:xfrm>
        <a:prstGeom prst="rect">
          <a:avLst/>
        </a:prstGeom>
      </xdr:spPr>
      <xdr:txBody>
        <a:bodyPr vertOverflow="clip" wrap="none" lIns="91440" tIns="45720" rIns="91440" bIns="45720" fromWordArt="1" anchor="t" upright="1">
          <a:prstTxWarp prst="textPlain">
            <a:avLst>
              <a:gd name="adj" fmla="val 50000"/>
            </a:avLst>
          </a:prstTxWarp>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rtl="0"/>
          <a:r>
            <a:rPr lang="en-US" sz="3600" b="1" u="none" strike="noStrike" kern="10" cap="none" spc="0" normalizeH="0" baseline="0">
              <a:ln/>
              <a:solidFill>
                <a:schemeClr val="accent3"/>
              </a:solidFill>
              <a:effectLst/>
              <a:latin typeface="Arial" pitchFamily="34" charset="0"/>
              <a:cs typeface="Arial" pitchFamily="34" charset="0"/>
            </a:rPr>
            <a:t>ENTRY NILAI</a:t>
          </a:r>
          <a:r>
            <a:rPr lang="id-ID" sz="3600" b="1" u="none" strike="noStrike" kern="10" cap="none" spc="0" normalizeH="0" baseline="0">
              <a:ln/>
              <a:solidFill>
                <a:schemeClr val="accent3"/>
              </a:solidFill>
              <a:effectLst/>
              <a:latin typeface="Arial" pitchFamily="34" charset="0"/>
              <a:cs typeface="Arial" pitchFamily="34" charset="0"/>
            </a:rPr>
            <a:t> PER MAPEL</a:t>
          </a:r>
          <a:endParaRPr lang="en-US" sz="3600" b="1" u="none" strike="noStrike" kern="10" cap="none" spc="0" normalizeH="0" baseline="0">
            <a:ln/>
            <a:solidFill>
              <a:schemeClr val="accent3"/>
            </a:solidFill>
            <a:effectLst/>
            <a:latin typeface="Arial" pitchFamily="34" charset="0"/>
            <a:cs typeface="Arial" pitchFamily="34" charset="0"/>
          </a:endParaRPr>
        </a:p>
      </xdr:txBody>
    </xdr:sp>
    <xdr:clientData/>
  </xdr:twoCellAnchor>
  <xdr:twoCellAnchor>
    <xdr:from>
      <xdr:col>1</xdr:col>
      <xdr:colOff>95250</xdr:colOff>
      <xdr:row>3</xdr:row>
      <xdr:rowOff>171450</xdr:rowOff>
    </xdr:from>
    <xdr:to>
      <xdr:col>1</xdr:col>
      <xdr:colOff>523875</xdr:colOff>
      <xdr:row>13</xdr:row>
      <xdr:rowOff>95250</xdr:rowOff>
    </xdr:to>
    <xdr:sp macro="" textlink="">
      <xdr:nvSpPr>
        <xdr:cNvPr id="5" name="WordArt 6">
          <a:extLst>
            <a:ext uri="{FF2B5EF4-FFF2-40B4-BE49-F238E27FC236}">
              <a16:creationId xmlns:a16="http://schemas.microsoft.com/office/drawing/2014/main" id="{00000000-0008-0000-0000-000005000000}"/>
            </a:ext>
          </a:extLst>
        </xdr:cNvPr>
        <xdr:cNvSpPr>
          <a:spLocks noChangeArrowheads="1" noChangeShapeType="1" noTextEdit="1"/>
        </xdr:cNvSpPr>
      </xdr:nvSpPr>
      <xdr:spPr bwMode="auto">
        <a:xfrm>
          <a:off x="428625" y="809625"/>
          <a:ext cx="428625" cy="2590800"/>
        </a:xfrm>
        <a:prstGeom prst="rect">
          <a:avLst/>
        </a:prstGeom>
        <a:noFill/>
        <a:ln>
          <a:noFill/>
        </a:ln>
        <a:effectLst>
          <a:outerShdw blurRad="50800" dist="50800" dir="5400000" algn="ctr" rotWithShape="0">
            <a:schemeClr val="bg2">
              <a:lumMod val="25000"/>
            </a:schemeClr>
          </a:outerShdw>
        </a:effectLst>
      </xdr:spPr>
      <xdr:txBody>
        <a:bodyPr wrap="none" fromWordArt="1">
          <a:prstTxWarp prst="textPlain">
            <a:avLst>
              <a:gd name="adj" fmla="val 50000"/>
            </a:avLst>
          </a:prstTxWarp>
        </a:bodyPr>
        <a:lstStyle/>
        <a:p>
          <a:pPr algn="ctr" rtl="0"/>
          <a:r>
            <a:rPr lang="en-US" sz="3600" b="1" kern="10" cap="none" spc="0">
              <a:ln w="18000">
                <a:solidFill>
                  <a:srgbClr val="92D050"/>
                </a:solidFill>
                <a:prstDash val="solid"/>
                <a:miter lim="800000"/>
              </a:ln>
              <a:noFill/>
              <a:effectLst>
                <a:outerShdw blurRad="25500" dist="23000" dir="7020000" algn="tl">
                  <a:srgbClr val="000000">
                    <a:alpha val="50000"/>
                  </a:srgbClr>
                </a:outerShdw>
              </a:effectLst>
              <a:latin typeface="Arial Black"/>
            </a:rPr>
            <a:t>M</a:t>
          </a:r>
        </a:p>
        <a:p>
          <a:pPr algn="ctr" rtl="0"/>
          <a:r>
            <a:rPr lang="en-US" sz="3600" b="1" kern="10" cap="none" spc="0">
              <a:ln w="18000">
                <a:solidFill>
                  <a:srgbClr val="92D050"/>
                </a:solidFill>
                <a:prstDash val="solid"/>
                <a:miter lim="800000"/>
              </a:ln>
              <a:noFill/>
              <a:effectLst>
                <a:outerShdw blurRad="25500" dist="23000" dir="7020000" algn="tl">
                  <a:srgbClr val="000000">
                    <a:alpha val="50000"/>
                  </a:srgbClr>
                </a:outerShdw>
              </a:effectLst>
              <a:latin typeface="Arial Black"/>
            </a:rPr>
            <a:t>E</a:t>
          </a:r>
        </a:p>
        <a:p>
          <a:pPr algn="ctr" rtl="0"/>
          <a:r>
            <a:rPr lang="en-US" sz="3600" b="1" kern="10" cap="none" spc="0">
              <a:ln w="18000">
                <a:solidFill>
                  <a:srgbClr val="92D050"/>
                </a:solidFill>
                <a:prstDash val="solid"/>
                <a:miter lim="800000"/>
              </a:ln>
              <a:noFill/>
              <a:effectLst>
                <a:outerShdw blurRad="25500" dist="23000" dir="7020000" algn="tl">
                  <a:srgbClr val="000000">
                    <a:alpha val="50000"/>
                  </a:srgbClr>
                </a:outerShdw>
              </a:effectLst>
              <a:latin typeface="Arial Black"/>
            </a:rPr>
            <a:t>N</a:t>
          </a:r>
        </a:p>
        <a:p>
          <a:pPr algn="ctr" rtl="0"/>
          <a:r>
            <a:rPr lang="en-US" sz="3600" b="1" kern="10" cap="none" spc="0">
              <a:ln w="18000">
                <a:solidFill>
                  <a:srgbClr val="92D050"/>
                </a:solidFill>
                <a:prstDash val="solid"/>
                <a:miter lim="800000"/>
              </a:ln>
              <a:noFill/>
              <a:effectLst>
                <a:outerShdw blurRad="25500" dist="23000" dir="7020000" algn="tl">
                  <a:srgbClr val="000000">
                    <a:alpha val="50000"/>
                  </a:srgbClr>
                </a:outerShdw>
              </a:effectLst>
              <a:latin typeface="Arial Black"/>
            </a:rPr>
            <a:t>U</a:t>
          </a:r>
        </a:p>
      </xdr:txBody>
    </xdr:sp>
    <xdr:clientData/>
  </xdr:twoCellAnchor>
  <xdr:twoCellAnchor>
    <xdr:from>
      <xdr:col>12</xdr:col>
      <xdr:colOff>228600</xdr:colOff>
      <xdr:row>2</xdr:row>
      <xdr:rowOff>0</xdr:rowOff>
    </xdr:from>
    <xdr:to>
      <xdr:col>14</xdr:col>
      <xdr:colOff>342900</xdr:colOff>
      <xdr:row>16</xdr:row>
      <xdr:rowOff>171450</xdr:rowOff>
    </xdr:to>
    <xdr:sp macro="" textlink="">
      <xdr:nvSpPr>
        <xdr:cNvPr id="6" name="Rectangle 15">
          <a:extLst>
            <a:ext uri="{FF2B5EF4-FFF2-40B4-BE49-F238E27FC236}">
              <a16:creationId xmlns:a16="http://schemas.microsoft.com/office/drawing/2014/main" id="{00000000-0008-0000-0000-000006000000}"/>
            </a:ext>
          </a:extLst>
        </xdr:cNvPr>
        <xdr:cNvSpPr>
          <a:spLocks noChangeArrowheads="1"/>
        </xdr:cNvSpPr>
      </xdr:nvSpPr>
      <xdr:spPr bwMode="auto">
        <a:xfrm>
          <a:off x="5010150" y="457200"/>
          <a:ext cx="1333500" cy="3819525"/>
        </a:xfrm>
        <a:prstGeom prst="rect">
          <a:avLst/>
        </a:prstGeom>
        <a:noFill/>
        <a:ln w="9525">
          <a:solidFill>
            <a:srgbClr val="FFC000"/>
          </a:solidFill>
          <a:miter lim="800000"/>
          <a:headEnd/>
          <a:tailEnd/>
        </a:ln>
      </xdr:spPr>
    </xdr:sp>
    <xdr:clientData/>
  </xdr:twoCellAnchor>
  <xdr:twoCellAnchor editAs="oneCell">
    <xdr:from>
      <xdr:col>9</xdr:col>
      <xdr:colOff>171450</xdr:colOff>
      <xdr:row>8</xdr:row>
      <xdr:rowOff>209550</xdr:rowOff>
    </xdr:from>
    <xdr:to>
      <xdr:col>9</xdr:col>
      <xdr:colOff>171450</xdr:colOff>
      <xdr:row>14</xdr:row>
      <xdr:rowOff>0</xdr:rowOff>
    </xdr:to>
    <xdr:pic>
      <xdr:nvPicPr>
        <xdr:cNvPr id="11" name="Picture 2843" descr="LOGO SMPN 5 TUBA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3495675" y="2181225"/>
          <a:ext cx="0" cy="1390650"/>
        </a:xfrm>
        <a:prstGeom prst="rect">
          <a:avLst/>
        </a:prstGeom>
        <a:ln>
          <a:noFill/>
        </a:ln>
        <a:effectLst>
          <a:outerShdw blurRad="190500" algn="tl" rotWithShape="0">
            <a:srgbClr val="000000">
              <a:alpha val="70000"/>
            </a:srgbClr>
          </a:outerShdw>
        </a:effectLst>
      </xdr:spPr>
    </xdr:pic>
    <xdr:clientData/>
  </xdr:twoCellAnchor>
  <xdr:twoCellAnchor>
    <xdr:from>
      <xdr:col>10</xdr:col>
      <xdr:colOff>89187</xdr:colOff>
      <xdr:row>3</xdr:row>
      <xdr:rowOff>257176</xdr:rowOff>
    </xdr:from>
    <xdr:to>
      <xdr:col>11</xdr:col>
      <xdr:colOff>146337</xdr:colOff>
      <xdr:row>5</xdr:row>
      <xdr:rowOff>0</xdr:rowOff>
    </xdr:to>
    <xdr:sp macro="" textlink="">
      <xdr:nvSpPr>
        <xdr:cNvPr id="12" name="Rounded Rectangle 11">
          <a:hlinkClick xmlns:r="http://schemas.openxmlformats.org/officeDocument/2006/relationships" r:id="rId2"/>
          <a:extLst>
            <a:ext uri="{FF2B5EF4-FFF2-40B4-BE49-F238E27FC236}">
              <a16:creationId xmlns:a16="http://schemas.microsoft.com/office/drawing/2014/main" id="{00000000-0008-0000-0000-00000C000000}"/>
            </a:ext>
          </a:extLst>
        </xdr:cNvPr>
        <xdr:cNvSpPr/>
      </xdr:nvSpPr>
      <xdr:spPr bwMode="auto">
        <a:xfrm>
          <a:off x="3594387" y="895351"/>
          <a:ext cx="1152525" cy="276224"/>
        </a:xfrm>
        <a:prstGeom prst="roundRect">
          <a:avLst/>
        </a:prstGeom>
        <a:solidFill>
          <a:schemeClr val="accent4">
            <a:lumMod val="60000"/>
            <a:lumOff val="40000"/>
          </a:schemeClr>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r>
            <a:rPr lang="id-ID" sz="1100" b="1">
              <a:solidFill>
                <a:srgbClr val="002060"/>
              </a:solidFill>
            </a:rPr>
            <a:t>Input Data</a:t>
          </a:r>
        </a:p>
      </xdr:txBody>
    </xdr:sp>
    <xdr:clientData/>
  </xdr:twoCellAnchor>
  <xdr:twoCellAnchor>
    <xdr:from>
      <xdr:col>1</xdr:col>
      <xdr:colOff>600941</xdr:colOff>
      <xdr:row>6</xdr:row>
      <xdr:rowOff>28576</xdr:rowOff>
    </xdr:from>
    <xdr:to>
      <xdr:col>3</xdr:col>
      <xdr:colOff>0</xdr:colOff>
      <xdr:row>7</xdr:row>
      <xdr:rowOff>180975</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000-00000D000000}"/>
            </a:ext>
          </a:extLst>
        </xdr:cNvPr>
        <xdr:cNvSpPr/>
      </xdr:nvSpPr>
      <xdr:spPr bwMode="auto">
        <a:xfrm>
          <a:off x="934316" y="1466851"/>
          <a:ext cx="2208934" cy="419099"/>
        </a:xfrm>
        <a:prstGeom prst="roundRect">
          <a:avLst>
            <a:gd name="adj" fmla="val 0"/>
          </a:avLst>
        </a:prstGeom>
        <a:solidFill>
          <a:srgbClr val="92D050"/>
        </a:solidFill>
        <a:ln>
          <a:headEnd type="none" w="med" len="med"/>
          <a:tailEnd type="none" w="med" len="med"/>
        </a:ln>
      </xdr:spPr>
      <xdr:style>
        <a:lnRef idx="0">
          <a:schemeClr val="accent3"/>
        </a:lnRef>
        <a:fillRef idx="3">
          <a:schemeClr val="accent3"/>
        </a:fillRef>
        <a:effectRef idx="3">
          <a:schemeClr val="accent3"/>
        </a:effectRef>
        <a:fontRef idx="minor">
          <a:schemeClr val="lt1"/>
        </a:fontRef>
      </xdr:style>
      <xdr:txBody>
        <a:bodyPr vertOverflow="clip" wrap="square" lIns="18288" tIns="0" rIns="0" bIns="0" rtlCol="0" anchor="ctr" upright="1"/>
        <a:lstStyle/>
        <a:p>
          <a:pPr algn="ctr"/>
          <a:r>
            <a:rPr lang="id-ID" sz="1800" b="1">
              <a:solidFill>
                <a:srgbClr val="800000"/>
              </a:solidFill>
            </a:rPr>
            <a:t>Input Nilai Mapel</a:t>
          </a:r>
        </a:p>
      </xdr:txBody>
    </xdr:sp>
    <xdr:clientData/>
  </xdr:twoCellAnchor>
  <xdr:twoCellAnchor>
    <xdr:from>
      <xdr:col>10</xdr:col>
      <xdr:colOff>89187</xdr:colOff>
      <xdr:row>5</xdr:row>
      <xdr:rowOff>9526</xdr:rowOff>
    </xdr:from>
    <xdr:to>
      <xdr:col>11</xdr:col>
      <xdr:colOff>146337</xdr:colOff>
      <xdr:row>6</xdr:row>
      <xdr:rowOff>19050</xdr:rowOff>
    </xdr:to>
    <xdr:sp macro="" textlink="">
      <xdr:nvSpPr>
        <xdr:cNvPr id="16" name="Rounded Rectangle 15">
          <a:hlinkClick xmlns:r="http://schemas.openxmlformats.org/officeDocument/2006/relationships" r:id="rId4"/>
          <a:extLst>
            <a:ext uri="{FF2B5EF4-FFF2-40B4-BE49-F238E27FC236}">
              <a16:creationId xmlns:a16="http://schemas.microsoft.com/office/drawing/2014/main" id="{00000000-0008-0000-0000-000010000000}"/>
            </a:ext>
          </a:extLst>
        </xdr:cNvPr>
        <xdr:cNvSpPr/>
      </xdr:nvSpPr>
      <xdr:spPr bwMode="auto">
        <a:xfrm>
          <a:off x="3594387" y="1181101"/>
          <a:ext cx="1152525" cy="276224"/>
        </a:xfrm>
        <a:prstGeom prst="roundRect">
          <a:avLst/>
        </a:prstGeom>
        <a:solidFill>
          <a:schemeClr val="accent4">
            <a:lumMod val="60000"/>
            <a:lumOff val="40000"/>
          </a:schemeClr>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r>
            <a:rPr lang="id-ID" sz="1100" b="1">
              <a:solidFill>
                <a:srgbClr val="002060"/>
              </a:solidFill>
            </a:rPr>
            <a:t>DKN Rapor</a:t>
          </a:r>
        </a:p>
      </xdr:txBody>
    </xdr:sp>
    <xdr:clientData/>
  </xdr:twoCellAnchor>
  <xdr:twoCellAnchor>
    <xdr:from>
      <xdr:col>10</xdr:col>
      <xdr:colOff>89187</xdr:colOff>
      <xdr:row>6</xdr:row>
      <xdr:rowOff>28576</xdr:rowOff>
    </xdr:from>
    <xdr:to>
      <xdr:col>11</xdr:col>
      <xdr:colOff>146337</xdr:colOff>
      <xdr:row>7</xdr:row>
      <xdr:rowOff>38100</xdr:rowOff>
    </xdr:to>
    <xdr:sp macro="" textlink="">
      <xdr:nvSpPr>
        <xdr:cNvPr id="17" name="Rounded Rectangle 16">
          <a:hlinkClick xmlns:r="http://schemas.openxmlformats.org/officeDocument/2006/relationships" r:id="rId5"/>
          <a:extLst>
            <a:ext uri="{FF2B5EF4-FFF2-40B4-BE49-F238E27FC236}">
              <a16:creationId xmlns:a16="http://schemas.microsoft.com/office/drawing/2014/main" id="{00000000-0008-0000-0000-000011000000}"/>
            </a:ext>
          </a:extLst>
        </xdr:cNvPr>
        <xdr:cNvSpPr/>
      </xdr:nvSpPr>
      <xdr:spPr bwMode="auto">
        <a:xfrm>
          <a:off x="3594387" y="1466851"/>
          <a:ext cx="1152525" cy="276224"/>
        </a:xfrm>
        <a:prstGeom prst="roundRect">
          <a:avLst/>
        </a:prstGeom>
        <a:solidFill>
          <a:schemeClr val="accent4">
            <a:lumMod val="60000"/>
            <a:lumOff val="40000"/>
          </a:schemeClr>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r>
            <a:rPr lang="id-ID" sz="1100" b="1">
              <a:solidFill>
                <a:srgbClr val="002060"/>
              </a:solidFill>
            </a:rPr>
            <a:t>DKN PTS</a:t>
          </a:r>
        </a:p>
      </xdr:txBody>
    </xdr:sp>
    <xdr:clientData/>
  </xdr:twoCellAnchor>
  <xdr:twoCellAnchor>
    <xdr:from>
      <xdr:col>10</xdr:col>
      <xdr:colOff>89187</xdr:colOff>
      <xdr:row>7</xdr:row>
      <xdr:rowOff>47626</xdr:rowOff>
    </xdr:from>
    <xdr:to>
      <xdr:col>11</xdr:col>
      <xdr:colOff>146337</xdr:colOff>
      <xdr:row>8</xdr:row>
      <xdr:rowOff>57150</xdr:rowOff>
    </xdr:to>
    <xdr:sp macro="" textlink="">
      <xdr:nvSpPr>
        <xdr:cNvPr id="18" name="Rounded Rectangle 17">
          <a:extLst>
            <a:ext uri="{FF2B5EF4-FFF2-40B4-BE49-F238E27FC236}">
              <a16:creationId xmlns:a16="http://schemas.microsoft.com/office/drawing/2014/main" id="{00000000-0008-0000-0000-000012000000}"/>
            </a:ext>
          </a:extLst>
        </xdr:cNvPr>
        <xdr:cNvSpPr/>
      </xdr:nvSpPr>
      <xdr:spPr bwMode="auto">
        <a:xfrm>
          <a:off x="3594387" y="1752601"/>
          <a:ext cx="1152525" cy="276224"/>
        </a:xfrm>
        <a:prstGeom prst="roundRect">
          <a:avLst/>
        </a:prstGeom>
        <a:solidFill>
          <a:schemeClr val="accent4">
            <a:lumMod val="60000"/>
            <a:lumOff val="40000"/>
          </a:schemeClr>
        </a:solid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r>
            <a:rPr lang="id-ID" sz="1100" b="1">
              <a:solidFill>
                <a:srgbClr val="002060"/>
              </a:solidFill>
            </a:rPr>
            <a:t>-</a:t>
          </a:r>
        </a:p>
      </xdr:txBody>
    </xdr:sp>
    <xdr:clientData/>
  </xdr:twoCellAnchor>
  <xdr:oneCellAnchor>
    <xdr:from>
      <xdr:col>12</xdr:col>
      <xdr:colOff>152400</xdr:colOff>
      <xdr:row>0</xdr:row>
      <xdr:rowOff>0</xdr:rowOff>
    </xdr:from>
    <xdr:ext cx="1143000" cy="409575"/>
    <xdr:sp macro="" textlink="">
      <xdr:nvSpPr>
        <xdr:cNvPr id="20" name="Rectangle 19">
          <a:extLst>
            <a:ext uri="{FF2B5EF4-FFF2-40B4-BE49-F238E27FC236}">
              <a16:creationId xmlns:a16="http://schemas.microsoft.com/office/drawing/2014/main" id="{00000000-0008-0000-0000-000014000000}"/>
            </a:ext>
          </a:extLst>
        </xdr:cNvPr>
        <xdr:cNvSpPr/>
      </xdr:nvSpPr>
      <xdr:spPr>
        <a:xfrm>
          <a:off x="4933950" y="0"/>
          <a:ext cx="1143000" cy="409575"/>
        </a:xfrm>
        <a:prstGeom prst="rect">
          <a:avLst/>
        </a:prstGeom>
        <a:noFill/>
      </xdr:spPr>
      <xdr:txBody>
        <a:bodyPr wrap="square" lIns="0" tIns="0" rIns="0" bIns="0" anchor="ctr" anchorCtr="0">
          <a:noAutofit/>
          <a:scene3d>
            <a:camera prst="orthographicFront"/>
            <a:lightRig rig="balanced" dir="t">
              <a:rot lat="0" lon="0" rev="2100000"/>
            </a:lightRig>
          </a:scene3d>
          <a:sp3d extrusionH="57150" prstMaterial="metal">
            <a:bevelT w="38100" h="25400"/>
            <a:contourClr>
              <a:schemeClr val="bg2"/>
            </a:contourClr>
          </a:sp3d>
        </a:bodyPr>
        <a:lstStyle/>
        <a:p>
          <a:pPr algn="ctr"/>
          <a:r>
            <a:rPr lang="en-US" sz="3200" b="1" cap="none" spc="0">
              <a:ln w="50800"/>
              <a:solidFill>
                <a:schemeClr val="bg1">
                  <a:shade val="50000"/>
                </a:schemeClr>
              </a:solidFill>
              <a:effectLst/>
            </a:rPr>
            <a:t>K</a:t>
          </a:r>
          <a:r>
            <a:rPr lang="id-ID" sz="3200" b="1" cap="none" spc="0">
              <a:ln w="50800"/>
              <a:solidFill>
                <a:schemeClr val="bg1">
                  <a:shade val="50000"/>
                </a:schemeClr>
              </a:solidFill>
              <a:effectLst/>
            </a:rPr>
            <a:t>e</a:t>
          </a:r>
          <a:r>
            <a:rPr lang="en-US" sz="3200" b="1" cap="none" spc="0">
              <a:ln w="50800"/>
              <a:solidFill>
                <a:schemeClr val="bg1">
                  <a:shade val="50000"/>
                </a:schemeClr>
              </a:solidFill>
              <a:effectLst/>
            </a:rPr>
            <a:t>l</a:t>
          </a:r>
          <a:r>
            <a:rPr lang="id-ID" sz="3200" b="1" cap="none" spc="0">
              <a:ln w="50800"/>
              <a:solidFill>
                <a:schemeClr val="bg1">
                  <a:shade val="50000"/>
                </a:schemeClr>
              </a:solidFill>
              <a:effectLst/>
            </a:rPr>
            <a:t>a</a:t>
          </a:r>
          <a:r>
            <a:rPr lang="en-US" sz="3200" b="1" cap="none" spc="0">
              <a:ln w="50800"/>
              <a:solidFill>
                <a:schemeClr val="bg1">
                  <a:shade val="50000"/>
                </a:schemeClr>
              </a:solidFill>
              <a:effectLst/>
            </a:rPr>
            <a:t>s</a:t>
          </a:r>
          <a:r>
            <a:rPr lang="id-ID" sz="3200" b="1" cap="none" spc="0" baseline="0">
              <a:ln w="50800"/>
              <a:solidFill>
                <a:schemeClr val="bg1">
                  <a:shade val="50000"/>
                </a:schemeClr>
              </a:solidFill>
              <a:effectLst/>
            </a:rPr>
            <a:t> </a:t>
          </a:r>
          <a:r>
            <a:rPr lang="en-US" sz="3200" b="1" cap="none" spc="0" baseline="0">
              <a:ln w="50800"/>
              <a:solidFill>
                <a:schemeClr val="bg1">
                  <a:shade val="50000"/>
                </a:schemeClr>
              </a:solidFill>
              <a:effectLst/>
            </a:rPr>
            <a:t>: </a:t>
          </a:r>
          <a:endParaRPr lang="en-US" sz="3200" b="1" cap="none" spc="0">
            <a:ln w="50800"/>
            <a:solidFill>
              <a:schemeClr val="bg1">
                <a:shade val="50000"/>
              </a:schemeClr>
            </a:solidFill>
            <a:effectLst/>
          </a:endParaRPr>
        </a:p>
      </xdr:txBody>
    </xdr:sp>
    <xdr:clientData/>
  </xdr:oneCellAnchor>
  <xdr:twoCellAnchor>
    <xdr:from>
      <xdr:col>12</xdr:col>
      <xdr:colOff>314325</xdr:colOff>
      <xdr:row>2</xdr:row>
      <xdr:rowOff>123825</xdr:rowOff>
    </xdr:from>
    <xdr:to>
      <xdr:col>14</xdr:col>
      <xdr:colOff>257175</xdr:colOff>
      <xdr:row>3</xdr:row>
      <xdr:rowOff>200025</xdr:rowOff>
    </xdr:to>
    <xdr:sp macro="" textlink="">
      <xdr:nvSpPr>
        <xdr:cNvPr id="21" name="WordArt 13">
          <a:extLst>
            <a:ext uri="{FF2B5EF4-FFF2-40B4-BE49-F238E27FC236}">
              <a16:creationId xmlns:a16="http://schemas.microsoft.com/office/drawing/2014/main" id="{00000000-0008-0000-0000-000015000000}"/>
            </a:ext>
          </a:extLst>
        </xdr:cNvPr>
        <xdr:cNvSpPr>
          <a:spLocks noChangeArrowheads="1" noChangeShapeType="1" noTextEdit="1"/>
        </xdr:cNvSpPr>
      </xdr:nvSpPr>
      <xdr:spPr bwMode="auto">
        <a:xfrm>
          <a:off x="5095875" y="581025"/>
          <a:ext cx="1162050" cy="257175"/>
        </a:xfrm>
        <a:prstGeom prst="rect">
          <a:avLst/>
        </a:prstGeom>
      </xdr:spPr>
      <xdr:txBody>
        <a:bodyPr wrap="none" fromWordArt="1">
          <a:prstTxWarp prst="textPlain">
            <a:avLst>
              <a:gd name="adj" fmla="val 50000"/>
            </a:avLst>
          </a:prstTxWarp>
        </a:bodyPr>
        <a:lstStyle/>
        <a:p>
          <a:pPr algn="ctr" rtl="0"/>
          <a:r>
            <a:rPr lang="id-ID" sz="3600" kern="10" spc="0">
              <a:ln w="9525">
                <a:noFill/>
                <a:round/>
                <a:headEnd/>
                <a:tailEnd/>
              </a:ln>
              <a:solidFill>
                <a:srgbClr val="FFCC66"/>
              </a:solidFill>
              <a:effectLst/>
              <a:latin typeface="Arial Black"/>
            </a:rPr>
            <a:t>Dinas Pendidikan</a:t>
          </a:r>
        </a:p>
        <a:p>
          <a:pPr algn="ctr" rtl="0"/>
          <a:r>
            <a:rPr lang="id-ID" sz="3600" kern="10" spc="0" baseline="0">
              <a:ln w="9525">
                <a:noFill/>
                <a:round/>
                <a:headEnd/>
                <a:tailEnd/>
              </a:ln>
              <a:solidFill>
                <a:srgbClr val="FFCC66"/>
              </a:solidFill>
              <a:effectLst/>
              <a:latin typeface="Arial Black"/>
            </a:rPr>
            <a:t> Kab. Tuban</a:t>
          </a:r>
          <a:endParaRPr lang="en-US" sz="3600" kern="10" spc="0">
            <a:ln w="9525">
              <a:noFill/>
              <a:round/>
              <a:headEnd/>
              <a:tailEnd/>
            </a:ln>
            <a:solidFill>
              <a:srgbClr val="FFCC66"/>
            </a:solidFill>
            <a:effectLst/>
            <a:latin typeface="Arial Black"/>
          </a:endParaRPr>
        </a:p>
      </xdr:txBody>
    </xdr:sp>
    <xdr:clientData/>
  </xdr:twoCellAnchor>
  <xdr:twoCellAnchor editAs="oneCell">
    <xdr:from>
      <xdr:col>10</xdr:col>
      <xdr:colOff>66675</xdr:colOff>
      <xdr:row>10</xdr:row>
      <xdr:rowOff>0</xdr:rowOff>
    </xdr:from>
    <xdr:to>
      <xdr:col>10</xdr:col>
      <xdr:colOff>66675</xdr:colOff>
      <xdr:row>17</xdr:row>
      <xdr:rowOff>133349</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571875" y="2505075"/>
          <a:ext cx="0" cy="191452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409576</xdr:colOff>
      <xdr:row>17</xdr:row>
      <xdr:rowOff>76201</xdr:rowOff>
    </xdr:from>
    <xdr:to>
      <xdr:col>13</xdr:col>
      <xdr:colOff>409576</xdr:colOff>
      <xdr:row>1048576</xdr:row>
      <xdr:rowOff>161925</xdr:rowOff>
    </xdr:to>
    <xdr:pic>
      <xdr:nvPicPr>
        <xdr:cNvPr id="27" name="Picture 26">
          <a:hlinkClick xmlns:r="http://schemas.openxmlformats.org/officeDocument/2006/relationships" r:id="rId7"/>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238876" y="4438651"/>
          <a:ext cx="561974" cy="561974"/>
        </a:xfrm>
        <a:prstGeom prst="rect">
          <a:avLst/>
        </a:prstGeom>
      </xdr:spPr>
    </xdr:pic>
    <xdr:clientData/>
  </xdr:twoCellAnchor>
  <xdr:twoCellAnchor>
    <xdr:from>
      <xdr:col>1</xdr:col>
      <xdr:colOff>600075</xdr:colOff>
      <xdr:row>7</xdr:row>
      <xdr:rowOff>180975</xdr:rowOff>
    </xdr:from>
    <xdr:to>
      <xdr:col>3</xdr:col>
      <xdr:colOff>9525</xdr:colOff>
      <xdr:row>9</xdr:row>
      <xdr:rowOff>104775</xdr:rowOff>
    </xdr:to>
    <xdr:sp macro="" textlink="">
      <xdr:nvSpPr>
        <xdr:cNvPr id="28" name="Frame 27">
          <a:extLst>
            <a:ext uri="{FF2B5EF4-FFF2-40B4-BE49-F238E27FC236}">
              <a16:creationId xmlns:a16="http://schemas.microsoft.com/office/drawing/2014/main" id="{00000000-0008-0000-0000-00001C000000}"/>
            </a:ext>
          </a:extLst>
        </xdr:cNvPr>
        <xdr:cNvSpPr/>
      </xdr:nvSpPr>
      <xdr:spPr>
        <a:xfrm>
          <a:off x="933450" y="1885950"/>
          <a:ext cx="2219325" cy="457200"/>
        </a:xfrm>
        <a:prstGeom prst="frame">
          <a:avLst/>
        </a:prstGeom>
        <a:solidFill>
          <a:srgbClr val="92D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xdr:from>
      <xdr:col>2</xdr:col>
      <xdr:colOff>571500</xdr:colOff>
      <xdr:row>2</xdr:row>
      <xdr:rowOff>85725</xdr:rowOff>
    </xdr:from>
    <xdr:to>
      <xdr:col>2</xdr:col>
      <xdr:colOff>1378528</xdr:colOff>
      <xdr:row>5</xdr:row>
      <xdr:rowOff>146339</xdr:rowOff>
    </xdr:to>
    <xdr:grpSp>
      <xdr:nvGrpSpPr>
        <xdr:cNvPr id="29" name="Group 22">
          <a:extLst>
            <a:ext uri="{FF2B5EF4-FFF2-40B4-BE49-F238E27FC236}">
              <a16:creationId xmlns:a16="http://schemas.microsoft.com/office/drawing/2014/main" id="{00000000-0008-0000-0000-00001D000000}"/>
            </a:ext>
          </a:extLst>
        </xdr:cNvPr>
        <xdr:cNvGrpSpPr>
          <a:grpSpLocks/>
        </xdr:cNvGrpSpPr>
      </xdr:nvGrpSpPr>
      <xdr:grpSpPr bwMode="auto">
        <a:xfrm>
          <a:off x="1623060" y="542925"/>
          <a:ext cx="807028" cy="769274"/>
          <a:chOff x="85" y="69"/>
          <a:chExt cx="64" cy="63"/>
        </a:xfrm>
      </xdr:grpSpPr>
      <xdr:sp macro="" textlink="">
        <xdr:nvSpPr>
          <xdr:cNvPr id="30" name="Freeform 21">
            <a:extLst>
              <a:ext uri="{FF2B5EF4-FFF2-40B4-BE49-F238E27FC236}">
                <a16:creationId xmlns:a16="http://schemas.microsoft.com/office/drawing/2014/main" id="{00000000-0008-0000-0000-00001E000000}"/>
              </a:ext>
            </a:extLst>
          </xdr:cNvPr>
          <xdr:cNvSpPr>
            <a:spLocks/>
          </xdr:cNvSpPr>
        </xdr:nvSpPr>
        <xdr:spPr bwMode="auto">
          <a:xfrm>
            <a:off x="92" y="74"/>
            <a:ext cx="52" cy="52"/>
          </a:xfrm>
          <a:custGeom>
            <a:avLst/>
            <a:gdLst>
              <a:gd name="T0" fmla="*/ 11 w 52"/>
              <a:gd name="T1" fmla="*/ 52 h 52"/>
              <a:gd name="T2" fmla="*/ 41 w 52"/>
              <a:gd name="T3" fmla="*/ 52 h 52"/>
              <a:gd name="T4" fmla="*/ 52 w 52"/>
              <a:gd name="T5" fmla="*/ 21 h 52"/>
              <a:gd name="T6" fmla="*/ 25 w 52"/>
              <a:gd name="T7" fmla="*/ 0 h 52"/>
              <a:gd name="T8" fmla="*/ 0 w 52"/>
              <a:gd name="T9" fmla="*/ 19 h 52"/>
              <a:gd name="T10" fmla="*/ 11 w 52"/>
              <a:gd name="T11" fmla="*/ 52 h 52"/>
              <a:gd name="T12" fmla="*/ 0 60000 65536"/>
              <a:gd name="T13" fmla="*/ 0 60000 65536"/>
              <a:gd name="T14" fmla="*/ 0 60000 65536"/>
              <a:gd name="T15" fmla="*/ 0 60000 65536"/>
              <a:gd name="T16" fmla="*/ 0 60000 65536"/>
              <a:gd name="T17" fmla="*/ 0 60000 65536"/>
              <a:gd name="T18" fmla="*/ 0 w 52"/>
              <a:gd name="T19" fmla="*/ 0 h 52"/>
              <a:gd name="T20" fmla="*/ 52 w 52"/>
              <a:gd name="T21" fmla="*/ 52 h 52"/>
            </a:gdLst>
            <a:ahLst/>
            <a:cxnLst>
              <a:cxn ang="T12">
                <a:pos x="T0" y="T1"/>
              </a:cxn>
              <a:cxn ang="T13">
                <a:pos x="T2" y="T3"/>
              </a:cxn>
              <a:cxn ang="T14">
                <a:pos x="T4" y="T5"/>
              </a:cxn>
              <a:cxn ang="T15">
                <a:pos x="T6" y="T7"/>
              </a:cxn>
              <a:cxn ang="T16">
                <a:pos x="T8" y="T9"/>
              </a:cxn>
              <a:cxn ang="T17">
                <a:pos x="T10" y="T11"/>
              </a:cxn>
            </a:cxnLst>
            <a:rect l="T18" t="T19" r="T20" b="T21"/>
            <a:pathLst>
              <a:path w="52" h="52">
                <a:moveTo>
                  <a:pt x="11" y="52"/>
                </a:moveTo>
                <a:lnTo>
                  <a:pt x="41" y="52"/>
                </a:lnTo>
                <a:lnTo>
                  <a:pt x="52" y="21"/>
                </a:lnTo>
                <a:lnTo>
                  <a:pt x="25" y="0"/>
                </a:lnTo>
                <a:lnTo>
                  <a:pt x="0" y="19"/>
                </a:lnTo>
                <a:lnTo>
                  <a:pt x="11" y="52"/>
                </a:lnTo>
                <a:close/>
              </a:path>
            </a:pathLst>
          </a:custGeom>
          <a:solidFill>
            <a:srgbClr val="FFFFFF"/>
          </a:solidFill>
          <a:ln w="9525">
            <a:solidFill>
              <a:srgbClr val="FFFFFF"/>
            </a:solidFill>
            <a:round/>
            <a:headEnd/>
            <a:tailEnd/>
          </a:ln>
        </xdr:spPr>
      </xdr:sp>
      <xdr:pic>
        <xdr:nvPicPr>
          <xdr:cNvPr id="31" name="Picture 20" descr="Tutwuri(warna)">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85" y="69"/>
            <a:ext cx="64" cy="63"/>
          </a:xfrm>
          <a:prstGeom prst="rect">
            <a:avLst/>
          </a:prstGeom>
          <a:noFill/>
          <a:ln w="9525">
            <a:noFill/>
            <a:miter lim="800000"/>
            <a:headEnd/>
            <a:tailEnd/>
          </a:ln>
        </xdr:spPr>
      </xdr:pic>
    </xdr:grpSp>
    <xdr:clientData/>
  </xdr:twoCellAnchor>
  <xdr:twoCellAnchor>
    <xdr:from>
      <xdr:col>1</xdr:col>
      <xdr:colOff>400050</xdr:colOff>
      <xdr:row>15</xdr:row>
      <xdr:rowOff>9524</xdr:rowOff>
    </xdr:from>
    <xdr:to>
      <xdr:col>2</xdr:col>
      <xdr:colOff>2019300</xdr:colOff>
      <xdr:row>16</xdr:row>
      <xdr:rowOff>47624</xdr:rowOff>
    </xdr:to>
    <xdr:sp macro="" textlink="">
      <xdr:nvSpPr>
        <xdr:cNvPr id="40" name="WordArt 17">
          <a:extLst>
            <a:ext uri="{FF2B5EF4-FFF2-40B4-BE49-F238E27FC236}">
              <a16:creationId xmlns:a16="http://schemas.microsoft.com/office/drawing/2014/main" id="{00000000-0008-0000-0000-000028000000}"/>
            </a:ext>
          </a:extLst>
        </xdr:cNvPr>
        <xdr:cNvSpPr>
          <a:spLocks noChangeArrowheads="1" noChangeShapeType="1" noTextEdit="1"/>
        </xdr:cNvSpPr>
      </xdr:nvSpPr>
      <xdr:spPr bwMode="auto">
        <a:xfrm>
          <a:off x="733425" y="3924299"/>
          <a:ext cx="2305050" cy="304800"/>
        </a:xfrm>
        <a:prstGeom prst="rect">
          <a:avLst/>
        </a:prstGeom>
      </xdr:spPr>
      <xdr:txBody>
        <a:bodyPr wrap="none" fromWordArt="1">
          <a:prstTxWarp prst="textPlain">
            <a:avLst>
              <a:gd name="adj" fmla="val 50000"/>
            </a:avLst>
          </a:prstTxWarp>
        </a:bodyPr>
        <a:lstStyle/>
        <a:p>
          <a:pPr algn="ctr" rtl="0"/>
          <a:r>
            <a:rPr lang="id-ID" sz="3600" b="1" kern="10"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lbertus Medium"/>
            </a:rPr>
            <a:t>POWERED by :</a:t>
          </a:r>
        </a:p>
        <a:p>
          <a:pPr algn="ctr" rtl="0"/>
          <a:r>
            <a:rPr lang="id-ID" sz="3600" b="1" kern="10"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lbertus Medium"/>
            </a:rPr>
            <a:t>MGMP TIK SMP Kab. Tuban </a:t>
          </a:r>
          <a:endParaRPr lang="en-US" sz="3600" b="1" kern="10"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lbertus Medium"/>
          </a:endParaRPr>
        </a:p>
      </xdr:txBody>
    </xdr:sp>
    <xdr:clientData/>
  </xdr:twoCellAnchor>
  <xdr:twoCellAnchor>
    <xdr:from>
      <xdr:col>12</xdr:col>
      <xdr:colOff>376670</xdr:colOff>
      <xdr:row>14</xdr:row>
      <xdr:rowOff>152398</xdr:rowOff>
    </xdr:from>
    <xdr:to>
      <xdr:col>14</xdr:col>
      <xdr:colOff>194830</xdr:colOff>
      <xdr:row>15</xdr:row>
      <xdr:rowOff>133349</xdr:rowOff>
    </xdr:to>
    <xdr:sp macro="" textlink="">
      <xdr:nvSpPr>
        <xdr:cNvPr id="41" name="Bevel 40">
          <a:extLst>
            <a:ext uri="{FF2B5EF4-FFF2-40B4-BE49-F238E27FC236}">
              <a16:creationId xmlns:a16="http://schemas.microsoft.com/office/drawing/2014/main" id="{00000000-0008-0000-0000-000029000000}"/>
            </a:ext>
          </a:extLst>
        </xdr:cNvPr>
        <xdr:cNvSpPr/>
      </xdr:nvSpPr>
      <xdr:spPr bwMode="auto">
        <a:xfrm>
          <a:off x="5158220" y="3724273"/>
          <a:ext cx="1037360" cy="247651"/>
        </a:xfrm>
        <a:prstGeom prst="bevel">
          <a:avLst/>
        </a:prstGeom>
        <a:solidFill>
          <a:schemeClr val="accent4">
            <a:lumMod val="60000"/>
            <a:lumOff val="40000"/>
          </a:schemeClr>
        </a:solidFill>
        <a:ln>
          <a:headEnd type="none" w="med" len="med"/>
          <a:tailEnd type="none" w="med" len="med"/>
        </a:ln>
        <a:effectLst>
          <a:glow rad="63500">
            <a:schemeClr val="accent1">
              <a:satMod val="175000"/>
              <a:alpha val="40000"/>
            </a:schemeClr>
          </a:glow>
          <a:outerShdw blurRad="40000" dist="23000" dir="5400000" rotWithShape="0">
            <a:srgbClr val="000000">
              <a:alpha val="35000"/>
            </a:srgbClr>
          </a:outerShdw>
        </a:effectLst>
      </xdr:spPr>
      <xdr:style>
        <a:lnRef idx="0">
          <a:schemeClr val="accent5"/>
        </a:lnRef>
        <a:fillRef idx="3">
          <a:schemeClr val="accent5"/>
        </a:fillRef>
        <a:effectRef idx="3">
          <a:schemeClr val="accent5"/>
        </a:effectRef>
        <a:fontRef idx="minor">
          <a:schemeClr val="lt1"/>
        </a:fontRef>
      </xdr:style>
      <xdr:txBody>
        <a:bodyPr vertOverflow="clip" wrap="square" lIns="18288" tIns="0" rIns="0" bIns="0" rtlCol="0" anchor="ctr" upright="1"/>
        <a:lstStyle/>
        <a:p>
          <a:pPr algn="ctr"/>
          <a:r>
            <a:rPr lang="id-ID" sz="1100" b="1">
              <a:solidFill>
                <a:srgbClr val="002060"/>
              </a:solidFill>
            </a:rPr>
            <a:t>VERSI 3.2</a:t>
          </a:r>
        </a:p>
      </xdr:txBody>
    </xdr:sp>
    <xdr:clientData/>
  </xdr:twoCellAnchor>
  <xdr:twoCellAnchor>
    <xdr:from>
      <xdr:col>12</xdr:col>
      <xdr:colOff>338138</xdr:colOff>
      <xdr:row>15</xdr:row>
      <xdr:rowOff>209548</xdr:rowOff>
    </xdr:from>
    <xdr:to>
      <xdr:col>14</xdr:col>
      <xdr:colOff>233363</xdr:colOff>
      <xdr:row>16</xdr:row>
      <xdr:rowOff>104773</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119688" y="4048123"/>
          <a:ext cx="11144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900" b="1" cap="none" spc="0">
              <a:ln>
                <a:noFill/>
              </a:ln>
              <a:solidFill>
                <a:schemeClr val="bg1"/>
              </a:solidFill>
              <a:effectLst/>
            </a:rPr>
            <a:t>© Okt. 2017</a:t>
          </a:r>
        </a:p>
      </xdr:txBody>
    </xdr:sp>
    <xdr:clientData/>
  </xdr:twoCellAnchor>
  <xdr:twoCellAnchor editAs="oneCell">
    <xdr:from>
      <xdr:col>2</xdr:col>
      <xdr:colOff>600077</xdr:colOff>
      <xdr:row>12</xdr:row>
      <xdr:rowOff>171450</xdr:rowOff>
    </xdr:from>
    <xdr:to>
      <xdr:col>2</xdr:col>
      <xdr:colOff>1162051</xdr:colOff>
      <xdr:row>14</xdr:row>
      <xdr:rowOff>200024</xdr:rowOff>
    </xdr:to>
    <xdr:pic>
      <xdr:nvPicPr>
        <xdr:cNvPr id="43" name="Picture 42">
          <a:hlinkClick xmlns:r="http://schemas.openxmlformats.org/officeDocument/2006/relationships" r:id="rId7"/>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19252" y="3286125"/>
          <a:ext cx="561974" cy="561974"/>
        </a:xfrm>
        <a:prstGeom prst="rect">
          <a:avLst/>
        </a:prstGeom>
      </xdr:spPr>
    </xdr:pic>
    <xdr:clientData/>
  </xdr:twoCellAnchor>
  <xdr:twoCellAnchor editAs="oneCell">
    <xdr:from>
      <xdr:col>12</xdr:col>
      <xdr:colOff>467063</xdr:colOff>
      <xdr:row>4</xdr:row>
      <xdr:rowOff>257175</xdr:rowOff>
    </xdr:from>
    <xdr:to>
      <xdr:col>14</xdr:col>
      <xdr:colOff>104437</xdr:colOff>
      <xdr:row>9</xdr:row>
      <xdr:rowOff>131445</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248613" y="1162050"/>
          <a:ext cx="856574" cy="1207770"/>
        </a:xfrm>
        <a:prstGeom prst="rect">
          <a:avLst/>
        </a:prstGeom>
        <a:ln>
          <a:noFill/>
        </a:ln>
        <a:effectLst>
          <a:glow rad="139700">
            <a:schemeClr val="accent5">
              <a:satMod val="175000"/>
              <a:alpha val="40000"/>
            </a:schemeClr>
          </a:glow>
        </a:effectLst>
      </xdr:spPr>
    </xdr:pic>
    <xdr:clientData/>
  </xdr:twoCellAnchor>
  <xdr:twoCellAnchor editAs="oneCell">
    <xdr:from>
      <xdr:col>12</xdr:col>
      <xdr:colOff>542925</xdr:colOff>
      <xdr:row>11</xdr:row>
      <xdr:rowOff>123824</xdr:rowOff>
    </xdr:from>
    <xdr:to>
      <xdr:col>14</xdr:col>
      <xdr:colOff>28575</xdr:colOff>
      <xdr:row>14</xdr:row>
      <xdr:rowOff>28574</xdr:rowOff>
    </xdr:to>
    <xdr:pic>
      <xdr:nvPicPr>
        <xdr:cNvPr id="45" name="Picture 44">
          <a:hlinkClick xmlns:r="http://schemas.openxmlformats.org/officeDocument/2006/relationships" r:id="rId11"/>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324475" y="2895599"/>
          <a:ext cx="704850" cy="704850"/>
        </a:xfrm>
        <a:prstGeom prst="rect">
          <a:avLst/>
        </a:prstGeom>
      </xdr:spPr>
    </xdr:pic>
    <xdr:clientData/>
  </xdr:twoCellAnchor>
  <xdr:twoCellAnchor>
    <xdr:from>
      <xdr:col>1</xdr:col>
      <xdr:colOff>600941</xdr:colOff>
      <xdr:row>9</xdr:row>
      <xdr:rowOff>209551</xdr:rowOff>
    </xdr:from>
    <xdr:to>
      <xdr:col>3</xdr:col>
      <xdr:colOff>0</xdr:colOff>
      <xdr:row>11</xdr:row>
      <xdr:rowOff>171450</xdr:rowOff>
    </xdr:to>
    <xdr:sp macro="" textlink="">
      <xdr:nvSpPr>
        <xdr:cNvPr id="46" name="Rounded Rectangle 45">
          <a:hlinkClick xmlns:r="http://schemas.openxmlformats.org/officeDocument/2006/relationships" r:id="rId13"/>
          <a:extLst>
            <a:ext uri="{FF2B5EF4-FFF2-40B4-BE49-F238E27FC236}">
              <a16:creationId xmlns:a16="http://schemas.microsoft.com/office/drawing/2014/main" id="{00000000-0008-0000-0000-00002E000000}"/>
            </a:ext>
          </a:extLst>
        </xdr:cNvPr>
        <xdr:cNvSpPr/>
      </xdr:nvSpPr>
      <xdr:spPr bwMode="auto">
        <a:xfrm>
          <a:off x="934316" y="2447926"/>
          <a:ext cx="2208934" cy="495299"/>
        </a:xfrm>
        <a:prstGeom prst="roundRect">
          <a:avLst>
            <a:gd name="adj" fmla="val 0"/>
          </a:avLst>
        </a:prstGeom>
        <a:solidFill>
          <a:srgbClr val="92D050"/>
        </a:solidFill>
        <a:ln>
          <a:headEnd type="none" w="med" len="med"/>
          <a:tailEnd type="none" w="med" len="med"/>
        </a:ln>
      </xdr:spPr>
      <xdr:style>
        <a:lnRef idx="0">
          <a:schemeClr val="accent3"/>
        </a:lnRef>
        <a:fillRef idx="3">
          <a:schemeClr val="accent3"/>
        </a:fillRef>
        <a:effectRef idx="3">
          <a:schemeClr val="accent3"/>
        </a:effectRef>
        <a:fontRef idx="minor">
          <a:schemeClr val="lt1"/>
        </a:fontRef>
      </xdr:style>
      <xdr:txBody>
        <a:bodyPr vertOverflow="clip" wrap="square" lIns="18288" tIns="0" rIns="0" bIns="0" rtlCol="0" anchor="ctr" upright="1"/>
        <a:lstStyle/>
        <a:p>
          <a:pPr algn="ctr"/>
          <a:r>
            <a:rPr lang="id-ID" sz="1500" b="1">
              <a:solidFill>
                <a:srgbClr val="800000"/>
              </a:solidFill>
            </a:rPr>
            <a:t>Input Deskripsi </a:t>
          </a:r>
        </a:p>
        <a:p>
          <a:pPr algn="ctr"/>
          <a:r>
            <a:rPr lang="id-ID" sz="1500" b="1">
              <a:solidFill>
                <a:srgbClr val="800000"/>
              </a:solidFill>
            </a:rPr>
            <a:t>Agama Non</a:t>
          </a:r>
          <a:r>
            <a:rPr lang="id-ID" sz="1500" b="1" baseline="0">
              <a:solidFill>
                <a:srgbClr val="800000"/>
              </a:solidFill>
            </a:rPr>
            <a:t> Islam</a:t>
          </a:r>
          <a:endParaRPr lang="id-ID" sz="1500" b="1">
            <a:solidFill>
              <a:srgbClr val="800000"/>
            </a:solidFill>
          </a:endParaRPr>
        </a:p>
      </xdr:txBody>
    </xdr:sp>
    <xdr:clientData/>
  </xdr:twoCellAnchor>
  <xdr:twoCellAnchor>
    <xdr:from>
      <xdr:col>10</xdr:col>
      <xdr:colOff>66675</xdr:colOff>
      <xdr:row>12</xdr:row>
      <xdr:rowOff>114300</xdr:rowOff>
    </xdr:from>
    <xdr:to>
      <xdr:col>11</xdr:col>
      <xdr:colOff>174913</xdr:colOff>
      <xdr:row>16</xdr:row>
      <xdr:rowOff>28576</xdr:rowOff>
    </xdr:to>
    <xdr:sp macro="" textlink="">
      <xdr:nvSpPr>
        <xdr:cNvPr id="47" name="Text Box 2">
          <a:extLst>
            <a:ext uri="{FF2B5EF4-FFF2-40B4-BE49-F238E27FC236}">
              <a16:creationId xmlns:a16="http://schemas.microsoft.com/office/drawing/2014/main" id="{00000000-0008-0000-0000-00002F000000}"/>
            </a:ext>
          </a:extLst>
        </xdr:cNvPr>
        <xdr:cNvSpPr txBox="1">
          <a:spLocks noChangeArrowheads="1"/>
        </xdr:cNvSpPr>
      </xdr:nvSpPr>
      <xdr:spPr bwMode="auto">
        <a:xfrm>
          <a:off x="3571875" y="3152775"/>
          <a:ext cx="1203613" cy="981076"/>
        </a:xfrm>
        <a:prstGeom prst="foldedCorner">
          <a:avLst/>
        </a:prstGeom>
        <a:solidFill>
          <a:srgbClr val="00EA6A"/>
        </a:solidFill>
        <a:ln>
          <a:solidFill>
            <a:schemeClr val="accent3">
              <a:lumMod val="50000"/>
            </a:schemeClr>
          </a:solidFill>
          <a:headEnd/>
          <a:tailEnd/>
        </a:ln>
      </xdr:spPr>
      <xdr:style>
        <a:lnRef idx="2">
          <a:schemeClr val="accent4">
            <a:shade val="50000"/>
          </a:schemeClr>
        </a:lnRef>
        <a:fillRef idx="1">
          <a:schemeClr val="accent4"/>
        </a:fillRef>
        <a:effectRef idx="0">
          <a:schemeClr val="accent4"/>
        </a:effectRef>
        <a:fontRef idx="minor">
          <a:schemeClr val="lt1"/>
        </a:fontRef>
      </xdr:style>
      <xdr:txBody>
        <a:bodyPr vertOverflow="clip" wrap="square" lIns="27432" tIns="27432" rIns="0" bIns="0" anchor="ctr" upright="1"/>
        <a:lstStyle/>
        <a:p>
          <a:pPr algn="ctr" rtl="0">
            <a:defRPr sz="1000"/>
          </a:pPr>
          <a:r>
            <a:rPr lang="id-ID" sz="1000" b="1" i="0" u="none" strike="noStrike" kern="0" spc="0" baseline="0">
              <a:solidFill>
                <a:sysClr val="windowText" lastClr="000000"/>
              </a:solidFill>
              <a:latin typeface="Arial" panose="020B0604020202020204" pitchFamily="34" charset="0"/>
              <a:cs typeface="Calibri"/>
            </a:rPr>
            <a:t> Sesuai dengan Peraturan Menteri Pendidikan dan Kebudayaan No 23 Tahun 2016</a:t>
          </a:r>
        </a:p>
      </xdr:txBody>
    </xdr:sp>
    <xdr:clientData/>
  </xdr:twoCellAnchor>
  <xdr:twoCellAnchor>
    <xdr:from>
      <xdr:col>10</xdr:col>
      <xdr:colOff>66674</xdr:colOff>
      <xdr:row>8</xdr:row>
      <xdr:rowOff>152401</xdr:rowOff>
    </xdr:from>
    <xdr:to>
      <xdr:col>11</xdr:col>
      <xdr:colOff>174912</xdr:colOff>
      <xdr:row>12</xdr:row>
      <xdr:rowOff>28575</xdr:rowOff>
    </xdr:to>
    <xdr:sp macro="" textlink="">
      <xdr:nvSpPr>
        <xdr:cNvPr id="7" name="Round Diagonal Corner Rectangle 6">
          <a:extLst>
            <a:ext uri="{FF2B5EF4-FFF2-40B4-BE49-F238E27FC236}">
              <a16:creationId xmlns:a16="http://schemas.microsoft.com/office/drawing/2014/main" id="{00000000-0008-0000-0000-000007000000}"/>
            </a:ext>
          </a:extLst>
        </xdr:cNvPr>
        <xdr:cNvSpPr/>
      </xdr:nvSpPr>
      <xdr:spPr>
        <a:xfrm>
          <a:off x="3571874" y="2124076"/>
          <a:ext cx="1203613" cy="942974"/>
        </a:xfrm>
        <a:prstGeom prst="round2DiagRect">
          <a:avLst>
            <a:gd name="adj1" fmla="val 31885"/>
            <a:gd name="adj2" fmla="val 0"/>
          </a:avLst>
        </a:prstGeom>
        <a:solidFill>
          <a:srgbClr val="FF0000"/>
        </a:solidFill>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lIns="36000" tIns="36000" rIns="36000" bIns="36000" rtlCol="0" anchor="t"/>
        <a:lstStyle/>
        <a:p>
          <a:pPr algn="ctr"/>
          <a:r>
            <a:rPr lang="id-ID" sz="1100" b="1">
              <a:solidFill>
                <a:srgbClr val="FFFF00"/>
              </a:solidFill>
            </a:rPr>
            <a:t>Aplikasi ini menggunakan Office 2010 atau versi di atasnya</a:t>
          </a:r>
        </a:p>
      </xdr:txBody>
    </xdr:sp>
    <xdr:clientData/>
  </xdr:twoCellAnchor>
  <xdr:twoCellAnchor>
    <xdr:from>
      <xdr:col>3</xdr:col>
      <xdr:colOff>28575</xdr:colOff>
      <xdr:row>2</xdr:row>
      <xdr:rowOff>76200</xdr:rowOff>
    </xdr:from>
    <xdr:to>
      <xdr:col>10</xdr:col>
      <xdr:colOff>38100</xdr:colOff>
      <xdr:row>16</xdr:row>
      <xdr:rowOff>66675</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3267075" y="533400"/>
          <a:ext cx="375285" cy="3632835"/>
          <a:chOff x="5133975" y="571500"/>
          <a:chExt cx="238125" cy="3638550"/>
        </a:xfrm>
      </xdr:grpSpPr>
      <xdr:sp macro="" textlink="">
        <xdr:nvSpPr>
          <xdr:cNvPr id="59" name="Block Arc 58">
            <a:extLst>
              <a:ext uri="{FF2B5EF4-FFF2-40B4-BE49-F238E27FC236}">
                <a16:creationId xmlns:a16="http://schemas.microsoft.com/office/drawing/2014/main" id="{00000000-0008-0000-0000-00003B000000}"/>
              </a:ext>
            </a:extLst>
          </xdr:cNvPr>
          <xdr:cNvSpPr/>
        </xdr:nvSpPr>
        <xdr:spPr>
          <a:xfrm>
            <a:off x="5133975" y="571500"/>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0" name="Block Arc 59">
            <a:extLst>
              <a:ext uri="{FF2B5EF4-FFF2-40B4-BE49-F238E27FC236}">
                <a16:creationId xmlns:a16="http://schemas.microsoft.com/office/drawing/2014/main" id="{00000000-0008-0000-0000-00003C000000}"/>
              </a:ext>
            </a:extLst>
          </xdr:cNvPr>
          <xdr:cNvSpPr/>
        </xdr:nvSpPr>
        <xdr:spPr>
          <a:xfrm>
            <a:off x="5133975" y="4010025"/>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1" name="Block Arc 60">
            <a:extLst>
              <a:ext uri="{FF2B5EF4-FFF2-40B4-BE49-F238E27FC236}">
                <a16:creationId xmlns:a16="http://schemas.microsoft.com/office/drawing/2014/main" id="{00000000-0008-0000-0000-00003D000000}"/>
              </a:ext>
            </a:extLst>
          </xdr:cNvPr>
          <xdr:cNvSpPr/>
        </xdr:nvSpPr>
        <xdr:spPr>
          <a:xfrm>
            <a:off x="5133975" y="836002"/>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 name="Block Arc 61">
            <a:extLst>
              <a:ext uri="{FF2B5EF4-FFF2-40B4-BE49-F238E27FC236}">
                <a16:creationId xmlns:a16="http://schemas.microsoft.com/office/drawing/2014/main" id="{00000000-0008-0000-0000-00003E000000}"/>
              </a:ext>
            </a:extLst>
          </xdr:cNvPr>
          <xdr:cNvSpPr/>
        </xdr:nvSpPr>
        <xdr:spPr>
          <a:xfrm>
            <a:off x="5133975" y="1100504"/>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3" name="Block Arc 62">
            <a:extLst>
              <a:ext uri="{FF2B5EF4-FFF2-40B4-BE49-F238E27FC236}">
                <a16:creationId xmlns:a16="http://schemas.microsoft.com/office/drawing/2014/main" id="{00000000-0008-0000-0000-00003F000000}"/>
              </a:ext>
            </a:extLst>
          </xdr:cNvPr>
          <xdr:cNvSpPr/>
        </xdr:nvSpPr>
        <xdr:spPr>
          <a:xfrm>
            <a:off x="5133975" y="1365006"/>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4" name="Block Arc 63">
            <a:extLst>
              <a:ext uri="{FF2B5EF4-FFF2-40B4-BE49-F238E27FC236}">
                <a16:creationId xmlns:a16="http://schemas.microsoft.com/office/drawing/2014/main" id="{00000000-0008-0000-0000-000040000000}"/>
              </a:ext>
            </a:extLst>
          </xdr:cNvPr>
          <xdr:cNvSpPr/>
        </xdr:nvSpPr>
        <xdr:spPr>
          <a:xfrm>
            <a:off x="5133975" y="1629508"/>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5" name="Block Arc 64">
            <a:extLst>
              <a:ext uri="{FF2B5EF4-FFF2-40B4-BE49-F238E27FC236}">
                <a16:creationId xmlns:a16="http://schemas.microsoft.com/office/drawing/2014/main" id="{00000000-0008-0000-0000-000041000000}"/>
              </a:ext>
            </a:extLst>
          </xdr:cNvPr>
          <xdr:cNvSpPr/>
        </xdr:nvSpPr>
        <xdr:spPr>
          <a:xfrm>
            <a:off x="5133975" y="1894010"/>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6" name="Block Arc 65">
            <a:extLst>
              <a:ext uri="{FF2B5EF4-FFF2-40B4-BE49-F238E27FC236}">
                <a16:creationId xmlns:a16="http://schemas.microsoft.com/office/drawing/2014/main" id="{00000000-0008-0000-0000-000042000000}"/>
              </a:ext>
            </a:extLst>
          </xdr:cNvPr>
          <xdr:cNvSpPr/>
        </xdr:nvSpPr>
        <xdr:spPr>
          <a:xfrm>
            <a:off x="5133975" y="2158512"/>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7" name="Block Arc 66">
            <a:extLst>
              <a:ext uri="{FF2B5EF4-FFF2-40B4-BE49-F238E27FC236}">
                <a16:creationId xmlns:a16="http://schemas.microsoft.com/office/drawing/2014/main" id="{00000000-0008-0000-0000-000043000000}"/>
              </a:ext>
            </a:extLst>
          </xdr:cNvPr>
          <xdr:cNvSpPr/>
        </xdr:nvSpPr>
        <xdr:spPr>
          <a:xfrm>
            <a:off x="5133975" y="2423014"/>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8" name="Block Arc 67">
            <a:extLst>
              <a:ext uri="{FF2B5EF4-FFF2-40B4-BE49-F238E27FC236}">
                <a16:creationId xmlns:a16="http://schemas.microsoft.com/office/drawing/2014/main" id="{00000000-0008-0000-0000-000044000000}"/>
              </a:ext>
            </a:extLst>
          </xdr:cNvPr>
          <xdr:cNvSpPr/>
        </xdr:nvSpPr>
        <xdr:spPr>
          <a:xfrm>
            <a:off x="5133975" y="2687516"/>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9" name="Block Arc 68">
            <a:extLst>
              <a:ext uri="{FF2B5EF4-FFF2-40B4-BE49-F238E27FC236}">
                <a16:creationId xmlns:a16="http://schemas.microsoft.com/office/drawing/2014/main" id="{00000000-0008-0000-0000-000045000000}"/>
              </a:ext>
            </a:extLst>
          </xdr:cNvPr>
          <xdr:cNvSpPr/>
        </xdr:nvSpPr>
        <xdr:spPr>
          <a:xfrm>
            <a:off x="5133975" y="2952018"/>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70" name="Block Arc 69">
            <a:extLst>
              <a:ext uri="{FF2B5EF4-FFF2-40B4-BE49-F238E27FC236}">
                <a16:creationId xmlns:a16="http://schemas.microsoft.com/office/drawing/2014/main" id="{00000000-0008-0000-0000-000046000000}"/>
              </a:ext>
            </a:extLst>
          </xdr:cNvPr>
          <xdr:cNvSpPr/>
        </xdr:nvSpPr>
        <xdr:spPr>
          <a:xfrm>
            <a:off x="5133975" y="3216520"/>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71" name="Block Arc 70">
            <a:extLst>
              <a:ext uri="{FF2B5EF4-FFF2-40B4-BE49-F238E27FC236}">
                <a16:creationId xmlns:a16="http://schemas.microsoft.com/office/drawing/2014/main" id="{00000000-0008-0000-0000-000047000000}"/>
              </a:ext>
            </a:extLst>
          </xdr:cNvPr>
          <xdr:cNvSpPr/>
        </xdr:nvSpPr>
        <xdr:spPr>
          <a:xfrm>
            <a:off x="5133975" y="3481022"/>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72" name="Block Arc 71">
            <a:extLst>
              <a:ext uri="{FF2B5EF4-FFF2-40B4-BE49-F238E27FC236}">
                <a16:creationId xmlns:a16="http://schemas.microsoft.com/office/drawing/2014/main" id="{00000000-0008-0000-0000-000048000000}"/>
              </a:ext>
            </a:extLst>
          </xdr:cNvPr>
          <xdr:cNvSpPr/>
        </xdr:nvSpPr>
        <xdr:spPr>
          <a:xfrm>
            <a:off x="5133975" y="3745524"/>
            <a:ext cx="238125" cy="200025"/>
          </a:xfrm>
          <a:prstGeom prst="blockArc">
            <a:avLst>
              <a:gd name="adj1" fmla="val 10800000"/>
              <a:gd name="adj2" fmla="val 21431428"/>
              <a:gd name="adj3" fmla="val 13396"/>
            </a:avLst>
          </a:prstGeom>
          <a:ln w="34925">
            <a:solidFill>
              <a:srgbClr val="FFFFFF"/>
            </a:solidFill>
          </a:ln>
          <a:effectLst>
            <a:outerShdw blurRad="317500" dir="2700000" algn="ctr">
              <a:srgbClr val="000000">
                <a:alpha val="43000"/>
              </a:srgbClr>
            </a:outerShdw>
          </a:effectLst>
          <a:scene3d>
            <a:camera prst="perspectiveFront" fov="2700000">
              <a:rot lat="19086000" lon="19067999" rev="3108000"/>
            </a:camera>
            <a:lightRig rig="threePt" dir="t">
              <a:rot lat="0" lon="0" rev="0"/>
            </a:lightRig>
          </a:scene3d>
          <a:sp3d extrusionH="38100" prstMaterial="clear">
            <a:bevelT w="260350" h="50800" prst="softRound"/>
            <a:bevelB prst="softRoun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76200</xdr:colOff>
      <xdr:row>0</xdr:row>
      <xdr:rowOff>57150</xdr:rowOff>
    </xdr:from>
    <xdr:to>
      <xdr:col>10</xdr:col>
      <xdr:colOff>514350</xdr:colOff>
      <xdr:row>1</xdr:row>
      <xdr:rowOff>38099</xdr:rowOff>
    </xdr:to>
    <xdr:sp macro="" textlink="">
      <xdr:nvSpPr>
        <xdr:cNvPr id="15" name="Round Diagonal Corner Rectangle 14">
          <a:hlinkClick xmlns:r="http://schemas.openxmlformats.org/officeDocument/2006/relationships" r:id="rId1"/>
          <a:extLst>
            <a:ext uri="{FF2B5EF4-FFF2-40B4-BE49-F238E27FC236}">
              <a16:creationId xmlns:a16="http://schemas.microsoft.com/office/drawing/2014/main" id="{00000000-0008-0000-0100-00000F000000}"/>
            </a:ext>
          </a:extLst>
        </xdr:cNvPr>
        <xdr:cNvSpPr/>
      </xdr:nvSpPr>
      <xdr:spPr>
        <a:xfrm>
          <a:off x="7010400" y="5715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A</a:t>
          </a:r>
        </a:p>
      </xdr:txBody>
    </xdr:sp>
    <xdr:clientData/>
  </xdr:twoCellAnchor>
  <xdr:twoCellAnchor>
    <xdr:from>
      <xdr:col>10</xdr:col>
      <xdr:colOff>581025</xdr:colOff>
      <xdr:row>0</xdr:row>
      <xdr:rowOff>57150</xdr:rowOff>
    </xdr:from>
    <xdr:to>
      <xdr:col>11</xdr:col>
      <xdr:colOff>409575</xdr:colOff>
      <xdr:row>1</xdr:row>
      <xdr:rowOff>38099</xdr:rowOff>
    </xdr:to>
    <xdr:sp macro="" textlink="">
      <xdr:nvSpPr>
        <xdr:cNvPr id="16" name="Round Diagonal Corner Rectangle 15">
          <a:hlinkClick xmlns:r="http://schemas.openxmlformats.org/officeDocument/2006/relationships" r:id="rId2"/>
          <a:extLst>
            <a:ext uri="{FF2B5EF4-FFF2-40B4-BE49-F238E27FC236}">
              <a16:creationId xmlns:a16="http://schemas.microsoft.com/office/drawing/2014/main" id="{00000000-0008-0000-0100-000010000000}"/>
            </a:ext>
          </a:extLst>
        </xdr:cNvPr>
        <xdr:cNvSpPr/>
      </xdr:nvSpPr>
      <xdr:spPr>
        <a:xfrm>
          <a:off x="7515225" y="5715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B</a:t>
          </a:r>
        </a:p>
      </xdr:txBody>
    </xdr:sp>
    <xdr:clientData/>
  </xdr:twoCellAnchor>
  <xdr:twoCellAnchor>
    <xdr:from>
      <xdr:col>11</xdr:col>
      <xdr:colOff>481013</xdr:colOff>
      <xdr:row>0</xdr:row>
      <xdr:rowOff>57150</xdr:rowOff>
    </xdr:from>
    <xdr:to>
      <xdr:col>12</xdr:col>
      <xdr:colOff>309563</xdr:colOff>
      <xdr:row>1</xdr:row>
      <xdr:rowOff>38099</xdr:rowOff>
    </xdr:to>
    <xdr:sp macro="" textlink="">
      <xdr:nvSpPr>
        <xdr:cNvPr id="17" name="Round Diagonal Corner Rectangle 16">
          <a:hlinkClick xmlns:r="http://schemas.openxmlformats.org/officeDocument/2006/relationships" r:id="rId3"/>
          <a:extLst>
            <a:ext uri="{FF2B5EF4-FFF2-40B4-BE49-F238E27FC236}">
              <a16:creationId xmlns:a16="http://schemas.microsoft.com/office/drawing/2014/main" id="{00000000-0008-0000-0100-000011000000}"/>
            </a:ext>
          </a:extLst>
        </xdr:cNvPr>
        <xdr:cNvSpPr/>
      </xdr:nvSpPr>
      <xdr:spPr>
        <a:xfrm>
          <a:off x="8024813" y="5715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C</a:t>
          </a:r>
        </a:p>
      </xdr:txBody>
    </xdr:sp>
    <xdr:clientData/>
  </xdr:twoCellAnchor>
  <xdr:twoCellAnchor>
    <xdr:from>
      <xdr:col>10</xdr:col>
      <xdr:colOff>76200</xdr:colOff>
      <xdr:row>1</xdr:row>
      <xdr:rowOff>57300</xdr:rowOff>
    </xdr:from>
    <xdr:to>
      <xdr:col>10</xdr:col>
      <xdr:colOff>514350</xdr:colOff>
      <xdr:row>1</xdr:row>
      <xdr:rowOff>323700</xdr:rowOff>
    </xdr:to>
    <xdr:sp macro="" textlink="">
      <xdr:nvSpPr>
        <xdr:cNvPr id="18" name="Round Diagonal Corner Rectangle 17">
          <a:hlinkClick xmlns:r="http://schemas.openxmlformats.org/officeDocument/2006/relationships" r:id="rId4"/>
          <a:extLst>
            <a:ext uri="{FF2B5EF4-FFF2-40B4-BE49-F238E27FC236}">
              <a16:creationId xmlns:a16="http://schemas.microsoft.com/office/drawing/2014/main" id="{00000000-0008-0000-0100-000012000000}"/>
            </a:ext>
          </a:extLst>
        </xdr:cNvPr>
        <xdr:cNvSpPr/>
      </xdr:nvSpPr>
      <xdr:spPr>
        <a:xfrm>
          <a:off x="7010400" y="37162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E</a:t>
          </a:r>
        </a:p>
      </xdr:txBody>
    </xdr:sp>
    <xdr:clientData/>
  </xdr:twoCellAnchor>
  <xdr:twoCellAnchor>
    <xdr:from>
      <xdr:col>10</xdr:col>
      <xdr:colOff>585788</xdr:colOff>
      <xdr:row>1</xdr:row>
      <xdr:rowOff>57300</xdr:rowOff>
    </xdr:from>
    <xdr:to>
      <xdr:col>11</xdr:col>
      <xdr:colOff>414338</xdr:colOff>
      <xdr:row>1</xdr:row>
      <xdr:rowOff>323700</xdr:rowOff>
    </xdr:to>
    <xdr:sp macro="" textlink="">
      <xdr:nvSpPr>
        <xdr:cNvPr id="19" name="Round Diagonal Corner Rectangle 18">
          <a:hlinkClick xmlns:r="http://schemas.openxmlformats.org/officeDocument/2006/relationships" r:id="rId5"/>
          <a:extLst>
            <a:ext uri="{FF2B5EF4-FFF2-40B4-BE49-F238E27FC236}">
              <a16:creationId xmlns:a16="http://schemas.microsoft.com/office/drawing/2014/main" id="{00000000-0008-0000-0100-000013000000}"/>
            </a:ext>
          </a:extLst>
        </xdr:cNvPr>
        <xdr:cNvSpPr/>
      </xdr:nvSpPr>
      <xdr:spPr>
        <a:xfrm>
          <a:off x="7519988" y="37162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F</a:t>
          </a:r>
        </a:p>
      </xdr:txBody>
    </xdr:sp>
    <xdr:clientData/>
  </xdr:twoCellAnchor>
  <xdr:twoCellAnchor>
    <xdr:from>
      <xdr:col>11</xdr:col>
      <xdr:colOff>476250</xdr:colOff>
      <xdr:row>1</xdr:row>
      <xdr:rowOff>66675</xdr:rowOff>
    </xdr:from>
    <xdr:to>
      <xdr:col>12</xdr:col>
      <xdr:colOff>304800</xdr:colOff>
      <xdr:row>1</xdr:row>
      <xdr:rowOff>333075</xdr:rowOff>
    </xdr:to>
    <xdr:sp macro="" textlink="">
      <xdr:nvSpPr>
        <xdr:cNvPr id="20" name="Round Diagonal Corner Rectangle 19">
          <a:hlinkClick xmlns:r="http://schemas.openxmlformats.org/officeDocument/2006/relationships" r:id="rId6"/>
          <a:extLst>
            <a:ext uri="{FF2B5EF4-FFF2-40B4-BE49-F238E27FC236}">
              <a16:creationId xmlns:a16="http://schemas.microsoft.com/office/drawing/2014/main" id="{00000000-0008-0000-0100-000014000000}"/>
            </a:ext>
          </a:extLst>
        </xdr:cNvPr>
        <xdr:cNvSpPr/>
      </xdr:nvSpPr>
      <xdr:spPr>
        <a:xfrm>
          <a:off x="8020050" y="38100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G</a:t>
          </a:r>
        </a:p>
      </xdr:txBody>
    </xdr:sp>
    <xdr:clientData/>
  </xdr:twoCellAnchor>
  <xdr:twoCellAnchor>
    <xdr:from>
      <xdr:col>12</xdr:col>
      <xdr:colOff>361950</xdr:colOff>
      <xdr:row>0</xdr:row>
      <xdr:rowOff>57150</xdr:rowOff>
    </xdr:from>
    <xdr:to>
      <xdr:col>12</xdr:col>
      <xdr:colOff>800100</xdr:colOff>
      <xdr:row>1</xdr:row>
      <xdr:rowOff>9524</xdr:rowOff>
    </xdr:to>
    <xdr:sp macro="" textlink="">
      <xdr:nvSpPr>
        <xdr:cNvPr id="21" name="Round Diagonal Corner Rectangle 20">
          <a:hlinkClick xmlns:r="http://schemas.openxmlformats.org/officeDocument/2006/relationships" r:id="rId7"/>
          <a:extLst>
            <a:ext uri="{FF2B5EF4-FFF2-40B4-BE49-F238E27FC236}">
              <a16:creationId xmlns:a16="http://schemas.microsoft.com/office/drawing/2014/main" id="{00000000-0008-0000-0100-000015000000}"/>
            </a:ext>
          </a:extLst>
        </xdr:cNvPr>
        <xdr:cNvSpPr/>
      </xdr:nvSpPr>
      <xdr:spPr>
        <a:xfrm>
          <a:off x="8515350" y="57150"/>
          <a:ext cx="438150" cy="266699"/>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D</a:t>
          </a:r>
        </a:p>
      </xdr:txBody>
    </xdr:sp>
    <xdr:clientData/>
  </xdr:twoCellAnchor>
  <xdr:twoCellAnchor>
    <xdr:from>
      <xdr:col>10</xdr:col>
      <xdr:colOff>80963</xdr:colOff>
      <xdr:row>1</xdr:row>
      <xdr:rowOff>352425</xdr:rowOff>
    </xdr:from>
    <xdr:to>
      <xdr:col>10</xdr:col>
      <xdr:colOff>519113</xdr:colOff>
      <xdr:row>2</xdr:row>
      <xdr:rowOff>142575</xdr:rowOff>
    </xdr:to>
    <xdr:sp macro="" textlink="">
      <xdr:nvSpPr>
        <xdr:cNvPr id="22" name="Round Diagonal Corner Rectangle 21">
          <a:hlinkClick xmlns:r="http://schemas.openxmlformats.org/officeDocument/2006/relationships" r:id="rId8"/>
          <a:extLst>
            <a:ext uri="{FF2B5EF4-FFF2-40B4-BE49-F238E27FC236}">
              <a16:creationId xmlns:a16="http://schemas.microsoft.com/office/drawing/2014/main" id="{00000000-0008-0000-0100-000016000000}"/>
            </a:ext>
          </a:extLst>
        </xdr:cNvPr>
        <xdr:cNvSpPr/>
      </xdr:nvSpPr>
      <xdr:spPr>
        <a:xfrm>
          <a:off x="7015163" y="66675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I</a:t>
          </a:r>
        </a:p>
      </xdr:txBody>
    </xdr:sp>
    <xdr:clientData/>
  </xdr:twoCellAnchor>
  <xdr:twoCellAnchor>
    <xdr:from>
      <xdr:col>12</xdr:col>
      <xdr:colOff>352425</xdr:colOff>
      <xdr:row>1</xdr:row>
      <xdr:rowOff>47625</xdr:rowOff>
    </xdr:from>
    <xdr:to>
      <xdr:col>12</xdr:col>
      <xdr:colOff>790575</xdr:colOff>
      <xdr:row>1</xdr:row>
      <xdr:rowOff>314025</xdr:rowOff>
    </xdr:to>
    <xdr:sp macro="" textlink="">
      <xdr:nvSpPr>
        <xdr:cNvPr id="23" name="Round Diagonal Corner Rectangle 22">
          <a:hlinkClick xmlns:r="http://schemas.openxmlformats.org/officeDocument/2006/relationships" r:id="rId9"/>
          <a:extLst>
            <a:ext uri="{FF2B5EF4-FFF2-40B4-BE49-F238E27FC236}">
              <a16:creationId xmlns:a16="http://schemas.microsoft.com/office/drawing/2014/main" id="{00000000-0008-0000-0100-000017000000}"/>
            </a:ext>
          </a:extLst>
        </xdr:cNvPr>
        <xdr:cNvSpPr/>
      </xdr:nvSpPr>
      <xdr:spPr>
        <a:xfrm>
          <a:off x="8505825" y="36195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H</a:t>
          </a:r>
        </a:p>
      </xdr:txBody>
    </xdr:sp>
    <xdr:clientData/>
  </xdr:twoCellAnchor>
  <xdr:twoCellAnchor editAs="oneCell">
    <xdr:from>
      <xdr:col>0</xdr:col>
      <xdr:colOff>47625</xdr:colOff>
      <xdr:row>1</xdr:row>
      <xdr:rowOff>0</xdr:rowOff>
    </xdr:from>
    <xdr:to>
      <xdr:col>1</xdr:col>
      <xdr:colOff>476250</xdr:colOff>
      <xdr:row>2</xdr:row>
      <xdr:rowOff>47625</xdr:rowOff>
    </xdr:to>
    <xdr:pic>
      <xdr:nvPicPr>
        <xdr:cNvPr id="13" name="Picture 12">
          <a:hlinkClick xmlns:r="http://schemas.openxmlformats.org/officeDocument/2006/relationships" r:id="rId10"/>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7625" y="314325"/>
          <a:ext cx="523875" cy="523875"/>
        </a:xfrm>
        <a:prstGeom prst="rect">
          <a:avLst/>
        </a:prstGeom>
        <a:effectLst>
          <a:glow rad="63500">
            <a:schemeClr val="accent5">
              <a:satMod val="175000"/>
              <a:alpha val="40000"/>
            </a:schemeClr>
          </a:glow>
        </a:effectLst>
      </xdr:spPr>
    </xdr:pic>
    <xdr:clientData/>
  </xdr:twoCellAnchor>
  <xdr:twoCellAnchor>
    <xdr:from>
      <xdr:col>1</xdr:col>
      <xdr:colOff>9525</xdr:colOff>
      <xdr:row>3</xdr:row>
      <xdr:rowOff>0</xdr:rowOff>
    </xdr:from>
    <xdr:to>
      <xdr:col>3</xdr:col>
      <xdr:colOff>47625</xdr:colOff>
      <xdr:row>4</xdr:row>
      <xdr:rowOff>9525</xdr:rowOff>
    </xdr:to>
    <xdr:sp macro="" textlink="">
      <xdr:nvSpPr>
        <xdr:cNvPr id="2" name="Rectangle 1">
          <a:hlinkClick xmlns:r="http://schemas.openxmlformats.org/officeDocument/2006/relationships" r:id="rId12"/>
          <a:extLst>
            <a:ext uri="{FF2B5EF4-FFF2-40B4-BE49-F238E27FC236}">
              <a16:creationId xmlns:a16="http://schemas.microsoft.com/office/drawing/2014/main" id="{00000000-0008-0000-0100-000002000000}"/>
            </a:ext>
          </a:extLst>
        </xdr:cNvPr>
        <xdr:cNvSpPr/>
      </xdr:nvSpPr>
      <xdr:spPr>
        <a:xfrm>
          <a:off x="104775" y="990600"/>
          <a:ext cx="3105150" cy="228600"/>
        </a:xfrm>
        <a:prstGeom prst="rect">
          <a:avLst/>
        </a:prstGeom>
        <a:no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581025</xdr:colOff>
      <xdr:row>1</xdr:row>
      <xdr:rowOff>352425</xdr:rowOff>
    </xdr:from>
    <xdr:to>
      <xdr:col>11</xdr:col>
      <xdr:colOff>409575</xdr:colOff>
      <xdr:row>2</xdr:row>
      <xdr:rowOff>142575</xdr:rowOff>
    </xdr:to>
    <xdr:sp macro="" textlink="">
      <xdr:nvSpPr>
        <xdr:cNvPr id="24" name="Round Diagonal Corner Rectangle 23">
          <a:hlinkClick xmlns:r="http://schemas.openxmlformats.org/officeDocument/2006/relationships" r:id="rId13"/>
          <a:extLst>
            <a:ext uri="{FF2B5EF4-FFF2-40B4-BE49-F238E27FC236}">
              <a16:creationId xmlns:a16="http://schemas.microsoft.com/office/drawing/2014/main" id="{00000000-0008-0000-0100-000018000000}"/>
            </a:ext>
          </a:extLst>
        </xdr:cNvPr>
        <xdr:cNvSpPr/>
      </xdr:nvSpPr>
      <xdr:spPr>
        <a:xfrm>
          <a:off x="7515225" y="66675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J</a:t>
          </a:r>
        </a:p>
      </xdr:txBody>
    </xdr:sp>
    <xdr:clientData/>
  </xdr:twoCellAnchor>
  <xdr:twoCellAnchor>
    <xdr:from>
      <xdr:col>11</xdr:col>
      <xdr:colOff>466725</xdr:colOff>
      <xdr:row>1</xdr:row>
      <xdr:rowOff>361950</xdr:rowOff>
    </xdr:from>
    <xdr:to>
      <xdr:col>12</xdr:col>
      <xdr:colOff>295275</xdr:colOff>
      <xdr:row>2</xdr:row>
      <xdr:rowOff>152100</xdr:rowOff>
    </xdr:to>
    <xdr:sp macro="" textlink="">
      <xdr:nvSpPr>
        <xdr:cNvPr id="14" name="Round Diagonal Corner Rectangle 13">
          <a:hlinkClick xmlns:r="http://schemas.openxmlformats.org/officeDocument/2006/relationships" r:id="rId14"/>
          <a:extLst>
            <a:ext uri="{FF2B5EF4-FFF2-40B4-BE49-F238E27FC236}">
              <a16:creationId xmlns:a16="http://schemas.microsoft.com/office/drawing/2014/main" id="{00000000-0008-0000-0100-00000E000000}"/>
            </a:ext>
          </a:extLst>
        </xdr:cNvPr>
        <xdr:cNvSpPr/>
      </xdr:nvSpPr>
      <xdr:spPr>
        <a:xfrm>
          <a:off x="8010525" y="67627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K</a:t>
          </a:r>
        </a:p>
      </xdr:txBody>
    </xdr:sp>
    <xdr:clientData/>
  </xdr:twoCellAnchor>
  <xdr:twoCellAnchor>
    <xdr:from>
      <xdr:col>12</xdr:col>
      <xdr:colOff>342900</xdr:colOff>
      <xdr:row>1</xdr:row>
      <xdr:rowOff>352425</xdr:rowOff>
    </xdr:from>
    <xdr:to>
      <xdr:col>12</xdr:col>
      <xdr:colOff>781050</xdr:colOff>
      <xdr:row>2</xdr:row>
      <xdr:rowOff>142575</xdr:rowOff>
    </xdr:to>
    <xdr:sp macro="" textlink="">
      <xdr:nvSpPr>
        <xdr:cNvPr id="25" name="Round Diagonal Corner Rectangle 24">
          <a:hlinkClick xmlns:r="http://schemas.openxmlformats.org/officeDocument/2006/relationships" r:id="rId15"/>
          <a:extLst>
            <a:ext uri="{FF2B5EF4-FFF2-40B4-BE49-F238E27FC236}">
              <a16:creationId xmlns:a16="http://schemas.microsoft.com/office/drawing/2014/main" id="{00000000-0008-0000-0100-000019000000}"/>
            </a:ext>
          </a:extLst>
        </xdr:cNvPr>
        <xdr:cNvSpPr/>
      </xdr:nvSpPr>
      <xdr:spPr>
        <a:xfrm>
          <a:off x="8496300" y="66675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L</a:t>
          </a:r>
        </a:p>
      </xdr:txBody>
    </xdr:sp>
    <xdr:clientData/>
  </xdr:twoCellAnchor>
  <xdr:twoCellAnchor>
    <xdr:from>
      <xdr:col>10</xdr:col>
      <xdr:colOff>76200</xdr:colOff>
      <xdr:row>2</xdr:row>
      <xdr:rowOff>161925</xdr:rowOff>
    </xdr:from>
    <xdr:to>
      <xdr:col>10</xdr:col>
      <xdr:colOff>514350</xdr:colOff>
      <xdr:row>4</xdr:row>
      <xdr:rowOff>9225</xdr:rowOff>
    </xdr:to>
    <xdr:sp macro="" textlink="">
      <xdr:nvSpPr>
        <xdr:cNvPr id="26" name="Round Diagonal Corner Rectangle 25">
          <a:hlinkClick xmlns:r="http://schemas.openxmlformats.org/officeDocument/2006/relationships" r:id="rId16"/>
          <a:extLst>
            <a:ext uri="{FF2B5EF4-FFF2-40B4-BE49-F238E27FC236}">
              <a16:creationId xmlns:a16="http://schemas.microsoft.com/office/drawing/2014/main" id="{00000000-0008-0000-0100-00001A000000}"/>
            </a:ext>
          </a:extLst>
        </xdr:cNvPr>
        <xdr:cNvSpPr/>
      </xdr:nvSpPr>
      <xdr:spPr>
        <a:xfrm>
          <a:off x="7010400" y="95250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133350</xdr:rowOff>
    </xdr:from>
    <xdr:to>
      <xdr:col>0</xdr:col>
      <xdr:colOff>9525</xdr:colOff>
      <xdr:row>1</xdr:row>
      <xdr:rowOff>209550</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4933950" y="133350"/>
          <a:ext cx="0" cy="495300"/>
        </a:xfrm>
        <a:prstGeom prst="line">
          <a:avLst/>
        </a:prstGeom>
        <a:ln w="9525"/>
      </xdr:spPr>
      <xdr:style>
        <a:lnRef idx="2">
          <a:schemeClr val="accent6"/>
        </a:lnRef>
        <a:fillRef idx="0">
          <a:schemeClr val="accent6"/>
        </a:fillRef>
        <a:effectRef idx="1">
          <a:schemeClr val="accent6"/>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1</xdr:row>
      <xdr:rowOff>9525</xdr:rowOff>
    </xdr:from>
    <xdr:to>
      <xdr:col>21</xdr:col>
      <xdr:colOff>2695575</xdr:colOff>
      <xdr:row>3</xdr:row>
      <xdr:rowOff>95250</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4429125" y="123825"/>
          <a:ext cx="5410200" cy="447675"/>
        </a:xfrm>
        <a:prstGeom prst="rect">
          <a:avLst/>
        </a:prstGeom>
        <a:ln/>
        <a:scene3d>
          <a:camera prst="orthographicFront">
            <a:rot lat="0" lon="0" rev="0"/>
          </a:camera>
          <a:lightRig rig="threePt" dir="t">
            <a:rot lat="0" lon="0" rev="1200000"/>
          </a:lightRig>
        </a:scene3d>
        <a:sp3d>
          <a:bevelT w="63500" h="25400" prst="angle"/>
        </a:sp3d>
      </xdr:spPr>
      <xdr:style>
        <a:lnRef idx="0">
          <a:schemeClr val="accent6"/>
        </a:lnRef>
        <a:fillRef idx="3">
          <a:schemeClr val="accent6"/>
        </a:fillRef>
        <a:effectRef idx="3">
          <a:schemeClr val="accent6"/>
        </a:effectRef>
        <a:fontRef idx="minor">
          <a:schemeClr val="lt1"/>
        </a:fontRef>
      </xdr:style>
      <xdr:txBody>
        <a:bodyPr vertOverflow="clip" horzOverflow="clip" lIns="36000" tIns="36000" rIns="36000" bIns="36000" rtlCol="0" anchor="ctr"/>
        <a:lstStyle/>
        <a:p>
          <a:pPr algn="l"/>
          <a:r>
            <a:rPr lang="id-ID" sz="1000">
              <a:solidFill>
                <a:schemeClr val="tx1"/>
              </a:solidFill>
              <a:latin typeface="Tahoma" pitchFamily="34" charset="0"/>
              <a:ea typeface="Tahoma" pitchFamily="34" charset="0"/>
              <a:cs typeface="Tahoma" pitchFamily="34" charset="0"/>
            </a:rPr>
            <a:t>Aplikasi</a:t>
          </a:r>
          <a:r>
            <a:rPr lang="id-ID" sz="1000" baseline="0">
              <a:solidFill>
                <a:schemeClr val="tx1"/>
              </a:solidFill>
              <a:latin typeface="Tahoma" pitchFamily="34" charset="0"/>
              <a:ea typeface="Tahoma" pitchFamily="34" charset="0"/>
              <a:cs typeface="Tahoma" pitchFamily="34" charset="0"/>
            </a:rPr>
            <a:t> tidak merumuskan semua jenis agama masuk, maka untuk deskripsi nilai bagi Siswa dengan agama minoritas (</a:t>
          </a:r>
          <a:r>
            <a:rPr lang="id-ID" sz="1000" b="1" baseline="0">
              <a:solidFill>
                <a:schemeClr val="tx1"/>
              </a:solidFill>
              <a:latin typeface="Tahoma" pitchFamily="34" charset="0"/>
              <a:ea typeface="Tahoma" pitchFamily="34" charset="0"/>
              <a:cs typeface="Tahoma" pitchFamily="34" charset="0"/>
            </a:rPr>
            <a:t>tidak tertulis KD/materinya</a:t>
          </a:r>
          <a:r>
            <a:rPr lang="id-ID" sz="1000" baseline="0">
              <a:solidFill>
                <a:schemeClr val="tx1"/>
              </a:solidFill>
              <a:latin typeface="Tahoma" pitchFamily="34" charset="0"/>
              <a:ea typeface="Tahoma" pitchFamily="34" charset="0"/>
              <a:cs typeface="Tahoma" pitchFamily="34" charset="0"/>
            </a:rPr>
            <a:t>) deskripsi dibuat manual disini.</a:t>
          </a:r>
          <a:endParaRPr lang="id-ID" sz="1000">
            <a:solidFill>
              <a:schemeClr val="tx1"/>
            </a:solidFill>
            <a:latin typeface="Tahoma" pitchFamily="34" charset="0"/>
            <a:ea typeface="Tahoma" pitchFamily="34" charset="0"/>
            <a:cs typeface="Tahoma" pitchFamily="34" charset="0"/>
          </a:endParaRPr>
        </a:p>
      </xdr:txBody>
    </xdr:sp>
    <xdr:clientData/>
  </xdr:twoCellAnchor>
  <xdr:twoCellAnchor>
    <xdr:from>
      <xdr:col>2</xdr:col>
      <xdr:colOff>209550</xdr:colOff>
      <xdr:row>1</xdr:row>
      <xdr:rowOff>9525</xdr:rowOff>
    </xdr:from>
    <xdr:to>
      <xdr:col>7</xdr:col>
      <xdr:colOff>981075</xdr:colOff>
      <xdr:row>3</xdr:row>
      <xdr:rowOff>95250</xdr:rowOff>
    </xdr:to>
    <xdr:sp macro="" textlink="">
      <xdr:nvSpPr>
        <xdr:cNvPr id="9" name="Rectangle 8">
          <a:extLst>
            <a:ext uri="{FF2B5EF4-FFF2-40B4-BE49-F238E27FC236}">
              <a16:creationId xmlns:a16="http://schemas.microsoft.com/office/drawing/2014/main" id="{00000000-0008-0000-0300-000009000000}"/>
            </a:ext>
          </a:extLst>
        </xdr:cNvPr>
        <xdr:cNvSpPr/>
      </xdr:nvSpPr>
      <xdr:spPr>
        <a:xfrm>
          <a:off x="552450" y="123825"/>
          <a:ext cx="4067175" cy="447675"/>
        </a:xfrm>
        <a:prstGeom prst="rect">
          <a:avLst/>
        </a:prstGeom>
        <a:solidFill>
          <a:schemeClr val="accent4">
            <a:lumMod val="50000"/>
          </a:schemeClr>
        </a:solidFill>
        <a:ln w="3175">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id-ID" sz="1400" b="1">
              <a:solidFill>
                <a:srgbClr val="FFC000"/>
              </a:solidFill>
              <a:latin typeface="Arial" pitchFamily="34" charset="0"/>
              <a:ea typeface="Tahoma" pitchFamily="34" charset="0"/>
              <a:cs typeface="Arial" pitchFamily="34" charset="0"/>
            </a:rPr>
            <a:t>DESKRIPSI PENDIDIKAN AGAMA NON</a:t>
          </a:r>
          <a:r>
            <a:rPr lang="id-ID" sz="1400" b="1" baseline="0">
              <a:solidFill>
                <a:srgbClr val="FFC000"/>
              </a:solidFill>
              <a:latin typeface="Arial" pitchFamily="34" charset="0"/>
              <a:ea typeface="Tahoma" pitchFamily="34" charset="0"/>
              <a:cs typeface="Arial" pitchFamily="34" charset="0"/>
            </a:rPr>
            <a:t> ISLAM</a:t>
          </a:r>
          <a:endParaRPr lang="id-ID" sz="1400" b="1">
            <a:solidFill>
              <a:srgbClr val="FFC000"/>
            </a:solidFill>
            <a:latin typeface="Arial" pitchFamily="34" charset="0"/>
            <a:ea typeface="Tahoma" pitchFamily="34" charset="0"/>
            <a:cs typeface="Arial" pitchFamily="34" charset="0"/>
          </a:endParaRPr>
        </a:p>
        <a:p>
          <a:pPr algn="ctr"/>
          <a:r>
            <a:rPr lang="id-ID" sz="1000" b="0">
              <a:solidFill>
                <a:srgbClr val="FFFF00"/>
              </a:solidFill>
              <a:latin typeface="Arial" pitchFamily="34" charset="0"/>
              <a:ea typeface="Tahoma" pitchFamily="34" charset="0"/>
              <a:cs typeface="Arial" pitchFamily="34" charset="0"/>
            </a:rPr>
            <a:t>KOSONGKAN</a:t>
          </a:r>
          <a:r>
            <a:rPr lang="id-ID" sz="1000" b="0" baseline="0">
              <a:solidFill>
                <a:srgbClr val="FFFF00"/>
              </a:solidFill>
              <a:latin typeface="Arial" pitchFamily="34" charset="0"/>
              <a:ea typeface="Tahoma" pitchFamily="34" charset="0"/>
              <a:cs typeface="Arial" pitchFamily="34" charset="0"/>
            </a:rPr>
            <a:t> HALAMAN INI j</a:t>
          </a:r>
          <a:r>
            <a:rPr lang="id-ID" sz="1000" b="0">
              <a:solidFill>
                <a:srgbClr val="FFFF00"/>
              </a:solidFill>
              <a:latin typeface="Arial" pitchFamily="34" charset="0"/>
              <a:ea typeface="Tahoma" pitchFamily="34" charset="0"/>
              <a:cs typeface="Arial" pitchFamily="34" charset="0"/>
            </a:rPr>
            <a:t>ika tidak ada pemeluk agama non Islam</a:t>
          </a:r>
        </a:p>
      </xdr:txBody>
    </xdr:sp>
    <xdr:clientData/>
  </xdr:twoCellAnchor>
  <xdr:twoCellAnchor>
    <xdr:from>
      <xdr:col>22</xdr:col>
      <xdr:colOff>38100</xdr:colOff>
      <xdr:row>1</xdr:row>
      <xdr:rowOff>0</xdr:rowOff>
    </xdr:from>
    <xdr:to>
      <xdr:col>23</xdr:col>
      <xdr:colOff>95250</xdr:colOff>
      <xdr:row>2</xdr:row>
      <xdr:rowOff>142874</xdr:rowOff>
    </xdr:to>
    <xdr:sp macro="" textlink="">
      <xdr:nvSpPr>
        <xdr:cNvPr id="5" name="Round Diagonal Corner Rectangle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a:xfrm>
          <a:off x="9896475" y="11430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A</a:t>
          </a:r>
        </a:p>
      </xdr:txBody>
    </xdr:sp>
    <xdr:clientData/>
  </xdr:twoCellAnchor>
  <xdr:twoCellAnchor>
    <xdr:from>
      <xdr:col>23</xdr:col>
      <xdr:colOff>161925</xdr:colOff>
      <xdr:row>1</xdr:row>
      <xdr:rowOff>0</xdr:rowOff>
    </xdr:from>
    <xdr:to>
      <xdr:col>23</xdr:col>
      <xdr:colOff>600075</xdr:colOff>
      <xdr:row>2</xdr:row>
      <xdr:rowOff>142874</xdr:rowOff>
    </xdr:to>
    <xdr:sp macro="" textlink="">
      <xdr:nvSpPr>
        <xdr:cNvPr id="6" name="Round Diagonal Corner Rectangle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0401300" y="11430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B</a:t>
          </a:r>
        </a:p>
      </xdr:txBody>
    </xdr:sp>
    <xdr:clientData/>
  </xdr:twoCellAnchor>
  <xdr:twoCellAnchor>
    <xdr:from>
      <xdr:col>24</xdr:col>
      <xdr:colOff>52388</xdr:colOff>
      <xdr:row>1</xdr:row>
      <xdr:rowOff>0</xdr:rowOff>
    </xdr:from>
    <xdr:to>
      <xdr:col>24</xdr:col>
      <xdr:colOff>504825</xdr:colOff>
      <xdr:row>2</xdr:row>
      <xdr:rowOff>142874</xdr:rowOff>
    </xdr:to>
    <xdr:sp macro="" textlink="">
      <xdr:nvSpPr>
        <xdr:cNvPr id="7" name="Round Diagonal Corner Rectangle 6">
          <a:hlinkClick xmlns:r="http://schemas.openxmlformats.org/officeDocument/2006/relationships" r:id="rId3"/>
          <a:extLst>
            <a:ext uri="{FF2B5EF4-FFF2-40B4-BE49-F238E27FC236}">
              <a16:creationId xmlns:a16="http://schemas.microsoft.com/office/drawing/2014/main" id="{00000000-0008-0000-0300-000007000000}"/>
            </a:ext>
          </a:extLst>
        </xdr:cNvPr>
        <xdr:cNvSpPr/>
      </xdr:nvSpPr>
      <xdr:spPr>
        <a:xfrm>
          <a:off x="11158538" y="114300"/>
          <a:ext cx="452437"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C</a:t>
          </a:r>
        </a:p>
      </xdr:txBody>
    </xdr:sp>
    <xdr:clientData/>
  </xdr:twoCellAnchor>
  <xdr:twoCellAnchor>
    <xdr:from>
      <xdr:col>23</xdr:col>
      <xdr:colOff>161925</xdr:colOff>
      <xdr:row>2</xdr:row>
      <xdr:rowOff>162075</xdr:rowOff>
    </xdr:from>
    <xdr:to>
      <xdr:col>23</xdr:col>
      <xdr:colOff>600075</xdr:colOff>
      <xdr:row>4</xdr:row>
      <xdr:rowOff>66525</xdr:rowOff>
    </xdr:to>
    <xdr:sp macro="" textlink="">
      <xdr:nvSpPr>
        <xdr:cNvPr id="10" name="Round Diagonal Corner Rectangle 9">
          <a:hlinkClick xmlns:r="http://schemas.openxmlformats.org/officeDocument/2006/relationships" r:id="rId4"/>
          <a:extLst>
            <a:ext uri="{FF2B5EF4-FFF2-40B4-BE49-F238E27FC236}">
              <a16:creationId xmlns:a16="http://schemas.microsoft.com/office/drawing/2014/main" id="{00000000-0008-0000-0300-00000A000000}"/>
            </a:ext>
          </a:extLst>
        </xdr:cNvPr>
        <xdr:cNvSpPr/>
      </xdr:nvSpPr>
      <xdr:spPr>
        <a:xfrm>
          <a:off x="10401300" y="42877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E</a:t>
          </a:r>
        </a:p>
      </xdr:txBody>
    </xdr:sp>
    <xdr:clientData/>
  </xdr:twoCellAnchor>
  <xdr:twoCellAnchor>
    <xdr:from>
      <xdr:col>24</xdr:col>
      <xdr:colOff>52388</xdr:colOff>
      <xdr:row>2</xdr:row>
      <xdr:rowOff>162075</xdr:rowOff>
    </xdr:from>
    <xdr:to>
      <xdr:col>24</xdr:col>
      <xdr:colOff>504825</xdr:colOff>
      <xdr:row>4</xdr:row>
      <xdr:rowOff>66525</xdr:rowOff>
    </xdr:to>
    <xdr:sp macro="" textlink="">
      <xdr:nvSpPr>
        <xdr:cNvPr id="11" name="Round Diagonal Corner Rectangle 10">
          <a:hlinkClick xmlns:r="http://schemas.openxmlformats.org/officeDocument/2006/relationships" r:id="rId5"/>
          <a:extLst>
            <a:ext uri="{FF2B5EF4-FFF2-40B4-BE49-F238E27FC236}">
              <a16:creationId xmlns:a16="http://schemas.microsoft.com/office/drawing/2014/main" id="{00000000-0008-0000-0300-00000B000000}"/>
            </a:ext>
          </a:extLst>
        </xdr:cNvPr>
        <xdr:cNvSpPr/>
      </xdr:nvSpPr>
      <xdr:spPr>
        <a:xfrm>
          <a:off x="11158538" y="428775"/>
          <a:ext cx="452437"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F</a:t>
          </a:r>
        </a:p>
      </xdr:txBody>
    </xdr:sp>
    <xdr:clientData/>
  </xdr:twoCellAnchor>
  <xdr:twoCellAnchor>
    <xdr:from>
      <xdr:col>22</xdr:col>
      <xdr:colOff>38100</xdr:colOff>
      <xdr:row>4</xdr:row>
      <xdr:rowOff>85725</xdr:rowOff>
    </xdr:from>
    <xdr:to>
      <xdr:col>23</xdr:col>
      <xdr:colOff>95250</xdr:colOff>
      <xdr:row>5</xdr:row>
      <xdr:rowOff>123525</xdr:rowOff>
    </xdr:to>
    <xdr:sp macro="" textlink="">
      <xdr:nvSpPr>
        <xdr:cNvPr id="12" name="Round Diagonal Corner Rectangle 11">
          <a:hlinkClick xmlns:r="http://schemas.openxmlformats.org/officeDocument/2006/relationships" r:id="rId6"/>
          <a:extLst>
            <a:ext uri="{FF2B5EF4-FFF2-40B4-BE49-F238E27FC236}">
              <a16:creationId xmlns:a16="http://schemas.microsoft.com/office/drawing/2014/main" id="{00000000-0008-0000-0300-00000C000000}"/>
            </a:ext>
          </a:extLst>
        </xdr:cNvPr>
        <xdr:cNvSpPr/>
      </xdr:nvSpPr>
      <xdr:spPr>
        <a:xfrm>
          <a:off x="9896475" y="71437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G</a:t>
          </a:r>
        </a:p>
      </xdr:txBody>
    </xdr:sp>
    <xdr:clientData/>
  </xdr:twoCellAnchor>
  <xdr:twoCellAnchor>
    <xdr:from>
      <xdr:col>22</xdr:col>
      <xdr:colOff>38100</xdr:colOff>
      <xdr:row>2</xdr:row>
      <xdr:rowOff>161925</xdr:rowOff>
    </xdr:from>
    <xdr:to>
      <xdr:col>23</xdr:col>
      <xdr:colOff>95250</xdr:colOff>
      <xdr:row>4</xdr:row>
      <xdr:rowOff>66674</xdr:rowOff>
    </xdr:to>
    <xdr:sp macro="" textlink="">
      <xdr:nvSpPr>
        <xdr:cNvPr id="13" name="Round Diagonal Corner Rectangle 12">
          <a:hlinkClick xmlns:r="http://schemas.openxmlformats.org/officeDocument/2006/relationships" r:id="rId7"/>
          <a:extLst>
            <a:ext uri="{FF2B5EF4-FFF2-40B4-BE49-F238E27FC236}">
              <a16:creationId xmlns:a16="http://schemas.microsoft.com/office/drawing/2014/main" id="{00000000-0008-0000-0300-00000D000000}"/>
            </a:ext>
          </a:extLst>
        </xdr:cNvPr>
        <xdr:cNvSpPr/>
      </xdr:nvSpPr>
      <xdr:spPr>
        <a:xfrm>
          <a:off x="9896475" y="428625"/>
          <a:ext cx="438150" cy="266699"/>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D</a:t>
          </a:r>
        </a:p>
      </xdr:txBody>
    </xdr:sp>
    <xdr:clientData/>
  </xdr:twoCellAnchor>
  <xdr:twoCellAnchor>
    <xdr:from>
      <xdr:col>24</xdr:col>
      <xdr:colOff>52388</xdr:colOff>
      <xdr:row>4</xdr:row>
      <xdr:rowOff>85725</xdr:rowOff>
    </xdr:from>
    <xdr:to>
      <xdr:col>24</xdr:col>
      <xdr:colOff>504825</xdr:colOff>
      <xdr:row>5</xdr:row>
      <xdr:rowOff>123525</xdr:rowOff>
    </xdr:to>
    <xdr:sp macro="" textlink="">
      <xdr:nvSpPr>
        <xdr:cNvPr id="14" name="Round Diagonal Corner Rectangle 13">
          <a:hlinkClick xmlns:r="http://schemas.openxmlformats.org/officeDocument/2006/relationships" r:id="rId8"/>
          <a:extLst>
            <a:ext uri="{FF2B5EF4-FFF2-40B4-BE49-F238E27FC236}">
              <a16:creationId xmlns:a16="http://schemas.microsoft.com/office/drawing/2014/main" id="{00000000-0008-0000-0300-00000E000000}"/>
            </a:ext>
          </a:extLst>
        </xdr:cNvPr>
        <xdr:cNvSpPr/>
      </xdr:nvSpPr>
      <xdr:spPr>
        <a:xfrm>
          <a:off x="11158538" y="714375"/>
          <a:ext cx="452437"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I</a:t>
          </a:r>
        </a:p>
      </xdr:txBody>
    </xdr:sp>
    <xdr:clientData/>
  </xdr:twoCellAnchor>
  <xdr:twoCellAnchor>
    <xdr:from>
      <xdr:col>23</xdr:col>
      <xdr:colOff>161925</xdr:colOff>
      <xdr:row>4</xdr:row>
      <xdr:rowOff>85725</xdr:rowOff>
    </xdr:from>
    <xdr:to>
      <xdr:col>23</xdr:col>
      <xdr:colOff>600075</xdr:colOff>
      <xdr:row>5</xdr:row>
      <xdr:rowOff>123525</xdr:rowOff>
    </xdr:to>
    <xdr:sp macro="" textlink="">
      <xdr:nvSpPr>
        <xdr:cNvPr id="15" name="Round Diagonal Corner Rectangle 14">
          <a:hlinkClick xmlns:r="http://schemas.openxmlformats.org/officeDocument/2006/relationships" r:id="rId9"/>
          <a:extLst>
            <a:ext uri="{FF2B5EF4-FFF2-40B4-BE49-F238E27FC236}">
              <a16:creationId xmlns:a16="http://schemas.microsoft.com/office/drawing/2014/main" id="{00000000-0008-0000-0300-00000F000000}"/>
            </a:ext>
          </a:extLst>
        </xdr:cNvPr>
        <xdr:cNvSpPr/>
      </xdr:nvSpPr>
      <xdr:spPr>
        <a:xfrm>
          <a:off x="10401300" y="71437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H</a:t>
          </a:r>
        </a:p>
      </xdr:txBody>
    </xdr:sp>
    <xdr:clientData/>
  </xdr:twoCellAnchor>
  <xdr:twoCellAnchor>
    <xdr:from>
      <xdr:col>1</xdr:col>
      <xdr:colOff>9525</xdr:colOff>
      <xdr:row>1</xdr:row>
      <xdr:rowOff>0</xdr:rowOff>
    </xdr:from>
    <xdr:to>
      <xdr:col>2</xdr:col>
      <xdr:colOff>171450</xdr:colOff>
      <xdr:row>3</xdr:row>
      <xdr:rowOff>95250</xdr:rowOff>
    </xdr:to>
    <xdr:sp macro="" textlink="">
      <xdr:nvSpPr>
        <xdr:cNvPr id="16" name="Line Callout 2 15">
          <a:extLst>
            <a:ext uri="{FF2B5EF4-FFF2-40B4-BE49-F238E27FC236}">
              <a16:creationId xmlns:a16="http://schemas.microsoft.com/office/drawing/2014/main" id="{00000000-0008-0000-0300-000010000000}"/>
            </a:ext>
          </a:extLst>
        </xdr:cNvPr>
        <xdr:cNvSpPr/>
      </xdr:nvSpPr>
      <xdr:spPr>
        <a:xfrm>
          <a:off x="9525" y="114300"/>
          <a:ext cx="504825" cy="457200"/>
        </a:xfrm>
        <a:prstGeom prst="borderCallout2">
          <a:avLst>
            <a:gd name="adj1" fmla="val 267307"/>
            <a:gd name="adj2" fmla="val 53447"/>
            <a:gd name="adj3" fmla="val 93750"/>
            <a:gd name="adj4" fmla="val 51258"/>
            <a:gd name="adj5" fmla="val 97916"/>
            <a:gd name="adj6" fmla="val 53333"/>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id-ID" sz="1100">
              <a:solidFill>
                <a:srgbClr val="FFFF00"/>
              </a:solidFill>
            </a:rPr>
            <a:t>Filter Kelas</a:t>
          </a:r>
        </a:p>
      </xdr:txBody>
    </xdr:sp>
    <xdr:clientData/>
  </xdr:twoCellAnchor>
  <xdr:twoCellAnchor editAs="oneCell">
    <xdr:from>
      <xdr:col>6</xdr:col>
      <xdr:colOff>428625</xdr:colOff>
      <xdr:row>3</xdr:row>
      <xdr:rowOff>66675</xdr:rowOff>
    </xdr:from>
    <xdr:to>
      <xdr:col>7</xdr:col>
      <xdr:colOff>238125</xdr:colOff>
      <xdr:row>6</xdr:row>
      <xdr:rowOff>38100</xdr:rowOff>
    </xdr:to>
    <xdr:pic>
      <xdr:nvPicPr>
        <xdr:cNvPr id="17" name="Picture 16">
          <a:hlinkClick xmlns:r="http://schemas.openxmlformats.org/officeDocument/2006/relationships" r:id="rId10"/>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352800" y="542925"/>
          <a:ext cx="523875" cy="523875"/>
        </a:xfrm>
        <a:prstGeom prst="rect">
          <a:avLst/>
        </a:prstGeom>
        <a:effectLst>
          <a:glow rad="63500">
            <a:schemeClr val="accent5">
              <a:satMod val="175000"/>
              <a:alpha val="40000"/>
            </a:schemeClr>
          </a:glow>
        </a:effectLst>
      </xdr:spPr>
    </xdr:pic>
    <xdr:clientData/>
  </xdr:twoCellAnchor>
  <xdr:twoCellAnchor>
    <xdr:from>
      <xdr:col>1</xdr:col>
      <xdr:colOff>314325</xdr:colOff>
      <xdr:row>3</xdr:row>
      <xdr:rowOff>123825</xdr:rowOff>
    </xdr:from>
    <xdr:to>
      <xdr:col>6</xdr:col>
      <xdr:colOff>47625</xdr:colOff>
      <xdr:row>5</xdr:row>
      <xdr:rowOff>28575</xdr:rowOff>
    </xdr:to>
    <xdr:sp macro="" textlink="">
      <xdr:nvSpPr>
        <xdr:cNvPr id="18" name="Frame 17">
          <a:extLst>
            <a:ext uri="{FF2B5EF4-FFF2-40B4-BE49-F238E27FC236}">
              <a16:creationId xmlns:a16="http://schemas.microsoft.com/office/drawing/2014/main" id="{00000000-0008-0000-0300-000012000000}"/>
            </a:ext>
          </a:extLst>
        </xdr:cNvPr>
        <xdr:cNvSpPr/>
      </xdr:nvSpPr>
      <xdr:spPr>
        <a:xfrm>
          <a:off x="314325" y="600075"/>
          <a:ext cx="2657475" cy="285750"/>
        </a:xfrm>
        <a:prstGeom prst="frame">
          <a:avLst>
            <a:gd name="adj1" fmla="val 19167"/>
          </a:avLst>
        </a:prstGeom>
        <a:scene3d>
          <a:camera prst="orthographicFront">
            <a:rot lat="0" lon="0" rev="0"/>
          </a:camera>
          <a:lightRig rig="threePt" dir="t">
            <a:rot lat="0" lon="0" rev="1200000"/>
          </a:lightRig>
        </a:scene3d>
        <a:sp3d>
          <a:bevelT w="63500" h="25400" prst="coolSlant"/>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xdr:from>
      <xdr:col>22</xdr:col>
      <xdr:colOff>33338</xdr:colOff>
      <xdr:row>5</xdr:row>
      <xdr:rowOff>161925</xdr:rowOff>
    </xdr:from>
    <xdr:to>
      <xdr:col>23</xdr:col>
      <xdr:colOff>104775</xdr:colOff>
      <xdr:row>7</xdr:row>
      <xdr:rowOff>104475</xdr:rowOff>
    </xdr:to>
    <xdr:sp macro="" textlink="">
      <xdr:nvSpPr>
        <xdr:cNvPr id="19" name="Round Diagonal Corner Rectangle 18">
          <a:hlinkClick xmlns:r="http://schemas.openxmlformats.org/officeDocument/2006/relationships" r:id="rId12"/>
          <a:extLst>
            <a:ext uri="{FF2B5EF4-FFF2-40B4-BE49-F238E27FC236}">
              <a16:creationId xmlns:a16="http://schemas.microsoft.com/office/drawing/2014/main" id="{00000000-0008-0000-0300-000013000000}"/>
            </a:ext>
          </a:extLst>
        </xdr:cNvPr>
        <xdr:cNvSpPr/>
      </xdr:nvSpPr>
      <xdr:spPr>
        <a:xfrm>
          <a:off x="10148888" y="1019175"/>
          <a:ext cx="452437"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J</a:t>
          </a:r>
        </a:p>
        <a:p>
          <a:pPr algn="ctr"/>
          <a:endParaRPr lang="id-ID" sz="1100" b="1"/>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561975</xdr:colOff>
      <xdr:row>3</xdr:row>
      <xdr:rowOff>495299</xdr:rowOff>
    </xdr:from>
    <xdr:to>
      <xdr:col>5</xdr:col>
      <xdr:colOff>152400</xdr:colOff>
      <xdr:row>3</xdr:row>
      <xdr:rowOff>733426</xdr:rowOff>
    </xdr:to>
    <xdr:sp macro="" textlink="">
      <xdr:nvSpPr>
        <xdr:cNvPr id="4" name="Rounded Rectangle 3">
          <a:hlinkClick xmlns:r="http://schemas.openxmlformats.org/officeDocument/2006/relationships" r:id="rId1" tooltip="Tulis kalimat singkat KD atau materi yang dinilai "/>
          <a:extLst>
            <a:ext uri="{FF2B5EF4-FFF2-40B4-BE49-F238E27FC236}">
              <a16:creationId xmlns:a16="http://schemas.microsoft.com/office/drawing/2014/main" id="{00000000-0008-0000-0400-000004000000}"/>
            </a:ext>
          </a:extLst>
        </xdr:cNvPr>
        <xdr:cNvSpPr/>
      </xdr:nvSpPr>
      <xdr:spPr>
        <a:xfrm>
          <a:off x="1857375" y="1009649"/>
          <a:ext cx="1428750" cy="238127"/>
        </a:xfrm>
        <a:prstGeom prst="roundRect">
          <a:avLst/>
        </a:prstGeom>
        <a:solidFill>
          <a:schemeClr val="accent2"/>
        </a:solidFill>
        <a:ln>
          <a:noFill/>
        </a:ln>
        <a:effectLst>
          <a:glow rad="63500">
            <a:schemeClr val="accent3">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id-ID" sz="1050" b="1">
              <a:solidFill>
                <a:sysClr val="windowText" lastClr="000000"/>
              </a:solidFill>
              <a:latin typeface="Arial" pitchFamily="34" charset="0"/>
              <a:ea typeface="Tahoma" pitchFamily="34" charset="0"/>
              <a:cs typeface="Arial" pitchFamily="34" charset="0"/>
            </a:rPr>
            <a:t>Edit</a:t>
          </a:r>
          <a:r>
            <a:rPr lang="en-US" sz="1050" b="1">
              <a:solidFill>
                <a:sysClr val="windowText" lastClr="000000"/>
              </a:solidFill>
              <a:latin typeface="Arial" pitchFamily="34" charset="0"/>
              <a:ea typeface="Tahoma" pitchFamily="34" charset="0"/>
              <a:cs typeface="Arial" pitchFamily="34" charset="0"/>
            </a:rPr>
            <a:t> </a:t>
          </a:r>
          <a:r>
            <a:rPr lang="id-ID" sz="1050" b="1">
              <a:solidFill>
                <a:sysClr val="windowText" lastClr="000000"/>
              </a:solidFill>
              <a:latin typeface="Arial" pitchFamily="34" charset="0"/>
              <a:ea typeface="Tahoma" pitchFamily="34" charset="0"/>
              <a:cs typeface="Arial" pitchFamily="34" charset="0"/>
            </a:rPr>
            <a:t>KD</a:t>
          </a:r>
          <a:r>
            <a:rPr lang="en-US" sz="1050" b="1">
              <a:solidFill>
                <a:sysClr val="windowText" lastClr="000000"/>
              </a:solidFill>
              <a:latin typeface="Arial" pitchFamily="34" charset="0"/>
              <a:ea typeface="Tahoma" pitchFamily="34" charset="0"/>
              <a:cs typeface="Arial" pitchFamily="34" charset="0"/>
            </a:rPr>
            <a:t> Pengetahuan</a:t>
          </a:r>
          <a:endParaRPr lang="id-ID" sz="1050" b="1">
            <a:solidFill>
              <a:sysClr val="windowText" lastClr="000000"/>
            </a:solidFill>
            <a:latin typeface="Arial" pitchFamily="34" charset="0"/>
            <a:ea typeface="Tahoma" pitchFamily="34" charset="0"/>
            <a:cs typeface="Arial" pitchFamily="34" charset="0"/>
          </a:endParaRPr>
        </a:p>
      </xdr:txBody>
    </xdr:sp>
    <xdr:clientData fPrintsWithSheet="0"/>
  </xdr:twoCellAnchor>
  <xdr:twoCellAnchor>
    <xdr:from>
      <xdr:col>4</xdr:col>
      <xdr:colOff>95250</xdr:colOff>
      <xdr:row>0</xdr:row>
      <xdr:rowOff>76200</xdr:rowOff>
    </xdr:from>
    <xdr:to>
      <xdr:col>4</xdr:col>
      <xdr:colOff>533400</xdr:colOff>
      <xdr:row>2</xdr:row>
      <xdr:rowOff>47624</xdr:rowOff>
    </xdr:to>
    <xdr:sp macro="" textlink="">
      <xdr:nvSpPr>
        <xdr:cNvPr id="28" name="Round Diagonal Corner Rectangle 27">
          <a:hlinkClick xmlns:r="http://schemas.openxmlformats.org/officeDocument/2006/relationships" r:id="rId2"/>
          <a:extLst>
            <a:ext uri="{FF2B5EF4-FFF2-40B4-BE49-F238E27FC236}">
              <a16:creationId xmlns:a16="http://schemas.microsoft.com/office/drawing/2014/main" id="{00000000-0008-0000-0400-00001C000000}"/>
            </a:ext>
          </a:extLst>
        </xdr:cNvPr>
        <xdr:cNvSpPr/>
      </xdr:nvSpPr>
      <xdr:spPr>
        <a:xfrm>
          <a:off x="1390650" y="7620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A</a:t>
          </a:r>
        </a:p>
      </xdr:txBody>
    </xdr:sp>
    <xdr:clientData/>
  </xdr:twoCellAnchor>
  <xdr:twoCellAnchor>
    <xdr:from>
      <xdr:col>4</xdr:col>
      <xdr:colOff>571500</xdr:colOff>
      <xdr:row>0</xdr:row>
      <xdr:rowOff>76200</xdr:rowOff>
    </xdr:from>
    <xdr:to>
      <xdr:col>4</xdr:col>
      <xdr:colOff>1009650</xdr:colOff>
      <xdr:row>2</xdr:row>
      <xdr:rowOff>47624</xdr:rowOff>
    </xdr:to>
    <xdr:sp macro="" textlink="">
      <xdr:nvSpPr>
        <xdr:cNvPr id="29" name="Round Diagonal Corner Rectangle 28">
          <a:hlinkClick xmlns:r="http://schemas.openxmlformats.org/officeDocument/2006/relationships" r:id="rId3"/>
          <a:extLst>
            <a:ext uri="{FF2B5EF4-FFF2-40B4-BE49-F238E27FC236}">
              <a16:creationId xmlns:a16="http://schemas.microsoft.com/office/drawing/2014/main" id="{00000000-0008-0000-0400-00001D000000}"/>
            </a:ext>
          </a:extLst>
        </xdr:cNvPr>
        <xdr:cNvSpPr/>
      </xdr:nvSpPr>
      <xdr:spPr>
        <a:xfrm>
          <a:off x="1866900" y="76200"/>
          <a:ext cx="438150"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B</a:t>
          </a:r>
        </a:p>
      </xdr:txBody>
    </xdr:sp>
    <xdr:clientData/>
  </xdr:twoCellAnchor>
  <xdr:twoCellAnchor>
    <xdr:from>
      <xdr:col>4</xdr:col>
      <xdr:colOff>1052513</xdr:colOff>
      <xdr:row>0</xdr:row>
      <xdr:rowOff>76200</xdr:rowOff>
    </xdr:from>
    <xdr:to>
      <xdr:col>4</xdr:col>
      <xdr:colOff>1514475</xdr:colOff>
      <xdr:row>2</xdr:row>
      <xdr:rowOff>47624</xdr:rowOff>
    </xdr:to>
    <xdr:sp macro="" textlink="">
      <xdr:nvSpPr>
        <xdr:cNvPr id="30" name="Round Diagonal Corner Rectangle 29">
          <a:hlinkClick xmlns:r="http://schemas.openxmlformats.org/officeDocument/2006/relationships" r:id="rId4"/>
          <a:extLst>
            <a:ext uri="{FF2B5EF4-FFF2-40B4-BE49-F238E27FC236}">
              <a16:creationId xmlns:a16="http://schemas.microsoft.com/office/drawing/2014/main" id="{00000000-0008-0000-0400-00001E000000}"/>
            </a:ext>
          </a:extLst>
        </xdr:cNvPr>
        <xdr:cNvSpPr/>
      </xdr:nvSpPr>
      <xdr:spPr>
        <a:xfrm>
          <a:off x="2347913" y="76200"/>
          <a:ext cx="461962" cy="295274"/>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C</a:t>
          </a:r>
        </a:p>
      </xdr:txBody>
    </xdr:sp>
    <xdr:clientData/>
  </xdr:twoCellAnchor>
  <xdr:twoCellAnchor>
    <xdr:from>
      <xdr:col>4</xdr:col>
      <xdr:colOff>85725</xdr:colOff>
      <xdr:row>2</xdr:row>
      <xdr:rowOff>66825</xdr:rowOff>
    </xdr:from>
    <xdr:to>
      <xdr:col>4</xdr:col>
      <xdr:colOff>523875</xdr:colOff>
      <xdr:row>3</xdr:row>
      <xdr:rowOff>142725</xdr:rowOff>
    </xdr:to>
    <xdr:sp macro="" textlink="">
      <xdr:nvSpPr>
        <xdr:cNvPr id="31" name="Round Diagonal Corner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381125" y="390675"/>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E</a:t>
          </a:r>
        </a:p>
      </xdr:txBody>
    </xdr:sp>
    <xdr:clientData/>
  </xdr:twoCellAnchor>
  <xdr:twoCellAnchor>
    <xdr:from>
      <xdr:col>4</xdr:col>
      <xdr:colOff>566738</xdr:colOff>
      <xdr:row>2</xdr:row>
      <xdr:rowOff>66825</xdr:rowOff>
    </xdr:from>
    <xdr:to>
      <xdr:col>4</xdr:col>
      <xdr:colOff>1019175</xdr:colOff>
      <xdr:row>3</xdr:row>
      <xdr:rowOff>142725</xdr:rowOff>
    </xdr:to>
    <xdr:sp macro="" textlink="">
      <xdr:nvSpPr>
        <xdr:cNvPr id="32" name="Round Diagonal Corner Rectangle 31">
          <a:hlinkClick xmlns:r="http://schemas.openxmlformats.org/officeDocument/2006/relationships" r:id="rId6"/>
          <a:extLst>
            <a:ext uri="{FF2B5EF4-FFF2-40B4-BE49-F238E27FC236}">
              <a16:creationId xmlns:a16="http://schemas.microsoft.com/office/drawing/2014/main" id="{00000000-0008-0000-0400-000020000000}"/>
            </a:ext>
          </a:extLst>
        </xdr:cNvPr>
        <xdr:cNvSpPr/>
      </xdr:nvSpPr>
      <xdr:spPr>
        <a:xfrm>
          <a:off x="1862138" y="390675"/>
          <a:ext cx="452437"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F</a:t>
          </a:r>
        </a:p>
      </xdr:txBody>
    </xdr:sp>
    <xdr:clientData/>
  </xdr:twoCellAnchor>
  <xdr:twoCellAnchor>
    <xdr:from>
      <xdr:col>4</xdr:col>
      <xdr:colOff>1057274</xdr:colOff>
      <xdr:row>2</xdr:row>
      <xdr:rowOff>66675</xdr:rowOff>
    </xdr:from>
    <xdr:to>
      <xdr:col>4</xdr:col>
      <xdr:colOff>1523999</xdr:colOff>
      <xdr:row>3</xdr:row>
      <xdr:rowOff>142575</xdr:rowOff>
    </xdr:to>
    <xdr:sp macro="" textlink="">
      <xdr:nvSpPr>
        <xdr:cNvPr id="33" name="Round Diagonal Corner Rectangle 32">
          <a:hlinkClick xmlns:r="http://schemas.openxmlformats.org/officeDocument/2006/relationships" r:id="rId7"/>
          <a:extLst>
            <a:ext uri="{FF2B5EF4-FFF2-40B4-BE49-F238E27FC236}">
              <a16:creationId xmlns:a16="http://schemas.microsoft.com/office/drawing/2014/main" id="{00000000-0008-0000-0400-000021000000}"/>
            </a:ext>
          </a:extLst>
        </xdr:cNvPr>
        <xdr:cNvSpPr/>
      </xdr:nvSpPr>
      <xdr:spPr>
        <a:xfrm>
          <a:off x="2352674" y="390525"/>
          <a:ext cx="466725"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G</a:t>
          </a:r>
        </a:p>
      </xdr:txBody>
    </xdr:sp>
    <xdr:clientData/>
  </xdr:twoCellAnchor>
  <xdr:twoCellAnchor>
    <xdr:from>
      <xdr:col>4</xdr:col>
      <xdr:colOff>1562100</xdr:colOff>
      <xdr:row>1</xdr:row>
      <xdr:rowOff>0</xdr:rowOff>
    </xdr:from>
    <xdr:to>
      <xdr:col>5</xdr:col>
      <xdr:colOff>161925</xdr:colOff>
      <xdr:row>2</xdr:row>
      <xdr:rowOff>47624</xdr:rowOff>
    </xdr:to>
    <xdr:sp macro="" textlink="">
      <xdr:nvSpPr>
        <xdr:cNvPr id="34" name="Round Diagonal Corner Rectangle 33">
          <a:hlinkClick xmlns:r="http://schemas.openxmlformats.org/officeDocument/2006/relationships" r:id="rId8"/>
          <a:extLst>
            <a:ext uri="{FF2B5EF4-FFF2-40B4-BE49-F238E27FC236}">
              <a16:creationId xmlns:a16="http://schemas.microsoft.com/office/drawing/2014/main" id="{00000000-0008-0000-0400-000022000000}"/>
            </a:ext>
          </a:extLst>
        </xdr:cNvPr>
        <xdr:cNvSpPr/>
      </xdr:nvSpPr>
      <xdr:spPr>
        <a:xfrm>
          <a:off x="2857500" y="104775"/>
          <a:ext cx="438150" cy="266699"/>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D</a:t>
          </a:r>
        </a:p>
      </xdr:txBody>
    </xdr:sp>
    <xdr:clientData/>
  </xdr:twoCellAnchor>
  <xdr:twoCellAnchor>
    <xdr:from>
      <xdr:col>4</xdr:col>
      <xdr:colOff>85725</xdr:colOff>
      <xdr:row>3</xdr:row>
      <xdr:rowOff>171450</xdr:rowOff>
    </xdr:from>
    <xdr:to>
      <xdr:col>4</xdr:col>
      <xdr:colOff>533400</xdr:colOff>
      <xdr:row>3</xdr:row>
      <xdr:rowOff>437850</xdr:rowOff>
    </xdr:to>
    <xdr:sp macro="" textlink="">
      <xdr:nvSpPr>
        <xdr:cNvPr id="35" name="Round Diagonal Corner Rectangle 34">
          <a:hlinkClick xmlns:r="http://schemas.openxmlformats.org/officeDocument/2006/relationships" r:id="rId9"/>
          <a:extLst>
            <a:ext uri="{FF2B5EF4-FFF2-40B4-BE49-F238E27FC236}">
              <a16:creationId xmlns:a16="http://schemas.microsoft.com/office/drawing/2014/main" id="{00000000-0008-0000-0400-000023000000}"/>
            </a:ext>
          </a:extLst>
        </xdr:cNvPr>
        <xdr:cNvSpPr/>
      </xdr:nvSpPr>
      <xdr:spPr>
        <a:xfrm>
          <a:off x="1381125" y="685800"/>
          <a:ext cx="447675"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I</a:t>
          </a:r>
        </a:p>
      </xdr:txBody>
    </xdr:sp>
    <xdr:clientData/>
  </xdr:twoCellAnchor>
  <xdr:twoCellAnchor>
    <xdr:from>
      <xdr:col>4</xdr:col>
      <xdr:colOff>1562100</xdr:colOff>
      <xdr:row>2</xdr:row>
      <xdr:rowOff>76200</xdr:rowOff>
    </xdr:from>
    <xdr:to>
      <xdr:col>5</xdr:col>
      <xdr:colOff>161925</xdr:colOff>
      <xdr:row>3</xdr:row>
      <xdr:rowOff>152100</xdr:rowOff>
    </xdr:to>
    <xdr:sp macro="" textlink="">
      <xdr:nvSpPr>
        <xdr:cNvPr id="36" name="Round Diagonal Corner Rectangle 35">
          <a:hlinkClick xmlns:r="http://schemas.openxmlformats.org/officeDocument/2006/relationships" r:id="rId10"/>
          <a:extLst>
            <a:ext uri="{FF2B5EF4-FFF2-40B4-BE49-F238E27FC236}">
              <a16:creationId xmlns:a16="http://schemas.microsoft.com/office/drawing/2014/main" id="{00000000-0008-0000-0400-000024000000}"/>
            </a:ext>
          </a:extLst>
        </xdr:cNvPr>
        <xdr:cNvSpPr/>
      </xdr:nvSpPr>
      <xdr:spPr>
        <a:xfrm>
          <a:off x="2857500" y="40005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H</a:t>
          </a:r>
        </a:p>
      </xdr:txBody>
    </xdr:sp>
    <xdr:clientData/>
  </xdr:twoCellAnchor>
  <xdr:twoCellAnchor>
    <xdr:from>
      <xdr:col>1</xdr:col>
      <xdr:colOff>19049</xdr:colOff>
      <xdr:row>3</xdr:row>
      <xdr:rowOff>266700</xdr:rowOff>
    </xdr:from>
    <xdr:to>
      <xdr:col>2</xdr:col>
      <xdr:colOff>114299</xdr:colOff>
      <xdr:row>3</xdr:row>
      <xdr:rowOff>723900</xdr:rowOff>
    </xdr:to>
    <xdr:sp macro="" textlink="">
      <xdr:nvSpPr>
        <xdr:cNvPr id="3" name="Line Callout 2 2">
          <a:extLst>
            <a:ext uri="{FF2B5EF4-FFF2-40B4-BE49-F238E27FC236}">
              <a16:creationId xmlns:a16="http://schemas.microsoft.com/office/drawing/2014/main" id="{00000000-0008-0000-0400-000003000000}"/>
            </a:ext>
          </a:extLst>
        </xdr:cNvPr>
        <xdr:cNvSpPr/>
      </xdr:nvSpPr>
      <xdr:spPr>
        <a:xfrm>
          <a:off x="19049" y="781050"/>
          <a:ext cx="504825" cy="457200"/>
        </a:xfrm>
        <a:prstGeom prst="borderCallout2">
          <a:avLst>
            <a:gd name="adj1" fmla="val 246474"/>
            <a:gd name="adj2" fmla="val 60994"/>
            <a:gd name="adj3" fmla="val 100000"/>
            <a:gd name="adj4" fmla="val 60692"/>
            <a:gd name="adj5" fmla="val 83333"/>
            <a:gd name="adj6" fmla="val 51446"/>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id-ID" sz="1100" b="1">
              <a:solidFill>
                <a:srgbClr val="FFFF00"/>
              </a:solidFill>
            </a:rPr>
            <a:t>Filter Kelas</a:t>
          </a:r>
        </a:p>
      </xdr:txBody>
    </xdr:sp>
    <xdr:clientData/>
  </xdr:twoCellAnchor>
  <xdr:twoCellAnchor editAs="oneCell">
    <xdr:from>
      <xdr:col>1</xdr:col>
      <xdr:colOff>47625</xdr:colOff>
      <xdr:row>1</xdr:row>
      <xdr:rowOff>66675</xdr:rowOff>
    </xdr:from>
    <xdr:to>
      <xdr:col>2</xdr:col>
      <xdr:colOff>161925</xdr:colOff>
      <xdr:row>3</xdr:row>
      <xdr:rowOff>180975</xdr:rowOff>
    </xdr:to>
    <xdr:pic>
      <xdr:nvPicPr>
        <xdr:cNvPr id="2" name="Picture 1">
          <a:hlinkClick xmlns:r="http://schemas.openxmlformats.org/officeDocument/2006/relationships" r:id="rId1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7625" y="171450"/>
          <a:ext cx="523875" cy="523875"/>
        </a:xfrm>
        <a:prstGeom prst="rect">
          <a:avLst/>
        </a:prstGeom>
        <a:effectLst>
          <a:glow rad="63500">
            <a:schemeClr val="accent5">
              <a:satMod val="175000"/>
              <a:alpha val="40000"/>
            </a:schemeClr>
          </a:glow>
        </a:effectLst>
      </xdr:spPr>
    </xdr:pic>
    <xdr:clientData/>
  </xdr:twoCellAnchor>
  <xdr:twoCellAnchor>
    <xdr:from>
      <xdr:col>6</xdr:col>
      <xdr:colOff>0</xdr:colOff>
      <xdr:row>3</xdr:row>
      <xdr:rowOff>0</xdr:rowOff>
    </xdr:from>
    <xdr:to>
      <xdr:col>18</xdr:col>
      <xdr:colOff>304800</xdr:colOff>
      <xdr:row>4</xdr:row>
      <xdr:rowOff>9525</xdr:rowOff>
    </xdr:to>
    <xdr:sp macro="" textlink="">
      <xdr:nvSpPr>
        <xdr:cNvPr id="5" name="Frame 4">
          <a:extLst>
            <a:ext uri="{FF2B5EF4-FFF2-40B4-BE49-F238E27FC236}">
              <a16:creationId xmlns:a16="http://schemas.microsoft.com/office/drawing/2014/main" id="{00000000-0008-0000-0400-000005000000}"/>
            </a:ext>
          </a:extLst>
        </xdr:cNvPr>
        <xdr:cNvSpPr/>
      </xdr:nvSpPr>
      <xdr:spPr>
        <a:xfrm>
          <a:off x="3048000" y="514350"/>
          <a:ext cx="3581400" cy="819150"/>
        </a:xfrm>
        <a:prstGeom prst="frame">
          <a:avLst>
            <a:gd name="adj1" fmla="val 5523"/>
          </a:avLst>
        </a:prstGeom>
        <a:scene3d>
          <a:camera prst="orthographicFront">
            <a:rot lat="0" lon="0" rev="0"/>
          </a:camera>
          <a:lightRig rig="threePt" dir="t">
            <a:rot lat="0" lon="0" rev="1200000"/>
          </a:lightRig>
        </a:scene3d>
        <a:sp3d>
          <a:bevelT w="63500" h="25400" prst="coolSlan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xdr:from>
      <xdr:col>19</xdr:col>
      <xdr:colOff>0</xdr:colOff>
      <xdr:row>2</xdr:row>
      <xdr:rowOff>180975</xdr:rowOff>
    </xdr:from>
    <xdr:to>
      <xdr:col>26</xdr:col>
      <xdr:colOff>19050</xdr:colOff>
      <xdr:row>4</xdr:row>
      <xdr:rowOff>9525</xdr:rowOff>
    </xdr:to>
    <xdr:sp macro="" textlink="">
      <xdr:nvSpPr>
        <xdr:cNvPr id="6" name="Frame 5">
          <a:extLst>
            <a:ext uri="{FF2B5EF4-FFF2-40B4-BE49-F238E27FC236}">
              <a16:creationId xmlns:a16="http://schemas.microsoft.com/office/drawing/2014/main" id="{00000000-0008-0000-0400-000006000000}"/>
            </a:ext>
          </a:extLst>
        </xdr:cNvPr>
        <xdr:cNvSpPr/>
      </xdr:nvSpPr>
      <xdr:spPr>
        <a:xfrm>
          <a:off x="6638925" y="504825"/>
          <a:ext cx="2733675" cy="828675"/>
        </a:xfrm>
        <a:prstGeom prst="frame">
          <a:avLst>
            <a:gd name="adj1" fmla="val 6476"/>
          </a:avLst>
        </a:prstGeom>
        <a:scene3d>
          <a:camera prst="orthographicFront">
            <a:rot lat="0" lon="0" rev="0"/>
          </a:camera>
          <a:lightRig rig="threePt" dir="t">
            <a:rot lat="0" lon="0" rev="1200000"/>
          </a:lightRig>
        </a:scene3d>
        <a:sp3d>
          <a:bevelT w="63500" h="254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xdr:from>
      <xdr:col>1</xdr:col>
      <xdr:colOff>400050</xdr:colOff>
      <xdr:row>3</xdr:row>
      <xdr:rowOff>781050</xdr:rowOff>
    </xdr:from>
    <xdr:to>
      <xdr:col>6</xdr:col>
      <xdr:colOff>9525</xdr:colOff>
      <xdr:row>6</xdr:row>
      <xdr:rowOff>28575</xdr:rowOff>
    </xdr:to>
    <xdr:sp macro="" textlink="">
      <xdr:nvSpPr>
        <xdr:cNvPr id="7" name="Frame 6">
          <a:extLst>
            <a:ext uri="{FF2B5EF4-FFF2-40B4-BE49-F238E27FC236}">
              <a16:creationId xmlns:a16="http://schemas.microsoft.com/office/drawing/2014/main" id="{00000000-0008-0000-0400-000007000000}"/>
            </a:ext>
          </a:extLst>
        </xdr:cNvPr>
        <xdr:cNvSpPr/>
      </xdr:nvSpPr>
      <xdr:spPr>
        <a:xfrm>
          <a:off x="400050" y="1295400"/>
          <a:ext cx="2657475" cy="285750"/>
        </a:xfrm>
        <a:prstGeom prst="frame">
          <a:avLst>
            <a:gd name="adj1" fmla="val 19167"/>
          </a:avLst>
        </a:prstGeom>
        <a:scene3d>
          <a:camera prst="orthographicFront">
            <a:rot lat="0" lon="0" rev="0"/>
          </a:camera>
          <a:lightRig rig="threePt" dir="t">
            <a:rot lat="0" lon="0" rev="1200000"/>
          </a:lightRig>
        </a:scene3d>
        <a:sp3d>
          <a:bevelT w="63500" h="25400" prst="coolSlant"/>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xdr:from>
      <xdr:col>2</xdr:col>
      <xdr:colOff>257174</xdr:colOff>
      <xdr:row>531</xdr:row>
      <xdr:rowOff>180976</xdr:rowOff>
    </xdr:from>
    <xdr:to>
      <xdr:col>6</xdr:col>
      <xdr:colOff>0</xdr:colOff>
      <xdr:row>535</xdr:row>
      <xdr:rowOff>47626</xdr:rowOff>
    </xdr:to>
    <xdr:sp macro="" textlink="">
      <xdr:nvSpPr>
        <xdr:cNvPr id="18" name="Frame 17">
          <a:extLst>
            <a:ext uri="{FF2B5EF4-FFF2-40B4-BE49-F238E27FC236}">
              <a16:creationId xmlns:a16="http://schemas.microsoft.com/office/drawing/2014/main" id="{00000000-0008-0000-0400-000012000000}"/>
            </a:ext>
          </a:extLst>
        </xdr:cNvPr>
        <xdr:cNvSpPr/>
      </xdr:nvSpPr>
      <xdr:spPr>
        <a:xfrm>
          <a:off x="666749" y="129540001"/>
          <a:ext cx="2381251" cy="666750"/>
        </a:xfrm>
        <a:prstGeom prst="frame">
          <a:avLst>
            <a:gd name="adj1" fmla="val 6476"/>
          </a:avLst>
        </a:prstGeom>
        <a:solidFill>
          <a:srgbClr val="0070C0"/>
        </a:solidFill>
        <a:scene3d>
          <a:camera prst="orthographicFront">
            <a:rot lat="0" lon="0" rev="0"/>
          </a:camera>
          <a:lightRig rig="threePt" dir="t">
            <a:rot lat="0" lon="0" rev="1200000"/>
          </a:lightRig>
        </a:scene3d>
        <a:sp3d>
          <a:bevelT w="63500" h="254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id-ID" sz="1100">
            <a:solidFill>
              <a:schemeClr val="tx1"/>
            </a:solidFill>
          </a:endParaRPr>
        </a:p>
      </xdr:txBody>
    </xdr:sp>
    <xdr:clientData/>
  </xdr:twoCellAnchor>
  <xdr:twoCellAnchor editAs="absolute">
    <xdr:from>
      <xdr:col>26</xdr:col>
      <xdr:colOff>57150</xdr:colOff>
      <xdr:row>3</xdr:row>
      <xdr:rowOff>495299</xdr:rowOff>
    </xdr:from>
    <xdr:to>
      <xdr:col>33</xdr:col>
      <xdr:colOff>219075</xdr:colOff>
      <xdr:row>3</xdr:row>
      <xdr:rowOff>733426</xdr:rowOff>
    </xdr:to>
    <xdr:sp macro="" textlink="">
      <xdr:nvSpPr>
        <xdr:cNvPr id="19" name="Rounded Rectangle 18">
          <a:hlinkClick xmlns:r="http://schemas.openxmlformats.org/officeDocument/2006/relationships" r:id="rId13" tooltip="Tulis kalimat singkat KD atau materi yang dinilai "/>
          <a:extLst>
            <a:ext uri="{FF2B5EF4-FFF2-40B4-BE49-F238E27FC236}">
              <a16:creationId xmlns:a16="http://schemas.microsoft.com/office/drawing/2014/main" id="{00000000-0008-0000-0400-000013000000}"/>
            </a:ext>
          </a:extLst>
        </xdr:cNvPr>
        <xdr:cNvSpPr/>
      </xdr:nvSpPr>
      <xdr:spPr>
        <a:xfrm>
          <a:off x="9744075" y="1009649"/>
          <a:ext cx="1895475" cy="238127"/>
        </a:xfrm>
        <a:prstGeom prst="roundRect">
          <a:avLst/>
        </a:prstGeom>
        <a:solidFill>
          <a:srgbClr val="0070C0"/>
        </a:solidFill>
        <a:ln>
          <a:noFill/>
        </a:ln>
        <a:effectLst>
          <a:glow rad="63500">
            <a:schemeClr val="accent2">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id-ID" sz="1050" b="1">
              <a:solidFill>
                <a:sysClr val="windowText" lastClr="000000"/>
              </a:solidFill>
              <a:latin typeface="Arial" pitchFamily="34" charset="0"/>
              <a:ea typeface="Tahoma" pitchFamily="34" charset="0"/>
              <a:cs typeface="Arial" pitchFamily="34" charset="0"/>
            </a:rPr>
            <a:t>Edit</a:t>
          </a:r>
          <a:r>
            <a:rPr lang="en-US" sz="1050" b="1">
              <a:solidFill>
                <a:sysClr val="windowText" lastClr="000000"/>
              </a:solidFill>
              <a:latin typeface="Arial" pitchFamily="34" charset="0"/>
              <a:ea typeface="Tahoma" pitchFamily="34" charset="0"/>
              <a:cs typeface="Arial" pitchFamily="34" charset="0"/>
            </a:rPr>
            <a:t> </a:t>
          </a:r>
          <a:r>
            <a:rPr lang="id-ID" sz="1050" b="1">
              <a:solidFill>
                <a:sysClr val="windowText" lastClr="000000"/>
              </a:solidFill>
              <a:latin typeface="Arial" pitchFamily="34" charset="0"/>
              <a:ea typeface="Tahoma" pitchFamily="34" charset="0"/>
              <a:cs typeface="Arial" pitchFamily="34" charset="0"/>
            </a:rPr>
            <a:t>KD</a:t>
          </a:r>
          <a:r>
            <a:rPr lang="en-US" sz="1050" b="1">
              <a:solidFill>
                <a:sysClr val="windowText" lastClr="000000"/>
              </a:solidFill>
              <a:latin typeface="Arial" pitchFamily="34" charset="0"/>
              <a:ea typeface="Tahoma" pitchFamily="34" charset="0"/>
              <a:cs typeface="Arial" pitchFamily="34" charset="0"/>
            </a:rPr>
            <a:t> </a:t>
          </a:r>
          <a:r>
            <a:rPr lang="id-ID" sz="1050" b="1">
              <a:solidFill>
                <a:sysClr val="windowText" lastClr="000000"/>
              </a:solidFill>
              <a:latin typeface="Arial" pitchFamily="34" charset="0"/>
              <a:ea typeface="Tahoma" pitchFamily="34" charset="0"/>
              <a:cs typeface="Arial" pitchFamily="34" charset="0"/>
            </a:rPr>
            <a:t>Ketrampilan</a:t>
          </a:r>
        </a:p>
      </xdr:txBody>
    </xdr:sp>
    <xdr:clientData fPrintsWithSheet="0"/>
  </xdr:twoCellAnchor>
  <xdr:twoCellAnchor>
    <xdr:from>
      <xdr:col>4</xdr:col>
      <xdr:colOff>561975</xdr:colOff>
      <xdr:row>3</xdr:row>
      <xdr:rowOff>180975</xdr:rowOff>
    </xdr:from>
    <xdr:to>
      <xdr:col>4</xdr:col>
      <xdr:colOff>1019175</xdr:colOff>
      <xdr:row>3</xdr:row>
      <xdr:rowOff>447375</xdr:rowOff>
    </xdr:to>
    <xdr:sp macro="" textlink="">
      <xdr:nvSpPr>
        <xdr:cNvPr id="20" name="Round Diagonal Corner Rectangle 19">
          <a:hlinkClick xmlns:r="http://schemas.openxmlformats.org/officeDocument/2006/relationships" r:id="rId14"/>
          <a:extLst>
            <a:ext uri="{FF2B5EF4-FFF2-40B4-BE49-F238E27FC236}">
              <a16:creationId xmlns:a16="http://schemas.microsoft.com/office/drawing/2014/main" id="{00000000-0008-0000-0400-000014000000}"/>
            </a:ext>
          </a:extLst>
        </xdr:cNvPr>
        <xdr:cNvSpPr/>
      </xdr:nvSpPr>
      <xdr:spPr>
        <a:xfrm>
          <a:off x="1857375" y="695325"/>
          <a:ext cx="45720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J</a:t>
          </a:r>
        </a:p>
      </xdr:txBody>
    </xdr:sp>
    <xdr:clientData/>
  </xdr:twoCellAnchor>
  <xdr:twoCellAnchor>
    <xdr:from>
      <xdr:col>4</xdr:col>
      <xdr:colOff>1057274</xdr:colOff>
      <xdr:row>3</xdr:row>
      <xdr:rowOff>171450</xdr:rowOff>
    </xdr:from>
    <xdr:to>
      <xdr:col>4</xdr:col>
      <xdr:colOff>1533525</xdr:colOff>
      <xdr:row>3</xdr:row>
      <xdr:rowOff>437850</xdr:rowOff>
    </xdr:to>
    <xdr:sp macro="" textlink="">
      <xdr:nvSpPr>
        <xdr:cNvPr id="21" name="Round Diagonal Corner Rectangle 20">
          <a:hlinkClick xmlns:r="http://schemas.openxmlformats.org/officeDocument/2006/relationships" r:id="rId15"/>
          <a:extLst>
            <a:ext uri="{FF2B5EF4-FFF2-40B4-BE49-F238E27FC236}">
              <a16:creationId xmlns:a16="http://schemas.microsoft.com/office/drawing/2014/main" id="{00000000-0008-0000-0400-000015000000}"/>
            </a:ext>
          </a:extLst>
        </xdr:cNvPr>
        <xdr:cNvSpPr/>
      </xdr:nvSpPr>
      <xdr:spPr>
        <a:xfrm>
          <a:off x="2352674" y="685800"/>
          <a:ext cx="476251"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100" b="1"/>
            <a:t>K</a:t>
          </a:r>
        </a:p>
      </xdr:txBody>
    </xdr:sp>
    <xdr:clientData/>
  </xdr:twoCellAnchor>
  <xdr:twoCellAnchor>
    <xdr:from>
      <xdr:col>4</xdr:col>
      <xdr:colOff>1562100</xdr:colOff>
      <xdr:row>3</xdr:row>
      <xdr:rowOff>171450</xdr:rowOff>
    </xdr:from>
    <xdr:to>
      <xdr:col>5</xdr:col>
      <xdr:colOff>161925</xdr:colOff>
      <xdr:row>3</xdr:row>
      <xdr:rowOff>437850</xdr:rowOff>
    </xdr:to>
    <xdr:sp macro="" textlink="">
      <xdr:nvSpPr>
        <xdr:cNvPr id="22" name="Round Diagonal Corner Rectangle 21">
          <a:hlinkClick xmlns:r="http://schemas.openxmlformats.org/officeDocument/2006/relationships" r:id="rId16"/>
          <a:extLst>
            <a:ext uri="{FF2B5EF4-FFF2-40B4-BE49-F238E27FC236}">
              <a16:creationId xmlns:a16="http://schemas.microsoft.com/office/drawing/2014/main" id="{00000000-0008-0000-0400-000016000000}"/>
            </a:ext>
          </a:extLst>
        </xdr:cNvPr>
        <xdr:cNvSpPr/>
      </xdr:nvSpPr>
      <xdr:spPr>
        <a:xfrm>
          <a:off x="2857500" y="68580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L</a:t>
          </a:r>
          <a:endParaRPr lang="id-ID" sz="1100" b="1"/>
        </a:p>
      </xdr:txBody>
    </xdr:sp>
    <xdr:clientData/>
  </xdr:twoCellAnchor>
  <xdr:twoCellAnchor>
    <xdr:from>
      <xdr:col>4</xdr:col>
      <xdr:colOff>76200</xdr:colOff>
      <xdr:row>3</xdr:row>
      <xdr:rowOff>476250</xdr:rowOff>
    </xdr:from>
    <xdr:to>
      <xdr:col>4</xdr:col>
      <xdr:colOff>514350</xdr:colOff>
      <xdr:row>3</xdr:row>
      <xdr:rowOff>742650</xdr:rowOff>
    </xdr:to>
    <xdr:sp macro="" textlink="">
      <xdr:nvSpPr>
        <xdr:cNvPr id="23" name="Round Diagonal Corner Rectangle 22">
          <a:hlinkClick xmlns:r="http://schemas.openxmlformats.org/officeDocument/2006/relationships" r:id="rId17"/>
          <a:extLst>
            <a:ext uri="{FF2B5EF4-FFF2-40B4-BE49-F238E27FC236}">
              <a16:creationId xmlns:a16="http://schemas.microsoft.com/office/drawing/2014/main" id="{00000000-0008-0000-0400-000017000000}"/>
            </a:ext>
          </a:extLst>
        </xdr:cNvPr>
        <xdr:cNvSpPr/>
      </xdr:nvSpPr>
      <xdr:spPr>
        <a:xfrm>
          <a:off x="1371600" y="990600"/>
          <a:ext cx="438150" cy="266400"/>
        </a:xfrm>
        <a:prstGeom prst="round2DiagRect">
          <a:avLst/>
        </a:prstGeom>
        <a:scene3d>
          <a:camera prst="orthographicFront">
            <a:rot lat="0" lon="0" rev="0"/>
          </a:camera>
          <a:lightRig rig="threePt" dir="t">
            <a:rot lat="0" lon="0" rev="1200000"/>
          </a:lightRig>
        </a:scene3d>
        <a:sp3d>
          <a:bevelT w="63500" h="25400" prst="artDeco"/>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M</a:t>
          </a:r>
          <a:endParaRPr lang="id-ID" sz="1100" b="1"/>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10584</xdr:colOff>
      <xdr:row>1</xdr:row>
      <xdr:rowOff>74085</xdr:rowOff>
    </xdr:from>
    <xdr:to>
      <xdr:col>3</xdr:col>
      <xdr:colOff>1544108</xdr:colOff>
      <xdr:row>5</xdr:row>
      <xdr:rowOff>148168</xdr:rowOff>
    </xdr:to>
    <xdr:sp macro="" textlink="">
      <xdr:nvSpPr>
        <xdr:cNvPr id="3" name="Bevel 2">
          <a:extLst>
            <a:ext uri="{FF2B5EF4-FFF2-40B4-BE49-F238E27FC236}">
              <a16:creationId xmlns:a16="http://schemas.microsoft.com/office/drawing/2014/main" id="{00000000-0008-0000-0500-000003000000}"/>
            </a:ext>
          </a:extLst>
        </xdr:cNvPr>
        <xdr:cNvSpPr/>
      </xdr:nvSpPr>
      <xdr:spPr>
        <a:xfrm>
          <a:off x="211667" y="317502"/>
          <a:ext cx="2401358" cy="1068916"/>
        </a:xfrm>
        <a:prstGeom prst="bevel">
          <a:avLst>
            <a:gd name="adj" fmla="val 5079"/>
          </a:avLst>
        </a:prstGeom>
        <a:solidFill>
          <a:srgbClr val="FFC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id-ID" sz="1100" b="1">
              <a:solidFill>
                <a:srgbClr val="FF0000"/>
              </a:solidFill>
              <a:latin typeface="Tahoma" pitchFamily="34" charset="0"/>
              <a:ea typeface="Tahoma" pitchFamily="34" charset="0"/>
              <a:cs typeface="Tahoma" pitchFamily="34" charset="0"/>
            </a:rPr>
            <a:t>BACKUP nilai</a:t>
          </a:r>
          <a:r>
            <a:rPr lang="id-ID" sz="1100">
              <a:solidFill>
                <a:srgbClr val="FF0000"/>
              </a:solidFill>
              <a:latin typeface="Tahoma" pitchFamily="34" charset="0"/>
              <a:ea typeface="Tahoma" pitchFamily="34" charset="0"/>
              <a:cs typeface="Tahoma" pitchFamily="34" charset="0"/>
            </a:rPr>
            <a:t> </a:t>
          </a:r>
          <a:r>
            <a:rPr lang="id-ID" sz="1100">
              <a:solidFill>
                <a:schemeClr val="accent2">
                  <a:lumMod val="50000"/>
                </a:schemeClr>
              </a:solidFill>
              <a:latin typeface="Tahoma" pitchFamily="34" charset="0"/>
              <a:ea typeface="Tahoma" pitchFamily="34" charset="0"/>
              <a:cs typeface="Tahoma" pitchFamily="34" charset="0"/>
            </a:rPr>
            <a:t>halaman ini'setorkan ke Wali Kelas, silahkan </a:t>
          </a:r>
          <a:r>
            <a:rPr lang="id-ID" sz="1100" b="0">
              <a:solidFill>
                <a:schemeClr val="accent2">
                  <a:lumMod val="50000"/>
                </a:schemeClr>
              </a:solidFill>
              <a:latin typeface="Tahoma" pitchFamily="34" charset="0"/>
              <a:ea typeface="Tahoma" pitchFamily="34" charset="0"/>
              <a:cs typeface="Tahoma" pitchFamily="34" charset="0"/>
            </a:rPr>
            <a:t>Nilai Pengetahuan dan Nilai Ketrampilan di copy</a:t>
          </a:r>
          <a:r>
            <a:rPr lang="id-ID" sz="1100">
              <a:solidFill>
                <a:schemeClr val="accent2">
                  <a:lumMod val="50000"/>
                </a:schemeClr>
              </a:solidFill>
              <a:latin typeface="Tahoma" pitchFamily="34" charset="0"/>
              <a:ea typeface="Tahoma" pitchFamily="34" charset="0"/>
              <a:cs typeface="Tahoma" pitchFamily="34" charset="0"/>
            </a:rPr>
            <a:t> ke file</a:t>
          </a:r>
          <a:r>
            <a:rPr lang="id-ID" sz="1100" baseline="0">
              <a:solidFill>
                <a:schemeClr val="accent2">
                  <a:lumMod val="50000"/>
                </a:schemeClr>
              </a:solidFill>
              <a:latin typeface="Tahoma" pitchFamily="34" charset="0"/>
              <a:ea typeface="Tahoma" pitchFamily="34" charset="0"/>
              <a:cs typeface="Tahoma" pitchFamily="34" charset="0"/>
            </a:rPr>
            <a:t> Olah Nilai (di bawa Wali Kelas). </a:t>
          </a:r>
          <a:endParaRPr lang="id-ID" sz="1100">
            <a:solidFill>
              <a:schemeClr val="accent2">
                <a:lumMod val="50000"/>
              </a:schemeClr>
            </a:solidFill>
            <a:latin typeface="Tahoma" pitchFamily="34" charset="0"/>
            <a:ea typeface="Tahoma" pitchFamily="34" charset="0"/>
            <a:cs typeface="Tahoma" pitchFamily="34" charset="0"/>
          </a:endParaRPr>
        </a:p>
      </xdr:txBody>
    </xdr:sp>
    <xdr:clientData fPrintsWithSheet="0"/>
  </xdr:twoCellAnchor>
  <xdr:twoCellAnchor editAs="oneCell">
    <xdr:from>
      <xdr:col>3</xdr:col>
      <xdr:colOff>963084</xdr:colOff>
      <xdr:row>0</xdr:row>
      <xdr:rowOff>237066</xdr:rowOff>
    </xdr:from>
    <xdr:to>
      <xdr:col>3</xdr:col>
      <xdr:colOff>1486959</xdr:colOff>
      <xdr:row>3</xdr:row>
      <xdr:rowOff>9524</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89667" y="237066"/>
          <a:ext cx="523875" cy="523875"/>
        </a:xfrm>
        <a:prstGeom prst="rect">
          <a:avLst/>
        </a:prstGeom>
        <a:effectLst>
          <a:glow rad="63500">
            <a:schemeClr val="accent5">
              <a:satMod val="175000"/>
              <a:alpha val="40000"/>
            </a:schemeClr>
          </a:glow>
        </a:effectLst>
      </xdr:spPr>
    </xdr:pic>
    <xdr:clientData/>
  </xdr:twoCellAnchor>
  <xdr:twoCellAnchor>
    <xdr:from>
      <xdr:col>4</xdr:col>
      <xdr:colOff>201084</xdr:colOff>
      <xdr:row>3</xdr:row>
      <xdr:rowOff>148167</xdr:rowOff>
    </xdr:from>
    <xdr:to>
      <xdr:col>7</xdr:col>
      <xdr:colOff>123826</xdr:colOff>
      <xdr:row>5</xdr:row>
      <xdr:rowOff>118534</xdr:rowOff>
    </xdr:to>
    <xdr:sp macro="" textlink="">
      <xdr:nvSpPr>
        <xdr:cNvPr id="6" name="Line Callout 2 5">
          <a:extLst>
            <a:ext uri="{FF2B5EF4-FFF2-40B4-BE49-F238E27FC236}">
              <a16:creationId xmlns:a16="http://schemas.microsoft.com/office/drawing/2014/main" id="{00000000-0008-0000-0500-000006000000}"/>
            </a:ext>
          </a:extLst>
        </xdr:cNvPr>
        <xdr:cNvSpPr/>
      </xdr:nvSpPr>
      <xdr:spPr>
        <a:xfrm>
          <a:off x="2995084" y="899584"/>
          <a:ext cx="568325" cy="457200"/>
        </a:xfrm>
        <a:prstGeom prst="borderCallout2">
          <a:avLst>
            <a:gd name="adj1" fmla="val 288141"/>
            <a:gd name="adj2" fmla="val 60994"/>
            <a:gd name="adj3" fmla="val 100000"/>
            <a:gd name="adj4" fmla="val 60692"/>
            <a:gd name="adj5" fmla="val 83333"/>
            <a:gd name="adj6" fmla="val 51446"/>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id-ID" sz="1100" b="1">
              <a:solidFill>
                <a:srgbClr val="FFFF00"/>
              </a:solidFill>
            </a:rPr>
            <a:t>Filter Kelas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266700</xdr:colOff>
      <xdr:row>1</xdr:row>
      <xdr:rowOff>190500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523875" cy="523875"/>
        </a:xfrm>
        <a:prstGeom prst="rect">
          <a:avLst/>
        </a:prstGeom>
        <a:effectLst>
          <a:glow rad="63500">
            <a:schemeClr val="accent5">
              <a:satMod val="175000"/>
              <a:alpha val="40000"/>
            </a:schemeClr>
          </a:glow>
        </a:effectLst>
      </xdr:spPr>
    </xdr:pic>
    <xdr:clientData/>
  </xdr:twoCellAnchor>
  <xdr:twoCellAnchor>
    <xdr:from>
      <xdr:col>5</xdr:col>
      <xdr:colOff>95250</xdr:colOff>
      <xdr:row>0</xdr:row>
      <xdr:rowOff>238125</xdr:rowOff>
    </xdr:from>
    <xdr:to>
      <xdr:col>6</xdr:col>
      <xdr:colOff>180976</xdr:colOff>
      <xdr:row>3</xdr:row>
      <xdr:rowOff>133350</xdr:rowOff>
    </xdr:to>
    <xdr:sp macro="" textlink="">
      <xdr:nvSpPr>
        <xdr:cNvPr id="4" name="Line Callout 2 3">
          <a:extLst>
            <a:ext uri="{FF2B5EF4-FFF2-40B4-BE49-F238E27FC236}">
              <a16:creationId xmlns:a16="http://schemas.microsoft.com/office/drawing/2014/main" id="{00000000-0008-0000-0600-000004000000}"/>
            </a:ext>
          </a:extLst>
        </xdr:cNvPr>
        <xdr:cNvSpPr/>
      </xdr:nvSpPr>
      <xdr:spPr>
        <a:xfrm>
          <a:off x="4143375" y="238125"/>
          <a:ext cx="504826" cy="457200"/>
        </a:xfrm>
        <a:prstGeom prst="borderCallout2">
          <a:avLst>
            <a:gd name="adj1" fmla="val 288141"/>
            <a:gd name="adj2" fmla="val 60994"/>
            <a:gd name="adj3" fmla="val 100000"/>
            <a:gd name="adj4" fmla="val 60692"/>
            <a:gd name="adj5" fmla="val 83333"/>
            <a:gd name="adj6" fmla="val 51446"/>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id-ID" sz="1100" b="1">
              <a:solidFill>
                <a:srgbClr val="FFFF00"/>
              </a:solidFill>
            </a:rPr>
            <a:t>Filter Kelas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0</xdr:row>
      <xdr:rowOff>0</xdr:rowOff>
    </xdr:from>
    <xdr:to>
      <xdr:col>2</xdr:col>
      <xdr:colOff>1362075</xdr:colOff>
      <xdr:row>2</xdr:row>
      <xdr:rowOff>85725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8725" y="0"/>
          <a:ext cx="447675" cy="447675"/>
        </a:xfrm>
        <a:prstGeom prst="rect">
          <a:avLst/>
        </a:prstGeom>
      </xdr:spPr>
    </xdr:pic>
    <xdr:clientData/>
  </xdr:twoCellAnchor>
  <xdr:twoCellAnchor editAs="oneCell">
    <xdr:from>
      <xdr:col>2</xdr:col>
      <xdr:colOff>4276725</xdr:colOff>
      <xdr:row>0</xdr:row>
      <xdr:rowOff>28575</xdr:rowOff>
    </xdr:from>
    <xdr:to>
      <xdr:col>3</xdr:col>
      <xdr:colOff>85725</xdr:colOff>
      <xdr:row>2</xdr:row>
      <xdr:rowOff>190500</xdr:rowOff>
    </xdr:to>
    <xdr:pic>
      <xdr:nvPicPr>
        <xdr:cNvPr id="4" name="Picture 3">
          <a:hlinkClick xmlns:r="http://schemas.openxmlformats.org/officeDocument/2006/relationships" r:id="rId2"/>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1050" y="28575"/>
          <a:ext cx="523875" cy="523875"/>
        </a:xfrm>
        <a:prstGeom prst="rect">
          <a:avLst/>
        </a:prstGeom>
        <a:effectLst>
          <a:glow rad="63500">
            <a:schemeClr val="accent5">
              <a:satMod val="175000"/>
              <a:alpha val="40000"/>
            </a:schemeClr>
          </a:glow>
        </a:effectLst>
      </xdr:spPr>
    </xdr:pic>
    <xdr:clientData/>
  </xdr:twoCellAnchor>
  <xdr:twoCellAnchor>
    <xdr:from>
      <xdr:col>2</xdr:col>
      <xdr:colOff>2580409</xdr:colOff>
      <xdr:row>0</xdr:row>
      <xdr:rowOff>86591</xdr:rowOff>
    </xdr:from>
    <xdr:to>
      <xdr:col>2</xdr:col>
      <xdr:colOff>4171084</xdr:colOff>
      <xdr:row>2</xdr:row>
      <xdr:rowOff>161059</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2892136" y="86591"/>
          <a:ext cx="1590675" cy="438150"/>
        </a:xfrm>
        <a:prstGeom prst="rect">
          <a:avLst/>
        </a:prstGeom>
        <a:solidFill>
          <a:srgbClr val="002060"/>
        </a:solidFill>
        <a:ln w="3175">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id-ID" sz="1050" b="1" baseline="0">
              <a:solidFill>
                <a:srgbClr val="FFC000"/>
              </a:solidFill>
              <a:latin typeface="Arial" pitchFamily="34" charset="0"/>
              <a:ea typeface="Tahoma" pitchFamily="34" charset="0"/>
              <a:cs typeface="Arial" pitchFamily="34" charset="0"/>
            </a:rPr>
            <a:t>Sesuai: Permendikbud No 23 Tahun 2016</a:t>
          </a:r>
          <a:endParaRPr lang="id-ID" sz="1050" b="1">
            <a:solidFill>
              <a:srgbClr val="FFC000"/>
            </a:solidFill>
            <a:latin typeface="Arial" pitchFamily="34" charset="0"/>
            <a:ea typeface="Tahoma" pitchFamily="34" charset="0"/>
            <a:cs typeface="Arial" pitchFamily="34" charset="0"/>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9"/>
  <sheetViews>
    <sheetView showGridLines="0" showRowColHeaders="0" zoomScaleNormal="100" workbookViewId="0"/>
  </sheetViews>
  <sheetFormatPr defaultColWidth="0" defaultRowHeight="21" customHeight="1" zeroHeight="1" x14ac:dyDescent="0.3"/>
  <cols>
    <col min="1" max="1" width="5" style="15" customWidth="1"/>
    <col min="2" max="2" width="10.33203125" style="15" customWidth="1"/>
    <col min="3" max="3" width="31.88671875" style="15" customWidth="1"/>
    <col min="4" max="4" width="2.6640625" style="15" customWidth="1"/>
    <col min="5" max="5" width="2.88671875" style="15" hidden="1" customWidth="1"/>
    <col min="6" max="6" width="14.6640625" style="15" hidden="1" customWidth="1"/>
    <col min="7" max="8" width="9.5546875" style="15" hidden="1" customWidth="1"/>
    <col min="9" max="9" width="2.88671875" style="15" hidden="1" customWidth="1"/>
    <col min="10" max="10" width="2.6640625" style="15" customWidth="1"/>
    <col min="11" max="11" width="16.44140625" style="15" customWidth="1"/>
    <col min="12" max="12" width="2.6640625" style="15" customWidth="1"/>
    <col min="13" max="14" width="9.109375" style="15" customWidth="1"/>
    <col min="15" max="15" width="8.5546875" style="15" customWidth="1"/>
    <col min="16" max="16384" width="9.109375" style="15" hidden="1"/>
  </cols>
  <sheetData>
    <row r="1" spans="1:26" ht="21" customHeight="1" x14ac:dyDescent="0.3">
      <c r="A1" s="304"/>
      <c r="B1" s="304"/>
      <c r="C1" s="304"/>
      <c r="D1" s="304"/>
      <c r="E1" s="304"/>
      <c r="F1" s="304"/>
      <c r="G1" s="304"/>
      <c r="H1" s="304"/>
      <c r="I1" s="304"/>
      <c r="J1" s="304"/>
      <c r="K1" s="304"/>
      <c r="L1" s="304"/>
      <c r="M1" s="304"/>
      <c r="N1" s="304"/>
      <c r="O1" s="436">
        <f>Data!C9</f>
        <v>8</v>
      </c>
      <c r="P1" s="305"/>
      <c r="Q1" s="305"/>
      <c r="R1" s="305"/>
      <c r="S1" s="305"/>
      <c r="T1" s="305"/>
      <c r="U1" s="305"/>
      <c r="V1" s="305"/>
      <c r="W1" s="305"/>
      <c r="X1" s="305"/>
      <c r="Y1" s="305"/>
      <c r="Z1" s="305"/>
    </row>
    <row r="2" spans="1:26" ht="15" customHeight="1" x14ac:dyDescent="0.3">
      <c r="A2" s="304"/>
      <c r="B2" s="304"/>
      <c r="C2" s="304"/>
      <c r="D2" s="304"/>
      <c r="E2" s="304"/>
      <c r="F2" s="304"/>
      <c r="G2" s="304"/>
      <c r="H2" s="304"/>
      <c r="I2" s="304"/>
      <c r="J2" s="304"/>
      <c r="K2" s="304"/>
      <c r="L2" s="304"/>
      <c r="M2" s="304"/>
      <c r="N2" s="304"/>
      <c r="O2" s="436"/>
      <c r="P2" s="305"/>
      <c r="Q2" s="305"/>
      <c r="R2" s="305"/>
      <c r="S2" s="305"/>
      <c r="T2" s="305"/>
      <c r="U2" s="305"/>
      <c r="V2" s="305"/>
      <c r="W2" s="305"/>
      <c r="X2" s="305"/>
      <c r="Y2" s="305"/>
      <c r="Z2" s="305"/>
    </row>
    <row r="3" spans="1:26" ht="14.25" customHeight="1" x14ac:dyDescent="0.3">
      <c r="A3" s="304"/>
      <c r="B3" s="314"/>
      <c r="C3" s="314"/>
      <c r="D3" s="314"/>
      <c r="E3" s="304"/>
      <c r="F3" s="304"/>
      <c r="G3" s="304"/>
      <c r="H3" s="304"/>
      <c r="I3" s="304"/>
      <c r="J3" s="304"/>
      <c r="K3" s="304"/>
      <c r="L3" s="304"/>
      <c r="M3" s="304"/>
      <c r="N3" s="304"/>
      <c r="O3" s="304"/>
      <c r="P3" s="305"/>
      <c r="Q3" s="305"/>
      <c r="R3" s="305"/>
      <c r="S3" s="305"/>
      <c r="T3" s="305"/>
      <c r="U3" s="305"/>
      <c r="V3" s="305"/>
      <c r="W3" s="305"/>
      <c r="X3" s="305"/>
      <c r="Y3" s="305"/>
      <c r="Z3" s="305"/>
    </row>
    <row r="4" spans="1:26" ht="21" customHeight="1" x14ac:dyDescent="0.3">
      <c r="A4" s="304"/>
      <c r="B4" s="314"/>
      <c r="C4" s="314"/>
      <c r="D4" s="314"/>
      <c r="E4" s="304"/>
      <c r="F4" s="304"/>
      <c r="G4" s="304"/>
      <c r="H4" s="304"/>
      <c r="I4" s="304"/>
      <c r="J4" s="304"/>
      <c r="K4" s="304"/>
      <c r="L4" s="304"/>
      <c r="M4" s="304"/>
      <c r="N4" s="304"/>
      <c r="O4" s="304"/>
      <c r="P4" s="305"/>
      <c r="Q4" s="305"/>
      <c r="R4" s="305">
        <v>7</v>
      </c>
      <c r="S4" s="305"/>
      <c r="T4" s="305"/>
      <c r="U4" s="305"/>
      <c r="V4" s="305"/>
      <c r="W4" s="305"/>
      <c r="X4" s="305"/>
      <c r="Y4" s="305"/>
      <c r="Z4" s="305"/>
    </row>
    <row r="5" spans="1:26" ht="21" customHeight="1" x14ac:dyDescent="0.3">
      <c r="A5" s="304"/>
      <c r="B5" s="314"/>
      <c r="C5" s="314"/>
      <c r="D5" s="314"/>
      <c r="E5" s="304"/>
      <c r="F5" s="304"/>
      <c r="G5" s="304"/>
      <c r="H5" s="304"/>
      <c r="I5" s="304"/>
      <c r="J5" s="304"/>
      <c r="K5" s="304"/>
      <c r="L5" s="304"/>
      <c r="M5" s="304"/>
      <c r="N5" s="304"/>
      <c r="O5" s="304"/>
      <c r="P5" s="305"/>
      <c r="Q5" s="305"/>
      <c r="R5" s="305">
        <v>8</v>
      </c>
      <c r="S5" s="305"/>
      <c r="T5" s="305"/>
      <c r="U5" s="305"/>
      <c r="V5" s="305"/>
      <c r="W5" s="305"/>
      <c r="X5" s="305"/>
      <c r="Y5" s="305"/>
      <c r="Z5" s="305"/>
    </row>
    <row r="6" spans="1:26" ht="21" customHeight="1" x14ac:dyDescent="0.3">
      <c r="A6" s="304"/>
      <c r="B6" s="314"/>
      <c r="C6" s="314"/>
      <c r="D6" s="314"/>
      <c r="E6" s="304"/>
      <c r="F6" s="304"/>
      <c r="G6" s="304"/>
      <c r="H6" s="304"/>
      <c r="I6" s="304"/>
      <c r="J6" s="304"/>
      <c r="K6" s="304"/>
      <c r="L6" s="304"/>
      <c r="M6" s="304"/>
      <c r="N6" s="304"/>
      <c r="O6" s="304"/>
      <c r="P6" s="305"/>
      <c r="Q6" s="305"/>
      <c r="R6" s="305">
        <v>9</v>
      </c>
      <c r="S6" s="305"/>
      <c r="T6" s="305"/>
      <c r="U6" s="305"/>
      <c r="V6" s="305"/>
      <c r="W6" s="305"/>
      <c r="X6" s="305"/>
      <c r="Y6" s="305"/>
      <c r="Z6" s="305"/>
    </row>
    <row r="7" spans="1:26" ht="21" customHeight="1" x14ac:dyDescent="0.3">
      <c r="A7" s="304"/>
      <c r="B7" s="314"/>
      <c r="C7" s="314"/>
      <c r="D7" s="314"/>
      <c r="E7" s="304"/>
      <c r="F7" s="304"/>
      <c r="G7" s="304"/>
      <c r="H7" s="304"/>
      <c r="I7" s="304"/>
      <c r="J7" s="304"/>
      <c r="K7" s="304"/>
      <c r="L7" s="304"/>
      <c r="M7" s="304"/>
      <c r="N7" s="304"/>
      <c r="O7" s="304"/>
      <c r="P7" s="305"/>
      <c r="Q7" s="305"/>
      <c r="R7" s="305"/>
      <c r="S7" s="305"/>
      <c r="T7" s="305"/>
      <c r="U7" s="305"/>
      <c r="V7" s="305"/>
      <c r="W7" s="305"/>
      <c r="X7" s="305"/>
      <c r="Y7" s="305"/>
      <c r="Z7" s="305"/>
    </row>
    <row r="8" spans="1:26" ht="21" customHeight="1" x14ac:dyDescent="0.3">
      <c r="A8" s="304"/>
      <c r="B8" s="314"/>
      <c r="C8" s="314"/>
      <c r="D8" s="314"/>
      <c r="E8" s="304"/>
      <c r="F8" s="304"/>
      <c r="G8" s="304"/>
      <c r="H8" s="304"/>
      <c r="I8" s="304"/>
      <c r="J8" s="304"/>
      <c r="K8" s="304"/>
      <c r="L8" s="304"/>
      <c r="M8" s="304"/>
      <c r="N8" s="304"/>
      <c r="O8" s="304"/>
      <c r="P8" s="305"/>
      <c r="Q8" s="305"/>
      <c r="R8" s="305"/>
      <c r="S8" s="305"/>
      <c r="T8" s="305"/>
      <c r="U8" s="305"/>
      <c r="V8" s="305"/>
      <c r="W8" s="305"/>
      <c r="X8" s="305"/>
      <c r="Y8" s="305"/>
      <c r="Z8" s="305"/>
    </row>
    <row r="9" spans="1:26" ht="21" customHeight="1" x14ac:dyDescent="0.3">
      <c r="A9" s="304"/>
      <c r="B9" s="314"/>
      <c r="C9" s="315">
        <f>Data!C6</f>
        <v>0</v>
      </c>
      <c r="D9" s="314"/>
      <c r="E9" s="304"/>
      <c r="F9" s="304"/>
      <c r="G9" s="304"/>
      <c r="H9" s="304"/>
      <c r="I9" s="304"/>
      <c r="J9" s="304"/>
      <c r="K9" s="304"/>
      <c r="L9" s="304"/>
      <c r="M9" s="304"/>
      <c r="N9" s="304"/>
      <c r="O9" s="304"/>
      <c r="P9" s="305"/>
      <c r="Q9" s="305"/>
      <c r="R9" s="305"/>
      <c r="S9" s="305"/>
      <c r="T9" s="305"/>
      <c r="U9" s="305"/>
      <c r="V9" s="305"/>
      <c r="W9" s="305"/>
      <c r="X9" s="305"/>
      <c r="Y9" s="305"/>
      <c r="Z9" s="305"/>
    </row>
    <row r="10" spans="1:26" ht="21" customHeight="1" x14ac:dyDescent="0.3">
      <c r="A10" s="304"/>
      <c r="B10" s="314"/>
      <c r="C10" s="314"/>
      <c r="D10" s="314"/>
      <c r="E10" s="304"/>
      <c r="F10" s="304"/>
      <c r="G10" s="304"/>
      <c r="H10" s="304"/>
      <c r="I10" s="304"/>
      <c r="J10" s="304"/>
      <c r="K10" s="304"/>
      <c r="L10" s="304"/>
      <c r="M10" s="304"/>
      <c r="N10" s="304"/>
      <c r="O10" s="304"/>
      <c r="P10" s="305"/>
      <c r="Q10" s="305"/>
      <c r="R10" s="305"/>
      <c r="S10" s="305"/>
      <c r="T10" s="305"/>
      <c r="U10" s="305"/>
      <c r="V10" s="305"/>
      <c r="W10" s="305"/>
      <c r="X10" s="305"/>
      <c r="Y10" s="305"/>
      <c r="Z10" s="305"/>
    </row>
    <row r="11" spans="1:26" ht="21" customHeight="1" x14ac:dyDescent="0.3">
      <c r="A11" s="304"/>
      <c r="B11" s="314"/>
      <c r="C11" s="314"/>
      <c r="D11" s="314"/>
      <c r="E11" s="304"/>
      <c r="F11" s="304"/>
      <c r="G11" s="304"/>
      <c r="H11" s="304"/>
      <c r="I11" s="304"/>
      <c r="J11" s="304"/>
      <c r="K11" s="304"/>
      <c r="L11" s="304"/>
      <c r="M11" s="304"/>
      <c r="N11" s="304"/>
      <c r="O11" s="304"/>
      <c r="P11" s="305"/>
      <c r="Q11" s="306"/>
      <c r="R11" s="305"/>
      <c r="S11" s="305"/>
      <c r="T11" s="305"/>
      <c r="U11" s="305"/>
      <c r="V11" s="305"/>
      <c r="W11" s="305"/>
      <c r="X11" s="305"/>
      <c r="Y11" s="305"/>
      <c r="Z11" s="305"/>
    </row>
    <row r="12" spans="1:26" ht="21" customHeight="1" x14ac:dyDescent="0.3">
      <c r="A12" s="304"/>
      <c r="B12" s="314"/>
      <c r="C12" s="314"/>
      <c r="D12" s="314"/>
      <c r="E12" s="304"/>
      <c r="F12" s="304"/>
      <c r="G12" s="304"/>
      <c r="H12" s="304"/>
      <c r="I12" s="304"/>
      <c r="J12" s="304"/>
      <c r="K12" s="304"/>
      <c r="L12" s="304"/>
      <c r="M12" s="304"/>
      <c r="N12" s="304"/>
      <c r="O12" s="304"/>
      <c r="P12" s="305"/>
      <c r="Q12" s="305"/>
      <c r="R12" s="305"/>
      <c r="S12" s="305"/>
      <c r="T12" s="305"/>
      <c r="U12" s="305"/>
      <c r="V12" s="305"/>
      <c r="W12" s="305"/>
      <c r="X12" s="305"/>
      <c r="Y12" s="305"/>
      <c r="Z12" s="305"/>
    </row>
    <row r="13" spans="1:26" ht="21" customHeight="1" x14ac:dyDescent="0.3">
      <c r="A13" s="304"/>
      <c r="B13" s="314"/>
      <c r="C13" s="314"/>
      <c r="D13" s="314"/>
      <c r="E13" s="304"/>
      <c r="F13" s="304"/>
      <c r="G13" s="304"/>
      <c r="H13" s="304"/>
      <c r="I13" s="304"/>
      <c r="J13" s="304"/>
      <c r="K13" s="304"/>
      <c r="L13" s="304"/>
      <c r="M13" s="304"/>
      <c r="N13" s="304"/>
      <c r="O13" s="304"/>
      <c r="P13" s="305"/>
      <c r="Q13" s="305"/>
      <c r="R13" s="305"/>
      <c r="S13" s="305"/>
      <c r="T13" s="305"/>
      <c r="U13" s="305"/>
      <c r="V13" s="305"/>
      <c r="W13" s="305"/>
      <c r="X13" s="305"/>
      <c r="Y13" s="305"/>
      <c r="Z13" s="305"/>
    </row>
    <row r="14" spans="1:26" ht="21" customHeight="1" x14ac:dyDescent="0.3">
      <c r="A14" s="304"/>
      <c r="B14" s="314"/>
      <c r="C14" s="314"/>
      <c r="D14" s="314"/>
      <c r="E14" s="304"/>
      <c r="F14" s="304"/>
      <c r="G14" s="304"/>
      <c r="H14" s="304"/>
      <c r="I14" s="304"/>
      <c r="J14" s="304"/>
      <c r="K14" s="304"/>
      <c r="L14" s="304"/>
      <c r="M14" s="304"/>
      <c r="N14" s="304"/>
      <c r="O14" s="304"/>
      <c r="P14" s="305"/>
      <c r="Q14" s="305"/>
      <c r="R14" s="305"/>
      <c r="S14" s="305"/>
      <c r="T14" s="305"/>
      <c r="U14" s="305"/>
      <c r="V14" s="305"/>
      <c r="W14" s="305"/>
      <c r="X14" s="305"/>
      <c r="Y14" s="305"/>
      <c r="Z14" s="305"/>
    </row>
    <row r="15" spans="1:26" ht="21" customHeight="1" x14ac:dyDescent="0.3">
      <c r="A15" s="304"/>
      <c r="B15" s="314"/>
      <c r="C15" s="314"/>
      <c r="D15" s="314"/>
      <c r="E15" s="304"/>
      <c r="F15" s="304"/>
      <c r="G15" s="304"/>
      <c r="H15" s="304"/>
      <c r="I15" s="304"/>
      <c r="J15" s="304"/>
      <c r="K15" s="304"/>
      <c r="L15" s="304"/>
      <c r="M15" s="304"/>
      <c r="N15" s="304"/>
      <c r="O15" s="304"/>
      <c r="P15" s="305"/>
      <c r="Q15" s="305"/>
      <c r="R15" s="305"/>
      <c r="S15" s="305"/>
      <c r="T15" s="305"/>
      <c r="U15" s="305"/>
      <c r="V15" s="305"/>
      <c r="W15" s="305"/>
      <c r="X15" s="305"/>
      <c r="Y15" s="305"/>
      <c r="Z15" s="305"/>
    </row>
    <row r="16" spans="1:26" ht="21" customHeight="1" x14ac:dyDescent="0.3">
      <c r="A16" s="304"/>
      <c r="B16" s="314"/>
      <c r="C16" s="314"/>
      <c r="D16" s="314"/>
      <c r="E16" s="304"/>
      <c r="F16" s="304"/>
      <c r="G16" s="304"/>
      <c r="H16" s="304"/>
      <c r="I16" s="304"/>
      <c r="J16" s="304"/>
      <c r="K16" s="304"/>
      <c r="L16" s="304"/>
      <c r="M16" s="304"/>
      <c r="N16" s="304"/>
      <c r="O16" s="304"/>
      <c r="P16" s="305"/>
      <c r="Q16" s="305"/>
      <c r="R16" s="305"/>
      <c r="S16" s="305"/>
      <c r="T16" s="305"/>
      <c r="U16" s="305"/>
      <c r="V16" s="305"/>
      <c r="W16" s="305"/>
      <c r="X16" s="305"/>
      <c r="Y16" s="305"/>
      <c r="Z16" s="305"/>
    </row>
    <row r="17" spans="1:26" ht="14.25" customHeight="1" x14ac:dyDescent="0.3">
      <c r="A17" s="304"/>
      <c r="B17" s="314"/>
      <c r="C17" s="314"/>
      <c r="D17" s="314"/>
      <c r="E17" s="304"/>
      <c r="F17" s="304"/>
      <c r="G17" s="304"/>
      <c r="H17" s="304"/>
      <c r="I17" s="304"/>
      <c r="J17" s="304"/>
      <c r="K17" s="304"/>
      <c r="L17" s="304"/>
      <c r="M17" s="304"/>
      <c r="N17" s="304"/>
      <c r="O17" s="304"/>
      <c r="P17" s="305"/>
      <c r="Q17" s="305"/>
      <c r="R17" s="305"/>
      <c r="S17" s="305"/>
      <c r="T17" s="305"/>
      <c r="U17" s="305"/>
      <c r="V17" s="305"/>
      <c r="W17" s="305"/>
      <c r="X17" s="305"/>
      <c r="Y17" s="305"/>
      <c r="Z17" s="305"/>
    </row>
    <row r="18" spans="1:26" ht="10.5" customHeight="1" x14ac:dyDescent="0.3">
      <c r="A18" s="304"/>
      <c r="B18" s="304"/>
      <c r="C18" s="304"/>
      <c r="D18" s="304"/>
      <c r="E18" s="304"/>
      <c r="F18" s="304"/>
      <c r="G18" s="304"/>
      <c r="H18" s="304"/>
      <c r="I18" s="304"/>
      <c r="J18" s="304"/>
      <c r="K18" s="304"/>
      <c r="L18" s="304"/>
      <c r="M18" s="304"/>
      <c r="N18" s="304"/>
      <c r="O18" s="304"/>
      <c r="P18" s="305"/>
      <c r="Q18" s="305"/>
      <c r="R18" s="305"/>
      <c r="S18" s="305"/>
      <c r="T18" s="305"/>
      <c r="U18" s="305"/>
      <c r="V18" s="305"/>
      <c r="W18" s="305"/>
      <c r="X18" s="305"/>
      <c r="Y18" s="305"/>
      <c r="Z18" s="305"/>
    </row>
    <row r="19" spans="1:26" ht="23.4" x14ac:dyDescent="0.45">
      <c r="A19" s="304"/>
      <c r="B19" s="304"/>
      <c r="C19" s="307"/>
      <c r="D19" s="304"/>
      <c r="E19" s="304"/>
      <c r="F19" s="304"/>
      <c r="G19" s="304"/>
      <c r="H19" s="304"/>
      <c r="I19" s="304"/>
      <c r="J19" s="304"/>
      <c r="K19" s="304"/>
      <c r="L19" s="304"/>
      <c r="M19" s="304"/>
      <c r="N19" s="304"/>
      <c r="O19" s="304"/>
      <c r="P19" s="305"/>
      <c r="Q19" s="305"/>
      <c r="R19" s="305"/>
      <c r="S19" s="305"/>
      <c r="T19" s="305"/>
      <c r="U19" s="305"/>
      <c r="V19" s="305"/>
      <c r="W19" s="305"/>
      <c r="X19" s="305"/>
      <c r="Y19" s="305"/>
      <c r="Z19" s="305"/>
    </row>
  </sheetData>
  <sheetProtection algorithmName="SHA-512" hashValue="XDe26CFsVg8uGU9DY4QRNAvQy/D5nVjMbQ4LxGYIWyL8Ez9h7V4CWhOqaGbK8HqLjC1gpZFgxMAWC2t0Jp+OrQ==" saltValue="+XbMwp8VRdekX06arrAxhQ==" spinCount="100000" sheet="1" objects="1" scenarios="1" selectLockedCells="1"/>
  <mergeCells count="1">
    <mergeCell ref="O1:O2"/>
  </mergeCells>
  <pageMargins left="0.7" right="0.7" top="0.75" bottom="0.75" header="0.3" footer="0.3"/>
  <pageSetup paperSize="256"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00FF"/>
  </sheetPr>
  <dimension ref="A1:XFC527"/>
  <sheetViews>
    <sheetView showGridLines="0" workbookViewId="0">
      <pane xSplit="10" ySplit="4" topLeftCell="K311" activePane="bottomRight" state="frozen"/>
      <selection pane="topRight" activeCell="K1" sqref="K1"/>
      <selection pane="bottomLeft" activeCell="A5" sqref="A5"/>
      <selection pane="bottomRight" activeCell="F285" sqref="F285:I301"/>
    </sheetView>
  </sheetViews>
  <sheetFormatPr defaultColWidth="0" defaultRowHeight="0" customHeight="1" zeroHeight="1" x14ac:dyDescent="0.3"/>
  <cols>
    <col min="1" max="1" width="1.44140625" style="5" customWidth="1"/>
    <col min="2" max="2" width="15" style="5" bestFit="1" customWidth="1"/>
    <col min="3" max="3" width="31" style="5" bestFit="1" customWidth="1"/>
    <col min="4" max="4" width="0.88671875" style="5" customWidth="1"/>
    <col min="5" max="5" width="3.44140625" style="5" bestFit="1" customWidth="1"/>
    <col min="6" max="6" width="5" style="4" bestFit="1" customWidth="1"/>
    <col min="7" max="7" width="12.44140625" style="4" customWidth="1"/>
    <col min="8" max="8" width="21.44140625" style="5" bestFit="1" customWidth="1"/>
    <col min="9" max="9" width="4.33203125" style="4" bestFit="1" customWidth="1"/>
    <col min="10" max="12" width="9.109375" style="5" customWidth="1"/>
    <col min="13" max="13" width="12.109375" style="5" customWidth="1"/>
    <col min="14" max="15" width="0" style="5" hidden="1" customWidth="1"/>
    <col min="16" max="16383" width="9.109375" style="5" hidden="1"/>
    <col min="16384" max="16384" width="0.88671875" style="5" customWidth="1"/>
  </cols>
  <sheetData>
    <row r="1" spans="1:13" ht="24.75" customHeight="1" x14ac:dyDescent="0.3">
      <c r="A1" s="234"/>
      <c r="B1" s="445" t="s">
        <v>129</v>
      </c>
      <c r="C1" s="445"/>
      <c r="D1" s="445"/>
      <c r="E1" s="445"/>
      <c r="F1" s="445"/>
      <c r="G1" s="445"/>
      <c r="H1" s="445"/>
      <c r="I1" s="445"/>
      <c r="J1" s="445"/>
      <c r="K1" s="234"/>
      <c r="L1" s="234"/>
      <c r="M1" s="234"/>
    </row>
    <row r="2" spans="1:13" ht="38.1" customHeight="1" thickBot="1" x14ac:dyDescent="0.35">
      <c r="A2" s="234"/>
      <c r="B2" s="437" t="s">
        <v>161</v>
      </c>
      <c r="C2" s="438"/>
      <c r="D2" s="234"/>
      <c r="E2" s="444" t="s">
        <v>111</v>
      </c>
      <c r="F2" s="444"/>
      <c r="G2" s="444"/>
      <c r="H2" s="444"/>
      <c r="I2" s="444"/>
      <c r="J2" s="444"/>
      <c r="K2" s="234"/>
      <c r="L2" s="234"/>
      <c r="M2" s="234"/>
    </row>
    <row r="3" spans="1:13" s="14" customFormat="1" ht="15.75" customHeight="1" thickBot="1" x14ac:dyDescent="0.35">
      <c r="A3" s="234"/>
      <c r="B3" s="286"/>
      <c r="C3" s="286"/>
      <c r="D3" s="286"/>
      <c r="E3" s="441" t="s">
        <v>39</v>
      </c>
      <c r="F3" s="442"/>
      <c r="G3" s="442"/>
      <c r="H3" s="442"/>
      <c r="I3" s="442"/>
      <c r="J3" s="443"/>
      <c r="K3" s="286"/>
      <c r="L3" s="286"/>
      <c r="M3" s="286"/>
    </row>
    <row r="4" spans="1:13" s="13" customFormat="1" ht="17.25" customHeight="1" thickBot="1" x14ac:dyDescent="0.35">
      <c r="A4" s="286"/>
      <c r="B4" s="439" t="s">
        <v>22</v>
      </c>
      <c r="C4" s="440"/>
      <c r="D4" s="242"/>
      <c r="E4" s="273" t="s">
        <v>0</v>
      </c>
      <c r="F4" s="274" t="s">
        <v>115</v>
      </c>
      <c r="G4" s="274" t="s">
        <v>116</v>
      </c>
      <c r="H4" s="274" t="s">
        <v>2</v>
      </c>
      <c r="I4" s="275" t="s">
        <v>40</v>
      </c>
      <c r="J4" s="276" t="s">
        <v>118</v>
      </c>
      <c r="K4" s="242"/>
      <c r="L4" s="242"/>
      <c r="M4" s="242"/>
    </row>
    <row r="5" spans="1:13" s="13" customFormat="1" ht="18" customHeight="1" x14ac:dyDescent="0.3">
      <c r="A5" s="242"/>
      <c r="B5" s="269" t="s">
        <v>14</v>
      </c>
      <c r="C5" s="168" t="s">
        <v>181</v>
      </c>
      <c r="D5" s="242"/>
      <c r="E5" s="20">
        <v>1</v>
      </c>
      <c r="F5" s="185" t="s">
        <v>192</v>
      </c>
      <c r="G5" s="185">
        <v>3128140791</v>
      </c>
      <c r="H5" s="23" t="s">
        <v>193</v>
      </c>
      <c r="I5" s="24" t="s">
        <v>274</v>
      </c>
      <c r="J5" s="277" t="str">
        <f>IF(C9=7,"VII",IF(C9=8,"VIII","IX"))&amp;"-"&amp;"A"</f>
        <v>VIII-A</v>
      </c>
      <c r="K5" s="287"/>
      <c r="L5" s="242"/>
      <c r="M5" s="242"/>
    </row>
    <row r="6" spans="1:13" s="13" customFormat="1" ht="18" customHeight="1" x14ac:dyDescent="0.3">
      <c r="A6" s="242"/>
      <c r="B6" s="270" t="s">
        <v>117</v>
      </c>
      <c r="C6" s="271"/>
      <c r="D6" s="242"/>
      <c r="E6" s="21">
        <v>2</v>
      </c>
      <c r="F6" s="22" t="s">
        <v>194</v>
      </c>
      <c r="G6" s="22">
        <v>3123785760</v>
      </c>
      <c r="H6" s="23" t="s">
        <v>195</v>
      </c>
      <c r="I6" s="24" t="s">
        <v>274</v>
      </c>
      <c r="J6" s="277" t="str">
        <f>J5</f>
        <v>VIII-A</v>
      </c>
      <c r="K6" s="287"/>
      <c r="L6" s="242"/>
      <c r="M6" s="242"/>
    </row>
    <row r="7" spans="1:13" s="13" customFormat="1" ht="18" customHeight="1" x14ac:dyDescent="0.3">
      <c r="A7" s="242"/>
      <c r="B7" s="270" t="s">
        <v>119</v>
      </c>
      <c r="C7" s="271" t="s">
        <v>144</v>
      </c>
      <c r="D7" s="242"/>
      <c r="E7" s="20">
        <v>3</v>
      </c>
      <c r="F7" s="22" t="s">
        <v>196</v>
      </c>
      <c r="G7" s="22" t="s">
        <v>197</v>
      </c>
      <c r="H7" s="23" t="s">
        <v>198</v>
      </c>
      <c r="I7" s="24" t="s">
        <v>274</v>
      </c>
      <c r="J7" s="277" t="str">
        <f t="shared" ref="J7:J70" si="0">J6</f>
        <v>VIII-A</v>
      </c>
      <c r="K7" s="287"/>
      <c r="L7" s="242"/>
      <c r="M7" s="242"/>
    </row>
    <row r="8" spans="1:13" s="13" customFormat="1" ht="18" customHeight="1" x14ac:dyDescent="0.3">
      <c r="A8" s="242"/>
      <c r="B8" s="270" t="s">
        <v>37</v>
      </c>
      <c r="C8" s="271"/>
      <c r="D8" s="242"/>
      <c r="E8" s="21">
        <v>4</v>
      </c>
      <c r="F8" s="22" t="s">
        <v>199</v>
      </c>
      <c r="G8" s="22" t="s">
        <v>200</v>
      </c>
      <c r="H8" s="23" t="s">
        <v>201</v>
      </c>
      <c r="I8" s="24" t="s">
        <v>274</v>
      </c>
      <c r="J8" s="277" t="str">
        <f t="shared" si="0"/>
        <v>VIII-A</v>
      </c>
      <c r="K8" s="287"/>
      <c r="L8" s="242"/>
      <c r="M8" s="242"/>
    </row>
    <row r="9" spans="1:13" s="13" customFormat="1" ht="18" customHeight="1" x14ac:dyDescent="0.3">
      <c r="A9" s="242"/>
      <c r="B9" s="270" t="s">
        <v>15</v>
      </c>
      <c r="C9" s="272">
        <v>8</v>
      </c>
      <c r="D9" s="242"/>
      <c r="E9" s="20">
        <v>5</v>
      </c>
      <c r="F9" s="22" t="s">
        <v>202</v>
      </c>
      <c r="G9" s="22" t="s">
        <v>203</v>
      </c>
      <c r="H9" s="23" t="s">
        <v>204</v>
      </c>
      <c r="I9" s="24" t="s">
        <v>274</v>
      </c>
      <c r="J9" s="277" t="str">
        <f t="shared" si="0"/>
        <v>VIII-A</v>
      </c>
      <c r="K9" s="287"/>
      <c r="L9" s="242"/>
      <c r="M9" s="242"/>
    </row>
    <row r="10" spans="1:13" s="13" customFormat="1" ht="18" customHeight="1" x14ac:dyDescent="0.3">
      <c r="A10" s="242"/>
      <c r="B10" s="270" t="s">
        <v>16</v>
      </c>
      <c r="C10" s="271">
        <v>3</v>
      </c>
      <c r="D10" s="242"/>
      <c r="E10" s="21">
        <v>6</v>
      </c>
      <c r="F10" s="22" t="s">
        <v>205</v>
      </c>
      <c r="G10" s="22">
        <v>3124524804</v>
      </c>
      <c r="H10" s="23" t="s">
        <v>206</v>
      </c>
      <c r="I10" s="24" t="s">
        <v>274</v>
      </c>
      <c r="J10" s="277" t="str">
        <f t="shared" si="0"/>
        <v>VIII-A</v>
      </c>
      <c r="K10" s="287"/>
      <c r="L10" s="242"/>
      <c r="M10" s="242"/>
    </row>
    <row r="11" spans="1:13" s="13" customFormat="1" ht="18" customHeight="1" x14ac:dyDescent="0.3">
      <c r="A11" s="242"/>
      <c r="B11" s="270" t="s">
        <v>17</v>
      </c>
      <c r="C11" s="271" t="s">
        <v>191</v>
      </c>
      <c r="D11" s="242"/>
      <c r="E11" s="20">
        <v>7</v>
      </c>
      <c r="F11" s="22" t="s">
        <v>207</v>
      </c>
      <c r="G11" s="22" t="s">
        <v>208</v>
      </c>
      <c r="H11" s="23" t="s">
        <v>209</v>
      </c>
      <c r="I11" s="24" t="s">
        <v>274</v>
      </c>
      <c r="J11" s="277" t="str">
        <f t="shared" si="0"/>
        <v>VIII-A</v>
      </c>
      <c r="K11" s="287"/>
      <c r="L11" s="242"/>
      <c r="M11" s="242"/>
    </row>
    <row r="12" spans="1:13" s="13" customFormat="1" ht="18" customHeight="1" x14ac:dyDescent="0.3">
      <c r="A12" s="242"/>
      <c r="B12" s="295" t="s">
        <v>145</v>
      </c>
      <c r="C12" s="296">
        <v>78</v>
      </c>
      <c r="D12" s="242"/>
      <c r="E12" s="21">
        <v>8</v>
      </c>
      <c r="F12" s="22" t="s">
        <v>210</v>
      </c>
      <c r="G12" s="22">
        <v>3125719975</v>
      </c>
      <c r="H12" s="23" t="s">
        <v>211</v>
      </c>
      <c r="I12" s="24" t="s">
        <v>274</v>
      </c>
      <c r="J12" s="277" t="str">
        <f>J11</f>
        <v>VIII-A</v>
      </c>
      <c r="K12" s="287"/>
      <c r="L12" s="242"/>
      <c r="M12" s="242"/>
    </row>
    <row r="13" spans="1:13" s="13" customFormat="1" ht="18" customHeight="1" x14ac:dyDescent="0.3">
      <c r="A13" s="242"/>
      <c r="B13" s="242"/>
      <c r="C13" s="242"/>
      <c r="D13" s="242"/>
      <c r="E13" s="20">
        <v>9</v>
      </c>
      <c r="F13" s="22" t="s">
        <v>212</v>
      </c>
      <c r="G13" s="22" t="s">
        <v>213</v>
      </c>
      <c r="H13" s="23" t="s">
        <v>214</v>
      </c>
      <c r="I13" s="24" t="s">
        <v>274</v>
      </c>
      <c r="J13" s="277" t="str">
        <f t="shared" si="0"/>
        <v>VIII-A</v>
      </c>
      <c r="K13" s="287"/>
      <c r="L13" s="242"/>
      <c r="M13" s="242"/>
    </row>
    <row r="14" spans="1:13" s="13" customFormat="1" ht="18" customHeight="1" x14ac:dyDescent="0.3">
      <c r="A14" s="242"/>
      <c r="B14" s="242"/>
      <c r="C14" s="242"/>
      <c r="D14" s="242"/>
      <c r="E14" s="21">
        <v>10</v>
      </c>
      <c r="F14" s="22" t="s">
        <v>215</v>
      </c>
      <c r="G14" s="22">
        <v>3128444473</v>
      </c>
      <c r="H14" s="23" t="s">
        <v>216</v>
      </c>
      <c r="I14" s="24" t="s">
        <v>274</v>
      </c>
      <c r="J14" s="277" t="str">
        <f t="shared" si="0"/>
        <v>VIII-A</v>
      </c>
      <c r="K14" s="287"/>
      <c r="L14" s="242"/>
      <c r="M14" s="242"/>
    </row>
    <row r="15" spans="1:13" s="13" customFormat="1" ht="18" customHeight="1" x14ac:dyDescent="0.3">
      <c r="A15" s="242"/>
      <c r="B15" s="242"/>
      <c r="C15" s="242"/>
      <c r="D15" s="242"/>
      <c r="E15" s="20">
        <v>11</v>
      </c>
      <c r="F15" s="22" t="s">
        <v>217</v>
      </c>
      <c r="G15" s="22" t="s">
        <v>218</v>
      </c>
      <c r="H15" s="23" t="s">
        <v>219</v>
      </c>
      <c r="I15" s="24" t="s">
        <v>274</v>
      </c>
      <c r="J15" s="277" t="str">
        <f t="shared" si="0"/>
        <v>VIII-A</v>
      </c>
      <c r="K15" s="287"/>
      <c r="L15" s="242"/>
      <c r="M15" s="242"/>
    </row>
    <row r="16" spans="1:13" s="13" customFormat="1" ht="18" customHeight="1" x14ac:dyDescent="0.3">
      <c r="A16" s="242"/>
      <c r="B16" s="242"/>
      <c r="C16" s="242"/>
      <c r="D16" s="242"/>
      <c r="E16" s="21">
        <v>12</v>
      </c>
      <c r="F16" s="22" t="s">
        <v>220</v>
      </c>
      <c r="G16" s="22" t="s">
        <v>221</v>
      </c>
      <c r="H16" s="23" t="s">
        <v>222</v>
      </c>
      <c r="I16" s="24" t="s">
        <v>274</v>
      </c>
      <c r="J16" s="277" t="str">
        <f t="shared" si="0"/>
        <v>VIII-A</v>
      </c>
      <c r="K16" s="287"/>
      <c r="L16" s="242"/>
      <c r="M16" s="242"/>
    </row>
    <row r="17" spans="1:13" s="13" customFormat="1" ht="18" customHeight="1" x14ac:dyDescent="0.3">
      <c r="A17" s="242"/>
      <c r="B17" s="242"/>
      <c r="C17" s="242"/>
      <c r="D17" s="242"/>
      <c r="E17" s="20">
        <v>13</v>
      </c>
      <c r="F17" s="22" t="s">
        <v>223</v>
      </c>
      <c r="G17" s="22" t="s">
        <v>224</v>
      </c>
      <c r="H17" s="23" t="s">
        <v>225</v>
      </c>
      <c r="I17" s="24" t="s">
        <v>274</v>
      </c>
      <c r="J17" s="277" t="str">
        <f t="shared" si="0"/>
        <v>VIII-A</v>
      </c>
      <c r="K17" s="287"/>
      <c r="L17" s="242"/>
      <c r="M17" s="242"/>
    </row>
    <row r="18" spans="1:13" s="13" customFormat="1" ht="18" customHeight="1" x14ac:dyDescent="0.3">
      <c r="A18" s="242"/>
      <c r="B18" s="242"/>
      <c r="C18" s="242"/>
      <c r="D18" s="242"/>
      <c r="E18" s="21">
        <v>14</v>
      </c>
      <c r="F18" s="22" t="s">
        <v>226</v>
      </c>
      <c r="G18" s="22" t="s">
        <v>227</v>
      </c>
      <c r="H18" s="23" t="s">
        <v>228</v>
      </c>
      <c r="I18" s="24" t="s">
        <v>274</v>
      </c>
      <c r="J18" s="277" t="str">
        <f t="shared" si="0"/>
        <v>VIII-A</v>
      </c>
      <c r="K18" s="287"/>
      <c r="L18" s="242"/>
      <c r="M18" s="242"/>
    </row>
    <row r="19" spans="1:13" s="13" customFormat="1" ht="18" customHeight="1" x14ac:dyDescent="0.3">
      <c r="A19" s="242"/>
      <c r="B19" s="242"/>
      <c r="C19" s="242"/>
      <c r="D19" s="242"/>
      <c r="E19" s="20">
        <v>15</v>
      </c>
      <c r="F19" s="22" t="s">
        <v>229</v>
      </c>
      <c r="G19" s="22" t="s">
        <v>230</v>
      </c>
      <c r="H19" s="23" t="s">
        <v>231</v>
      </c>
      <c r="I19" s="24" t="s">
        <v>274</v>
      </c>
      <c r="J19" s="277" t="str">
        <f t="shared" si="0"/>
        <v>VIII-A</v>
      </c>
      <c r="K19" s="287"/>
      <c r="L19" s="242"/>
      <c r="M19" s="242"/>
    </row>
    <row r="20" spans="1:13" s="13" customFormat="1" ht="18" customHeight="1" x14ac:dyDescent="0.3">
      <c r="A20" s="242"/>
      <c r="B20" s="242"/>
      <c r="C20" s="242"/>
      <c r="D20" s="242"/>
      <c r="E20" s="21">
        <v>16</v>
      </c>
      <c r="F20" s="22" t="s">
        <v>232</v>
      </c>
      <c r="G20" s="22">
        <v>3122820389</v>
      </c>
      <c r="H20" s="23" t="s">
        <v>233</v>
      </c>
      <c r="I20" s="24" t="s">
        <v>274</v>
      </c>
      <c r="J20" s="277" t="str">
        <f t="shared" si="0"/>
        <v>VIII-A</v>
      </c>
      <c r="K20" s="287"/>
      <c r="L20" s="242"/>
      <c r="M20" s="242"/>
    </row>
    <row r="21" spans="1:13" s="13" customFormat="1" ht="18" customHeight="1" x14ac:dyDescent="0.3">
      <c r="A21" s="242"/>
      <c r="B21" s="242"/>
      <c r="C21" s="242"/>
      <c r="D21" s="242"/>
      <c r="E21" s="20">
        <v>17</v>
      </c>
      <c r="F21" s="22" t="s">
        <v>234</v>
      </c>
      <c r="G21" s="22" t="s">
        <v>235</v>
      </c>
      <c r="H21" s="23" t="s">
        <v>236</v>
      </c>
      <c r="I21" s="24" t="s">
        <v>274</v>
      </c>
      <c r="J21" s="277" t="str">
        <f t="shared" si="0"/>
        <v>VIII-A</v>
      </c>
      <c r="K21" s="287"/>
      <c r="L21" s="242"/>
      <c r="M21" s="242"/>
    </row>
    <row r="22" spans="1:13" s="13" customFormat="1" ht="18" customHeight="1" x14ac:dyDescent="0.3">
      <c r="A22" s="242"/>
      <c r="B22" s="242"/>
      <c r="C22" s="242"/>
      <c r="D22" s="242"/>
      <c r="E22" s="21">
        <v>18</v>
      </c>
      <c r="F22" s="22" t="s">
        <v>237</v>
      </c>
      <c r="G22" s="22">
        <v>3124403242</v>
      </c>
      <c r="H22" s="23" t="s">
        <v>238</v>
      </c>
      <c r="I22" s="24" t="s">
        <v>274</v>
      </c>
      <c r="J22" s="277" t="str">
        <f t="shared" si="0"/>
        <v>VIII-A</v>
      </c>
      <c r="K22" s="287"/>
      <c r="L22" s="242"/>
      <c r="M22" s="242"/>
    </row>
    <row r="23" spans="1:13" s="13" customFormat="1" ht="18" customHeight="1" x14ac:dyDescent="0.3">
      <c r="A23" s="242"/>
      <c r="B23" s="242"/>
      <c r="C23" s="242"/>
      <c r="D23" s="242"/>
      <c r="E23" s="20">
        <v>19</v>
      </c>
      <c r="F23" s="22" t="s">
        <v>239</v>
      </c>
      <c r="G23" s="22">
        <v>3129147892</v>
      </c>
      <c r="H23" s="23" t="s">
        <v>240</v>
      </c>
      <c r="I23" s="24" t="s">
        <v>274</v>
      </c>
      <c r="J23" s="277" t="str">
        <f t="shared" si="0"/>
        <v>VIII-A</v>
      </c>
      <c r="K23" s="287"/>
      <c r="L23" s="242"/>
      <c r="M23" s="242"/>
    </row>
    <row r="24" spans="1:13" s="13" customFormat="1" ht="18" customHeight="1" x14ac:dyDescent="0.3">
      <c r="A24" s="242"/>
      <c r="B24" s="242">
        <v>7</v>
      </c>
      <c r="C24" s="242" t="s">
        <v>137</v>
      </c>
      <c r="D24" s="242"/>
      <c r="E24" s="21">
        <v>20</v>
      </c>
      <c r="F24" s="22" t="s">
        <v>241</v>
      </c>
      <c r="G24" s="22">
        <v>3121390670</v>
      </c>
      <c r="H24" s="23" t="s">
        <v>242</v>
      </c>
      <c r="I24" s="24" t="s">
        <v>274</v>
      </c>
      <c r="J24" s="277" t="str">
        <f t="shared" si="0"/>
        <v>VIII-A</v>
      </c>
      <c r="K24" s="287"/>
      <c r="L24" s="242"/>
      <c r="M24" s="242"/>
    </row>
    <row r="25" spans="1:13" s="13" customFormat="1" ht="18" customHeight="1" x14ac:dyDescent="0.3">
      <c r="A25" s="242"/>
      <c r="B25" s="242">
        <v>8</v>
      </c>
      <c r="C25" s="242" t="s">
        <v>120</v>
      </c>
      <c r="D25" s="242"/>
      <c r="E25" s="20">
        <v>21</v>
      </c>
      <c r="F25" s="22" t="s">
        <v>243</v>
      </c>
      <c r="G25" s="22">
        <v>3123177417</v>
      </c>
      <c r="H25" s="23" t="s">
        <v>244</v>
      </c>
      <c r="I25" s="24" t="s">
        <v>274</v>
      </c>
      <c r="J25" s="277" t="str">
        <f t="shared" si="0"/>
        <v>VIII-A</v>
      </c>
      <c r="K25" s="287"/>
      <c r="L25" s="242"/>
      <c r="M25" s="242"/>
    </row>
    <row r="26" spans="1:13" s="13" customFormat="1" ht="18" customHeight="1" x14ac:dyDescent="0.3">
      <c r="A26" s="242"/>
      <c r="B26" s="242">
        <v>9</v>
      </c>
      <c r="C26" s="242" t="s">
        <v>133</v>
      </c>
      <c r="D26" s="242"/>
      <c r="E26" s="21">
        <v>22</v>
      </c>
      <c r="F26" s="22" t="s">
        <v>245</v>
      </c>
      <c r="G26" s="22">
        <v>3121989800</v>
      </c>
      <c r="H26" s="23" t="s">
        <v>246</v>
      </c>
      <c r="I26" s="24" t="s">
        <v>274</v>
      </c>
      <c r="J26" s="277" t="str">
        <f t="shared" si="0"/>
        <v>VIII-A</v>
      </c>
      <c r="K26" s="287"/>
      <c r="L26" s="242"/>
      <c r="M26" s="242"/>
    </row>
    <row r="27" spans="1:13" s="13" customFormat="1" ht="18" customHeight="1" x14ac:dyDescent="0.3">
      <c r="A27" s="242"/>
      <c r="B27" s="242"/>
      <c r="C27" s="242" t="s">
        <v>88</v>
      </c>
      <c r="D27" s="242"/>
      <c r="E27" s="20">
        <v>23</v>
      </c>
      <c r="F27" s="22" t="s">
        <v>247</v>
      </c>
      <c r="G27" s="22">
        <v>3123037035</v>
      </c>
      <c r="H27" s="23" t="s">
        <v>248</v>
      </c>
      <c r="I27" s="24" t="s">
        <v>274</v>
      </c>
      <c r="J27" s="277" t="str">
        <f t="shared" si="0"/>
        <v>VIII-A</v>
      </c>
      <c r="K27" s="287"/>
      <c r="L27" s="242"/>
      <c r="M27" s="242"/>
    </row>
    <row r="28" spans="1:13" s="13" customFormat="1" ht="18" customHeight="1" x14ac:dyDescent="0.3">
      <c r="A28" s="242"/>
      <c r="B28" s="242"/>
      <c r="C28" s="242" t="s">
        <v>32</v>
      </c>
      <c r="D28" s="242"/>
      <c r="E28" s="21">
        <v>24</v>
      </c>
      <c r="F28" s="22" t="s">
        <v>249</v>
      </c>
      <c r="G28" s="22" t="s">
        <v>250</v>
      </c>
      <c r="H28" s="23" t="s">
        <v>251</v>
      </c>
      <c r="I28" s="24" t="s">
        <v>274</v>
      </c>
      <c r="J28" s="277" t="str">
        <f t="shared" si="0"/>
        <v>VIII-A</v>
      </c>
      <c r="K28" s="287"/>
      <c r="L28" s="242"/>
      <c r="M28" s="242"/>
    </row>
    <row r="29" spans="1:13" s="13" customFormat="1" ht="18" customHeight="1" x14ac:dyDescent="0.3">
      <c r="A29" s="242"/>
      <c r="B29" s="242"/>
      <c r="C29" s="242" t="s">
        <v>33</v>
      </c>
      <c r="D29" s="242"/>
      <c r="E29" s="20">
        <v>25</v>
      </c>
      <c r="F29" s="22" t="s">
        <v>252</v>
      </c>
      <c r="G29" s="22" t="s">
        <v>253</v>
      </c>
      <c r="H29" s="23" t="s">
        <v>254</v>
      </c>
      <c r="I29" s="24" t="s">
        <v>274</v>
      </c>
      <c r="J29" s="277" t="str">
        <f t="shared" si="0"/>
        <v>VIII-A</v>
      </c>
      <c r="K29" s="287"/>
      <c r="L29" s="242"/>
      <c r="M29" s="242"/>
    </row>
    <row r="30" spans="1:13" s="13" customFormat="1" ht="18" customHeight="1" x14ac:dyDescent="0.3">
      <c r="A30" s="242"/>
      <c r="B30" s="242"/>
      <c r="C30" s="242" t="s">
        <v>134</v>
      </c>
      <c r="D30" s="242"/>
      <c r="E30" s="21">
        <v>26</v>
      </c>
      <c r="F30" s="22" t="s">
        <v>255</v>
      </c>
      <c r="G30" s="22" t="s">
        <v>256</v>
      </c>
      <c r="H30" s="23" t="s">
        <v>257</v>
      </c>
      <c r="I30" s="24" t="s">
        <v>274</v>
      </c>
      <c r="J30" s="277" t="str">
        <f t="shared" si="0"/>
        <v>VIII-A</v>
      </c>
      <c r="K30" s="287"/>
      <c r="L30" s="242"/>
      <c r="M30" s="242"/>
    </row>
    <row r="31" spans="1:13" s="13" customFormat="1" ht="18" customHeight="1" x14ac:dyDescent="0.3">
      <c r="A31" s="242"/>
      <c r="B31" s="242"/>
      <c r="C31" s="242" t="s">
        <v>89</v>
      </c>
      <c r="D31" s="242"/>
      <c r="E31" s="20">
        <v>27</v>
      </c>
      <c r="F31" s="22" t="s">
        <v>258</v>
      </c>
      <c r="G31" s="22" t="s">
        <v>259</v>
      </c>
      <c r="H31" s="23" t="s">
        <v>260</v>
      </c>
      <c r="I31" s="24" t="s">
        <v>274</v>
      </c>
      <c r="J31" s="277" t="str">
        <f t="shared" si="0"/>
        <v>VIII-A</v>
      </c>
      <c r="K31" s="287"/>
      <c r="L31" s="242"/>
      <c r="M31" s="242"/>
    </row>
    <row r="32" spans="1:13" s="13" customFormat="1" ht="18" customHeight="1" x14ac:dyDescent="0.3">
      <c r="A32" s="242"/>
      <c r="B32" s="242"/>
      <c r="C32" s="242" t="s">
        <v>135</v>
      </c>
      <c r="D32" s="242"/>
      <c r="E32" s="21">
        <v>28</v>
      </c>
      <c r="F32" s="22" t="s">
        <v>261</v>
      </c>
      <c r="G32" s="22" t="s">
        <v>262</v>
      </c>
      <c r="H32" s="23" t="s">
        <v>263</v>
      </c>
      <c r="I32" s="24" t="s">
        <v>274</v>
      </c>
      <c r="J32" s="277" t="str">
        <f t="shared" si="0"/>
        <v>VIII-A</v>
      </c>
      <c r="K32" s="287"/>
      <c r="L32" s="242"/>
      <c r="M32" s="242"/>
    </row>
    <row r="33" spans="1:13" s="13" customFormat="1" ht="18" customHeight="1" x14ac:dyDescent="0.3">
      <c r="A33" s="242"/>
      <c r="B33" s="242"/>
      <c r="C33" s="242" t="s">
        <v>12</v>
      </c>
      <c r="D33" s="242"/>
      <c r="E33" s="20">
        <v>29</v>
      </c>
      <c r="F33" s="22" t="s">
        <v>264</v>
      </c>
      <c r="G33" s="22">
        <v>3121847487</v>
      </c>
      <c r="H33" s="23" t="s">
        <v>265</v>
      </c>
      <c r="I33" s="24" t="s">
        <v>274</v>
      </c>
      <c r="J33" s="277" t="str">
        <f t="shared" si="0"/>
        <v>VIII-A</v>
      </c>
      <c r="K33" s="287"/>
      <c r="L33" s="242"/>
      <c r="M33" s="242"/>
    </row>
    <row r="34" spans="1:13" s="13" customFormat="1" ht="18" customHeight="1" x14ac:dyDescent="0.3">
      <c r="A34" s="242"/>
      <c r="B34" s="242"/>
      <c r="C34" s="242" t="s">
        <v>136</v>
      </c>
      <c r="D34" s="242"/>
      <c r="E34" s="21">
        <v>30</v>
      </c>
      <c r="F34" s="22" t="s">
        <v>266</v>
      </c>
      <c r="G34" s="22" t="s">
        <v>267</v>
      </c>
      <c r="H34" s="23" t="s">
        <v>268</v>
      </c>
      <c r="I34" s="24" t="s">
        <v>274</v>
      </c>
      <c r="J34" s="277" t="str">
        <f t="shared" si="0"/>
        <v>VIII-A</v>
      </c>
      <c r="K34" s="287"/>
      <c r="L34" s="242"/>
      <c r="M34" s="242"/>
    </row>
    <row r="35" spans="1:13" s="13" customFormat="1" ht="18" customHeight="1" x14ac:dyDescent="0.3">
      <c r="A35" s="242"/>
      <c r="B35" s="242"/>
      <c r="C35" s="242" t="s">
        <v>112</v>
      </c>
      <c r="D35" s="242"/>
      <c r="E35" s="20">
        <v>31</v>
      </c>
      <c r="F35" s="22" t="s">
        <v>269</v>
      </c>
      <c r="G35" s="22" t="s">
        <v>270</v>
      </c>
      <c r="H35" s="23" t="s">
        <v>271</v>
      </c>
      <c r="I35" s="24" t="s">
        <v>274</v>
      </c>
      <c r="J35" s="277" t="str">
        <f t="shared" si="0"/>
        <v>VIII-A</v>
      </c>
      <c r="K35" s="287"/>
      <c r="L35" s="242"/>
      <c r="M35" s="242"/>
    </row>
    <row r="36" spans="1:13" s="13" customFormat="1" ht="18" customHeight="1" x14ac:dyDescent="0.3">
      <c r="A36" s="242"/>
      <c r="B36" s="242"/>
      <c r="C36" s="242"/>
      <c r="D36" s="242"/>
      <c r="E36" s="21">
        <v>32</v>
      </c>
      <c r="F36" s="22" t="s">
        <v>272</v>
      </c>
      <c r="G36" s="22">
        <v>3125436636</v>
      </c>
      <c r="H36" s="23" t="s">
        <v>273</v>
      </c>
      <c r="I36" s="24" t="s">
        <v>274</v>
      </c>
      <c r="J36" s="277" t="str">
        <f t="shared" si="0"/>
        <v>VIII-A</v>
      </c>
      <c r="K36" s="287"/>
      <c r="L36" s="242"/>
      <c r="M36" s="242"/>
    </row>
    <row r="37" spans="1:13" s="13" customFormat="1" ht="18" customHeight="1" x14ac:dyDescent="0.3">
      <c r="A37" s="242"/>
      <c r="B37" s="242"/>
      <c r="C37" s="242"/>
      <c r="D37" s="242"/>
      <c r="E37" s="20">
        <v>33</v>
      </c>
      <c r="F37" s="22"/>
      <c r="G37" s="22"/>
      <c r="H37" s="23"/>
      <c r="I37" s="24"/>
      <c r="J37" s="277" t="str">
        <f t="shared" si="0"/>
        <v>VIII-A</v>
      </c>
      <c r="K37" s="287"/>
      <c r="L37" s="242"/>
      <c r="M37" s="242"/>
    </row>
    <row r="38" spans="1:13" s="13" customFormat="1" ht="18" customHeight="1" x14ac:dyDescent="0.3">
      <c r="A38" s="242"/>
      <c r="B38" s="242"/>
      <c r="C38" s="242"/>
      <c r="D38" s="242"/>
      <c r="E38" s="21">
        <v>34</v>
      </c>
      <c r="F38" s="22"/>
      <c r="G38" s="22"/>
      <c r="H38" s="23"/>
      <c r="I38" s="24"/>
      <c r="J38" s="277" t="str">
        <f t="shared" si="0"/>
        <v>VIII-A</v>
      </c>
      <c r="K38" s="287"/>
      <c r="L38" s="242"/>
      <c r="M38" s="242"/>
    </row>
    <row r="39" spans="1:13" s="13" customFormat="1" ht="18" customHeight="1" x14ac:dyDescent="0.3">
      <c r="A39" s="242"/>
      <c r="B39" s="242"/>
      <c r="C39" s="242"/>
      <c r="D39" s="242"/>
      <c r="E39" s="20">
        <v>35</v>
      </c>
      <c r="F39" s="22"/>
      <c r="G39" s="22"/>
      <c r="H39" s="23"/>
      <c r="I39" s="24"/>
      <c r="J39" s="277" t="str">
        <f t="shared" si="0"/>
        <v>VIII-A</v>
      </c>
      <c r="K39" s="287"/>
      <c r="L39" s="242"/>
      <c r="M39" s="242"/>
    </row>
    <row r="40" spans="1:13" s="13" customFormat="1" ht="18" customHeight="1" x14ac:dyDescent="0.3">
      <c r="A40" s="242"/>
      <c r="B40" s="242"/>
      <c r="C40" s="242"/>
      <c r="D40" s="242"/>
      <c r="E40" s="21">
        <v>36</v>
      </c>
      <c r="F40" s="22"/>
      <c r="G40" s="22"/>
      <c r="H40" s="23"/>
      <c r="I40" s="24"/>
      <c r="J40" s="277" t="str">
        <f t="shared" si="0"/>
        <v>VIII-A</v>
      </c>
      <c r="K40" s="287"/>
      <c r="L40" s="242"/>
      <c r="M40" s="242"/>
    </row>
    <row r="41" spans="1:13" s="13" customFormat="1" ht="18" customHeight="1" x14ac:dyDescent="0.3">
      <c r="A41" s="242"/>
      <c r="B41" s="242"/>
      <c r="C41" s="242"/>
      <c r="D41" s="242"/>
      <c r="E41" s="20">
        <v>37</v>
      </c>
      <c r="F41" s="22"/>
      <c r="G41" s="22"/>
      <c r="H41" s="23"/>
      <c r="I41" s="24"/>
      <c r="J41" s="277" t="str">
        <f t="shared" si="0"/>
        <v>VIII-A</v>
      </c>
      <c r="K41" s="287"/>
      <c r="L41" s="242"/>
      <c r="M41" s="242"/>
    </row>
    <row r="42" spans="1:13" s="13" customFormat="1" ht="18" customHeight="1" x14ac:dyDescent="0.3">
      <c r="A42" s="242"/>
      <c r="B42" s="242"/>
      <c r="C42" s="242"/>
      <c r="D42" s="242"/>
      <c r="E42" s="21">
        <v>38</v>
      </c>
      <c r="F42" s="22"/>
      <c r="G42" s="22"/>
      <c r="H42" s="23"/>
      <c r="I42" s="24"/>
      <c r="J42" s="277" t="str">
        <f t="shared" si="0"/>
        <v>VIII-A</v>
      </c>
      <c r="K42" s="287"/>
      <c r="L42" s="242"/>
      <c r="M42" s="242"/>
    </row>
    <row r="43" spans="1:13" s="13" customFormat="1" ht="18" customHeight="1" x14ac:dyDescent="0.3">
      <c r="A43" s="242"/>
      <c r="B43" s="242"/>
      <c r="C43" s="242"/>
      <c r="D43" s="242"/>
      <c r="E43" s="20">
        <v>39</v>
      </c>
      <c r="F43" s="22"/>
      <c r="G43" s="22"/>
      <c r="H43" s="23"/>
      <c r="I43" s="24"/>
      <c r="J43" s="277" t="str">
        <f t="shared" si="0"/>
        <v>VIII-A</v>
      </c>
      <c r="K43" s="287"/>
      <c r="L43" s="242"/>
      <c r="M43" s="242"/>
    </row>
    <row r="44" spans="1:13" s="13" customFormat="1" ht="18" customHeight="1" x14ac:dyDescent="0.3">
      <c r="A44" s="242"/>
      <c r="B44" s="242"/>
      <c r="C44" s="242"/>
      <c r="D44" s="242"/>
      <c r="E44" s="21">
        <v>40</v>
      </c>
      <c r="F44" s="22"/>
      <c r="G44" s="22"/>
      <c r="H44" s="23"/>
      <c r="I44" s="24"/>
      <c r="J44" s="277" t="str">
        <f t="shared" si="0"/>
        <v>VIII-A</v>
      </c>
      <c r="K44" s="287"/>
      <c r="L44" s="242"/>
      <c r="M44" s="242"/>
    </row>
    <row r="45" spans="1:13" s="13" customFormat="1" ht="18" customHeight="1" x14ac:dyDescent="0.3">
      <c r="A45" s="242"/>
      <c r="B45" s="242"/>
      <c r="C45" s="242"/>
      <c r="D45" s="242"/>
      <c r="E45" s="21">
        <v>1</v>
      </c>
      <c r="F45" s="22" t="s">
        <v>275</v>
      </c>
      <c r="G45" s="22" t="s">
        <v>276</v>
      </c>
      <c r="H45" s="23" t="s">
        <v>277</v>
      </c>
      <c r="I45" s="24" t="s">
        <v>274</v>
      </c>
      <c r="J45" s="277" t="str">
        <f>IF(C9=7,"VII",IF(C9=8,"VIII","IX"))&amp;"-"&amp;"B"</f>
        <v>VIII-B</v>
      </c>
      <c r="K45" s="287"/>
      <c r="L45" s="242"/>
      <c r="M45" s="242"/>
    </row>
    <row r="46" spans="1:13" s="13" customFormat="1" ht="18" customHeight="1" x14ac:dyDescent="0.3">
      <c r="A46" s="242"/>
      <c r="B46" s="242"/>
      <c r="C46" s="242"/>
      <c r="D46" s="242"/>
      <c r="E46" s="21">
        <v>2</v>
      </c>
      <c r="F46" s="22" t="s">
        <v>278</v>
      </c>
      <c r="G46" s="22" t="s">
        <v>279</v>
      </c>
      <c r="H46" s="23" t="s">
        <v>280</v>
      </c>
      <c r="I46" s="24" t="s">
        <v>274</v>
      </c>
      <c r="J46" s="277" t="str">
        <f t="shared" si="0"/>
        <v>VIII-B</v>
      </c>
      <c r="K46" s="287"/>
      <c r="L46" s="242"/>
      <c r="M46" s="242"/>
    </row>
    <row r="47" spans="1:13" s="13" customFormat="1" ht="18" customHeight="1" x14ac:dyDescent="0.3">
      <c r="A47" s="242"/>
      <c r="B47" s="242"/>
      <c r="C47" s="242"/>
      <c r="D47" s="242"/>
      <c r="E47" s="21">
        <v>3</v>
      </c>
      <c r="F47" s="22" t="s">
        <v>281</v>
      </c>
      <c r="G47" s="22" t="s">
        <v>282</v>
      </c>
      <c r="H47" s="23" t="s">
        <v>283</v>
      </c>
      <c r="I47" s="24" t="s">
        <v>274</v>
      </c>
      <c r="J47" s="277" t="str">
        <f t="shared" si="0"/>
        <v>VIII-B</v>
      </c>
      <c r="K47" s="287"/>
      <c r="L47" s="242"/>
      <c r="M47" s="242"/>
    </row>
    <row r="48" spans="1:13" s="13" customFormat="1" ht="18" customHeight="1" x14ac:dyDescent="0.3">
      <c r="A48" s="242"/>
      <c r="B48" s="242"/>
      <c r="C48" s="242"/>
      <c r="D48" s="242"/>
      <c r="E48" s="21">
        <v>4</v>
      </c>
      <c r="F48" s="22" t="s">
        <v>284</v>
      </c>
      <c r="G48" s="22" t="s">
        <v>285</v>
      </c>
      <c r="H48" s="23" t="s">
        <v>286</v>
      </c>
      <c r="I48" s="24" t="s">
        <v>274</v>
      </c>
      <c r="J48" s="277" t="str">
        <f t="shared" si="0"/>
        <v>VIII-B</v>
      </c>
      <c r="K48" s="287"/>
      <c r="L48" s="242"/>
      <c r="M48" s="242"/>
    </row>
    <row r="49" spans="1:13" s="13" customFormat="1" ht="18" customHeight="1" x14ac:dyDescent="0.3">
      <c r="A49" s="242"/>
      <c r="B49" s="242"/>
      <c r="C49" s="242"/>
      <c r="D49" s="242"/>
      <c r="E49" s="21">
        <v>5</v>
      </c>
      <c r="F49" s="22" t="s">
        <v>287</v>
      </c>
      <c r="G49" s="22" t="s">
        <v>288</v>
      </c>
      <c r="H49" s="23" t="s">
        <v>289</v>
      </c>
      <c r="I49" s="24" t="s">
        <v>274</v>
      </c>
      <c r="J49" s="277" t="str">
        <f t="shared" si="0"/>
        <v>VIII-B</v>
      </c>
      <c r="K49" s="287"/>
      <c r="L49" s="242"/>
      <c r="M49" s="242"/>
    </row>
    <row r="50" spans="1:13" s="13" customFormat="1" ht="18" customHeight="1" x14ac:dyDescent="0.3">
      <c r="A50" s="242"/>
      <c r="B50" s="242"/>
      <c r="C50" s="242"/>
      <c r="D50" s="242"/>
      <c r="E50" s="21">
        <v>6</v>
      </c>
      <c r="F50" s="22" t="s">
        <v>290</v>
      </c>
      <c r="G50" s="22" t="s">
        <v>291</v>
      </c>
      <c r="H50" s="23" t="s">
        <v>292</v>
      </c>
      <c r="I50" s="24" t="s">
        <v>274</v>
      </c>
      <c r="J50" s="277" t="str">
        <f t="shared" si="0"/>
        <v>VIII-B</v>
      </c>
      <c r="K50" s="287"/>
      <c r="L50" s="242"/>
      <c r="M50" s="242"/>
    </row>
    <row r="51" spans="1:13" s="13" customFormat="1" ht="18" customHeight="1" x14ac:dyDescent="0.3">
      <c r="A51" s="242"/>
      <c r="B51" s="242"/>
      <c r="C51" s="242"/>
      <c r="D51" s="242"/>
      <c r="E51" s="21">
        <v>7</v>
      </c>
      <c r="F51" s="22" t="s">
        <v>293</v>
      </c>
      <c r="G51" s="22" t="s">
        <v>294</v>
      </c>
      <c r="H51" s="23" t="s">
        <v>295</v>
      </c>
      <c r="I51" s="24" t="s">
        <v>274</v>
      </c>
      <c r="J51" s="277" t="str">
        <f t="shared" si="0"/>
        <v>VIII-B</v>
      </c>
      <c r="K51" s="287"/>
      <c r="L51" s="242"/>
      <c r="M51" s="242"/>
    </row>
    <row r="52" spans="1:13" s="13" customFormat="1" ht="18" customHeight="1" x14ac:dyDescent="0.3">
      <c r="A52" s="242"/>
      <c r="B52" s="242"/>
      <c r="C52" s="242"/>
      <c r="D52" s="242"/>
      <c r="E52" s="21">
        <v>8</v>
      </c>
      <c r="F52" s="22" t="s">
        <v>296</v>
      </c>
      <c r="G52" s="22">
        <v>3129465873</v>
      </c>
      <c r="H52" s="23" t="s">
        <v>297</v>
      </c>
      <c r="I52" s="24" t="s">
        <v>274</v>
      </c>
      <c r="J52" s="277" t="str">
        <f t="shared" si="0"/>
        <v>VIII-B</v>
      </c>
      <c r="K52" s="287"/>
      <c r="L52" s="242"/>
      <c r="M52" s="242"/>
    </row>
    <row r="53" spans="1:13" s="13" customFormat="1" ht="18" customHeight="1" x14ac:dyDescent="0.3">
      <c r="A53" s="242"/>
      <c r="B53" s="242"/>
      <c r="C53" s="242"/>
      <c r="D53" s="242"/>
      <c r="E53" s="21">
        <v>9</v>
      </c>
      <c r="F53" s="22" t="s">
        <v>298</v>
      </c>
      <c r="G53" s="22" t="s">
        <v>299</v>
      </c>
      <c r="H53" s="23" t="s">
        <v>300</v>
      </c>
      <c r="I53" s="24" t="s">
        <v>274</v>
      </c>
      <c r="J53" s="277" t="str">
        <f t="shared" si="0"/>
        <v>VIII-B</v>
      </c>
      <c r="K53" s="287"/>
      <c r="L53" s="242"/>
      <c r="M53" s="242"/>
    </row>
    <row r="54" spans="1:13" s="13" customFormat="1" ht="18" customHeight="1" x14ac:dyDescent="0.3">
      <c r="A54" s="242"/>
      <c r="B54" s="242"/>
      <c r="C54" s="242"/>
      <c r="D54" s="242"/>
      <c r="E54" s="21">
        <v>10</v>
      </c>
      <c r="F54" s="22" t="s">
        <v>301</v>
      </c>
      <c r="G54" s="22" t="s">
        <v>302</v>
      </c>
      <c r="H54" s="23" t="s">
        <v>303</v>
      </c>
      <c r="I54" s="24" t="s">
        <v>274</v>
      </c>
      <c r="J54" s="277" t="str">
        <f t="shared" si="0"/>
        <v>VIII-B</v>
      </c>
      <c r="K54" s="287"/>
      <c r="L54" s="242"/>
      <c r="M54" s="242"/>
    </row>
    <row r="55" spans="1:13" s="13" customFormat="1" ht="18" customHeight="1" x14ac:dyDescent="0.3">
      <c r="A55" s="242"/>
      <c r="B55" s="242"/>
      <c r="C55" s="242"/>
      <c r="D55" s="242"/>
      <c r="E55" s="21">
        <v>11</v>
      </c>
      <c r="F55" s="22" t="s">
        <v>304</v>
      </c>
      <c r="G55" s="22">
        <v>3123444371</v>
      </c>
      <c r="H55" s="23" t="s">
        <v>305</v>
      </c>
      <c r="I55" s="24" t="s">
        <v>274</v>
      </c>
      <c r="J55" s="277" t="str">
        <f t="shared" si="0"/>
        <v>VIII-B</v>
      </c>
      <c r="K55" s="287"/>
      <c r="L55" s="242"/>
      <c r="M55" s="242"/>
    </row>
    <row r="56" spans="1:13" s="13" customFormat="1" ht="18" customHeight="1" x14ac:dyDescent="0.3">
      <c r="A56" s="242"/>
      <c r="B56" s="242"/>
      <c r="C56" s="242"/>
      <c r="D56" s="242"/>
      <c r="E56" s="21">
        <v>12</v>
      </c>
      <c r="F56" s="22" t="s">
        <v>306</v>
      </c>
      <c r="G56" s="22">
        <v>3138237826</v>
      </c>
      <c r="H56" s="23" t="s">
        <v>307</v>
      </c>
      <c r="I56" s="24" t="s">
        <v>274</v>
      </c>
      <c r="J56" s="277" t="str">
        <f t="shared" si="0"/>
        <v>VIII-B</v>
      </c>
      <c r="K56" s="287"/>
      <c r="L56" s="242"/>
      <c r="M56" s="242"/>
    </row>
    <row r="57" spans="1:13" s="13" customFormat="1" ht="18" customHeight="1" x14ac:dyDescent="0.3">
      <c r="A57" s="242"/>
      <c r="B57" s="242"/>
      <c r="C57" s="242"/>
      <c r="D57" s="242"/>
      <c r="E57" s="21">
        <v>13</v>
      </c>
      <c r="F57" s="22" t="s">
        <v>308</v>
      </c>
      <c r="G57" s="22" t="s">
        <v>309</v>
      </c>
      <c r="H57" s="23" t="s">
        <v>310</v>
      </c>
      <c r="I57" s="24" t="s">
        <v>274</v>
      </c>
      <c r="J57" s="277" t="str">
        <f t="shared" si="0"/>
        <v>VIII-B</v>
      </c>
      <c r="K57" s="287"/>
      <c r="L57" s="242"/>
      <c r="M57" s="242"/>
    </row>
    <row r="58" spans="1:13" s="13" customFormat="1" ht="18" customHeight="1" x14ac:dyDescent="0.3">
      <c r="A58" s="242"/>
      <c r="B58" s="242"/>
      <c r="C58" s="242"/>
      <c r="D58" s="242"/>
      <c r="E58" s="21">
        <v>14</v>
      </c>
      <c r="F58" s="22" t="s">
        <v>311</v>
      </c>
      <c r="G58" s="22" t="s">
        <v>312</v>
      </c>
      <c r="H58" s="23" t="s">
        <v>313</v>
      </c>
      <c r="I58" s="24" t="s">
        <v>274</v>
      </c>
      <c r="J58" s="277" t="str">
        <f t="shared" si="0"/>
        <v>VIII-B</v>
      </c>
      <c r="K58" s="287"/>
      <c r="L58" s="242"/>
      <c r="M58" s="242"/>
    </row>
    <row r="59" spans="1:13" s="13" customFormat="1" ht="18" customHeight="1" x14ac:dyDescent="0.3">
      <c r="A59" s="242"/>
      <c r="B59" s="242"/>
      <c r="C59" s="242"/>
      <c r="D59" s="242"/>
      <c r="E59" s="21">
        <v>15</v>
      </c>
      <c r="F59" s="22" t="s">
        <v>314</v>
      </c>
      <c r="G59" s="22" t="s">
        <v>315</v>
      </c>
      <c r="H59" s="23" t="s">
        <v>316</v>
      </c>
      <c r="I59" s="24" t="s">
        <v>274</v>
      </c>
      <c r="J59" s="277" t="str">
        <f t="shared" si="0"/>
        <v>VIII-B</v>
      </c>
      <c r="K59" s="287"/>
      <c r="L59" s="242"/>
      <c r="M59" s="242"/>
    </row>
    <row r="60" spans="1:13" s="13" customFormat="1" ht="18" customHeight="1" x14ac:dyDescent="0.3">
      <c r="A60" s="242"/>
      <c r="B60" s="242"/>
      <c r="C60" s="242"/>
      <c r="D60" s="242"/>
      <c r="E60" s="21">
        <v>16</v>
      </c>
      <c r="F60" s="22" t="s">
        <v>317</v>
      </c>
      <c r="G60" s="22" t="s">
        <v>318</v>
      </c>
      <c r="H60" s="23" t="s">
        <v>319</v>
      </c>
      <c r="I60" s="24" t="s">
        <v>274</v>
      </c>
      <c r="J60" s="277" t="str">
        <f t="shared" si="0"/>
        <v>VIII-B</v>
      </c>
      <c r="K60" s="287"/>
      <c r="L60" s="242"/>
      <c r="M60" s="242"/>
    </row>
    <row r="61" spans="1:13" s="13" customFormat="1" ht="18" customHeight="1" x14ac:dyDescent="0.3">
      <c r="A61" s="242"/>
      <c r="B61" s="242"/>
      <c r="C61" s="242"/>
      <c r="D61" s="242"/>
      <c r="E61" s="21">
        <v>17</v>
      </c>
      <c r="F61" s="22" t="s">
        <v>320</v>
      </c>
      <c r="G61" s="22">
        <v>3124994264</v>
      </c>
      <c r="H61" s="23" t="s">
        <v>321</v>
      </c>
      <c r="I61" s="24" t="s">
        <v>274</v>
      </c>
      <c r="J61" s="277" t="str">
        <f t="shared" si="0"/>
        <v>VIII-B</v>
      </c>
      <c r="K61" s="287"/>
      <c r="L61" s="242"/>
      <c r="M61" s="242"/>
    </row>
    <row r="62" spans="1:13" s="13" customFormat="1" ht="18" customHeight="1" x14ac:dyDescent="0.3">
      <c r="A62" s="242"/>
      <c r="B62" s="242"/>
      <c r="C62" s="242"/>
      <c r="D62" s="242"/>
      <c r="E62" s="21">
        <v>18</v>
      </c>
      <c r="F62" s="22" t="s">
        <v>322</v>
      </c>
      <c r="G62" s="22" t="s">
        <v>323</v>
      </c>
      <c r="H62" s="23" t="s">
        <v>324</v>
      </c>
      <c r="I62" s="24" t="s">
        <v>274</v>
      </c>
      <c r="J62" s="277" t="str">
        <f t="shared" si="0"/>
        <v>VIII-B</v>
      </c>
      <c r="K62" s="287"/>
      <c r="L62" s="242"/>
      <c r="M62" s="242"/>
    </row>
    <row r="63" spans="1:13" s="13" customFormat="1" ht="18" customHeight="1" x14ac:dyDescent="0.3">
      <c r="A63" s="242"/>
      <c r="B63" s="242"/>
      <c r="C63" s="242"/>
      <c r="D63" s="242"/>
      <c r="E63" s="21">
        <v>19</v>
      </c>
      <c r="F63" s="22" t="s">
        <v>325</v>
      </c>
      <c r="G63" s="22" t="s">
        <v>326</v>
      </c>
      <c r="H63" s="23" t="s">
        <v>327</v>
      </c>
      <c r="I63" s="24" t="s">
        <v>274</v>
      </c>
      <c r="J63" s="277" t="str">
        <f t="shared" si="0"/>
        <v>VIII-B</v>
      </c>
      <c r="K63" s="287"/>
      <c r="L63" s="242"/>
      <c r="M63" s="242"/>
    </row>
    <row r="64" spans="1:13" s="13" customFormat="1" ht="18" customHeight="1" x14ac:dyDescent="0.3">
      <c r="A64" s="242"/>
      <c r="B64" s="242"/>
      <c r="C64" s="242"/>
      <c r="D64" s="242"/>
      <c r="E64" s="21">
        <v>20</v>
      </c>
      <c r="F64" s="22" t="s">
        <v>328</v>
      </c>
      <c r="G64" s="22">
        <v>3121493737</v>
      </c>
      <c r="H64" s="23" t="s">
        <v>329</v>
      </c>
      <c r="I64" s="24" t="s">
        <v>274</v>
      </c>
      <c r="J64" s="277" t="str">
        <f t="shared" si="0"/>
        <v>VIII-B</v>
      </c>
      <c r="K64" s="287"/>
      <c r="L64" s="242"/>
      <c r="M64" s="242"/>
    </row>
    <row r="65" spans="1:13" s="13" customFormat="1" ht="18" customHeight="1" x14ac:dyDescent="0.3">
      <c r="A65" s="242"/>
      <c r="B65" s="242"/>
      <c r="C65" s="242"/>
      <c r="D65" s="242"/>
      <c r="E65" s="21">
        <v>21</v>
      </c>
      <c r="F65" s="22" t="s">
        <v>330</v>
      </c>
      <c r="G65" s="22" t="s">
        <v>331</v>
      </c>
      <c r="H65" s="23" t="s">
        <v>332</v>
      </c>
      <c r="I65" s="24" t="s">
        <v>274</v>
      </c>
      <c r="J65" s="277" t="str">
        <f t="shared" si="0"/>
        <v>VIII-B</v>
      </c>
      <c r="K65" s="287"/>
      <c r="L65" s="242"/>
      <c r="M65" s="242"/>
    </row>
    <row r="66" spans="1:13" s="13" customFormat="1" ht="18" customHeight="1" x14ac:dyDescent="0.3">
      <c r="A66" s="242"/>
      <c r="B66" s="242"/>
      <c r="C66" s="242"/>
      <c r="D66" s="242"/>
      <c r="E66" s="21">
        <v>22</v>
      </c>
      <c r="F66" s="22" t="s">
        <v>333</v>
      </c>
      <c r="G66" s="22" t="s">
        <v>334</v>
      </c>
      <c r="H66" s="23" t="s">
        <v>335</v>
      </c>
      <c r="I66" s="24" t="s">
        <v>274</v>
      </c>
      <c r="J66" s="277" t="str">
        <f t="shared" si="0"/>
        <v>VIII-B</v>
      </c>
      <c r="K66" s="287"/>
      <c r="L66" s="242"/>
      <c r="M66" s="242"/>
    </row>
    <row r="67" spans="1:13" s="13" customFormat="1" ht="18" customHeight="1" x14ac:dyDescent="0.3">
      <c r="A67" s="242"/>
      <c r="B67" s="242"/>
      <c r="C67" s="242"/>
      <c r="D67" s="242"/>
      <c r="E67" s="21">
        <v>23</v>
      </c>
      <c r="F67" s="22" t="s">
        <v>336</v>
      </c>
      <c r="G67" s="22" t="s">
        <v>337</v>
      </c>
      <c r="H67" s="23" t="s">
        <v>338</v>
      </c>
      <c r="I67" s="24" t="s">
        <v>274</v>
      </c>
      <c r="J67" s="277" t="str">
        <f t="shared" si="0"/>
        <v>VIII-B</v>
      </c>
      <c r="K67" s="287"/>
      <c r="L67" s="242"/>
      <c r="M67" s="242"/>
    </row>
    <row r="68" spans="1:13" s="13" customFormat="1" ht="18" customHeight="1" x14ac:dyDescent="0.3">
      <c r="A68" s="242"/>
      <c r="B68" s="242"/>
      <c r="C68" s="242"/>
      <c r="D68" s="242"/>
      <c r="E68" s="21">
        <v>24</v>
      </c>
      <c r="F68" s="22" t="s">
        <v>339</v>
      </c>
      <c r="G68" s="22" t="s">
        <v>340</v>
      </c>
      <c r="H68" s="23" t="s">
        <v>341</v>
      </c>
      <c r="I68" s="24" t="s">
        <v>274</v>
      </c>
      <c r="J68" s="277" t="str">
        <f t="shared" si="0"/>
        <v>VIII-B</v>
      </c>
      <c r="K68" s="287"/>
      <c r="L68" s="242"/>
      <c r="M68" s="242"/>
    </row>
    <row r="69" spans="1:13" s="13" customFormat="1" ht="18" customHeight="1" x14ac:dyDescent="0.3">
      <c r="A69" s="242"/>
      <c r="B69" s="242"/>
      <c r="C69" s="242"/>
      <c r="D69" s="242"/>
      <c r="E69" s="21">
        <v>25</v>
      </c>
      <c r="F69" s="22" t="s">
        <v>342</v>
      </c>
      <c r="G69" s="22">
        <v>3136503109</v>
      </c>
      <c r="H69" s="23" t="s">
        <v>343</v>
      </c>
      <c r="I69" s="24" t="s">
        <v>274</v>
      </c>
      <c r="J69" s="277" t="str">
        <f t="shared" si="0"/>
        <v>VIII-B</v>
      </c>
      <c r="K69" s="287"/>
      <c r="L69" s="242"/>
      <c r="M69" s="242"/>
    </row>
    <row r="70" spans="1:13" s="13" customFormat="1" ht="18" customHeight="1" x14ac:dyDescent="0.3">
      <c r="A70" s="242"/>
      <c r="B70" s="242"/>
      <c r="C70" s="242"/>
      <c r="D70" s="242"/>
      <c r="E70" s="21">
        <v>26</v>
      </c>
      <c r="F70" s="22" t="s">
        <v>344</v>
      </c>
      <c r="G70" s="22">
        <v>3129892919</v>
      </c>
      <c r="H70" s="23" t="s">
        <v>345</v>
      </c>
      <c r="I70" s="24" t="s">
        <v>274</v>
      </c>
      <c r="J70" s="277" t="str">
        <f t="shared" si="0"/>
        <v>VIII-B</v>
      </c>
      <c r="K70" s="287"/>
      <c r="L70" s="242"/>
      <c r="M70" s="242"/>
    </row>
    <row r="71" spans="1:13" s="13" customFormat="1" ht="18" customHeight="1" x14ac:dyDescent="0.3">
      <c r="A71" s="242"/>
      <c r="B71" s="242"/>
      <c r="C71" s="242"/>
      <c r="D71" s="242"/>
      <c r="E71" s="21">
        <v>27</v>
      </c>
      <c r="F71" s="22" t="s">
        <v>346</v>
      </c>
      <c r="G71" s="22" t="s">
        <v>347</v>
      </c>
      <c r="H71" s="23" t="s">
        <v>348</v>
      </c>
      <c r="I71" s="24" t="s">
        <v>274</v>
      </c>
      <c r="J71" s="277" t="str">
        <f t="shared" ref="J71:J77" si="1">J70</f>
        <v>VIII-B</v>
      </c>
      <c r="K71" s="287"/>
      <c r="L71" s="242"/>
      <c r="M71" s="242"/>
    </row>
    <row r="72" spans="1:13" s="13" customFormat="1" ht="18" customHeight="1" x14ac:dyDescent="0.3">
      <c r="A72" s="242"/>
      <c r="B72" s="242"/>
      <c r="C72" s="242"/>
      <c r="D72" s="242"/>
      <c r="E72" s="21">
        <v>28</v>
      </c>
      <c r="F72" s="22" t="s">
        <v>349</v>
      </c>
      <c r="G72" s="22">
        <v>3137476404</v>
      </c>
      <c r="H72" s="23" t="s">
        <v>350</v>
      </c>
      <c r="I72" s="24" t="s">
        <v>274</v>
      </c>
      <c r="J72" s="277" t="str">
        <f t="shared" si="1"/>
        <v>VIII-B</v>
      </c>
      <c r="K72" s="287"/>
      <c r="L72" s="242"/>
      <c r="M72" s="242"/>
    </row>
    <row r="73" spans="1:13" s="13" customFormat="1" ht="18" customHeight="1" x14ac:dyDescent="0.3">
      <c r="A73" s="242"/>
      <c r="B73" s="242"/>
      <c r="C73" s="242"/>
      <c r="D73" s="242"/>
      <c r="E73" s="21">
        <v>29</v>
      </c>
      <c r="F73" s="22" t="s">
        <v>351</v>
      </c>
      <c r="G73" s="22">
        <v>3122120143</v>
      </c>
      <c r="H73" s="23" t="s">
        <v>352</v>
      </c>
      <c r="I73" s="24" t="s">
        <v>274</v>
      </c>
      <c r="J73" s="277" t="str">
        <f t="shared" si="1"/>
        <v>VIII-B</v>
      </c>
      <c r="K73" s="287"/>
      <c r="L73" s="242"/>
      <c r="M73" s="242"/>
    </row>
    <row r="74" spans="1:13" s="13" customFormat="1" ht="18" customHeight="1" x14ac:dyDescent="0.3">
      <c r="A74" s="242"/>
      <c r="B74" s="242"/>
      <c r="C74" s="242"/>
      <c r="D74" s="242"/>
      <c r="E74" s="21">
        <v>30</v>
      </c>
      <c r="F74" s="22" t="s">
        <v>353</v>
      </c>
      <c r="G74" s="22">
        <v>3122669311</v>
      </c>
      <c r="H74" s="23" t="s">
        <v>354</v>
      </c>
      <c r="I74" s="24" t="s">
        <v>274</v>
      </c>
      <c r="J74" s="277" t="str">
        <f t="shared" si="1"/>
        <v>VIII-B</v>
      </c>
      <c r="K74" s="287"/>
      <c r="L74" s="242"/>
      <c r="M74" s="242"/>
    </row>
    <row r="75" spans="1:13" s="13" customFormat="1" ht="18" customHeight="1" x14ac:dyDescent="0.3">
      <c r="A75" s="242"/>
      <c r="B75" s="242"/>
      <c r="C75" s="242"/>
      <c r="D75" s="242"/>
      <c r="E75" s="21">
        <v>31</v>
      </c>
      <c r="F75" s="22" t="s">
        <v>355</v>
      </c>
      <c r="G75" s="22" t="s">
        <v>356</v>
      </c>
      <c r="H75" s="23" t="s">
        <v>357</v>
      </c>
      <c r="I75" s="24" t="s">
        <v>274</v>
      </c>
      <c r="J75" s="277" t="str">
        <f t="shared" si="1"/>
        <v>VIII-B</v>
      </c>
      <c r="K75" s="287"/>
      <c r="L75" s="242"/>
      <c r="M75" s="242"/>
    </row>
    <row r="76" spans="1:13" s="13" customFormat="1" ht="18" customHeight="1" x14ac:dyDescent="0.3">
      <c r="A76" s="242"/>
      <c r="B76" s="242"/>
      <c r="C76" s="242"/>
      <c r="D76" s="242"/>
      <c r="E76" s="21">
        <v>32</v>
      </c>
      <c r="F76" s="22" t="s">
        <v>358</v>
      </c>
      <c r="G76" s="22" t="s">
        <v>359</v>
      </c>
      <c r="H76" s="23" t="s">
        <v>360</v>
      </c>
      <c r="I76" s="24" t="s">
        <v>274</v>
      </c>
      <c r="J76" s="277" t="str">
        <f t="shared" si="1"/>
        <v>VIII-B</v>
      </c>
      <c r="K76" s="287"/>
      <c r="L76" s="242"/>
      <c r="M76" s="242"/>
    </row>
    <row r="77" spans="1:13" s="13" customFormat="1" ht="18" customHeight="1" x14ac:dyDescent="0.3">
      <c r="A77" s="242"/>
      <c r="B77" s="242"/>
      <c r="C77" s="242"/>
      <c r="D77" s="242"/>
      <c r="E77" s="21">
        <v>33</v>
      </c>
      <c r="F77" s="22" t="s">
        <v>361</v>
      </c>
      <c r="G77" s="22" t="s">
        <v>362</v>
      </c>
      <c r="H77" s="23" t="s">
        <v>363</v>
      </c>
      <c r="I77" s="24" t="s">
        <v>274</v>
      </c>
      <c r="J77" s="277" t="str">
        <f t="shared" si="1"/>
        <v>VIII-B</v>
      </c>
      <c r="K77" s="287"/>
      <c r="L77" s="242"/>
      <c r="M77" s="242"/>
    </row>
    <row r="78" spans="1:13" s="13" customFormat="1" ht="18" customHeight="1" x14ac:dyDescent="0.3">
      <c r="A78" s="242"/>
      <c r="B78" s="242"/>
      <c r="C78" s="242"/>
      <c r="D78" s="242"/>
      <c r="E78" s="21">
        <v>34</v>
      </c>
      <c r="F78" s="22" t="s">
        <v>364</v>
      </c>
      <c r="G78" s="22" t="s">
        <v>365</v>
      </c>
      <c r="H78" s="23" t="s">
        <v>366</v>
      </c>
      <c r="I78" s="24" t="s">
        <v>274</v>
      </c>
      <c r="J78" s="277" t="str">
        <f t="shared" ref="J78:J84" si="2">J77</f>
        <v>VIII-B</v>
      </c>
      <c r="K78" s="287"/>
      <c r="L78" s="242"/>
      <c r="M78" s="242"/>
    </row>
    <row r="79" spans="1:13" s="13" customFormat="1" ht="18" customHeight="1" x14ac:dyDescent="0.3">
      <c r="A79" s="242"/>
      <c r="B79" s="242"/>
      <c r="C79" s="242"/>
      <c r="D79" s="242"/>
      <c r="E79" s="21">
        <v>35</v>
      </c>
      <c r="F79" s="22"/>
      <c r="G79" s="22"/>
      <c r="H79" s="23"/>
      <c r="I79" s="24"/>
      <c r="J79" s="277" t="str">
        <f t="shared" si="2"/>
        <v>VIII-B</v>
      </c>
      <c r="K79" s="287"/>
      <c r="L79" s="242"/>
      <c r="M79" s="242"/>
    </row>
    <row r="80" spans="1:13" s="13" customFormat="1" ht="18" customHeight="1" x14ac:dyDescent="0.3">
      <c r="A80" s="242"/>
      <c r="B80" s="242"/>
      <c r="C80" s="242"/>
      <c r="D80" s="242"/>
      <c r="E80" s="21">
        <v>36</v>
      </c>
      <c r="F80" s="22"/>
      <c r="G80" s="22"/>
      <c r="H80" s="23"/>
      <c r="I80" s="24"/>
      <c r="J80" s="277" t="str">
        <f t="shared" si="2"/>
        <v>VIII-B</v>
      </c>
      <c r="K80" s="287"/>
      <c r="L80" s="242"/>
      <c r="M80" s="242"/>
    </row>
    <row r="81" spans="1:13" s="13" customFormat="1" ht="18" customHeight="1" x14ac:dyDescent="0.3">
      <c r="A81" s="242"/>
      <c r="B81" s="242"/>
      <c r="C81" s="242"/>
      <c r="D81" s="242"/>
      <c r="E81" s="21">
        <v>37</v>
      </c>
      <c r="F81" s="22"/>
      <c r="G81" s="22"/>
      <c r="H81" s="23"/>
      <c r="I81" s="24"/>
      <c r="J81" s="277" t="str">
        <f t="shared" si="2"/>
        <v>VIII-B</v>
      </c>
      <c r="K81" s="287"/>
      <c r="L81" s="242"/>
      <c r="M81" s="242"/>
    </row>
    <row r="82" spans="1:13" s="13" customFormat="1" ht="18" customHeight="1" x14ac:dyDescent="0.3">
      <c r="A82" s="242"/>
      <c r="B82" s="242"/>
      <c r="C82" s="242"/>
      <c r="D82" s="242"/>
      <c r="E82" s="21">
        <v>38</v>
      </c>
      <c r="F82" s="22"/>
      <c r="G82" s="22"/>
      <c r="H82" s="23"/>
      <c r="I82" s="24"/>
      <c r="J82" s="277" t="str">
        <f t="shared" si="2"/>
        <v>VIII-B</v>
      </c>
      <c r="K82" s="287"/>
      <c r="L82" s="242"/>
      <c r="M82" s="242"/>
    </row>
    <row r="83" spans="1:13" s="13" customFormat="1" ht="18" customHeight="1" x14ac:dyDescent="0.3">
      <c r="A83" s="242"/>
      <c r="B83" s="242"/>
      <c r="C83" s="242"/>
      <c r="D83" s="242"/>
      <c r="E83" s="21">
        <v>39</v>
      </c>
      <c r="F83" s="22"/>
      <c r="G83" s="22"/>
      <c r="H83" s="23"/>
      <c r="I83" s="24"/>
      <c r="J83" s="277" t="str">
        <f t="shared" si="2"/>
        <v>VIII-B</v>
      </c>
      <c r="K83" s="287"/>
      <c r="L83" s="242"/>
      <c r="M83" s="242"/>
    </row>
    <row r="84" spans="1:13" s="13" customFormat="1" ht="18" customHeight="1" x14ac:dyDescent="0.3">
      <c r="A84" s="242"/>
      <c r="B84" s="242"/>
      <c r="C84" s="242"/>
      <c r="D84" s="242"/>
      <c r="E84" s="21">
        <v>40</v>
      </c>
      <c r="F84" s="22"/>
      <c r="G84" s="22"/>
      <c r="H84" s="23"/>
      <c r="I84" s="24"/>
      <c r="J84" s="277" t="str">
        <f t="shared" si="2"/>
        <v>VIII-B</v>
      </c>
      <c r="K84" s="287"/>
      <c r="L84" s="242"/>
      <c r="M84" s="242"/>
    </row>
    <row r="85" spans="1:13" s="13" customFormat="1" ht="18" customHeight="1" x14ac:dyDescent="0.3">
      <c r="A85" s="242"/>
      <c r="B85" s="242"/>
      <c r="C85" s="242"/>
      <c r="D85" s="242"/>
      <c r="E85" s="21">
        <v>1</v>
      </c>
      <c r="F85" s="22" t="s">
        <v>367</v>
      </c>
      <c r="G85" s="22" t="s">
        <v>368</v>
      </c>
      <c r="H85" s="23" t="s">
        <v>369</v>
      </c>
      <c r="I85" s="24" t="s">
        <v>274</v>
      </c>
      <c r="J85" s="277" t="str">
        <f>IF(C9=7,"VII",IF(C9=8,"VIII","IX"))&amp;"-"&amp;"C"</f>
        <v>VIII-C</v>
      </c>
      <c r="K85" s="287"/>
      <c r="L85" s="242"/>
      <c r="M85" s="242"/>
    </row>
    <row r="86" spans="1:13" s="13" customFormat="1" ht="18" customHeight="1" x14ac:dyDescent="0.3">
      <c r="A86" s="242"/>
      <c r="B86" s="242"/>
      <c r="C86" s="242"/>
      <c r="D86" s="242"/>
      <c r="E86" s="21">
        <v>2</v>
      </c>
      <c r="F86" s="22" t="s">
        <v>370</v>
      </c>
      <c r="G86" s="22" t="s">
        <v>371</v>
      </c>
      <c r="H86" s="23" t="s">
        <v>372</v>
      </c>
      <c r="I86" s="24" t="s">
        <v>274</v>
      </c>
      <c r="J86" s="277" t="str">
        <f>J85</f>
        <v>VIII-C</v>
      </c>
      <c r="K86" s="287"/>
      <c r="L86" s="242"/>
      <c r="M86" s="242"/>
    </row>
    <row r="87" spans="1:13" s="13" customFormat="1" ht="18" customHeight="1" x14ac:dyDescent="0.3">
      <c r="A87" s="242"/>
      <c r="B87" s="242"/>
      <c r="C87" s="242"/>
      <c r="D87" s="242"/>
      <c r="E87" s="21">
        <v>3</v>
      </c>
      <c r="F87" s="22" t="s">
        <v>373</v>
      </c>
      <c r="G87" s="22" t="s">
        <v>374</v>
      </c>
      <c r="H87" s="23" t="s">
        <v>375</v>
      </c>
      <c r="I87" s="24" t="s">
        <v>274</v>
      </c>
      <c r="J87" s="277" t="str">
        <f t="shared" ref="J87:J151" si="3">J86</f>
        <v>VIII-C</v>
      </c>
      <c r="K87" s="287"/>
      <c r="L87" s="242"/>
      <c r="M87" s="242"/>
    </row>
    <row r="88" spans="1:13" s="13" customFormat="1" ht="18" customHeight="1" x14ac:dyDescent="0.3">
      <c r="A88" s="242"/>
      <c r="B88" s="242"/>
      <c r="C88" s="242"/>
      <c r="D88" s="242"/>
      <c r="E88" s="21">
        <v>4</v>
      </c>
      <c r="F88" s="22" t="s">
        <v>376</v>
      </c>
      <c r="G88" s="22" t="s">
        <v>377</v>
      </c>
      <c r="H88" s="23" t="s">
        <v>378</v>
      </c>
      <c r="I88" s="24" t="s">
        <v>274</v>
      </c>
      <c r="J88" s="277" t="str">
        <f t="shared" si="3"/>
        <v>VIII-C</v>
      </c>
      <c r="K88" s="287"/>
      <c r="L88" s="242"/>
      <c r="M88" s="242"/>
    </row>
    <row r="89" spans="1:13" s="13" customFormat="1" ht="18" customHeight="1" x14ac:dyDescent="0.3">
      <c r="A89" s="242"/>
      <c r="B89" s="242"/>
      <c r="C89" s="242"/>
      <c r="D89" s="242"/>
      <c r="E89" s="21">
        <v>5</v>
      </c>
      <c r="F89" s="22" t="s">
        <v>379</v>
      </c>
      <c r="G89" s="22">
        <v>3135503355</v>
      </c>
      <c r="H89" s="23" t="s">
        <v>380</v>
      </c>
      <c r="I89" s="24" t="s">
        <v>274</v>
      </c>
      <c r="J89" s="277" t="str">
        <f t="shared" si="3"/>
        <v>VIII-C</v>
      </c>
      <c r="K89" s="287"/>
      <c r="L89" s="242"/>
      <c r="M89" s="242"/>
    </row>
    <row r="90" spans="1:13" s="13" customFormat="1" ht="18" customHeight="1" x14ac:dyDescent="0.3">
      <c r="A90" s="242"/>
      <c r="B90" s="242"/>
      <c r="C90" s="242"/>
      <c r="D90" s="242"/>
      <c r="E90" s="21">
        <v>6</v>
      </c>
      <c r="F90" s="22" t="s">
        <v>381</v>
      </c>
      <c r="G90" s="22">
        <v>3125913335</v>
      </c>
      <c r="H90" s="23" t="s">
        <v>382</v>
      </c>
      <c r="I90" s="24" t="s">
        <v>274</v>
      </c>
      <c r="J90" s="277" t="str">
        <f t="shared" si="3"/>
        <v>VIII-C</v>
      </c>
      <c r="K90" s="287"/>
      <c r="L90" s="242"/>
      <c r="M90" s="242"/>
    </row>
    <row r="91" spans="1:13" s="13" customFormat="1" ht="18" customHeight="1" x14ac:dyDescent="0.3">
      <c r="A91" s="242"/>
      <c r="B91" s="242"/>
      <c r="C91" s="242"/>
      <c r="D91" s="242"/>
      <c r="E91" s="21">
        <v>7</v>
      </c>
      <c r="F91" s="22" t="s">
        <v>383</v>
      </c>
      <c r="G91" s="22">
        <v>3131983811</v>
      </c>
      <c r="H91" s="23" t="s">
        <v>384</v>
      </c>
      <c r="I91" s="24" t="s">
        <v>274</v>
      </c>
      <c r="J91" s="277" t="str">
        <f t="shared" si="3"/>
        <v>VIII-C</v>
      </c>
      <c r="K91" s="287"/>
      <c r="L91" s="242"/>
      <c r="M91" s="242"/>
    </row>
    <row r="92" spans="1:13" s="13" customFormat="1" ht="18" customHeight="1" x14ac:dyDescent="0.3">
      <c r="A92" s="242"/>
      <c r="B92" s="242"/>
      <c r="C92" s="242"/>
      <c r="D92" s="242"/>
      <c r="E92" s="21">
        <v>8</v>
      </c>
      <c r="F92" s="22" t="s">
        <v>385</v>
      </c>
      <c r="G92" s="22" t="s">
        <v>386</v>
      </c>
      <c r="H92" s="23" t="s">
        <v>387</v>
      </c>
      <c r="I92" s="24" t="s">
        <v>274</v>
      </c>
      <c r="J92" s="277" t="str">
        <f t="shared" si="3"/>
        <v>VIII-C</v>
      </c>
      <c r="K92" s="287"/>
      <c r="L92" s="242"/>
      <c r="M92" s="242"/>
    </row>
    <row r="93" spans="1:13" s="13" customFormat="1" ht="18" customHeight="1" x14ac:dyDescent="0.3">
      <c r="A93" s="242"/>
      <c r="B93" s="242"/>
      <c r="C93" s="242"/>
      <c r="D93" s="242"/>
      <c r="E93" s="21">
        <v>9</v>
      </c>
      <c r="F93" s="22" t="s">
        <v>388</v>
      </c>
      <c r="G93" s="22" t="s">
        <v>389</v>
      </c>
      <c r="H93" s="23" t="s">
        <v>390</v>
      </c>
      <c r="I93" s="24" t="s">
        <v>274</v>
      </c>
      <c r="J93" s="277" t="str">
        <f t="shared" si="3"/>
        <v>VIII-C</v>
      </c>
      <c r="K93" s="287"/>
      <c r="L93" s="242"/>
      <c r="M93" s="242"/>
    </row>
    <row r="94" spans="1:13" s="13" customFormat="1" ht="18" customHeight="1" x14ac:dyDescent="0.3">
      <c r="A94" s="242"/>
      <c r="B94" s="242"/>
      <c r="C94" s="242"/>
      <c r="D94" s="242"/>
      <c r="E94" s="21">
        <v>10</v>
      </c>
      <c r="F94" s="22" t="s">
        <v>391</v>
      </c>
      <c r="G94" s="22" t="s">
        <v>392</v>
      </c>
      <c r="H94" s="23" t="s">
        <v>393</v>
      </c>
      <c r="I94" s="24" t="s">
        <v>274</v>
      </c>
      <c r="J94" s="277" t="str">
        <f t="shared" si="3"/>
        <v>VIII-C</v>
      </c>
      <c r="K94" s="287"/>
      <c r="L94" s="242"/>
      <c r="M94" s="242"/>
    </row>
    <row r="95" spans="1:13" s="13" customFormat="1" ht="18" customHeight="1" x14ac:dyDescent="0.3">
      <c r="A95" s="242"/>
      <c r="B95" s="242"/>
      <c r="C95" s="242"/>
      <c r="D95" s="242"/>
      <c r="E95" s="21">
        <v>11</v>
      </c>
      <c r="F95" s="22" t="s">
        <v>394</v>
      </c>
      <c r="G95" s="22" t="s">
        <v>395</v>
      </c>
      <c r="H95" s="23" t="s">
        <v>396</v>
      </c>
      <c r="I95" s="24" t="s">
        <v>274</v>
      </c>
      <c r="J95" s="277" t="str">
        <f t="shared" si="3"/>
        <v>VIII-C</v>
      </c>
      <c r="K95" s="287"/>
      <c r="L95" s="242"/>
      <c r="M95" s="242"/>
    </row>
    <row r="96" spans="1:13" s="13" customFormat="1" ht="18" customHeight="1" x14ac:dyDescent="0.3">
      <c r="A96" s="242"/>
      <c r="B96" s="242"/>
      <c r="C96" s="242"/>
      <c r="D96" s="242"/>
      <c r="E96" s="21">
        <v>12</v>
      </c>
      <c r="F96" s="22" t="s">
        <v>397</v>
      </c>
      <c r="G96" s="22">
        <v>3129902660</v>
      </c>
      <c r="H96" s="23" t="s">
        <v>398</v>
      </c>
      <c r="I96" s="24" t="s">
        <v>274</v>
      </c>
      <c r="J96" s="277" t="str">
        <f t="shared" si="3"/>
        <v>VIII-C</v>
      </c>
      <c r="K96" s="287"/>
      <c r="L96" s="242"/>
      <c r="M96" s="242"/>
    </row>
    <row r="97" spans="1:13" s="13" customFormat="1" ht="18" customHeight="1" x14ac:dyDescent="0.3">
      <c r="A97" s="242"/>
      <c r="B97" s="242"/>
      <c r="C97" s="242"/>
      <c r="D97" s="242"/>
      <c r="E97" s="21">
        <v>13</v>
      </c>
      <c r="F97" s="22" t="s">
        <v>399</v>
      </c>
      <c r="G97" s="22" t="s">
        <v>400</v>
      </c>
      <c r="H97" s="23" t="s">
        <v>401</v>
      </c>
      <c r="I97" s="24" t="s">
        <v>274</v>
      </c>
      <c r="J97" s="277" t="str">
        <f t="shared" si="3"/>
        <v>VIII-C</v>
      </c>
      <c r="K97" s="287"/>
      <c r="L97" s="242"/>
      <c r="M97" s="242"/>
    </row>
    <row r="98" spans="1:13" s="13" customFormat="1" ht="18" customHeight="1" x14ac:dyDescent="0.3">
      <c r="A98" s="242"/>
      <c r="B98" s="242"/>
      <c r="C98" s="242"/>
      <c r="D98" s="242"/>
      <c r="E98" s="21">
        <v>14</v>
      </c>
      <c r="F98" s="22" t="s">
        <v>402</v>
      </c>
      <c r="G98" s="22">
        <v>3126381310</v>
      </c>
      <c r="H98" s="23" t="s">
        <v>403</v>
      </c>
      <c r="I98" s="24" t="s">
        <v>274</v>
      </c>
      <c r="J98" s="277" t="str">
        <f t="shared" si="3"/>
        <v>VIII-C</v>
      </c>
      <c r="K98" s="287"/>
      <c r="L98" s="242"/>
      <c r="M98" s="242"/>
    </row>
    <row r="99" spans="1:13" s="13" customFormat="1" ht="18" customHeight="1" x14ac:dyDescent="0.3">
      <c r="A99" s="242"/>
      <c r="B99" s="242"/>
      <c r="C99" s="242"/>
      <c r="D99" s="242"/>
      <c r="E99" s="21">
        <v>15</v>
      </c>
      <c r="F99" s="22" t="s">
        <v>404</v>
      </c>
      <c r="G99" s="22">
        <v>3132263011</v>
      </c>
      <c r="H99" s="23" t="s">
        <v>405</v>
      </c>
      <c r="I99" s="24" t="s">
        <v>274</v>
      </c>
      <c r="J99" s="277" t="str">
        <f t="shared" si="3"/>
        <v>VIII-C</v>
      </c>
      <c r="K99" s="287"/>
      <c r="L99" s="242"/>
      <c r="M99" s="242"/>
    </row>
    <row r="100" spans="1:13" s="13" customFormat="1" ht="18" customHeight="1" x14ac:dyDescent="0.3">
      <c r="A100" s="242"/>
      <c r="B100" s="242"/>
      <c r="C100" s="242"/>
      <c r="D100" s="242"/>
      <c r="E100" s="21">
        <v>16</v>
      </c>
      <c r="F100" s="22" t="s">
        <v>406</v>
      </c>
      <c r="G100" s="22" t="s">
        <v>407</v>
      </c>
      <c r="H100" s="23" t="s">
        <v>408</v>
      </c>
      <c r="I100" s="24" t="s">
        <v>274</v>
      </c>
      <c r="J100" s="277" t="str">
        <f t="shared" si="3"/>
        <v>VIII-C</v>
      </c>
      <c r="K100" s="287"/>
      <c r="L100" s="242"/>
      <c r="M100" s="242"/>
    </row>
    <row r="101" spans="1:13" s="13" customFormat="1" ht="18" customHeight="1" x14ac:dyDescent="0.3">
      <c r="A101" s="242"/>
      <c r="B101" s="242"/>
      <c r="C101" s="242"/>
      <c r="D101" s="242"/>
      <c r="E101" s="21">
        <v>17</v>
      </c>
      <c r="F101" s="22" t="s">
        <v>409</v>
      </c>
      <c r="G101" s="22">
        <v>3139038935</v>
      </c>
      <c r="H101" s="23" t="s">
        <v>410</v>
      </c>
      <c r="I101" s="24" t="s">
        <v>274</v>
      </c>
      <c r="J101" s="277" t="str">
        <f t="shared" si="3"/>
        <v>VIII-C</v>
      </c>
      <c r="K101" s="287"/>
      <c r="L101" s="242"/>
      <c r="M101" s="242"/>
    </row>
    <row r="102" spans="1:13" s="13" customFormat="1" ht="18" customHeight="1" x14ac:dyDescent="0.3">
      <c r="A102" s="242"/>
      <c r="B102" s="242"/>
      <c r="C102" s="242"/>
      <c r="D102" s="242"/>
      <c r="E102" s="21">
        <v>18</v>
      </c>
      <c r="F102" s="22" t="s">
        <v>411</v>
      </c>
      <c r="G102" s="22" t="s">
        <v>412</v>
      </c>
      <c r="H102" s="23" t="s">
        <v>413</v>
      </c>
      <c r="I102" s="24" t="s">
        <v>274</v>
      </c>
      <c r="J102" s="277" t="str">
        <f t="shared" si="3"/>
        <v>VIII-C</v>
      </c>
      <c r="K102" s="287"/>
      <c r="L102" s="242"/>
      <c r="M102" s="242"/>
    </row>
    <row r="103" spans="1:13" s="13" customFormat="1" ht="18" customHeight="1" x14ac:dyDescent="0.3">
      <c r="A103" s="242"/>
      <c r="B103" s="242"/>
      <c r="C103" s="242"/>
      <c r="D103" s="242"/>
      <c r="E103" s="21">
        <v>19</v>
      </c>
      <c r="F103" s="22" t="s">
        <v>414</v>
      </c>
      <c r="G103" s="22" t="s">
        <v>415</v>
      </c>
      <c r="H103" s="23" t="s">
        <v>416</v>
      </c>
      <c r="I103" s="24" t="s">
        <v>274</v>
      </c>
      <c r="J103" s="277" t="str">
        <f t="shared" si="3"/>
        <v>VIII-C</v>
      </c>
      <c r="K103" s="287"/>
      <c r="L103" s="242"/>
      <c r="M103" s="242"/>
    </row>
    <row r="104" spans="1:13" s="13" customFormat="1" ht="18" customHeight="1" x14ac:dyDescent="0.3">
      <c r="A104" s="242"/>
      <c r="B104" s="242"/>
      <c r="C104" s="242"/>
      <c r="D104" s="242"/>
      <c r="E104" s="21">
        <v>20</v>
      </c>
      <c r="F104" s="22" t="s">
        <v>417</v>
      </c>
      <c r="G104" s="22">
        <v>3124887428</v>
      </c>
      <c r="H104" s="23" t="s">
        <v>418</v>
      </c>
      <c r="I104" s="24" t="s">
        <v>274</v>
      </c>
      <c r="J104" s="277" t="str">
        <f t="shared" si="3"/>
        <v>VIII-C</v>
      </c>
      <c r="K104" s="287"/>
      <c r="L104" s="242"/>
      <c r="M104" s="242"/>
    </row>
    <row r="105" spans="1:13" s="13" customFormat="1" ht="18" customHeight="1" x14ac:dyDescent="0.3">
      <c r="A105" s="242"/>
      <c r="B105" s="242"/>
      <c r="C105" s="242"/>
      <c r="D105" s="242"/>
      <c r="E105" s="21">
        <v>21</v>
      </c>
      <c r="F105" s="22" t="s">
        <v>419</v>
      </c>
      <c r="G105" s="22">
        <v>3125253750</v>
      </c>
      <c r="H105" s="23" t="s">
        <v>420</v>
      </c>
      <c r="I105" s="24" t="s">
        <v>274</v>
      </c>
      <c r="J105" s="277" t="str">
        <f t="shared" si="3"/>
        <v>VIII-C</v>
      </c>
      <c r="K105" s="287"/>
      <c r="L105" s="242"/>
      <c r="M105" s="242"/>
    </row>
    <row r="106" spans="1:13" s="13" customFormat="1" ht="18" customHeight="1" x14ac:dyDescent="0.3">
      <c r="A106" s="242"/>
      <c r="B106" s="242"/>
      <c r="C106" s="242"/>
      <c r="D106" s="242"/>
      <c r="E106" s="21">
        <v>22</v>
      </c>
      <c r="F106" s="22" t="s">
        <v>421</v>
      </c>
      <c r="G106" s="22" t="s">
        <v>422</v>
      </c>
      <c r="H106" s="23" t="s">
        <v>423</v>
      </c>
      <c r="I106" s="24" t="s">
        <v>274</v>
      </c>
      <c r="J106" s="277" t="str">
        <f t="shared" si="3"/>
        <v>VIII-C</v>
      </c>
      <c r="K106" s="287"/>
      <c r="L106" s="242"/>
      <c r="M106" s="242"/>
    </row>
    <row r="107" spans="1:13" s="13" customFormat="1" ht="18" customHeight="1" x14ac:dyDescent="0.3">
      <c r="A107" s="242"/>
      <c r="B107" s="242"/>
      <c r="C107" s="242"/>
      <c r="D107" s="242"/>
      <c r="E107" s="21">
        <v>23</v>
      </c>
      <c r="F107" s="22" t="s">
        <v>424</v>
      </c>
      <c r="G107" s="22" t="s">
        <v>425</v>
      </c>
      <c r="H107" s="23" t="s">
        <v>426</v>
      </c>
      <c r="I107" s="24" t="s">
        <v>274</v>
      </c>
      <c r="J107" s="277" t="str">
        <f t="shared" si="3"/>
        <v>VIII-C</v>
      </c>
      <c r="K107" s="287"/>
      <c r="L107" s="242"/>
      <c r="M107" s="242"/>
    </row>
    <row r="108" spans="1:13" s="13" customFormat="1" ht="18" customHeight="1" x14ac:dyDescent="0.3">
      <c r="A108" s="242"/>
      <c r="B108" s="242"/>
      <c r="C108" s="242"/>
      <c r="D108" s="242"/>
      <c r="E108" s="21">
        <v>24</v>
      </c>
      <c r="F108" s="22" t="s">
        <v>427</v>
      </c>
      <c r="G108" s="22" t="s">
        <v>428</v>
      </c>
      <c r="H108" s="23" t="s">
        <v>429</v>
      </c>
      <c r="I108" s="24" t="s">
        <v>274</v>
      </c>
      <c r="J108" s="277" t="str">
        <f t="shared" si="3"/>
        <v>VIII-C</v>
      </c>
      <c r="K108" s="287"/>
      <c r="L108" s="242"/>
      <c r="M108" s="242"/>
    </row>
    <row r="109" spans="1:13" s="13" customFormat="1" ht="18" customHeight="1" x14ac:dyDescent="0.3">
      <c r="A109" s="242"/>
      <c r="B109" s="242"/>
      <c r="C109" s="242"/>
      <c r="D109" s="242"/>
      <c r="E109" s="21">
        <v>25</v>
      </c>
      <c r="F109" s="22" t="s">
        <v>430</v>
      </c>
      <c r="G109" s="22" t="s">
        <v>431</v>
      </c>
      <c r="H109" s="23" t="s">
        <v>432</v>
      </c>
      <c r="I109" s="24" t="s">
        <v>274</v>
      </c>
      <c r="J109" s="277" t="str">
        <f t="shared" si="3"/>
        <v>VIII-C</v>
      </c>
      <c r="K109" s="287"/>
      <c r="L109" s="242"/>
      <c r="M109" s="242"/>
    </row>
    <row r="110" spans="1:13" s="13" customFormat="1" ht="18" customHeight="1" x14ac:dyDescent="0.3">
      <c r="A110" s="242"/>
      <c r="B110" s="242"/>
      <c r="C110" s="242"/>
      <c r="D110" s="242"/>
      <c r="E110" s="21">
        <v>26</v>
      </c>
      <c r="F110" s="22" t="s">
        <v>433</v>
      </c>
      <c r="G110" s="22" t="s">
        <v>434</v>
      </c>
      <c r="H110" s="23" t="s">
        <v>435</v>
      </c>
      <c r="I110" s="24" t="s">
        <v>274</v>
      </c>
      <c r="J110" s="277" t="str">
        <f t="shared" si="3"/>
        <v>VIII-C</v>
      </c>
      <c r="K110" s="287"/>
      <c r="L110" s="242"/>
      <c r="M110" s="242"/>
    </row>
    <row r="111" spans="1:13" s="13" customFormat="1" ht="18" customHeight="1" x14ac:dyDescent="0.3">
      <c r="A111" s="242"/>
      <c r="B111" s="242"/>
      <c r="C111" s="242"/>
      <c r="D111" s="242"/>
      <c r="E111" s="21">
        <v>27</v>
      </c>
      <c r="F111" s="22" t="s">
        <v>436</v>
      </c>
      <c r="G111" s="22" t="s">
        <v>437</v>
      </c>
      <c r="H111" s="23" t="s">
        <v>438</v>
      </c>
      <c r="I111" s="24" t="s">
        <v>274</v>
      </c>
      <c r="J111" s="277" t="str">
        <f t="shared" si="3"/>
        <v>VIII-C</v>
      </c>
      <c r="K111" s="287"/>
      <c r="L111" s="242"/>
      <c r="M111" s="242"/>
    </row>
    <row r="112" spans="1:13" s="13" customFormat="1" ht="18" customHeight="1" x14ac:dyDescent="0.3">
      <c r="A112" s="242"/>
      <c r="B112" s="242"/>
      <c r="C112" s="242"/>
      <c r="D112" s="242"/>
      <c r="E112" s="21">
        <v>28</v>
      </c>
      <c r="F112" s="22" t="s">
        <v>439</v>
      </c>
      <c r="G112" s="22">
        <v>3125832429</v>
      </c>
      <c r="H112" s="23" t="s">
        <v>440</v>
      </c>
      <c r="I112" s="24" t="s">
        <v>274</v>
      </c>
      <c r="J112" s="277" t="str">
        <f t="shared" si="3"/>
        <v>VIII-C</v>
      </c>
      <c r="K112" s="287"/>
      <c r="L112" s="242"/>
      <c r="M112" s="242"/>
    </row>
    <row r="113" spans="1:13" s="13" customFormat="1" ht="18" customHeight="1" x14ac:dyDescent="0.3">
      <c r="A113" s="242"/>
      <c r="B113" s="242"/>
      <c r="C113" s="242"/>
      <c r="D113" s="242"/>
      <c r="E113" s="21">
        <v>29</v>
      </c>
      <c r="F113" s="22" t="s">
        <v>441</v>
      </c>
      <c r="G113" s="22" t="s">
        <v>442</v>
      </c>
      <c r="H113" s="23" t="s">
        <v>443</v>
      </c>
      <c r="I113" s="24" t="s">
        <v>274</v>
      </c>
      <c r="J113" s="277" t="str">
        <f t="shared" si="3"/>
        <v>VIII-C</v>
      </c>
      <c r="K113" s="287"/>
      <c r="L113" s="242"/>
      <c r="M113" s="242"/>
    </row>
    <row r="114" spans="1:13" s="13" customFormat="1" ht="18" customHeight="1" x14ac:dyDescent="0.3">
      <c r="A114" s="242"/>
      <c r="B114" s="242"/>
      <c r="C114" s="242"/>
      <c r="D114" s="242"/>
      <c r="E114" s="21">
        <v>30</v>
      </c>
      <c r="F114" s="22" t="s">
        <v>444</v>
      </c>
      <c r="G114" s="22">
        <v>3135367534</v>
      </c>
      <c r="H114" s="23" t="s">
        <v>445</v>
      </c>
      <c r="I114" s="24" t="s">
        <v>274</v>
      </c>
      <c r="J114" s="277" t="str">
        <f t="shared" si="3"/>
        <v>VIII-C</v>
      </c>
      <c r="K114" s="287"/>
      <c r="L114" s="242"/>
      <c r="M114" s="242"/>
    </row>
    <row r="115" spans="1:13" s="13" customFormat="1" ht="18" customHeight="1" x14ac:dyDescent="0.3">
      <c r="A115" s="242"/>
      <c r="B115" s="242"/>
      <c r="C115" s="242"/>
      <c r="D115" s="242"/>
      <c r="E115" s="21">
        <v>31</v>
      </c>
      <c r="F115" s="22" t="s">
        <v>446</v>
      </c>
      <c r="G115" s="22" t="s">
        <v>447</v>
      </c>
      <c r="H115" s="23" t="s">
        <v>448</v>
      </c>
      <c r="I115" s="24" t="s">
        <v>274</v>
      </c>
      <c r="J115" s="277" t="str">
        <f t="shared" si="3"/>
        <v>VIII-C</v>
      </c>
      <c r="K115" s="287"/>
      <c r="L115" s="242"/>
      <c r="M115" s="242"/>
    </row>
    <row r="116" spans="1:13" s="13" customFormat="1" ht="18" customHeight="1" x14ac:dyDescent="0.3">
      <c r="A116" s="242"/>
      <c r="B116" s="242"/>
      <c r="C116" s="242"/>
      <c r="D116" s="242"/>
      <c r="E116" s="21">
        <v>32</v>
      </c>
      <c r="F116" s="22" t="s">
        <v>449</v>
      </c>
      <c r="G116" s="22" t="s">
        <v>450</v>
      </c>
      <c r="H116" s="23" t="s">
        <v>451</v>
      </c>
      <c r="I116" s="24" t="s">
        <v>274</v>
      </c>
      <c r="J116" s="277" t="str">
        <f t="shared" si="3"/>
        <v>VIII-C</v>
      </c>
      <c r="K116" s="287"/>
      <c r="L116" s="242"/>
      <c r="M116" s="242"/>
    </row>
    <row r="117" spans="1:13" s="13" customFormat="1" ht="18" customHeight="1" x14ac:dyDescent="0.3">
      <c r="A117" s="242"/>
      <c r="B117" s="242"/>
      <c r="C117" s="242"/>
      <c r="D117" s="242"/>
      <c r="E117" s="21">
        <v>33</v>
      </c>
      <c r="F117" s="22" t="s">
        <v>452</v>
      </c>
      <c r="G117" s="22" t="s">
        <v>453</v>
      </c>
      <c r="H117" s="23" t="s">
        <v>454</v>
      </c>
      <c r="I117" s="24" t="s">
        <v>274</v>
      </c>
      <c r="J117" s="277" t="str">
        <f t="shared" si="3"/>
        <v>VIII-C</v>
      </c>
      <c r="K117" s="287"/>
      <c r="L117" s="242"/>
      <c r="M117" s="242"/>
    </row>
    <row r="118" spans="1:13" s="13" customFormat="1" ht="18" customHeight="1" x14ac:dyDescent="0.3">
      <c r="A118" s="242"/>
      <c r="B118" s="242"/>
      <c r="C118" s="242"/>
      <c r="D118" s="242"/>
      <c r="E118" s="21">
        <v>34</v>
      </c>
      <c r="F118" s="22"/>
      <c r="G118" s="22"/>
      <c r="H118" s="23"/>
      <c r="I118" s="24"/>
      <c r="J118" s="277" t="str">
        <f t="shared" si="3"/>
        <v>VIII-C</v>
      </c>
      <c r="K118" s="287"/>
      <c r="L118" s="242"/>
      <c r="M118" s="242"/>
    </row>
    <row r="119" spans="1:13" s="13" customFormat="1" ht="18" customHeight="1" x14ac:dyDescent="0.3">
      <c r="A119" s="242"/>
      <c r="B119" s="242"/>
      <c r="C119" s="242"/>
      <c r="D119" s="242"/>
      <c r="E119" s="21">
        <v>35</v>
      </c>
      <c r="F119" s="22"/>
      <c r="G119" s="22"/>
      <c r="H119" s="23"/>
      <c r="I119" s="24"/>
      <c r="J119" s="277" t="str">
        <f t="shared" si="3"/>
        <v>VIII-C</v>
      </c>
      <c r="K119" s="287"/>
      <c r="L119" s="242"/>
      <c r="M119" s="242"/>
    </row>
    <row r="120" spans="1:13" s="13" customFormat="1" ht="18" customHeight="1" x14ac:dyDescent="0.3">
      <c r="A120" s="242"/>
      <c r="B120" s="242"/>
      <c r="C120" s="242"/>
      <c r="D120" s="242"/>
      <c r="E120" s="21">
        <v>36</v>
      </c>
      <c r="F120" s="22"/>
      <c r="G120" s="22"/>
      <c r="H120" s="23"/>
      <c r="I120" s="24"/>
      <c r="J120" s="277" t="str">
        <f t="shared" si="3"/>
        <v>VIII-C</v>
      </c>
      <c r="K120" s="287"/>
      <c r="L120" s="242"/>
      <c r="M120" s="242"/>
    </row>
    <row r="121" spans="1:13" s="13" customFormat="1" ht="18" customHeight="1" x14ac:dyDescent="0.3">
      <c r="A121" s="242"/>
      <c r="B121" s="242"/>
      <c r="C121" s="242"/>
      <c r="D121" s="242"/>
      <c r="E121" s="21">
        <v>37</v>
      </c>
      <c r="F121" s="22"/>
      <c r="G121" s="22"/>
      <c r="H121" s="23"/>
      <c r="I121" s="24"/>
      <c r="J121" s="277" t="str">
        <f t="shared" si="3"/>
        <v>VIII-C</v>
      </c>
      <c r="K121" s="287"/>
      <c r="L121" s="242"/>
      <c r="M121" s="242"/>
    </row>
    <row r="122" spans="1:13" s="13" customFormat="1" ht="18" customHeight="1" x14ac:dyDescent="0.3">
      <c r="A122" s="242"/>
      <c r="B122" s="242"/>
      <c r="C122" s="242"/>
      <c r="D122" s="242"/>
      <c r="E122" s="21">
        <v>38</v>
      </c>
      <c r="F122" s="22"/>
      <c r="G122" s="22"/>
      <c r="H122" s="23"/>
      <c r="I122" s="24"/>
      <c r="J122" s="277" t="str">
        <f t="shared" si="3"/>
        <v>VIII-C</v>
      </c>
      <c r="K122" s="287"/>
      <c r="L122" s="242"/>
      <c r="M122" s="242"/>
    </row>
    <row r="123" spans="1:13" s="13" customFormat="1" ht="18" customHeight="1" x14ac:dyDescent="0.3">
      <c r="A123" s="242"/>
      <c r="B123" s="242"/>
      <c r="C123" s="242"/>
      <c r="D123" s="242"/>
      <c r="E123" s="21">
        <v>39</v>
      </c>
      <c r="F123" s="22"/>
      <c r="G123" s="22"/>
      <c r="H123" s="23"/>
      <c r="I123" s="24"/>
      <c r="J123" s="277" t="str">
        <f t="shared" si="3"/>
        <v>VIII-C</v>
      </c>
      <c r="K123" s="287"/>
      <c r="L123" s="242"/>
      <c r="M123" s="242"/>
    </row>
    <row r="124" spans="1:13" s="13" customFormat="1" ht="18" customHeight="1" x14ac:dyDescent="0.3">
      <c r="A124" s="242"/>
      <c r="B124" s="242"/>
      <c r="C124" s="242"/>
      <c r="D124" s="242"/>
      <c r="E124" s="21">
        <v>40</v>
      </c>
      <c r="F124" s="22"/>
      <c r="G124" s="22"/>
      <c r="H124" s="23"/>
      <c r="I124" s="24"/>
      <c r="J124" s="277" t="str">
        <f t="shared" si="3"/>
        <v>VIII-C</v>
      </c>
      <c r="K124" s="287"/>
      <c r="L124" s="242"/>
      <c r="M124" s="242"/>
    </row>
    <row r="125" spans="1:13" s="13" customFormat="1" ht="18" customHeight="1" x14ac:dyDescent="0.3">
      <c r="A125" s="242"/>
      <c r="B125" s="242"/>
      <c r="C125" s="242"/>
      <c r="D125" s="242"/>
      <c r="E125" s="21">
        <v>1</v>
      </c>
      <c r="F125" s="22" t="s">
        <v>455</v>
      </c>
      <c r="G125" s="22" t="s">
        <v>456</v>
      </c>
      <c r="H125" s="23" t="s">
        <v>457</v>
      </c>
      <c r="I125" s="24" t="s">
        <v>548</v>
      </c>
      <c r="J125" s="277" t="str">
        <f>IF(C9=7,"VII",IF(C9=8,"VIII","IX"))&amp;"-"&amp;"D"</f>
        <v>VIII-D</v>
      </c>
      <c r="K125" s="287"/>
      <c r="L125" s="242"/>
      <c r="M125" s="242"/>
    </row>
    <row r="126" spans="1:13" s="13" customFormat="1" ht="18" customHeight="1" x14ac:dyDescent="0.3">
      <c r="A126" s="242"/>
      <c r="B126" s="242"/>
      <c r="C126" s="242"/>
      <c r="D126" s="242"/>
      <c r="E126" s="21">
        <v>2</v>
      </c>
      <c r="F126" s="22" t="s">
        <v>458</v>
      </c>
      <c r="G126" s="22">
        <v>3127929624</v>
      </c>
      <c r="H126" s="23" t="s">
        <v>459</v>
      </c>
      <c r="I126" s="24" t="s">
        <v>548</v>
      </c>
      <c r="J126" s="277" t="str">
        <f t="shared" si="3"/>
        <v>VIII-D</v>
      </c>
      <c r="K126" s="287"/>
      <c r="L126" s="242"/>
      <c r="M126" s="242"/>
    </row>
    <row r="127" spans="1:13" s="13" customFormat="1" ht="18" customHeight="1" x14ac:dyDescent="0.3">
      <c r="A127" s="242"/>
      <c r="B127" s="242"/>
      <c r="C127" s="242"/>
      <c r="D127" s="242"/>
      <c r="E127" s="21">
        <v>3</v>
      </c>
      <c r="F127" s="22" t="s">
        <v>460</v>
      </c>
      <c r="G127" s="22">
        <v>3126242559</v>
      </c>
      <c r="H127" s="23" t="s">
        <v>461</v>
      </c>
      <c r="I127" s="24" t="s">
        <v>548</v>
      </c>
      <c r="J127" s="277" t="str">
        <f t="shared" si="3"/>
        <v>VIII-D</v>
      </c>
      <c r="K127" s="287"/>
      <c r="L127" s="242"/>
      <c r="M127" s="242"/>
    </row>
    <row r="128" spans="1:13" s="13" customFormat="1" ht="18" customHeight="1" x14ac:dyDescent="0.3">
      <c r="A128" s="242"/>
      <c r="B128" s="242"/>
      <c r="C128" s="242"/>
      <c r="D128" s="242"/>
      <c r="E128" s="21">
        <v>4</v>
      </c>
      <c r="F128" s="22" t="s">
        <v>462</v>
      </c>
      <c r="G128" s="22" t="s">
        <v>463</v>
      </c>
      <c r="H128" s="23" t="s">
        <v>464</v>
      </c>
      <c r="I128" s="24" t="s">
        <v>548</v>
      </c>
      <c r="J128" s="277" t="str">
        <f t="shared" si="3"/>
        <v>VIII-D</v>
      </c>
      <c r="K128" s="287"/>
      <c r="L128" s="242"/>
      <c r="M128" s="242"/>
    </row>
    <row r="129" spans="1:13" s="13" customFormat="1" ht="18" customHeight="1" x14ac:dyDescent="0.3">
      <c r="A129" s="242"/>
      <c r="B129" s="242"/>
      <c r="C129" s="242"/>
      <c r="D129" s="242"/>
      <c r="E129" s="21">
        <v>5</v>
      </c>
      <c r="F129" s="22" t="s">
        <v>465</v>
      </c>
      <c r="G129" s="22" t="s">
        <v>466</v>
      </c>
      <c r="H129" s="23" t="s">
        <v>467</v>
      </c>
      <c r="I129" s="24" t="s">
        <v>548</v>
      </c>
      <c r="J129" s="277" t="str">
        <f t="shared" si="3"/>
        <v>VIII-D</v>
      </c>
      <c r="K129" s="287"/>
      <c r="L129" s="242"/>
      <c r="M129" s="242"/>
    </row>
    <row r="130" spans="1:13" s="13" customFormat="1" ht="18" customHeight="1" x14ac:dyDescent="0.3">
      <c r="A130" s="242"/>
      <c r="B130" s="242"/>
      <c r="C130" s="242"/>
      <c r="D130" s="242"/>
      <c r="E130" s="21">
        <v>6</v>
      </c>
      <c r="F130" s="22" t="s">
        <v>468</v>
      </c>
      <c r="G130" s="22" t="s">
        <v>469</v>
      </c>
      <c r="H130" s="23" t="s">
        <v>470</v>
      </c>
      <c r="I130" s="24" t="s">
        <v>548</v>
      </c>
      <c r="J130" s="277" t="str">
        <f t="shared" si="3"/>
        <v>VIII-D</v>
      </c>
      <c r="K130" s="287"/>
      <c r="L130" s="242"/>
      <c r="M130" s="242"/>
    </row>
    <row r="131" spans="1:13" s="13" customFormat="1" ht="18" customHeight="1" x14ac:dyDescent="0.3">
      <c r="A131" s="242"/>
      <c r="B131" s="242"/>
      <c r="C131" s="242"/>
      <c r="D131" s="242"/>
      <c r="E131" s="21">
        <v>7</v>
      </c>
      <c r="F131" s="22" t="s">
        <v>471</v>
      </c>
      <c r="G131" s="22" t="s">
        <v>472</v>
      </c>
      <c r="H131" s="23" t="s">
        <v>473</v>
      </c>
      <c r="I131" s="24" t="s">
        <v>548</v>
      </c>
      <c r="J131" s="277" t="str">
        <f t="shared" si="3"/>
        <v>VIII-D</v>
      </c>
      <c r="K131" s="287"/>
      <c r="L131" s="242"/>
      <c r="M131" s="242"/>
    </row>
    <row r="132" spans="1:13" s="13" customFormat="1" ht="18" customHeight="1" x14ac:dyDescent="0.3">
      <c r="A132" s="242"/>
      <c r="B132" s="242"/>
      <c r="C132" s="242"/>
      <c r="D132" s="242"/>
      <c r="E132" s="21">
        <v>8</v>
      </c>
      <c r="F132" s="22" t="s">
        <v>474</v>
      </c>
      <c r="G132" s="22" t="s">
        <v>475</v>
      </c>
      <c r="H132" s="23" t="s">
        <v>476</v>
      </c>
      <c r="I132" s="24" t="s">
        <v>548</v>
      </c>
      <c r="J132" s="277" t="str">
        <f t="shared" si="3"/>
        <v>VIII-D</v>
      </c>
      <c r="K132" s="287"/>
      <c r="L132" s="242"/>
      <c r="M132" s="242"/>
    </row>
    <row r="133" spans="1:13" s="13" customFormat="1" ht="18" customHeight="1" x14ac:dyDescent="0.3">
      <c r="A133" s="242"/>
      <c r="B133" s="242"/>
      <c r="C133" s="242"/>
      <c r="D133" s="242"/>
      <c r="E133" s="21">
        <v>9</v>
      </c>
      <c r="F133" s="22" t="s">
        <v>477</v>
      </c>
      <c r="G133" s="22" t="s">
        <v>478</v>
      </c>
      <c r="H133" s="23" t="s">
        <v>479</v>
      </c>
      <c r="I133" s="24" t="s">
        <v>548</v>
      </c>
      <c r="J133" s="277" t="str">
        <f t="shared" si="3"/>
        <v>VIII-D</v>
      </c>
      <c r="K133" s="287"/>
      <c r="L133" s="242"/>
      <c r="M133" s="242"/>
    </row>
    <row r="134" spans="1:13" s="13" customFormat="1" ht="18" customHeight="1" x14ac:dyDescent="0.3">
      <c r="A134" s="242"/>
      <c r="B134" s="242"/>
      <c r="C134" s="242"/>
      <c r="D134" s="242"/>
      <c r="E134" s="21">
        <v>10</v>
      </c>
      <c r="F134" s="22" t="s">
        <v>480</v>
      </c>
      <c r="G134" s="22">
        <v>3124413170</v>
      </c>
      <c r="H134" s="23" t="s">
        <v>481</v>
      </c>
      <c r="I134" s="24" t="s">
        <v>548</v>
      </c>
      <c r="J134" s="277" t="str">
        <f t="shared" si="3"/>
        <v>VIII-D</v>
      </c>
      <c r="K134" s="287"/>
      <c r="L134" s="242"/>
      <c r="M134" s="242"/>
    </row>
    <row r="135" spans="1:13" s="13" customFormat="1" ht="18" customHeight="1" x14ac:dyDescent="0.3">
      <c r="A135" s="242"/>
      <c r="B135" s="242"/>
      <c r="C135" s="242"/>
      <c r="D135" s="242"/>
      <c r="E135" s="21">
        <v>11</v>
      </c>
      <c r="F135" s="22" t="s">
        <v>482</v>
      </c>
      <c r="G135" s="22">
        <v>3120065156</v>
      </c>
      <c r="H135" s="23" t="s">
        <v>483</v>
      </c>
      <c r="I135" s="24" t="s">
        <v>548</v>
      </c>
      <c r="J135" s="277" t="str">
        <f t="shared" si="3"/>
        <v>VIII-D</v>
      </c>
      <c r="K135" s="287"/>
      <c r="L135" s="242"/>
      <c r="M135" s="242"/>
    </row>
    <row r="136" spans="1:13" s="13" customFormat="1" ht="18" customHeight="1" x14ac:dyDescent="0.3">
      <c r="A136" s="242"/>
      <c r="B136" s="242"/>
      <c r="C136" s="242"/>
      <c r="D136" s="242"/>
      <c r="E136" s="21">
        <v>12</v>
      </c>
      <c r="F136" s="22" t="s">
        <v>484</v>
      </c>
      <c r="G136" s="22" t="s">
        <v>485</v>
      </c>
      <c r="H136" s="23" t="s">
        <v>486</v>
      </c>
      <c r="I136" s="24" t="s">
        <v>548</v>
      </c>
      <c r="J136" s="277" t="str">
        <f t="shared" si="3"/>
        <v>VIII-D</v>
      </c>
      <c r="K136" s="287"/>
      <c r="L136" s="242"/>
      <c r="M136" s="242"/>
    </row>
    <row r="137" spans="1:13" s="13" customFormat="1" ht="18" customHeight="1" x14ac:dyDescent="0.3">
      <c r="A137" s="242"/>
      <c r="B137" s="242"/>
      <c r="C137" s="242"/>
      <c r="D137" s="242"/>
      <c r="E137" s="21">
        <v>13</v>
      </c>
      <c r="F137" s="22" t="s">
        <v>487</v>
      </c>
      <c r="G137" s="22" t="s">
        <v>488</v>
      </c>
      <c r="H137" s="23" t="s">
        <v>489</v>
      </c>
      <c r="I137" s="24" t="s">
        <v>548</v>
      </c>
      <c r="J137" s="277" t="str">
        <f t="shared" si="3"/>
        <v>VIII-D</v>
      </c>
      <c r="K137" s="287"/>
      <c r="L137" s="242"/>
      <c r="M137" s="242"/>
    </row>
    <row r="138" spans="1:13" s="13" customFormat="1" ht="18" customHeight="1" x14ac:dyDescent="0.3">
      <c r="A138" s="242"/>
      <c r="B138" s="242"/>
      <c r="C138" s="242"/>
      <c r="D138" s="242"/>
      <c r="E138" s="21">
        <v>14</v>
      </c>
      <c r="F138" s="22" t="s">
        <v>490</v>
      </c>
      <c r="G138" s="22" t="s">
        <v>491</v>
      </c>
      <c r="H138" s="23" t="s">
        <v>492</v>
      </c>
      <c r="I138" s="24" t="s">
        <v>548</v>
      </c>
      <c r="J138" s="277" t="str">
        <f t="shared" si="3"/>
        <v>VIII-D</v>
      </c>
      <c r="K138" s="287"/>
      <c r="L138" s="242"/>
      <c r="M138" s="242"/>
    </row>
    <row r="139" spans="1:13" s="13" customFormat="1" ht="18" customHeight="1" x14ac:dyDescent="0.3">
      <c r="A139" s="242"/>
      <c r="B139" s="242"/>
      <c r="C139" s="242"/>
      <c r="D139" s="242"/>
      <c r="E139" s="21">
        <v>15</v>
      </c>
      <c r="F139" s="22" t="s">
        <v>493</v>
      </c>
      <c r="G139" s="22">
        <v>3124359784</v>
      </c>
      <c r="H139" s="23" t="s">
        <v>494</v>
      </c>
      <c r="I139" s="24" t="s">
        <v>548</v>
      </c>
      <c r="J139" s="277" t="str">
        <f t="shared" si="3"/>
        <v>VIII-D</v>
      </c>
      <c r="K139" s="287"/>
      <c r="L139" s="242"/>
      <c r="M139" s="242"/>
    </row>
    <row r="140" spans="1:13" s="13" customFormat="1" ht="18" customHeight="1" x14ac:dyDescent="0.3">
      <c r="A140" s="242"/>
      <c r="B140" s="242"/>
      <c r="C140" s="242"/>
      <c r="D140" s="242"/>
      <c r="E140" s="21">
        <v>16</v>
      </c>
      <c r="F140" s="22" t="s">
        <v>495</v>
      </c>
      <c r="G140" s="22" t="s">
        <v>496</v>
      </c>
      <c r="H140" s="23" t="s">
        <v>497</v>
      </c>
      <c r="I140" s="24" t="s">
        <v>548</v>
      </c>
      <c r="J140" s="277" t="str">
        <f t="shared" si="3"/>
        <v>VIII-D</v>
      </c>
      <c r="K140" s="287"/>
      <c r="L140" s="242"/>
      <c r="M140" s="242"/>
    </row>
    <row r="141" spans="1:13" s="13" customFormat="1" ht="18" customHeight="1" x14ac:dyDescent="0.3">
      <c r="A141" s="242"/>
      <c r="B141" s="242"/>
      <c r="C141" s="242"/>
      <c r="D141" s="242"/>
      <c r="E141" s="21">
        <v>17</v>
      </c>
      <c r="F141" s="22" t="s">
        <v>498</v>
      </c>
      <c r="G141" s="22">
        <v>3121879658</v>
      </c>
      <c r="H141" s="23" t="s">
        <v>499</v>
      </c>
      <c r="I141" s="24" t="s">
        <v>548</v>
      </c>
      <c r="J141" s="277" t="str">
        <f t="shared" si="3"/>
        <v>VIII-D</v>
      </c>
      <c r="K141" s="287"/>
      <c r="L141" s="242"/>
      <c r="M141" s="242"/>
    </row>
    <row r="142" spans="1:13" s="13" customFormat="1" ht="18" customHeight="1" x14ac:dyDescent="0.3">
      <c r="A142" s="242"/>
      <c r="B142" s="242"/>
      <c r="C142" s="242"/>
      <c r="D142" s="242"/>
      <c r="E142" s="21">
        <v>18</v>
      </c>
      <c r="F142" s="22" t="s">
        <v>500</v>
      </c>
      <c r="G142" s="22" t="s">
        <v>501</v>
      </c>
      <c r="H142" s="23" t="s">
        <v>502</v>
      </c>
      <c r="I142" s="24" t="s">
        <v>548</v>
      </c>
      <c r="J142" s="277" t="str">
        <f t="shared" si="3"/>
        <v>VIII-D</v>
      </c>
      <c r="K142" s="287"/>
      <c r="L142" s="242"/>
      <c r="M142" s="242"/>
    </row>
    <row r="143" spans="1:13" s="13" customFormat="1" ht="18" customHeight="1" x14ac:dyDescent="0.3">
      <c r="A143" s="242"/>
      <c r="B143" s="242"/>
      <c r="C143" s="242"/>
      <c r="D143" s="242"/>
      <c r="E143" s="21">
        <v>19</v>
      </c>
      <c r="F143" s="22" t="s">
        <v>503</v>
      </c>
      <c r="G143" s="22" t="s">
        <v>504</v>
      </c>
      <c r="H143" s="23" t="s">
        <v>505</v>
      </c>
      <c r="I143" s="24" t="s">
        <v>548</v>
      </c>
      <c r="J143" s="277" t="str">
        <f t="shared" si="3"/>
        <v>VIII-D</v>
      </c>
      <c r="K143" s="287"/>
      <c r="L143" s="242"/>
      <c r="M143" s="242"/>
    </row>
    <row r="144" spans="1:13" s="13" customFormat="1" ht="18" customHeight="1" x14ac:dyDescent="0.3">
      <c r="A144" s="242"/>
      <c r="B144" s="242"/>
      <c r="C144" s="242"/>
      <c r="D144" s="242"/>
      <c r="E144" s="21">
        <v>20</v>
      </c>
      <c r="F144" s="22" t="s">
        <v>506</v>
      </c>
      <c r="G144" s="22" t="s">
        <v>507</v>
      </c>
      <c r="H144" s="23" t="s">
        <v>508</v>
      </c>
      <c r="I144" s="24" t="s">
        <v>548</v>
      </c>
      <c r="J144" s="277" t="str">
        <f t="shared" si="3"/>
        <v>VIII-D</v>
      </c>
      <c r="K144" s="287"/>
      <c r="L144" s="242"/>
      <c r="M144" s="242"/>
    </row>
    <row r="145" spans="1:13" s="13" customFormat="1" ht="18" customHeight="1" x14ac:dyDescent="0.3">
      <c r="A145" s="242"/>
      <c r="B145" s="242"/>
      <c r="C145" s="242"/>
      <c r="D145" s="242"/>
      <c r="E145" s="21">
        <v>21</v>
      </c>
      <c r="F145" s="22" t="s">
        <v>509</v>
      </c>
      <c r="G145" s="22" t="s">
        <v>510</v>
      </c>
      <c r="H145" s="23" t="s">
        <v>511</v>
      </c>
      <c r="I145" s="24" t="s">
        <v>548</v>
      </c>
      <c r="J145" s="277" t="str">
        <f t="shared" si="3"/>
        <v>VIII-D</v>
      </c>
      <c r="K145" s="287"/>
      <c r="L145" s="242"/>
      <c r="M145" s="242"/>
    </row>
    <row r="146" spans="1:13" s="13" customFormat="1" ht="18" customHeight="1" x14ac:dyDescent="0.3">
      <c r="A146" s="242"/>
      <c r="B146" s="242"/>
      <c r="C146" s="242"/>
      <c r="D146" s="242"/>
      <c r="E146" s="21">
        <v>22</v>
      </c>
      <c r="F146" s="22" t="s">
        <v>512</v>
      </c>
      <c r="G146" s="22" t="s">
        <v>513</v>
      </c>
      <c r="H146" s="23" t="s">
        <v>514</v>
      </c>
      <c r="I146" s="24" t="s">
        <v>548</v>
      </c>
      <c r="J146" s="277" t="str">
        <f t="shared" si="3"/>
        <v>VIII-D</v>
      </c>
      <c r="K146" s="287"/>
      <c r="L146" s="242"/>
      <c r="M146" s="242"/>
    </row>
    <row r="147" spans="1:13" s="13" customFormat="1" ht="18" customHeight="1" x14ac:dyDescent="0.3">
      <c r="A147" s="242"/>
      <c r="B147" s="242"/>
      <c r="C147" s="242"/>
      <c r="D147" s="242"/>
      <c r="E147" s="21">
        <v>23</v>
      </c>
      <c r="F147" s="22" t="s">
        <v>515</v>
      </c>
      <c r="G147" s="22" t="s">
        <v>516</v>
      </c>
      <c r="H147" s="23" t="s">
        <v>517</v>
      </c>
      <c r="I147" s="24" t="s">
        <v>548</v>
      </c>
      <c r="J147" s="277" t="str">
        <f t="shared" si="3"/>
        <v>VIII-D</v>
      </c>
      <c r="K147" s="287"/>
      <c r="L147" s="242"/>
      <c r="M147" s="242"/>
    </row>
    <row r="148" spans="1:13" s="13" customFormat="1" ht="18" customHeight="1" x14ac:dyDescent="0.3">
      <c r="A148" s="242"/>
      <c r="B148" s="242"/>
      <c r="C148" s="242"/>
      <c r="D148" s="242"/>
      <c r="E148" s="21">
        <v>24</v>
      </c>
      <c r="F148" s="22" t="s">
        <v>518</v>
      </c>
      <c r="G148" s="22">
        <v>3135715665</v>
      </c>
      <c r="H148" s="23" t="s">
        <v>519</v>
      </c>
      <c r="I148" s="24" t="s">
        <v>548</v>
      </c>
      <c r="J148" s="277" t="str">
        <f t="shared" si="3"/>
        <v>VIII-D</v>
      </c>
      <c r="K148" s="287"/>
      <c r="L148" s="242"/>
      <c r="M148" s="242"/>
    </row>
    <row r="149" spans="1:13" s="13" customFormat="1" ht="18" customHeight="1" x14ac:dyDescent="0.3">
      <c r="A149" s="242"/>
      <c r="B149" s="242"/>
      <c r="C149" s="242"/>
      <c r="D149" s="242"/>
      <c r="E149" s="21">
        <v>25</v>
      </c>
      <c r="F149" s="22" t="s">
        <v>520</v>
      </c>
      <c r="G149" s="22" t="s">
        <v>521</v>
      </c>
      <c r="H149" s="23" t="s">
        <v>522</v>
      </c>
      <c r="I149" s="24" t="s">
        <v>548</v>
      </c>
      <c r="J149" s="277" t="str">
        <f t="shared" si="3"/>
        <v>VIII-D</v>
      </c>
      <c r="K149" s="287"/>
      <c r="L149" s="242"/>
      <c r="M149" s="242"/>
    </row>
    <row r="150" spans="1:13" s="13" customFormat="1" ht="18" customHeight="1" x14ac:dyDescent="0.3">
      <c r="A150" s="242"/>
      <c r="B150" s="242"/>
      <c r="C150" s="242"/>
      <c r="D150" s="242"/>
      <c r="E150" s="21">
        <v>26</v>
      </c>
      <c r="F150" s="22" t="s">
        <v>523</v>
      </c>
      <c r="G150" s="22">
        <v>3123624154</v>
      </c>
      <c r="H150" s="23" t="s">
        <v>524</v>
      </c>
      <c r="I150" s="24" t="s">
        <v>548</v>
      </c>
      <c r="J150" s="277" t="str">
        <f t="shared" si="3"/>
        <v>VIII-D</v>
      </c>
      <c r="K150" s="287"/>
      <c r="L150" s="242"/>
      <c r="M150" s="242"/>
    </row>
    <row r="151" spans="1:13" s="13" customFormat="1" ht="18" customHeight="1" x14ac:dyDescent="0.3">
      <c r="A151" s="242"/>
      <c r="B151" s="242"/>
      <c r="C151" s="242"/>
      <c r="D151" s="242"/>
      <c r="E151" s="21">
        <v>27</v>
      </c>
      <c r="F151" s="22" t="s">
        <v>525</v>
      </c>
      <c r="G151" s="22">
        <v>3129636775</v>
      </c>
      <c r="H151" s="23" t="s">
        <v>526</v>
      </c>
      <c r="I151" s="24" t="s">
        <v>548</v>
      </c>
      <c r="J151" s="277" t="str">
        <f t="shared" si="3"/>
        <v>VIII-D</v>
      </c>
      <c r="K151" s="287"/>
      <c r="L151" s="242"/>
      <c r="M151" s="242"/>
    </row>
    <row r="152" spans="1:13" s="13" customFormat="1" ht="18" customHeight="1" x14ac:dyDescent="0.3">
      <c r="A152" s="242"/>
      <c r="B152" s="242"/>
      <c r="C152" s="242"/>
      <c r="D152" s="242"/>
      <c r="E152" s="21">
        <v>28</v>
      </c>
      <c r="F152" s="22" t="s">
        <v>527</v>
      </c>
      <c r="G152" s="22">
        <v>3120947572</v>
      </c>
      <c r="H152" s="23" t="s">
        <v>528</v>
      </c>
      <c r="I152" s="24" t="s">
        <v>548</v>
      </c>
      <c r="J152" s="277" t="str">
        <f t="shared" ref="J152:J185" si="4">J151</f>
        <v>VIII-D</v>
      </c>
      <c r="K152" s="287"/>
      <c r="L152" s="242"/>
      <c r="M152" s="242"/>
    </row>
    <row r="153" spans="1:13" s="13" customFormat="1" ht="18" customHeight="1" x14ac:dyDescent="0.3">
      <c r="A153" s="242"/>
      <c r="B153" s="242"/>
      <c r="C153" s="242"/>
      <c r="D153" s="242"/>
      <c r="E153" s="21">
        <v>29</v>
      </c>
      <c r="F153" s="22" t="s">
        <v>529</v>
      </c>
      <c r="G153" s="22" t="s">
        <v>530</v>
      </c>
      <c r="H153" s="23" t="s">
        <v>531</v>
      </c>
      <c r="I153" s="24" t="s">
        <v>548</v>
      </c>
      <c r="J153" s="277" t="str">
        <f t="shared" si="4"/>
        <v>VIII-D</v>
      </c>
      <c r="K153" s="287"/>
      <c r="L153" s="242"/>
      <c r="M153" s="242"/>
    </row>
    <row r="154" spans="1:13" s="13" customFormat="1" ht="18" customHeight="1" x14ac:dyDescent="0.3">
      <c r="A154" s="242"/>
      <c r="B154" s="242"/>
      <c r="C154" s="242"/>
      <c r="D154" s="242"/>
      <c r="E154" s="21">
        <v>30</v>
      </c>
      <c r="F154" s="22" t="s">
        <v>532</v>
      </c>
      <c r="G154" s="22" t="s">
        <v>533</v>
      </c>
      <c r="H154" s="23" t="s">
        <v>534</v>
      </c>
      <c r="I154" s="24" t="s">
        <v>548</v>
      </c>
      <c r="J154" s="277" t="str">
        <f t="shared" si="4"/>
        <v>VIII-D</v>
      </c>
      <c r="K154" s="287"/>
      <c r="L154" s="242"/>
      <c r="M154" s="242"/>
    </row>
    <row r="155" spans="1:13" s="13" customFormat="1" ht="18" customHeight="1" x14ac:dyDescent="0.3">
      <c r="A155" s="242"/>
      <c r="B155" s="242"/>
      <c r="C155" s="242"/>
      <c r="D155" s="242"/>
      <c r="E155" s="21">
        <v>31</v>
      </c>
      <c r="F155" s="22" t="s">
        <v>535</v>
      </c>
      <c r="G155" s="22">
        <v>3126803916</v>
      </c>
      <c r="H155" s="23" t="s">
        <v>536</v>
      </c>
      <c r="I155" s="24" t="s">
        <v>548</v>
      </c>
      <c r="J155" s="277" t="str">
        <f t="shared" si="4"/>
        <v>VIII-D</v>
      </c>
      <c r="K155" s="287"/>
      <c r="L155" s="242"/>
      <c r="M155" s="242"/>
    </row>
    <row r="156" spans="1:13" s="13" customFormat="1" ht="18" customHeight="1" x14ac:dyDescent="0.3">
      <c r="A156" s="242"/>
      <c r="B156" s="242"/>
      <c r="C156" s="242"/>
      <c r="D156" s="242"/>
      <c r="E156" s="21">
        <v>32</v>
      </c>
      <c r="F156" s="22" t="s">
        <v>537</v>
      </c>
      <c r="G156" s="22" t="s">
        <v>538</v>
      </c>
      <c r="H156" s="23" t="s">
        <v>539</v>
      </c>
      <c r="I156" s="24" t="s">
        <v>548</v>
      </c>
      <c r="J156" s="277" t="str">
        <f t="shared" si="4"/>
        <v>VIII-D</v>
      </c>
      <c r="K156" s="287"/>
      <c r="L156" s="242"/>
      <c r="M156" s="242"/>
    </row>
    <row r="157" spans="1:13" s="13" customFormat="1" ht="18" customHeight="1" x14ac:dyDescent="0.3">
      <c r="A157" s="242"/>
      <c r="B157" s="242"/>
      <c r="C157" s="242"/>
      <c r="D157" s="242"/>
      <c r="E157" s="21">
        <v>33</v>
      </c>
      <c r="F157" s="22" t="s">
        <v>540</v>
      </c>
      <c r="G157" s="22">
        <v>3129511609</v>
      </c>
      <c r="H157" s="23" t="s">
        <v>541</v>
      </c>
      <c r="I157" s="24" t="s">
        <v>548</v>
      </c>
      <c r="J157" s="277" t="str">
        <f t="shared" si="4"/>
        <v>VIII-D</v>
      </c>
      <c r="K157" s="287"/>
      <c r="L157" s="242"/>
      <c r="M157" s="242"/>
    </row>
    <row r="158" spans="1:13" s="13" customFormat="1" ht="18" customHeight="1" x14ac:dyDescent="0.3">
      <c r="A158" s="242"/>
      <c r="B158" s="242"/>
      <c r="C158" s="242"/>
      <c r="D158" s="242"/>
      <c r="E158" s="21">
        <v>34</v>
      </c>
      <c r="F158" s="22" t="s">
        <v>542</v>
      </c>
      <c r="G158" s="22" t="s">
        <v>543</v>
      </c>
      <c r="H158" s="23" t="s">
        <v>544</v>
      </c>
      <c r="I158" s="24" t="s">
        <v>548</v>
      </c>
      <c r="J158" s="277" t="str">
        <f t="shared" si="4"/>
        <v>VIII-D</v>
      </c>
      <c r="K158" s="287"/>
      <c r="L158" s="242"/>
      <c r="M158" s="242"/>
    </row>
    <row r="159" spans="1:13" s="13" customFormat="1" ht="18" customHeight="1" x14ac:dyDescent="0.3">
      <c r="A159" s="242"/>
      <c r="B159" s="242"/>
      <c r="C159" s="242"/>
      <c r="D159" s="242"/>
      <c r="E159" s="21">
        <v>35</v>
      </c>
      <c r="F159" s="22" t="s">
        <v>545</v>
      </c>
      <c r="G159" s="22" t="s">
        <v>546</v>
      </c>
      <c r="H159" s="23" t="s">
        <v>547</v>
      </c>
      <c r="I159" s="24" t="s">
        <v>548</v>
      </c>
      <c r="J159" s="277" t="str">
        <f t="shared" si="4"/>
        <v>VIII-D</v>
      </c>
      <c r="K159" s="287"/>
      <c r="L159" s="242"/>
      <c r="M159" s="242"/>
    </row>
    <row r="160" spans="1:13" s="13" customFormat="1" ht="18" customHeight="1" x14ac:dyDescent="0.3">
      <c r="A160" s="242"/>
      <c r="B160" s="242"/>
      <c r="C160" s="242"/>
      <c r="D160" s="242"/>
      <c r="E160" s="21">
        <v>36</v>
      </c>
      <c r="F160" s="22"/>
      <c r="G160" s="22"/>
      <c r="H160" s="23"/>
      <c r="I160" s="24"/>
      <c r="J160" s="277" t="str">
        <f t="shared" si="4"/>
        <v>VIII-D</v>
      </c>
      <c r="K160" s="287"/>
      <c r="L160" s="242"/>
      <c r="M160" s="242"/>
    </row>
    <row r="161" spans="1:13" s="13" customFormat="1" ht="18" customHeight="1" x14ac:dyDescent="0.3">
      <c r="A161" s="242"/>
      <c r="B161" s="242"/>
      <c r="C161" s="242"/>
      <c r="D161" s="242"/>
      <c r="E161" s="21">
        <v>37</v>
      </c>
      <c r="F161" s="22"/>
      <c r="G161" s="22"/>
      <c r="H161" s="23"/>
      <c r="I161" s="24"/>
      <c r="J161" s="277" t="str">
        <f t="shared" si="4"/>
        <v>VIII-D</v>
      </c>
      <c r="K161" s="287"/>
      <c r="L161" s="242"/>
      <c r="M161" s="242"/>
    </row>
    <row r="162" spans="1:13" s="13" customFormat="1" ht="18" customHeight="1" x14ac:dyDescent="0.3">
      <c r="A162" s="242"/>
      <c r="B162" s="242"/>
      <c r="C162" s="242"/>
      <c r="D162" s="242"/>
      <c r="E162" s="21">
        <v>38</v>
      </c>
      <c r="F162" s="22"/>
      <c r="G162" s="22"/>
      <c r="H162" s="23"/>
      <c r="I162" s="24"/>
      <c r="J162" s="277" t="str">
        <f t="shared" si="4"/>
        <v>VIII-D</v>
      </c>
      <c r="K162" s="287"/>
      <c r="L162" s="242"/>
      <c r="M162" s="242"/>
    </row>
    <row r="163" spans="1:13" s="13" customFormat="1" ht="18" customHeight="1" x14ac:dyDescent="0.3">
      <c r="A163" s="242"/>
      <c r="B163" s="242"/>
      <c r="C163" s="242"/>
      <c r="D163" s="242"/>
      <c r="E163" s="21">
        <v>39</v>
      </c>
      <c r="F163" s="22"/>
      <c r="G163" s="22"/>
      <c r="H163" s="23"/>
      <c r="I163" s="24"/>
      <c r="J163" s="277" t="str">
        <f t="shared" si="4"/>
        <v>VIII-D</v>
      </c>
      <c r="K163" s="287"/>
      <c r="L163" s="242"/>
      <c r="M163" s="242"/>
    </row>
    <row r="164" spans="1:13" s="13" customFormat="1" ht="18" customHeight="1" x14ac:dyDescent="0.3">
      <c r="A164" s="242"/>
      <c r="B164" s="242"/>
      <c r="C164" s="242"/>
      <c r="D164" s="242"/>
      <c r="E164" s="21">
        <v>40</v>
      </c>
      <c r="F164" s="22"/>
      <c r="G164" s="22"/>
      <c r="H164" s="23"/>
      <c r="I164" s="24"/>
      <c r="J164" s="277" t="str">
        <f t="shared" si="4"/>
        <v>VIII-D</v>
      </c>
      <c r="K164" s="287"/>
      <c r="L164" s="242"/>
      <c r="M164" s="242"/>
    </row>
    <row r="165" spans="1:13" s="13" customFormat="1" ht="18" customHeight="1" x14ac:dyDescent="0.3">
      <c r="A165" s="242"/>
      <c r="B165" s="242"/>
      <c r="C165" s="242"/>
      <c r="D165" s="242"/>
      <c r="E165" s="21">
        <v>1</v>
      </c>
      <c r="F165" s="22" t="s">
        <v>549</v>
      </c>
      <c r="G165" s="22" t="s">
        <v>550</v>
      </c>
      <c r="H165" s="23" t="s">
        <v>551</v>
      </c>
      <c r="I165" s="24" t="s">
        <v>548</v>
      </c>
      <c r="J165" s="277" t="str">
        <f>IF(C9=7,"VII",IF(C9=8,"VIII","IX"))&amp;"-"&amp;"E"</f>
        <v>VIII-E</v>
      </c>
      <c r="K165" s="287"/>
      <c r="L165" s="242"/>
      <c r="M165" s="242"/>
    </row>
    <row r="166" spans="1:13" s="13" customFormat="1" ht="18" customHeight="1" x14ac:dyDescent="0.3">
      <c r="A166" s="242"/>
      <c r="B166" s="242"/>
      <c r="C166" s="242"/>
      <c r="D166" s="242"/>
      <c r="E166" s="21">
        <v>2</v>
      </c>
      <c r="F166" s="22" t="s">
        <v>552</v>
      </c>
      <c r="G166" s="22" t="s">
        <v>553</v>
      </c>
      <c r="H166" s="23" t="s">
        <v>554</v>
      </c>
      <c r="I166" s="24" t="s">
        <v>548</v>
      </c>
      <c r="J166" s="277" t="str">
        <f t="shared" si="4"/>
        <v>VIII-E</v>
      </c>
      <c r="K166" s="287"/>
      <c r="L166" s="242"/>
      <c r="M166" s="242"/>
    </row>
    <row r="167" spans="1:13" s="13" customFormat="1" ht="18" customHeight="1" x14ac:dyDescent="0.3">
      <c r="A167" s="242"/>
      <c r="B167" s="242"/>
      <c r="C167" s="242"/>
      <c r="D167" s="242"/>
      <c r="E167" s="21">
        <v>3</v>
      </c>
      <c r="F167" s="22" t="s">
        <v>555</v>
      </c>
      <c r="G167" s="22">
        <v>3139371349</v>
      </c>
      <c r="H167" s="23" t="s">
        <v>556</v>
      </c>
      <c r="I167" s="24" t="s">
        <v>548</v>
      </c>
      <c r="J167" s="277" t="str">
        <f t="shared" si="4"/>
        <v>VIII-E</v>
      </c>
      <c r="K167" s="287"/>
      <c r="L167" s="242"/>
      <c r="M167" s="242"/>
    </row>
    <row r="168" spans="1:13" s="13" customFormat="1" ht="18" customHeight="1" x14ac:dyDescent="0.3">
      <c r="A168" s="242"/>
      <c r="B168" s="242"/>
      <c r="C168" s="242"/>
      <c r="D168" s="242"/>
      <c r="E168" s="21">
        <v>4</v>
      </c>
      <c r="F168" s="22" t="s">
        <v>557</v>
      </c>
      <c r="G168" s="22">
        <v>3132671376</v>
      </c>
      <c r="H168" s="23" t="s">
        <v>558</v>
      </c>
      <c r="I168" s="24" t="s">
        <v>548</v>
      </c>
      <c r="J168" s="277" t="str">
        <f t="shared" si="4"/>
        <v>VIII-E</v>
      </c>
      <c r="K168" s="287"/>
      <c r="L168" s="242"/>
      <c r="M168" s="242"/>
    </row>
    <row r="169" spans="1:13" s="13" customFormat="1" ht="18" customHeight="1" x14ac:dyDescent="0.3">
      <c r="A169" s="242"/>
      <c r="B169" s="242"/>
      <c r="C169" s="242"/>
      <c r="D169" s="242"/>
      <c r="E169" s="21">
        <v>5</v>
      </c>
      <c r="F169" s="22" t="s">
        <v>559</v>
      </c>
      <c r="G169" s="22">
        <v>3130873902</v>
      </c>
      <c r="H169" s="23" t="s">
        <v>560</v>
      </c>
      <c r="I169" s="24" t="s">
        <v>548</v>
      </c>
      <c r="J169" s="277" t="str">
        <f t="shared" si="4"/>
        <v>VIII-E</v>
      </c>
      <c r="K169" s="287"/>
      <c r="L169" s="242"/>
      <c r="M169" s="242"/>
    </row>
    <row r="170" spans="1:13" s="13" customFormat="1" ht="18" customHeight="1" x14ac:dyDescent="0.3">
      <c r="A170" s="242"/>
      <c r="B170" s="242"/>
      <c r="C170" s="242"/>
      <c r="D170" s="242"/>
      <c r="E170" s="21">
        <v>6</v>
      </c>
      <c r="F170" s="22" t="s">
        <v>561</v>
      </c>
      <c r="G170" s="22" t="s">
        <v>562</v>
      </c>
      <c r="H170" s="23" t="s">
        <v>563</v>
      </c>
      <c r="I170" s="24" t="s">
        <v>548</v>
      </c>
      <c r="J170" s="277" t="str">
        <f t="shared" si="4"/>
        <v>VIII-E</v>
      </c>
      <c r="K170" s="287"/>
      <c r="L170" s="242"/>
      <c r="M170" s="242"/>
    </row>
    <row r="171" spans="1:13" s="13" customFormat="1" ht="18" customHeight="1" x14ac:dyDescent="0.3">
      <c r="A171" s="242"/>
      <c r="B171" s="242"/>
      <c r="C171" s="242"/>
      <c r="D171" s="242"/>
      <c r="E171" s="21">
        <v>7</v>
      </c>
      <c r="F171" s="22" t="s">
        <v>564</v>
      </c>
      <c r="G171" s="22">
        <v>3125556973</v>
      </c>
      <c r="H171" s="23" t="s">
        <v>565</v>
      </c>
      <c r="I171" s="24" t="s">
        <v>548</v>
      </c>
      <c r="J171" s="277" t="str">
        <f t="shared" si="4"/>
        <v>VIII-E</v>
      </c>
      <c r="K171" s="287"/>
      <c r="L171" s="242"/>
      <c r="M171" s="242"/>
    </row>
    <row r="172" spans="1:13" s="13" customFormat="1" ht="18" customHeight="1" x14ac:dyDescent="0.3">
      <c r="A172" s="242"/>
      <c r="B172" s="242"/>
      <c r="C172" s="242"/>
      <c r="D172" s="242"/>
      <c r="E172" s="21">
        <v>8</v>
      </c>
      <c r="F172" s="22" t="s">
        <v>566</v>
      </c>
      <c r="G172" s="22">
        <v>3121041677</v>
      </c>
      <c r="H172" s="23" t="s">
        <v>567</v>
      </c>
      <c r="I172" s="24" t="s">
        <v>548</v>
      </c>
      <c r="J172" s="277" t="str">
        <f t="shared" si="4"/>
        <v>VIII-E</v>
      </c>
      <c r="K172" s="287"/>
      <c r="L172" s="242"/>
      <c r="M172" s="242"/>
    </row>
    <row r="173" spans="1:13" s="13" customFormat="1" ht="18" customHeight="1" x14ac:dyDescent="0.3">
      <c r="A173" s="242"/>
      <c r="B173" s="242"/>
      <c r="C173" s="242"/>
      <c r="D173" s="242"/>
      <c r="E173" s="21">
        <v>9</v>
      </c>
      <c r="F173" s="22" t="s">
        <v>568</v>
      </c>
      <c r="G173" s="22" t="s">
        <v>569</v>
      </c>
      <c r="H173" s="23" t="s">
        <v>570</v>
      </c>
      <c r="I173" s="24" t="s">
        <v>548</v>
      </c>
      <c r="J173" s="277" t="str">
        <f t="shared" si="4"/>
        <v>VIII-E</v>
      </c>
      <c r="K173" s="287"/>
      <c r="L173" s="242"/>
      <c r="M173" s="242"/>
    </row>
    <row r="174" spans="1:13" s="13" customFormat="1" ht="18" customHeight="1" x14ac:dyDescent="0.3">
      <c r="A174" s="242"/>
      <c r="B174" s="242"/>
      <c r="C174" s="242"/>
      <c r="D174" s="242"/>
      <c r="E174" s="21">
        <v>10</v>
      </c>
      <c r="F174" s="22" t="s">
        <v>571</v>
      </c>
      <c r="G174" s="22" t="s">
        <v>572</v>
      </c>
      <c r="H174" s="23" t="s">
        <v>573</v>
      </c>
      <c r="I174" s="24" t="s">
        <v>548</v>
      </c>
      <c r="J174" s="277" t="str">
        <f t="shared" si="4"/>
        <v>VIII-E</v>
      </c>
      <c r="K174" s="287"/>
      <c r="L174" s="242"/>
      <c r="M174" s="242"/>
    </row>
    <row r="175" spans="1:13" s="13" customFormat="1" ht="18" customHeight="1" x14ac:dyDescent="0.3">
      <c r="A175" s="242"/>
      <c r="B175" s="242"/>
      <c r="C175" s="242"/>
      <c r="D175" s="242"/>
      <c r="E175" s="21">
        <v>11</v>
      </c>
      <c r="F175" s="22" t="s">
        <v>574</v>
      </c>
      <c r="G175" s="22" t="s">
        <v>575</v>
      </c>
      <c r="H175" s="23" t="s">
        <v>576</v>
      </c>
      <c r="I175" s="24" t="s">
        <v>548</v>
      </c>
      <c r="J175" s="277" t="str">
        <f t="shared" si="4"/>
        <v>VIII-E</v>
      </c>
      <c r="K175" s="287"/>
      <c r="L175" s="242"/>
      <c r="M175" s="242"/>
    </row>
    <row r="176" spans="1:13" s="13" customFormat="1" ht="18" customHeight="1" x14ac:dyDescent="0.3">
      <c r="A176" s="242"/>
      <c r="B176" s="242"/>
      <c r="C176" s="242"/>
      <c r="D176" s="242"/>
      <c r="E176" s="21">
        <v>12</v>
      </c>
      <c r="F176" s="22" t="s">
        <v>577</v>
      </c>
      <c r="G176" s="22" t="s">
        <v>578</v>
      </c>
      <c r="H176" s="23" t="s">
        <v>579</v>
      </c>
      <c r="I176" s="24" t="s">
        <v>548</v>
      </c>
      <c r="J176" s="277" t="str">
        <f t="shared" si="4"/>
        <v>VIII-E</v>
      </c>
      <c r="K176" s="287"/>
      <c r="L176" s="242"/>
      <c r="M176" s="242"/>
    </row>
    <row r="177" spans="1:13" s="13" customFormat="1" ht="18" customHeight="1" x14ac:dyDescent="0.3">
      <c r="A177" s="242"/>
      <c r="B177" s="242"/>
      <c r="C177" s="242"/>
      <c r="D177" s="242"/>
      <c r="E177" s="21">
        <v>13</v>
      </c>
      <c r="F177" s="22" t="s">
        <v>580</v>
      </c>
      <c r="G177" s="22">
        <v>3128554675</v>
      </c>
      <c r="H177" s="23" t="s">
        <v>581</v>
      </c>
      <c r="I177" s="24" t="s">
        <v>548</v>
      </c>
      <c r="J177" s="277" t="str">
        <f t="shared" si="4"/>
        <v>VIII-E</v>
      </c>
      <c r="K177" s="287"/>
      <c r="L177" s="242"/>
      <c r="M177" s="242"/>
    </row>
    <row r="178" spans="1:13" s="13" customFormat="1" ht="18" customHeight="1" x14ac:dyDescent="0.3">
      <c r="A178" s="242"/>
      <c r="B178" s="242"/>
      <c r="C178" s="242"/>
      <c r="D178" s="242"/>
      <c r="E178" s="21">
        <v>14</v>
      </c>
      <c r="F178" s="22" t="s">
        <v>582</v>
      </c>
      <c r="G178" s="22" t="s">
        <v>583</v>
      </c>
      <c r="H178" s="23" t="s">
        <v>584</v>
      </c>
      <c r="I178" s="24" t="s">
        <v>548</v>
      </c>
      <c r="J178" s="277" t="str">
        <f t="shared" si="4"/>
        <v>VIII-E</v>
      </c>
      <c r="K178" s="287"/>
      <c r="L178" s="242"/>
      <c r="M178" s="242"/>
    </row>
    <row r="179" spans="1:13" s="13" customFormat="1" ht="18" customHeight="1" x14ac:dyDescent="0.3">
      <c r="A179" s="242"/>
      <c r="B179" s="242"/>
      <c r="C179" s="242"/>
      <c r="D179" s="242"/>
      <c r="E179" s="21">
        <v>15</v>
      </c>
      <c r="F179" s="22" t="s">
        <v>585</v>
      </c>
      <c r="G179" s="22" t="s">
        <v>586</v>
      </c>
      <c r="H179" s="23" t="s">
        <v>587</v>
      </c>
      <c r="I179" s="24" t="s">
        <v>548</v>
      </c>
      <c r="J179" s="277" t="str">
        <f t="shared" si="4"/>
        <v>VIII-E</v>
      </c>
      <c r="K179" s="287"/>
      <c r="L179" s="242"/>
      <c r="M179" s="242"/>
    </row>
    <row r="180" spans="1:13" s="13" customFormat="1" ht="18" customHeight="1" x14ac:dyDescent="0.3">
      <c r="A180" s="242"/>
      <c r="B180" s="242"/>
      <c r="C180" s="242"/>
      <c r="D180" s="242"/>
      <c r="E180" s="21">
        <v>16</v>
      </c>
      <c r="F180" s="22" t="s">
        <v>588</v>
      </c>
      <c r="G180" s="22" t="s">
        <v>589</v>
      </c>
      <c r="H180" s="23" t="s">
        <v>590</v>
      </c>
      <c r="I180" s="24" t="s">
        <v>548</v>
      </c>
      <c r="J180" s="277" t="str">
        <f t="shared" si="4"/>
        <v>VIII-E</v>
      </c>
      <c r="K180" s="287"/>
      <c r="L180" s="242"/>
      <c r="M180" s="242"/>
    </row>
    <row r="181" spans="1:13" s="13" customFormat="1" ht="18" customHeight="1" x14ac:dyDescent="0.3">
      <c r="A181" s="242"/>
      <c r="B181" s="242"/>
      <c r="C181" s="242"/>
      <c r="D181" s="242"/>
      <c r="E181" s="21">
        <v>17</v>
      </c>
      <c r="F181" s="22" t="s">
        <v>591</v>
      </c>
      <c r="G181" s="22">
        <v>3129949060</v>
      </c>
      <c r="H181" s="23" t="s">
        <v>592</v>
      </c>
      <c r="I181" s="24" t="s">
        <v>548</v>
      </c>
      <c r="J181" s="277" t="str">
        <f t="shared" si="4"/>
        <v>VIII-E</v>
      </c>
      <c r="K181" s="287"/>
      <c r="L181" s="242"/>
      <c r="M181" s="242"/>
    </row>
    <row r="182" spans="1:13" s="13" customFormat="1" ht="18" customHeight="1" x14ac:dyDescent="0.3">
      <c r="A182" s="242"/>
      <c r="B182" s="242"/>
      <c r="C182" s="242"/>
      <c r="D182" s="242"/>
      <c r="E182" s="21">
        <v>18</v>
      </c>
      <c r="F182" s="22" t="s">
        <v>593</v>
      </c>
      <c r="G182" s="22">
        <v>3135515998</v>
      </c>
      <c r="H182" s="23" t="s">
        <v>594</v>
      </c>
      <c r="I182" s="24" t="s">
        <v>548</v>
      </c>
      <c r="J182" s="277" t="str">
        <f t="shared" si="4"/>
        <v>VIII-E</v>
      </c>
      <c r="K182" s="287"/>
      <c r="L182" s="242"/>
      <c r="M182" s="242"/>
    </row>
    <row r="183" spans="1:13" s="13" customFormat="1" ht="18" customHeight="1" x14ac:dyDescent="0.3">
      <c r="A183" s="242"/>
      <c r="B183" s="242"/>
      <c r="C183" s="242"/>
      <c r="D183" s="242"/>
      <c r="E183" s="21">
        <v>19</v>
      </c>
      <c r="F183" s="22" t="s">
        <v>595</v>
      </c>
      <c r="G183" s="22" t="s">
        <v>596</v>
      </c>
      <c r="H183" s="23" t="s">
        <v>597</v>
      </c>
      <c r="I183" s="24" t="s">
        <v>548</v>
      </c>
      <c r="J183" s="277" t="str">
        <f t="shared" si="4"/>
        <v>VIII-E</v>
      </c>
      <c r="K183" s="287"/>
      <c r="L183" s="242"/>
      <c r="M183" s="242"/>
    </row>
    <row r="184" spans="1:13" s="13" customFormat="1" ht="18" customHeight="1" x14ac:dyDescent="0.3">
      <c r="A184" s="242"/>
      <c r="B184" s="242"/>
      <c r="C184" s="242"/>
      <c r="D184" s="242"/>
      <c r="E184" s="21">
        <v>20</v>
      </c>
      <c r="F184" s="22" t="s">
        <v>598</v>
      </c>
      <c r="G184" s="22">
        <v>3135494394</v>
      </c>
      <c r="H184" s="23" t="s">
        <v>599</v>
      </c>
      <c r="I184" s="24" t="s">
        <v>548</v>
      </c>
      <c r="J184" s="277" t="str">
        <f t="shared" si="4"/>
        <v>VIII-E</v>
      </c>
      <c r="K184" s="287"/>
      <c r="L184" s="242"/>
      <c r="M184" s="242"/>
    </row>
    <row r="185" spans="1:13" s="13" customFormat="1" ht="18" customHeight="1" x14ac:dyDescent="0.3">
      <c r="A185" s="242"/>
      <c r="B185" s="242"/>
      <c r="C185" s="242"/>
      <c r="D185" s="242"/>
      <c r="E185" s="21">
        <v>21</v>
      </c>
      <c r="F185" s="22" t="s">
        <v>600</v>
      </c>
      <c r="G185" s="22">
        <v>3123772744</v>
      </c>
      <c r="H185" s="23" t="s">
        <v>601</v>
      </c>
      <c r="I185" s="24" t="s">
        <v>548</v>
      </c>
      <c r="J185" s="277" t="str">
        <f t="shared" si="4"/>
        <v>VIII-E</v>
      </c>
      <c r="K185" s="287"/>
      <c r="L185" s="242"/>
      <c r="M185" s="242"/>
    </row>
    <row r="186" spans="1:13" s="13" customFormat="1" ht="18" customHeight="1" x14ac:dyDescent="0.3">
      <c r="A186" s="242"/>
      <c r="B186" s="242"/>
      <c r="C186" s="242"/>
      <c r="D186" s="242"/>
      <c r="E186" s="21">
        <v>22</v>
      </c>
      <c r="F186" s="22" t="s">
        <v>602</v>
      </c>
      <c r="G186" s="22" t="s">
        <v>603</v>
      </c>
      <c r="H186" s="23" t="s">
        <v>604</v>
      </c>
      <c r="I186" s="24" t="s">
        <v>548</v>
      </c>
      <c r="J186" s="277" t="str">
        <f t="shared" ref="J186:J198" si="5">J185</f>
        <v>VIII-E</v>
      </c>
      <c r="K186" s="287"/>
      <c r="L186" s="242"/>
      <c r="M186" s="242"/>
    </row>
    <row r="187" spans="1:13" s="13" customFormat="1" ht="18" customHeight="1" x14ac:dyDescent="0.3">
      <c r="A187" s="242"/>
      <c r="B187" s="242"/>
      <c r="C187" s="242"/>
      <c r="D187" s="242"/>
      <c r="E187" s="21">
        <v>23</v>
      </c>
      <c r="F187" s="22" t="s">
        <v>605</v>
      </c>
      <c r="G187" s="22" t="s">
        <v>606</v>
      </c>
      <c r="H187" s="23" t="s">
        <v>607</v>
      </c>
      <c r="I187" s="24" t="s">
        <v>548</v>
      </c>
      <c r="J187" s="277" t="str">
        <f t="shared" si="5"/>
        <v>VIII-E</v>
      </c>
      <c r="K187" s="287"/>
      <c r="L187" s="242"/>
      <c r="M187" s="242"/>
    </row>
    <row r="188" spans="1:13" s="13" customFormat="1" ht="18" customHeight="1" x14ac:dyDescent="0.3">
      <c r="A188" s="242"/>
      <c r="B188" s="242"/>
      <c r="C188" s="242"/>
      <c r="D188" s="242"/>
      <c r="E188" s="21">
        <v>24</v>
      </c>
      <c r="F188" s="22" t="s">
        <v>608</v>
      </c>
      <c r="G188" s="22" t="s">
        <v>609</v>
      </c>
      <c r="H188" s="23" t="s">
        <v>610</v>
      </c>
      <c r="I188" s="24" t="s">
        <v>548</v>
      </c>
      <c r="J188" s="277" t="str">
        <f t="shared" si="5"/>
        <v>VIII-E</v>
      </c>
      <c r="K188" s="287"/>
      <c r="L188" s="242"/>
      <c r="M188" s="242"/>
    </row>
    <row r="189" spans="1:13" s="13" customFormat="1" ht="18" customHeight="1" x14ac:dyDescent="0.3">
      <c r="A189" s="242"/>
      <c r="B189" s="242"/>
      <c r="C189" s="242"/>
      <c r="D189" s="242"/>
      <c r="E189" s="21">
        <v>25</v>
      </c>
      <c r="F189" s="22" t="s">
        <v>611</v>
      </c>
      <c r="G189" s="22" t="s">
        <v>612</v>
      </c>
      <c r="H189" s="23" t="s">
        <v>613</v>
      </c>
      <c r="I189" s="24" t="s">
        <v>548</v>
      </c>
      <c r="J189" s="277" t="str">
        <f t="shared" si="5"/>
        <v>VIII-E</v>
      </c>
      <c r="K189" s="287"/>
      <c r="L189" s="242"/>
      <c r="M189" s="242"/>
    </row>
    <row r="190" spans="1:13" s="13" customFormat="1" ht="18" customHeight="1" x14ac:dyDescent="0.3">
      <c r="A190" s="242"/>
      <c r="B190" s="242"/>
      <c r="C190" s="242"/>
      <c r="D190" s="242"/>
      <c r="E190" s="21">
        <v>26</v>
      </c>
      <c r="F190" s="22" t="s">
        <v>614</v>
      </c>
      <c r="G190" s="22" t="s">
        <v>615</v>
      </c>
      <c r="H190" s="23" t="s">
        <v>616</v>
      </c>
      <c r="I190" s="24" t="s">
        <v>548</v>
      </c>
      <c r="J190" s="277" t="str">
        <f t="shared" si="5"/>
        <v>VIII-E</v>
      </c>
      <c r="K190" s="287"/>
      <c r="L190" s="242"/>
      <c r="M190" s="242"/>
    </row>
    <row r="191" spans="1:13" s="13" customFormat="1" ht="18" customHeight="1" x14ac:dyDescent="0.3">
      <c r="A191" s="242"/>
      <c r="B191" s="242"/>
      <c r="C191" s="242"/>
      <c r="D191" s="242"/>
      <c r="E191" s="21">
        <v>27</v>
      </c>
      <c r="F191" s="22" t="s">
        <v>617</v>
      </c>
      <c r="G191" s="22">
        <v>3112542287</v>
      </c>
      <c r="H191" s="23" t="s">
        <v>618</v>
      </c>
      <c r="I191" s="24" t="s">
        <v>548</v>
      </c>
      <c r="J191" s="277" t="str">
        <f t="shared" si="5"/>
        <v>VIII-E</v>
      </c>
      <c r="K191" s="287"/>
      <c r="L191" s="242"/>
      <c r="M191" s="242"/>
    </row>
    <row r="192" spans="1:13" s="13" customFormat="1" ht="18" customHeight="1" x14ac:dyDescent="0.3">
      <c r="A192" s="242"/>
      <c r="B192" s="242"/>
      <c r="C192" s="242"/>
      <c r="D192" s="242"/>
      <c r="E192" s="21">
        <v>28</v>
      </c>
      <c r="F192" s="22" t="s">
        <v>619</v>
      </c>
      <c r="G192" s="22" t="s">
        <v>620</v>
      </c>
      <c r="H192" s="23" t="s">
        <v>621</v>
      </c>
      <c r="I192" s="24" t="s">
        <v>548</v>
      </c>
      <c r="J192" s="277" t="str">
        <f t="shared" si="5"/>
        <v>VIII-E</v>
      </c>
      <c r="K192" s="287"/>
      <c r="L192" s="242"/>
      <c r="M192" s="242"/>
    </row>
    <row r="193" spans="1:13" s="13" customFormat="1" ht="18" customHeight="1" x14ac:dyDescent="0.3">
      <c r="A193" s="242"/>
      <c r="B193" s="242"/>
      <c r="C193" s="242"/>
      <c r="D193" s="242"/>
      <c r="E193" s="21">
        <v>29</v>
      </c>
      <c r="F193" s="22" t="s">
        <v>622</v>
      </c>
      <c r="G193" s="22" t="s">
        <v>623</v>
      </c>
      <c r="H193" s="23" t="s">
        <v>624</v>
      </c>
      <c r="I193" s="24" t="s">
        <v>548</v>
      </c>
      <c r="J193" s="277" t="str">
        <f t="shared" si="5"/>
        <v>VIII-E</v>
      </c>
      <c r="K193" s="287"/>
      <c r="L193" s="242"/>
      <c r="M193" s="242"/>
    </row>
    <row r="194" spans="1:13" s="13" customFormat="1" ht="18" customHeight="1" x14ac:dyDescent="0.3">
      <c r="A194" s="242"/>
      <c r="B194" s="242"/>
      <c r="C194" s="242"/>
      <c r="D194" s="242"/>
      <c r="E194" s="21">
        <v>30</v>
      </c>
      <c r="F194" s="22" t="s">
        <v>625</v>
      </c>
      <c r="G194" s="22" t="s">
        <v>626</v>
      </c>
      <c r="H194" s="23" t="s">
        <v>627</v>
      </c>
      <c r="I194" s="24" t="s">
        <v>548</v>
      </c>
      <c r="J194" s="277" t="str">
        <f t="shared" si="5"/>
        <v>VIII-E</v>
      </c>
      <c r="K194" s="287"/>
      <c r="L194" s="242"/>
      <c r="M194" s="242"/>
    </row>
    <row r="195" spans="1:13" s="13" customFormat="1" ht="18" customHeight="1" x14ac:dyDescent="0.3">
      <c r="A195" s="242"/>
      <c r="B195" s="242"/>
      <c r="C195" s="242"/>
      <c r="D195" s="242"/>
      <c r="E195" s="21">
        <v>31</v>
      </c>
      <c r="F195" s="22" t="s">
        <v>628</v>
      </c>
      <c r="G195" s="22" t="s">
        <v>629</v>
      </c>
      <c r="H195" s="23" t="s">
        <v>630</v>
      </c>
      <c r="I195" s="24" t="s">
        <v>548</v>
      </c>
      <c r="J195" s="277" t="str">
        <f t="shared" si="5"/>
        <v>VIII-E</v>
      </c>
      <c r="K195" s="287"/>
      <c r="L195" s="242"/>
      <c r="M195" s="242"/>
    </row>
    <row r="196" spans="1:13" s="13" customFormat="1" ht="18" customHeight="1" x14ac:dyDescent="0.3">
      <c r="A196" s="242"/>
      <c r="B196" s="242"/>
      <c r="C196" s="242"/>
      <c r="D196" s="242"/>
      <c r="E196" s="21">
        <v>32</v>
      </c>
      <c r="F196" s="22"/>
      <c r="G196" s="22"/>
      <c r="H196" s="23"/>
      <c r="I196" s="24"/>
      <c r="J196" s="277" t="str">
        <f t="shared" si="5"/>
        <v>VIII-E</v>
      </c>
      <c r="K196" s="287"/>
      <c r="L196" s="242"/>
      <c r="M196" s="242"/>
    </row>
    <row r="197" spans="1:13" s="13" customFormat="1" ht="18" customHeight="1" x14ac:dyDescent="0.3">
      <c r="A197" s="242"/>
      <c r="B197" s="242"/>
      <c r="C197" s="242"/>
      <c r="D197" s="242"/>
      <c r="E197" s="21">
        <v>33</v>
      </c>
      <c r="F197" s="22"/>
      <c r="G197" s="22"/>
      <c r="H197" s="23"/>
      <c r="I197" s="24"/>
      <c r="J197" s="277" t="str">
        <f t="shared" si="5"/>
        <v>VIII-E</v>
      </c>
      <c r="K197" s="287"/>
      <c r="L197" s="242"/>
      <c r="M197" s="242"/>
    </row>
    <row r="198" spans="1:13" s="13" customFormat="1" ht="18" customHeight="1" x14ac:dyDescent="0.3">
      <c r="A198" s="242"/>
      <c r="B198" s="242"/>
      <c r="C198" s="242"/>
      <c r="D198" s="242"/>
      <c r="E198" s="21">
        <v>34</v>
      </c>
      <c r="F198" s="22"/>
      <c r="G198" s="22"/>
      <c r="H198" s="23"/>
      <c r="I198" s="24"/>
      <c r="J198" s="277" t="str">
        <f t="shared" si="5"/>
        <v>VIII-E</v>
      </c>
      <c r="K198" s="287"/>
      <c r="L198" s="242"/>
      <c r="M198" s="242"/>
    </row>
    <row r="199" spans="1:13" s="13" customFormat="1" ht="18" customHeight="1" x14ac:dyDescent="0.3">
      <c r="A199" s="242"/>
      <c r="B199" s="242"/>
      <c r="C199" s="242"/>
      <c r="D199" s="242"/>
      <c r="E199" s="21">
        <v>35</v>
      </c>
      <c r="F199" s="22"/>
      <c r="G199" s="22"/>
      <c r="H199" s="23"/>
      <c r="I199" s="24"/>
      <c r="J199" s="277" t="str">
        <f t="shared" ref="J199:J221" si="6">J198</f>
        <v>VIII-E</v>
      </c>
      <c r="K199" s="287"/>
      <c r="L199" s="242"/>
      <c r="M199" s="242"/>
    </row>
    <row r="200" spans="1:13" s="13" customFormat="1" ht="18" customHeight="1" x14ac:dyDescent="0.3">
      <c r="A200" s="242"/>
      <c r="B200" s="242"/>
      <c r="C200" s="242"/>
      <c r="D200" s="242"/>
      <c r="E200" s="21">
        <v>36</v>
      </c>
      <c r="F200" s="22"/>
      <c r="G200" s="22"/>
      <c r="H200" s="23"/>
      <c r="I200" s="24"/>
      <c r="J200" s="277" t="str">
        <f t="shared" si="6"/>
        <v>VIII-E</v>
      </c>
      <c r="K200" s="287"/>
      <c r="L200" s="242"/>
      <c r="M200" s="242"/>
    </row>
    <row r="201" spans="1:13" s="13" customFormat="1" ht="18" customHeight="1" x14ac:dyDescent="0.3">
      <c r="A201" s="242"/>
      <c r="B201" s="242"/>
      <c r="C201" s="242"/>
      <c r="D201" s="242"/>
      <c r="E201" s="21">
        <v>37</v>
      </c>
      <c r="F201" s="22"/>
      <c r="G201" s="22"/>
      <c r="H201" s="23"/>
      <c r="I201" s="24"/>
      <c r="J201" s="277" t="str">
        <f t="shared" si="6"/>
        <v>VIII-E</v>
      </c>
      <c r="K201" s="287"/>
      <c r="L201" s="242"/>
      <c r="M201" s="242"/>
    </row>
    <row r="202" spans="1:13" s="13" customFormat="1" ht="18" customHeight="1" x14ac:dyDescent="0.3">
      <c r="A202" s="242"/>
      <c r="B202" s="242"/>
      <c r="C202" s="242"/>
      <c r="D202" s="242"/>
      <c r="E202" s="21">
        <v>38</v>
      </c>
      <c r="F202" s="22"/>
      <c r="G202" s="22"/>
      <c r="H202" s="23"/>
      <c r="I202" s="24"/>
      <c r="J202" s="277" t="str">
        <f t="shared" si="6"/>
        <v>VIII-E</v>
      </c>
      <c r="K202" s="287"/>
      <c r="L202" s="242"/>
      <c r="M202" s="242"/>
    </row>
    <row r="203" spans="1:13" s="13" customFormat="1" ht="18" customHeight="1" x14ac:dyDescent="0.3">
      <c r="A203" s="242"/>
      <c r="B203" s="242"/>
      <c r="C203" s="242"/>
      <c r="D203" s="242"/>
      <c r="E203" s="21">
        <v>39</v>
      </c>
      <c r="F203" s="22"/>
      <c r="G203" s="22"/>
      <c r="H203" s="23"/>
      <c r="I203" s="24"/>
      <c r="J203" s="277" t="str">
        <f t="shared" si="6"/>
        <v>VIII-E</v>
      </c>
      <c r="K203" s="287"/>
      <c r="L203" s="242"/>
      <c r="M203" s="242"/>
    </row>
    <row r="204" spans="1:13" s="13" customFormat="1" ht="18" customHeight="1" x14ac:dyDescent="0.3">
      <c r="A204" s="242"/>
      <c r="B204" s="242"/>
      <c r="C204" s="242"/>
      <c r="D204" s="242"/>
      <c r="E204" s="21">
        <v>40</v>
      </c>
      <c r="F204" s="22"/>
      <c r="G204" s="22"/>
      <c r="H204" s="23"/>
      <c r="I204" s="24"/>
      <c r="J204" s="277" t="str">
        <f t="shared" si="6"/>
        <v>VIII-E</v>
      </c>
      <c r="K204" s="287"/>
      <c r="L204" s="242"/>
      <c r="M204" s="242"/>
    </row>
    <row r="205" spans="1:13" s="13" customFormat="1" ht="18" customHeight="1" x14ac:dyDescent="0.3">
      <c r="A205" s="242"/>
      <c r="B205" s="242"/>
      <c r="C205" s="242"/>
      <c r="D205" s="242"/>
      <c r="E205" s="21">
        <v>1</v>
      </c>
      <c r="F205" s="22" t="s">
        <v>631</v>
      </c>
      <c r="G205" s="22" t="s">
        <v>632</v>
      </c>
      <c r="H205" s="23" t="s">
        <v>633</v>
      </c>
      <c r="I205" s="24" t="s">
        <v>548</v>
      </c>
      <c r="J205" s="277" t="str">
        <f>IF(C9=7,"VII",IF(C9=8,"VIII","IX"))&amp;"-"&amp;"F"</f>
        <v>VIII-F</v>
      </c>
      <c r="K205" s="287"/>
      <c r="L205" s="242"/>
      <c r="M205" s="242"/>
    </row>
    <row r="206" spans="1:13" s="13" customFormat="1" ht="18" customHeight="1" x14ac:dyDescent="0.3">
      <c r="A206" s="242"/>
      <c r="B206" s="242"/>
      <c r="C206" s="242"/>
      <c r="D206" s="242"/>
      <c r="E206" s="21">
        <v>2</v>
      </c>
      <c r="F206" s="22" t="s">
        <v>634</v>
      </c>
      <c r="G206" s="22" t="s">
        <v>635</v>
      </c>
      <c r="H206" s="23" t="s">
        <v>636</v>
      </c>
      <c r="I206" s="24" t="s">
        <v>548</v>
      </c>
      <c r="J206" s="277" t="str">
        <f t="shared" si="6"/>
        <v>VIII-F</v>
      </c>
      <c r="K206" s="287"/>
      <c r="L206" s="242"/>
      <c r="M206" s="242"/>
    </row>
    <row r="207" spans="1:13" s="13" customFormat="1" ht="18" customHeight="1" x14ac:dyDescent="0.3">
      <c r="A207" s="242"/>
      <c r="B207" s="242"/>
      <c r="C207" s="242"/>
      <c r="D207" s="242"/>
      <c r="E207" s="21">
        <v>3</v>
      </c>
      <c r="F207" s="22" t="s">
        <v>637</v>
      </c>
      <c r="G207" s="22">
        <v>3133458541</v>
      </c>
      <c r="H207" s="23" t="s">
        <v>638</v>
      </c>
      <c r="I207" s="24" t="s">
        <v>548</v>
      </c>
      <c r="J207" s="277" t="str">
        <f t="shared" si="6"/>
        <v>VIII-F</v>
      </c>
      <c r="K207" s="287"/>
      <c r="L207" s="242"/>
      <c r="M207" s="242"/>
    </row>
    <row r="208" spans="1:13" s="13" customFormat="1" ht="18" customHeight="1" x14ac:dyDescent="0.3">
      <c r="A208" s="242"/>
      <c r="B208" s="242"/>
      <c r="C208" s="242"/>
      <c r="D208" s="242"/>
      <c r="E208" s="21">
        <v>4</v>
      </c>
      <c r="F208" s="22" t="s">
        <v>639</v>
      </c>
      <c r="G208" s="22" t="s">
        <v>640</v>
      </c>
      <c r="H208" s="23" t="s">
        <v>641</v>
      </c>
      <c r="I208" s="24" t="s">
        <v>548</v>
      </c>
      <c r="J208" s="277" t="str">
        <f t="shared" si="6"/>
        <v>VIII-F</v>
      </c>
      <c r="K208" s="287"/>
      <c r="L208" s="242"/>
      <c r="M208" s="242"/>
    </row>
    <row r="209" spans="1:13" s="13" customFormat="1" ht="18" customHeight="1" x14ac:dyDescent="0.3">
      <c r="A209" s="242"/>
      <c r="B209" s="242"/>
      <c r="C209" s="242"/>
      <c r="D209" s="242"/>
      <c r="E209" s="21">
        <v>5</v>
      </c>
      <c r="F209" s="22" t="s">
        <v>642</v>
      </c>
      <c r="G209" s="22" t="s">
        <v>643</v>
      </c>
      <c r="H209" s="23" t="s">
        <v>644</v>
      </c>
      <c r="I209" s="24" t="s">
        <v>548</v>
      </c>
      <c r="J209" s="277" t="str">
        <f t="shared" si="6"/>
        <v>VIII-F</v>
      </c>
      <c r="K209" s="287"/>
      <c r="L209" s="242"/>
      <c r="M209" s="242"/>
    </row>
    <row r="210" spans="1:13" s="13" customFormat="1" ht="18" customHeight="1" x14ac:dyDescent="0.3">
      <c r="A210" s="242"/>
      <c r="B210" s="242"/>
      <c r="C210" s="242"/>
      <c r="D210" s="242"/>
      <c r="E210" s="21">
        <v>6</v>
      </c>
      <c r="F210" s="22" t="s">
        <v>645</v>
      </c>
      <c r="G210" s="22" t="s">
        <v>646</v>
      </c>
      <c r="H210" s="23" t="s">
        <v>647</v>
      </c>
      <c r="I210" s="24" t="s">
        <v>548</v>
      </c>
      <c r="J210" s="277" t="str">
        <f t="shared" si="6"/>
        <v>VIII-F</v>
      </c>
      <c r="K210" s="287"/>
      <c r="L210" s="242"/>
      <c r="M210" s="242"/>
    </row>
    <row r="211" spans="1:13" s="13" customFormat="1" ht="18" customHeight="1" x14ac:dyDescent="0.3">
      <c r="A211" s="242"/>
      <c r="B211" s="242"/>
      <c r="C211" s="242"/>
      <c r="D211" s="242"/>
      <c r="E211" s="21">
        <v>7</v>
      </c>
      <c r="F211" s="22" t="s">
        <v>648</v>
      </c>
      <c r="G211" s="22">
        <v>3130935797</v>
      </c>
      <c r="H211" s="23" t="s">
        <v>649</v>
      </c>
      <c r="I211" s="24" t="s">
        <v>548</v>
      </c>
      <c r="J211" s="277" t="str">
        <f t="shared" si="6"/>
        <v>VIII-F</v>
      </c>
      <c r="K211" s="287"/>
      <c r="L211" s="242"/>
      <c r="M211" s="242"/>
    </row>
    <row r="212" spans="1:13" s="13" customFormat="1" ht="18" customHeight="1" x14ac:dyDescent="0.3">
      <c r="A212" s="242"/>
      <c r="B212" s="242"/>
      <c r="C212" s="242"/>
      <c r="D212" s="242"/>
      <c r="E212" s="21">
        <v>8</v>
      </c>
      <c r="F212" s="22" t="s">
        <v>650</v>
      </c>
      <c r="G212" s="22" t="s">
        <v>651</v>
      </c>
      <c r="H212" s="23" t="s">
        <v>652</v>
      </c>
      <c r="I212" s="24" t="s">
        <v>548</v>
      </c>
      <c r="J212" s="277" t="str">
        <f t="shared" si="6"/>
        <v>VIII-F</v>
      </c>
      <c r="K212" s="287"/>
      <c r="L212" s="242"/>
      <c r="M212" s="242"/>
    </row>
    <row r="213" spans="1:13" s="13" customFormat="1" ht="18" customHeight="1" x14ac:dyDescent="0.3">
      <c r="A213" s="242"/>
      <c r="B213" s="242"/>
      <c r="C213" s="242"/>
      <c r="D213" s="242"/>
      <c r="E213" s="21">
        <v>9</v>
      </c>
      <c r="F213" s="22" t="s">
        <v>653</v>
      </c>
      <c r="G213" s="22">
        <v>3120872451</v>
      </c>
      <c r="H213" s="23" t="s">
        <v>654</v>
      </c>
      <c r="I213" s="24" t="s">
        <v>548</v>
      </c>
      <c r="J213" s="277" t="str">
        <f t="shared" si="6"/>
        <v>VIII-F</v>
      </c>
      <c r="K213" s="287"/>
      <c r="L213" s="242"/>
      <c r="M213" s="242"/>
    </row>
    <row r="214" spans="1:13" s="13" customFormat="1" ht="18" customHeight="1" x14ac:dyDescent="0.3">
      <c r="A214" s="242"/>
      <c r="B214" s="242"/>
      <c r="C214" s="242"/>
      <c r="D214" s="242"/>
      <c r="E214" s="21">
        <v>10</v>
      </c>
      <c r="F214" s="22" t="s">
        <v>655</v>
      </c>
      <c r="G214" s="22">
        <v>3120240226</v>
      </c>
      <c r="H214" s="23" t="s">
        <v>656</v>
      </c>
      <c r="I214" s="24" t="s">
        <v>548</v>
      </c>
      <c r="J214" s="277" t="str">
        <f t="shared" si="6"/>
        <v>VIII-F</v>
      </c>
      <c r="K214" s="287"/>
      <c r="L214" s="242"/>
      <c r="M214" s="242"/>
    </row>
    <row r="215" spans="1:13" s="13" customFormat="1" ht="18" customHeight="1" x14ac:dyDescent="0.3">
      <c r="A215" s="242"/>
      <c r="B215" s="242"/>
      <c r="C215" s="242"/>
      <c r="D215" s="242"/>
      <c r="E215" s="21">
        <v>11</v>
      </c>
      <c r="F215" s="22" t="s">
        <v>657</v>
      </c>
      <c r="G215" s="22" t="s">
        <v>658</v>
      </c>
      <c r="H215" s="23" t="s">
        <v>659</v>
      </c>
      <c r="I215" s="24" t="s">
        <v>548</v>
      </c>
      <c r="J215" s="277" t="str">
        <f t="shared" si="6"/>
        <v>VIII-F</v>
      </c>
      <c r="K215" s="287"/>
      <c r="L215" s="242"/>
      <c r="M215" s="242"/>
    </row>
    <row r="216" spans="1:13" s="13" customFormat="1" ht="18" customHeight="1" x14ac:dyDescent="0.3">
      <c r="A216" s="242"/>
      <c r="B216" s="242"/>
      <c r="C216" s="242"/>
      <c r="D216" s="242"/>
      <c r="E216" s="21">
        <v>12</v>
      </c>
      <c r="F216" s="22" t="s">
        <v>660</v>
      </c>
      <c r="G216" s="22">
        <v>3132478722</v>
      </c>
      <c r="H216" s="23" t="s">
        <v>661</v>
      </c>
      <c r="I216" s="24" t="s">
        <v>548</v>
      </c>
      <c r="J216" s="277" t="str">
        <f t="shared" si="6"/>
        <v>VIII-F</v>
      </c>
      <c r="K216" s="287"/>
      <c r="L216" s="242"/>
      <c r="M216" s="242"/>
    </row>
    <row r="217" spans="1:13" s="13" customFormat="1" ht="18" customHeight="1" x14ac:dyDescent="0.3">
      <c r="A217" s="242"/>
      <c r="B217" s="242"/>
      <c r="C217" s="242"/>
      <c r="D217" s="242"/>
      <c r="E217" s="21">
        <v>13</v>
      </c>
      <c r="F217" s="22" t="s">
        <v>662</v>
      </c>
      <c r="G217" s="22" t="s">
        <v>663</v>
      </c>
      <c r="H217" s="23" t="s">
        <v>664</v>
      </c>
      <c r="I217" s="24" t="s">
        <v>548</v>
      </c>
      <c r="J217" s="277" t="str">
        <f t="shared" si="6"/>
        <v>VIII-F</v>
      </c>
      <c r="K217" s="287"/>
      <c r="L217" s="242"/>
      <c r="M217" s="242"/>
    </row>
    <row r="218" spans="1:13" s="13" customFormat="1" ht="18" customHeight="1" x14ac:dyDescent="0.3">
      <c r="A218" s="242"/>
      <c r="B218" s="242"/>
      <c r="C218" s="242"/>
      <c r="D218" s="242"/>
      <c r="E218" s="21">
        <v>14</v>
      </c>
      <c r="F218" s="22" t="s">
        <v>665</v>
      </c>
      <c r="G218" s="22" t="s">
        <v>666</v>
      </c>
      <c r="H218" s="23" t="s">
        <v>667</v>
      </c>
      <c r="I218" s="24" t="s">
        <v>548</v>
      </c>
      <c r="J218" s="277" t="str">
        <f t="shared" si="6"/>
        <v>VIII-F</v>
      </c>
      <c r="K218" s="287"/>
      <c r="L218" s="242"/>
      <c r="M218" s="242"/>
    </row>
    <row r="219" spans="1:13" s="13" customFormat="1" ht="18" customHeight="1" x14ac:dyDescent="0.3">
      <c r="A219" s="242"/>
      <c r="B219" s="242"/>
      <c r="C219" s="242"/>
      <c r="D219" s="242"/>
      <c r="E219" s="21">
        <v>15</v>
      </c>
      <c r="F219" s="22" t="s">
        <v>668</v>
      </c>
      <c r="G219" s="22" t="s">
        <v>669</v>
      </c>
      <c r="H219" s="23" t="s">
        <v>670</v>
      </c>
      <c r="I219" s="24" t="s">
        <v>548</v>
      </c>
      <c r="J219" s="277" t="str">
        <f t="shared" si="6"/>
        <v>VIII-F</v>
      </c>
      <c r="K219" s="287"/>
      <c r="L219" s="242"/>
      <c r="M219" s="242"/>
    </row>
    <row r="220" spans="1:13" s="13" customFormat="1" ht="18" customHeight="1" x14ac:dyDescent="0.3">
      <c r="A220" s="242"/>
      <c r="B220" s="242"/>
      <c r="C220" s="242"/>
      <c r="D220" s="242"/>
      <c r="E220" s="21">
        <v>16</v>
      </c>
      <c r="F220" s="22" t="s">
        <v>671</v>
      </c>
      <c r="G220" s="22" t="s">
        <v>672</v>
      </c>
      <c r="H220" s="23" t="s">
        <v>673</v>
      </c>
      <c r="I220" s="24" t="s">
        <v>548</v>
      </c>
      <c r="J220" s="277" t="str">
        <f t="shared" si="6"/>
        <v>VIII-F</v>
      </c>
      <c r="K220" s="287"/>
      <c r="L220" s="242"/>
      <c r="M220" s="242"/>
    </row>
    <row r="221" spans="1:13" s="13" customFormat="1" ht="18" customHeight="1" x14ac:dyDescent="0.3">
      <c r="A221" s="242"/>
      <c r="B221" s="242"/>
      <c r="C221" s="242"/>
      <c r="D221" s="242"/>
      <c r="E221" s="21">
        <v>17</v>
      </c>
      <c r="F221" s="22" t="s">
        <v>674</v>
      </c>
      <c r="G221" s="22">
        <v>3122114617</v>
      </c>
      <c r="H221" s="23" t="s">
        <v>675</v>
      </c>
      <c r="I221" s="24" t="s">
        <v>548</v>
      </c>
      <c r="J221" s="277" t="str">
        <f t="shared" si="6"/>
        <v>VIII-F</v>
      </c>
      <c r="K221" s="287"/>
      <c r="L221" s="242"/>
      <c r="M221" s="242"/>
    </row>
    <row r="222" spans="1:13" s="13" customFormat="1" ht="18" customHeight="1" x14ac:dyDescent="0.3">
      <c r="A222" s="242"/>
      <c r="B222" s="242"/>
      <c r="C222" s="242"/>
      <c r="D222" s="242"/>
      <c r="E222" s="21">
        <v>18</v>
      </c>
      <c r="F222" s="22" t="s">
        <v>676</v>
      </c>
      <c r="G222" s="22" t="s">
        <v>677</v>
      </c>
      <c r="H222" s="23" t="s">
        <v>678</v>
      </c>
      <c r="I222" s="24" t="s">
        <v>548</v>
      </c>
      <c r="J222" s="277" t="str">
        <f t="shared" ref="J222:J290" si="7">J221</f>
        <v>VIII-F</v>
      </c>
      <c r="K222" s="287"/>
      <c r="L222" s="242"/>
      <c r="M222" s="242"/>
    </row>
    <row r="223" spans="1:13" s="13" customFormat="1" ht="18" customHeight="1" x14ac:dyDescent="0.3">
      <c r="A223" s="242"/>
      <c r="B223" s="242"/>
      <c r="C223" s="242"/>
      <c r="D223" s="242"/>
      <c r="E223" s="21">
        <v>19</v>
      </c>
      <c r="F223" s="22" t="s">
        <v>679</v>
      </c>
      <c r="G223" s="22">
        <v>3124985291</v>
      </c>
      <c r="H223" s="23" t="s">
        <v>680</v>
      </c>
      <c r="I223" s="24" t="s">
        <v>548</v>
      </c>
      <c r="J223" s="277" t="str">
        <f t="shared" si="7"/>
        <v>VIII-F</v>
      </c>
      <c r="K223" s="287"/>
      <c r="L223" s="242"/>
      <c r="M223" s="242"/>
    </row>
    <row r="224" spans="1:13" s="13" customFormat="1" ht="18" customHeight="1" x14ac:dyDescent="0.3">
      <c r="A224" s="242"/>
      <c r="B224" s="242"/>
      <c r="C224" s="242"/>
      <c r="D224" s="242"/>
      <c r="E224" s="21">
        <v>20</v>
      </c>
      <c r="F224" s="22" t="s">
        <v>681</v>
      </c>
      <c r="G224" s="22" t="s">
        <v>682</v>
      </c>
      <c r="H224" s="23" t="s">
        <v>683</v>
      </c>
      <c r="I224" s="24" t="s">
        <v>548</v>
      </c>
      <c r="J224" s="277" t="str">
        <f t="shared" si="7"/>
        <v>VIII-F</v>
      </c>
      <c r="K224" s="287"/>
      <c r="L224" s="242"/>
      <c r="M224" s="242"/>
    </row>
    <row r="225" spans="1:13" s="13" customFormat="1" ht="18" customHeight="1" x14ac:dyDescent="0.3">
      <c r="A225" s="242"/>
      <c r="B225" s="242"/>
      <c r="C225" s="242"/>
      <c r="D225" s="242"/>
      <c r="E225" s="21">
        <v>21</v>
      </c>
      <c r="F225" s="22" t="s">
        <v>684</v>
      </c>
      <c r="G225" s="22" t="s">
        <v>685</v>
      </c>
      <c r="H225" s="23" t="s">
        <v>686</v>
      </c>
      <c r="I225" s="24" t="s">
        <v>548</v>
      </c>
      <c r="J225" s="277" t="str">
        <f t="shared" si="7"/>
        <v>VIII-F</v>
      </c>
      <c r="K225" s="287"/>
      <c r="L225" s="242"/>
      <c r="M225" s="242"/>
    </row>
    <row r="226" spans="1:13" s="13" customFormat="1" ht="18" customHeight="1" x14ac:dyDescent="0.3">
      <c r="A226" s="242"/>
      <c r="B226" s="242"/>
      <c r="C226" s="242"/>
      <c r="D226" s="242"/>
      <c r="E226" s="21">
        <v>22</v>
      </c>
      <c r="F226" s="22" t="s">
        <v>687</v>
      </c>
      <c r="G226" s="22" t="s">
        <v>688</v>
      </c>
      <c r="H226" s="23" t="s">
        <v>689</v>
      </c>
      <c r="I226" s="24" t="s">
        <v>548</v>
      </c>
      <c r="J226" s="277" t="str">
        <f t="shared" si="7"/>
        <v>VIII-F</v>
      </c>
      <c r="K226" s="287"/>
      <c r="L226" s="242"/>
      <c r="M226" s="242"/>
    </row>
    <row r="227" spans="1:13" s="13" customFormat="1" ht="18" customHeight="1" x14ac:dyDescent="0.3">
      <c r="A227" s="242"/>
      <c r="B227" s="242"/>
      <c r="C227" s="242"/>
      <c r="D227" s="242"/>
      <c r="E227" s="21">
        <v>23</v>
      </c>
      <c r="F227" s="22" t="s">
        <v>690</v>
      </c>
      <c r="G227" s="22">
        <v>3121974324</v>
      </c>
      <c r="H227" s="23" t="s">
        <v>691</v>
      </c>
      <c r="I227" s="24" t="s">
        <v>548</v>
      </c>
      <c r="J227" s="277" t="str">
        <f t="shared" si="7"/>
        <v>VIII-F</v>
      </c>
      <c r="K227" s="287"/>
      <c r="L227" s="242"/>
      <c r="M227" s="242"/>
    </row>
    <row r="228" spans="1:13" s="13" customFormat="1" ht="18" customHeight="1" x14ac:dyDescent="0.3">
      <c r="A228" s="242"/>
      <c r="B228" s="242"/>
      <c r="C228" s="242"/>
      <c r="D228" s="242"/>
      <c r="E228" s="21">
        <v>24</v>
      </c>
      <c r="F228" s="22" t="s">
        <v>692</v>
      </c>
      <c r="G228" s="22" t="s">
        <v>693</v>
      </c>
      <c r="H228" s="23" t="s">
        <v>694</v>
      </c>
      <c r="I228" s="24" t="s">
        <v>548</v>
      </c>
      <c r="J228" s="277" t="str">
        <f t="shared" si="7"/>
        <v>VIII-F</v>
      </c>
      <c r="K228" s="287"/>
      <c r="L228" s="242"/>
      <c r="M228" s="242"/>
    </row>
    <row r="229" spans="1:13" s="13" customFormat="1" ht="18" customHeight="1" x14ac:dyDescent="0.3">
      <c r="A229" s="242"/>
      <c r="B229" s="242"/>
      <c r="C229" s="242"/>
      <c r="D229" s="242"/>
      <c r="E229" s="21">
        <v>25</v>
      </c>
      <c r="F229" s="22" t="s">
        <v>695</v>
      </c>
      <c r="G229" s="22" t="s">
        <v>696</v>
      </c>
      <c r="H229" s="23" t="s">
        <v>697</v>
      </c>
      <c r="I229" s="24" t="s">
        <v>548</v>
      </c>
      <c r="J229" s="277" t="str">
        <f t="shared" si="7"/>
        <v>VIII-F</v>
      </c>
      <c r="K229" s="287"/>
      <c r="L229" s="242"/>
      <c r="M229" s="242"/>
    </row>
    <row r="230" spans="1:13" s="13" customFormat="1" ht="18" customHeight="1" x14ac:dyDescent="0.3">
      <c r="A230" s="242"/>
      <c r="B230" s="242"/>
      <c r="C230" s="242"/>
      <c r="D230" s="242"/>
      <c r="E230" s="21">
        <v>26</v>
      </c>
      <c r="F230" s="22" t="s">
        <v>698</v>
      </c>
      <c r="G230" s="22">
        <v>3122744885</v>
      </c>
      <c r="H230" s="23" t="s">
        <v>699</v>
      </c>
      <c r="I230" s="24" t="s">
        <v>548</v>
      </c>
      <c r="J230" s="277" t="str">
        <f t="shared" si="7"/>
        <v>VIII-F</v>
      </c>
      <c r="K230" s="287"/>
      <c r="L230" s="242"/>
      <c r="M230" s="242"/>
    </row>
    <row r="231" spans="1:13" s="13" customFormat="1" ht="18" customHeight="1" x14ac:dyDescent="0.3">
      <c r="A231" s="242"/>
      <c r="B231" s="242"/>
      <c r="C231" s="242"/>
      <c r="D231" s="242"/>
      <c r="E231" s="21">
        <v>27</v>
      </c>
      <c r="F231" s="22" t="s">
        <v>700</v>
      </c>
      <c r="G231" s="22">
        <v>3124029527</v>
      </c>
      <c r="H231" s="23" t="s">
        <v>701</v>
      </c>
      <c r="I231" s="24" t="s">
        <v>548</v>
      </c>
      <c r="J231" s="277" t="str">
        <f t="shared" si="7"/>
        <v>VIII-F</v>
      </c>
      <c r="K231" s="287"/>
      <c r="L231" s="242"/>
      <c r="M231" s="242"/>
    </row>
    <row r="232" spans="1:13" s="13" customFormat="1" ht="18" customHeight="1" x14ac:dyDescent="0.3">
      <c r="A232" s="242"/>
      <c r="B232" s="242"/>
      <c r="C232" s="242"/>
      <c r="D232" s="242"/>
      <c r="E232" s="21">
        <v>28</v>
      </c>
      <c r="F232" s="22" t="s">
        <v>702</v>
      </c>
      <c r="G232" s="22">
        <v>3122691066</v>
      </c>
      <c r="H232" s="23" t="s">
        <v>703</v>
      </c>
      <c r="I232" s="24" t="s">
        <v>548</v>
      </c>
      <c r="J232" s="277" t="str">
        <f t="shared" si="7"/>
        <v>VIII-F</v>
      </c>
      <c r="K232" s="287"/>
      <c r="L232" s="242"/>
      <c r="M232" s="242"/>
    </row>
    <row r="233" spans="1:13" s="13" customFormat="1" ht="18" customHeight="1" x14ac:dyDescent="0.3">
      <c r="A233" s="242"/>
      <c r="B233" s="242"/>
      <c r="C233" s="242"/>
      <c r="D233" s="242"/>
      <c r="E233" s="21">
        <v>29</v>
      </c>
      <c r="F233" s="22" t="s">
        <v>704</v>
      </c>
      <c r="G233" s="22" t="s">
        <v>705</v>
      </c>
      <c r="H233" s="23" t="s">
        <v>706</v>
      </c>
      <c r="I233" s="24" t="s">
        <v>548</v>
      </c>
      <c r="J233" s="277" t="str">
        <f t="shared" si="7"/>
        <v>VIII-F</v>
      </c>
      <c r="K233" s="287"/>
      <c r="L233" s="242"/>
      <c r="M233" s="242"/>
    </row>
    <row r="234" spans="1:13" s="13" customFormat="1" ht="18" customHeight="1" x14ac:dyDescent="0.3">
      <c r="A234" s="242"/>
      <c r="B234" s="242"/>
      <c r="C234" s="242"/>
      <c r="D234" s="242"/>
      <c r="E234" s="21">
        <v>30</v>
      </c>
      <c r="F234" s="22" t="s">
        <v>707</v>
      </c>
      <c r="G234" s="22">
        <v>3129904682</v>
      </c>
      <c r="H234" s="23" t="s">
        <v>708</v>
      </c>
      <c r="I234" s="24" t="s">
        <v>548</v>
      </c>
      <c r="J234" s="277" t="str">
        <f t="shared" si="7"/>
        <v>VIII-F</v>
      </c>
      <c r="K234" s="287"/>
      <c r="L234" s="242"/>
      <c r="M234" s="242"/>
    </row>
    <row r="235" spans="1:13" s="13" customFormat="1" ht="18" customHeight="1" x14ac:dyDescent="0.3">
      <c r="A235" s="242"/>
      <c r="B235" s="242"/>
      <c r="C235" s="242"/>
      <c r="D235" s="242"/>
      <c r="E235" s="21">
        <v>31</v>
      </c>
      <c r="F235" s="22" t="s">
        <v>709</v>
      </c>
      <c r="G235" s="22" t="s">
        <v>710</v>
      </c>
      <c r="H235" s="23" t="s">
        <v>711</v>
      </c>
      <c r="I235" s="24" t="s">
        <v>548</v>
      </c>
      <c r="J235" s="277" t="str">
        <f t="shared" si="7"/>
        <v>VIII-F</v>
      </c>
      <c r="K235" s="287"/>
      <c r="L235" s="242"/>
      <c r="M235" s="242"/>
    </row>
    <row r="236" spans="1:13" s="13" customFormat="1" ht="18" customHeight="1" x14ac:dyDescent="0.3">
      <c r="A236" s="242"/>
      <c r="B236" s="242"/>
      <c r="C236" s="242"/>
      <c r="D236" s="242"/>
      <c r="E236" s="21">
        <v>32</v>
      </c>
      <c r="F236" s="22" t="s">
        <v>712</v>
      </c>
      <c r="G236" s="22" t="s">
        <v>713</v>
      </c>
      <c r="H236" s="23" t="s">
        <v>714</v>
      </c>
      <c r="I236" s="24" t="s">
        <v>548</v>
      </c>
      <c r="J236" s="277" t="str">
        <f t="shared" si="7"/>
        <v>VIII-F</v>
      </c>
      <c r="K236" s="287"/>
      <c r="L236" s="242"/>
      <c r="M236" s="242"/>
    </row>
    <row r="237" spans="1:13" s="13" customFormat="1" ht="18" customHeight="1" x14ac:dyDescent="0.3">
      <c r="A237" s="242"/>
      <c r="B237" s="242"/>
      <c r="C237" s="242"/>
      <c r="D237" s="242"/>
      <c r="E237" s="21">
        <v>33</v>
      </c>
      <c r="F237" s="22" t="s">
        <v>715</v>
      </c>
      <c r="G237" s="22" t="s">
        <v>716</v>
      </c>
      <c r="H237" s="23" t="s">
        <v>717</v>
      </c>
      <c r="I237" s="24" t="s">
        <v>548</v>
      </c>
      <c r="J237" s="277" t="str">
        <f t="shared" si="7"/>
        <v>VIII-F</v>
      </c>
      <c r="K237" s="287"/>
      <c r="L237" s="242"/>
      <c r="M237" s="242"/>
    </row>
    <row r="238" spans="1:13" s="13" customFormat="1" ht="18" customHeight="1" x14ac:dyDescent="0.3">
      <c r="A238" s="242"/>
      <c r="B238" s="242"/>
      <c r="C238" s="242"/>
      <c r="D238" s="242"/>
      <c r="E238" s="21">
        <v>34</v>
      </c>
      <c r="F238" s="22"/>
      <c r="G238" s="22"/>
      <c r="H238" s="23"/>
      <c r="I238" s="24"/>
      <c r="J238" s="277" t="str">
        <f t="shared" si="7"/>
        <v>VIII-F</v>
      </c>
      <c r="K238" s="287"/>
      <c r="L238" s="242"/>
      <c r="M238" s="242"/>
    </row>
    <row r="239" spans="1:13" s="13" customFormat="1" ht="18" customHeight="1" x14ac:dyDescent="0.3">
      <c r="A239" s="242"/>
      <c r="B239" s="242"/>
      <c r="C239" s="242"/>
      <c r="D239" s="242"/>
      <c r="E239" s="21">
        <v>35</v>
      </c>
      <c r="F239" s="22"/>
      <c r="G239" s="22"/>
      <c r="H239" s="23"/>
      <c r="I239" s="24"/>
      <c r="J239" s="277" t="str">
        <f t="shared" si="7"/>
        <v>VIII-F</v>
      </c>
      <c r="K239" s="287"/>
      <c r="L239" s="242"/>
      <c r="M239" s="242"/>
    </row>
    <row r="240" spans="1:13" s="13" customFormat="1" ht="18" customHeight="1" x14ac:dyDescent="0.3">
      <c r="A240" s="242"/>
      <c r="B240" s="242"/>
      <c r="C240" s="242"/>
      <c r="D240" s="242"/>
      <c r="E240" s="21">
        <v>36</v>
      </c>
      <c r="F240" s="22"/>
      <c r="G240" s="22"/>
      <c r="H240" s="23"/>
      <c r="I240" s="24"/>
      <c r="J240" s="277" t="str">
        <f t="shared" si="7"/>
        <v>VIII-F</v>
      </c>
      <c r="K240" s="287"/>
      <c r="L240" s="242"/>
      <c r="M240" s="242"/>
    </row>
    <row r="241" spans="1:13" s="13" customFormat="1" ht="18" customHeight="1" x14ac:dyDescent="0.3">
      <c r="A241" s="242"/>
      <c r="B241" s="242"/>
      <c r="C241" s="242"/>
      <c r="D241" s="242"/>
      <c r="E241" s="21">
        <v>37</v>
      </c>
      <c r="F241" s="22"/>
      <c r="G241" s="22"/>
      <c r="H241" s="23"/>
      <c r="I241" s="24"/>
      <c r="J241" s="277" t="str">
        <f t="shared" si="7"/>
        <v>VIII-F</v>
      </c>
      <c r="K241" s="287"/>
      <c r="L241" s="242"/>
      <c r="M241" s="242"/>
    </row>
    <row r="242" spans="1:13" s="13" customFormat="1" ht="18" customHeight="1" x14ac:dyDescent="0.3">
      <c r="A242" s="242"/>
      <c r="B242" s="242"/>
      <c r="C242" s="242"/>
      <c r="D242" s="242"/>
      <c r="E242" s="21">
        <v>38</v>
      </c>
      <c r="F242" s="22"/>
      <c r="G242" s="22"/>
      <c r="H242" s="23"/>
      <c r="I242" s="24"/>
      <c r="J242" s="277" t="str">
        <f t="shared" si="7"/>
        <v>VIII-F</v>
      </c>
      <c r="K242" s="287"/>
      <c r="L242" s="242"/>
      <c r="M242" s="242"/>
    </row>
    <row r="243" spans="1:13" s="13" customFormat="1" ht="18" customHeight="1" x14ac:dyDescent="0.3">
      <c r="A243" s="242"/>
      <c r="B243" s="242"/>
      <c r="C243" s="242"/>
      <c r="D243" s="242"/>
      <c r="E243" s="21">
        <v>39</v>
      </c>
      <c r="F243" s="22"/>
      <c r="G243" s="22"/>
      <c r="H243" s="23"/>
      <c r="I243" s="24"/>
      <c r="J243" s="277" t="str">
        <f t="shared" si="7"/>
        <v>VIII-F</v>
      </c>
      <c r="K243" s="287"/>
      <c r="L243" s="242"/>
      <c r="M243" s="242"/>
    </row>
    <row r="244" spans="1:13" s="13" customFormat="1" ht="18" customHeight="1" x14ac:dyDescent="0.3">
      <c r="A244" s="242"/>
      <c r="B244" s="242"/>
      <c r="C244" s="242"/>
      <c r="D244" s="242"/>
      <c r="E244" s="21">
        <v>40</v>
      </c>
      <c r="F244" s="22"/>
      <c r="G244" s="22"/>
      <c r="H244" s="23"/>
      <c r="I244" s="24"/>
      <c r="J244" s="277" t="str">
        <f t="shared" si="7"/>
        <v>VIII-F</v>
      </c>
      <c r="K244" s="287"/>
      <c r="L244" s="242"/>
      <c r="M244" s="242"/>
    </row>
    <row r="245" spans="1:13" s="13" customFormat="1" ht="18" customHeight="1" x14ac:dyDescent="0.3">
      <c r="A245" s="242"/>
      <c r="B245" s="242"/>
      <c r="C245" s="242"/>
      <c r="D245" s="242"/>
      <c r="E245" s="21">
        <v>1</v>
      </c>
      <c r="F245" s="22" t="s">
        <v>718</v>
      </c>
      <c r="G245" s="22" t="s">
        <v>719</v>
      </c>
      <c r="H245" s="421" t="s">
        <v>720</v>
      </c>
      <c r="I245" s="24" t="s">
        <v>274</v>
      </c>
      <c r="J245" s="277" t="str">
        <f>IF(C9=7,"VII",IF(C9=8,"VIII","IX"))&amp;"-"&amp;"G"</f>
        <v>VIII-G</v>
      </c>
      <c r="K245" s="287"/>
      <c r="L245" s="242"/>
      <c r="M245" s="242"/>
    </row>
    <row r="246" spans="1:13" s="13" customFormat="1" ht="18" customHeight="1" x14ac:dyDescent="0.3">
      <c r="A246" s="242"/>
      <c r="B246" s="242"/>
      <c r="C246" s="242"/>
      <c r="D246" s="242"/>
      <c r="E246" s="21">
        <v>2</v>
      </c>
      <c r="F246" s="22" t="s">
        <v>721</v>
      </c>
      <c r="G246" s="22" t="s">
        <v>722</v>
      </c>
      <c r="H246" s="23" t="s">
        <v>723</v>
      </c>
      <c r="I246" s="24" t="s">
        <v>274</v>
      </c>
      <c r="J246" s="277" t="str">
        <f>J245</f>
        <v>VIII-G</v>
      </c>
      <c r="K246" s="287"/>
      <c r="L246" s="242"/>
      <c r="M246" s="242"/>
    </row>
    <row r="247" spans="1:13" s="13" customFormat="1" ht="18" customHeight="1" x14ac:dyDescent="0.3">
      <c r="A247" s="242"/>
      <c r="B247" s="242"/>
      <c r="C247" s="242"/>
      <c r="D247" s="242"/>
      <c r="E247" s="21">
        <v>3</v>
      </c>
      <c r="F247" s="22" t="s">
        <v>724</v>
      </c>
      <c r="G247" s="22" t="s">
        <v>725</v>
      </c>
      <c r="H247" s="421" t="s">
        <v>726</v>
      </c>
      <c r="I247" s="24" t="s">
        <v>274</v>
      </c>
      <c r="J247" s="277" t="str">
        <f t="shared" ref="J247:J248" si="8">J246</f>
        <v>VIII-G</v>
      </c>
      <c r="K247" s="287"/>
      <c r="L247" s="242"/>
      <c r="M247" s="242"/>
    </row>
    <row r="248" spans="1:13" s="13" customFormat="1" ht="18" customHeight="1" x14ac:dyDescent="0.3">
      <c r="A248" s="242"/>
      <c r="B248" s="242"/>
      <c r="C248" s="242"/>
      <c r="D248" s="242"/>
      <c r="E248" s="21">
        <v>4</v>
      </c>
      <c r="F248" s="22" t="s">
        <v>727</v>
      </c>
      <c r="G248" s="22" t="s">
        <v>728</v>
      </c>
      <c r="H248" s="23" t="s">
        <v>729</v>
      </c>
      <c r="I248" s="24" t="s">
        <v>274</v>
      </c>
      <c r="J248" s="277" t="str">
        <f t="shared" si="8"/>
        <v>VIII-G</v>
      </c>
      <c r="K248" s="287"/>
      <c r="L248" s="242"/>
      <c r="M248" s="242"/>
    </row>
    <row r="249" spans="1:13" s="13" customFormat="1" ht="18" customHeight="1" x14ac:dyDescent="0.3">
      <c r="A249" s="242"/>
      <c r="B249" s="242"/>
      <c r="C249" s="242"/>
      <c r="D249" s="242"/>
      <c r="E249" s="21">
        <v>5</v>
      </c>
      <c r="F249" s="22" t="s">
        <v>730</v>
      </c>
      <c r="G249" s="22" t="s">
        <v>731</v>
      </c>
      <c r="H249" s="421" t="s">
        <v>732</v>
      </c>
      <c r="I249" s="24" t="s">
        <v>274</v>
      </c>
      <c r="J249" s="277" t="str">
        <f t="shared" ref="J249:J266" si="9">J248</f>
        <v>VIII-G</v>
      </c>
      <c r="K249" s="287"/>
      <c r="L249" s="242"/>
      <c r="M249" s="242"/>
    </row>
    <row r="250" spans="1:13" s="13" customFormat="1" ht="18" customHeight="1" x14ac:dyDescent="0.3">
      <c r="A250" s="242"/>
      <c r="B250" s="242"/>
      <c r="C250" s="242"/>
      <c r="D250" s="242"/>
      <c r="E250" s="21">
        <v>6</v>
      </c>
      <c r="F250" s="22" t="s">
        <v>733</v>
      </c>
      <c r="G250" s="22" t="s">
        <v>734</v>
      </c>
      <c r="H250" s="23" t="s">
        <v>735</v>
      </c>
      <c r="I250" s="24" t="s">
        <v>274</v>
      </c>
      <c r="J250" s="277" t="str">
        <f t="shared" si="9"/>
        <v>VIII-G</v>
      </c>
      <c r="K250" s="287"/>
      <c r="L250" s="242"/>
      <c r="M250" s="242"/>
    </row>
    <row r="251" spans="1:13" s="13" customFormat="1" ht="18" customHeight="1" x14ac:dyDescent="0.3">
      <c r="A251" s="242"/>
      <c r="B251" s="242"/>
      <c r="C251" s="242"/>
      <c r="D251" s="242"/>
      <c r="E251" s="21">
        <v>7</v>
      </c>
      <c r="F251" s="22" t="s">
        <v>736</v>
      </c>
      <c r="G251" s="22" t="s">
        <v>737</v>
      </c>
      <c r="H251" s="421" t="s">
        <v>738</v>
      </c>
      <c r="I251" s="24" t="s">
        <v>274</v>
      </c>
      <c r="J251" s="277" t="str">
        <f t="shared" si="9"/>
        <v>VIII-G</v>
      </c>
      <c r="K251" s="287"/>
      <c r="L251" s="242"/>
      <c r="M251" s="242"/>
    </row>
    <row r="252" spans="1:13" s="13" customFormat="1" ht="18" customHeight="1" x14ac:dyDescent="0.3">
      <c r="A252" s="242"/>
      <c r="B252" s="242"/>
      <c r="C252" s="242"/>
      <c r="D252" s="242"/>
      <c r="E252" s="21">
        <v>8</v>
      </c>
      <c r="F252" s="22" t="s">
        <v>739</v>
      </c>
      <c r="G252" s="22">
        <v>3126917950</v>
      </c>
      <c r="H252" s="23" t="s">
        <v>740</v>
      </c>
      <c r="I252" s="24" t="s">
        <v>274</v>
      </c>
      <c r="J252" s="277" t="str">
        <f t="shared" si="9"/>
        <v>VIII-G</v>
      </c>
      <c r="K252" s="287"/>
      <c r="L252" s="242"/>
      <c r="M252" s="242"/>
    </row>
    <row r="253" spans="1:13" s="13" customFormat="1" ht="18" customHeight="1" x14ac:dyDescent="0.3">
      <c r="A253" s="242"/>
      <c r="B253" s="242"/>
      <c r="C253" s="242"/>
      <c r="D253" s="242"/>
      <c r="E253" s="21">
        <v>9</v>
      </c>
      <c r="F253" s="22" t="s">
        <v>741</v>
      </c>
      <c r="G253" s="22">
        <v>3127852307</v>
      </c>
      <c r="H253" s="421" t="s">
        <v>742</v>
      </c>
      <c r="I253" s="24" t="s">
        <v>274</v>
      </c>
      <c r="J253" s="277" t="str">
        <f t="shared" si="9"/>
        <v>VIII-G</v>
      </c>
      <c r="K253" s="287"/>
      <c r="L253" s="242"/>
      <c r="M253" s="242"/>
    </row>
    <row r="254" spans="1:13" s="13" customFormat="1" ht="18" customHeight="1" x14ac:dyDescent="0.3">
      <c r="A254" s="242"/>
      <c r="B254" s="242"/>
      <c r="C254" s="242"/>
      <c r="D254" s="242"/>
      <c r="E254" s="21">
        <v>10</v>
      </c>
      <c r="F254" s="22" t="s">
        <v>743</v>
      </c>
      <c r="G254" s="22">
        <v>3138475682</v>
      </c>
      <c r="H254" s="23" t="s">
        <v>744</v>
      </c>
      <c r="I254" s="24" t="s">
        <v>274</v>
      </c>
      <c r="J254" s="277" t="str">
        <f t="shared" si="9"/>
        <v>VIII-G</v>
      </c>
      <c r="K254" s="287"/>
      <c r="L254" s="242"/>
      <c r="M254" s="242"/>
    </row>
    <row r="255" spans="1:13" s="13" customFormat="1" ht="18" customHeight="1" x14ac:dyDescent="0.3">
      <c r="A255" s="242"/>
      <c r="B255" s="242"/>
      <c r="C255" s="242"/>
      <c r="D255" s="242"/>
      <c r="E255" s="21">
        <v>11</v>
      </c>
      <c r="F255" s="22" t="s">
        <v>745</v>
      </c>
      <c r="G255" s="22" t="s">
        <v>746</v>
      </c>
      <c r="H255" s="421" t="s">
        <v>747</v>
      </c>
      <c r="I255" s="24" t="s">
        <v>274</v>
      </c>
      <c r="J255" s="277" t="str">
        <f t="shared" si="9"/>
        <v>VIII-G</v>
      </c>
      <c r="K255" s="287"/>
      <c r="L255" s="242"/>
      <c r="M255" s="242"/>
    </row>
    <row r="256" spans="1:13" s="13" customFormat="1" ht="18" customHeight="1" x14ac:dyDescent="0.3">
      <c r="A256" s="242"/>
      <c r="B256" s="242"/>
      <c r="C256" s="242"/>
      <c r="D256" s="242"/>
      <c r="E256" s="21">
        <v>12</v>
      </c>
      <c r="F256" s="22" t="s">
        <v>748</v>
      </c>
      <c r="G256" s="22" t="s">
        <v>749</v>
      </c>
      <c r="H256" s="23" t="s">
        <v>750</v>
      </c>
      <c r="I256" s="24" t="s">
        <v>274</v>
      </c>
      <c r="J256" s="277" t="str">
        <f t="shared" si="9"/>
        <v>VIII-G</v>
      </c>
      <c r="K256" s="287"/>
      <c r="L256" s="242"/>
      <c r="M256" s="242"/>
    </row>
    <row r="257" spans="1:13" s="13" customFormat="1" ht="18" customHeight="1" x14ac:dyDescent="0.3">
      <c r="A257" s="242"/>
      <c r="B257" s="242"/>
      <c r="C257" s="242"/>
      <c r="D257" s="242"/>
      <c r="E257" s="21">
        <v>13</v>
      </c>
      <c r="F257" s="22" t="s">
        <v>751</v>
      </c>
      <c r="G257" s="22" t="s">
        <v>752</v>
      </c>
      <c r="H257" s="421" t="s">
        <v>753</v>
      </c>
      <c r="I257" s="24" t="s">
        <v>274</v>
      </c>
      <c r="J257" s="277" t="str">
        <f t="shared" si="9"/>
        <v>VIII-G</v>
      </c>
      <c r="K257" s="287"/>
      <c r="L257" s="242"/>
      <c r="M257" s="242"/>
    </row>
    <row r="258" spans="1:13" s="13" customFormat="1" ht="18" customHeight="1" x14ac:dyDescent="0.3">
      <c r="A258" s="242"/>
      <c r="B258" s="242"/>
      <c r="C258" s="242"/>
      <c r="D258" s="242"/>
      <c r="E258" s="21">
        <v>14</v>
      </c>
      <c r="F258" s="22" t="s">
        <v>754</v>
      </c>
      <c r="G258" s="22">
        <v>3123040464</v>
      </c>
      <c r="H258" s="23" t="s">
        <v>755</v>
      </c>
      <c r="I258" s="24" t="s">
        <v>274</v>
      </c>
      <c r="J258" s="277" t="str">
        <f t="shared" si="9"/>
        <v>VIII-G</v>
      </c>
      <c r="K258" s="287"/>
      <c r="L258" s="242"/>
      <c r="M258" s="242"/>
    </row>
    <row r="259" spans="1:13" s="13" customFormat="1" ht="18" customHeight="1" x14ac:dyDescent="0.3">
      <c r="A259" s="242"/>
      <c r="B259" s="242"/>
      <c r="C259" s="242"/>
      <c r="D259" s="242"/>
      <c r="E259" s="21">
        <v>15</v>
      </c>
      <c r="F259" s="22" t="s">
        <v>756</v>
      </c>
      <c r="G259" s="22" t="s">
        <v>757</v>
      </c>
      <c r="H259" s="421" t="s">
        <v>758</v>
      </c>
      <c r="I259" s="24" t="s">
        <v>274</v>
      </c>
      <c r="J259" s="277" t="str">
        <f t="shared" si="9"/>
        <v>VIII-G</v>
      </c>
      <c r="K259" s="287"/>
      <c r="L259" s="242"/>
      <c r="M259" s="242"/>
    </row>
    <row r="260" spans="1:13" s="13" customFormat="1" ht="18" customHeight="1" x14ac:dyDescent="0.3">
      <c r="A260" s="242"/>
      <c r="B260" s="242"/>
      <c r="C260" s="242"/>
      <c r="D260" s="242"/>
      <c r="E260" s="21">
        <v>16</v>
      </c>
      <c r="F260" s="22" t="s">
        <v>759</v>
      </c>
      <c r="G260" s="22" t="s">
        <v>760</v>
      </c>
      <c r="H260" s="23" t="s">
        <v>761</v>
      </c>
      <c r="I260" s="24" t="s">
        <v>274</v>
      </c>
      <c r="J260" s="277" t="str">
        <f t="shared" si="9"/>
        <v>VIII-G</v>
      </c>
      <c r="K260" s="287"/>
      <c r="L260" s="242"/>
      <c r="M260" s="242"/>
    </row>
    <row r="261" spans="1:13" s="13" customFormat="1" ht="18" customHeight="1" x14ac:dyDescent="0.3">
      <c r="A261" s="242"/>
      <c r="B261" s="242"/>
      <c r="C261" s="242"/>
      <c r="D261" s="242"/>
      <c r="E261" s="21">
        <v>17</v>
      </c>
      <c r="F261" s="22" t="s">
        <v>762</v>
      </c>
      <c r="G261" s="22" t="s">
        <v>763</v>
      </c>
      <c r="H261" s="421" t="s">
        <v>764</v>
      </c>
      <c r="I261" s="24" t="s">
        <v>274</v>
      </c>
      <c r="J261" s="277" t="str">
        <f t="shared" si="9"/>
        <v>VIII-G</v>
      </c>
      <c r="K261" s="287"/>
      <c r="L261" s="242"/>
      <c r="M261" s="242"/>
    </row>
    <row r="262" spans="1:13" s="13" customFormat="1" ht="18" customHeight="1" x14ac:dyDescent="0.3">
      <c r="A262" s="242"/>
      <c r="B262" s="242"/>
      <c r="C262" s="242"/>
      <c r="D262" s="242"/>
      <c r="E262" s="21">
        <v>18</v>
      </c>
      <c r="F262" s="22" t="s">
        <v>765</v>
      </c>
      <c r="G262" s="22" t="s">
        <v>766</v>
      </c>
      <c r="H262" s="23" t="s">
        <v>767</v>
      </c>
      <c r="I262" s="24" t="s">
        <v>274</v>
      </c>
      <c r="J262" s="277" t="str">
        <f t="shared" si="9"/>
        <v>VIII-G</v>
      </c>
      <c r="K262" s="287"/>
      <c r="L262" s="242"/>
      <c r="M262" s="242"/>
    </row>
    <row r="263" spans="1:13" s="13" customFormat="1" ht="18" customHeight="1" x14ac:dyDescent="0.3">
      <c r="A263" s="242"/>
      <c r="B263" s="242"/>
      <c r="C263" s="242"/>
      <c r="D263" s="242"/>
      <c r="E263" s="21">
        <v>19</v>
      </c>
      <c r="F263" s="22" t="s">
        <v>768</v>
      </c>
      <c r="G263" s="22" t="s">
        <v>769</v>
      </c>
      <c r="H263" s="421" t="s">
        <v>770</v>
      </c>
      <c r="I263" s="24" t="s">
        <v>274</v>
      </c>
      <c r="J263" s="277" t="str">
        <f t="shared" si="9"/>
        <v>VIII-G</v>
      </c>
      <c r="K263" s="287"/>
      <c r="L263" s="242"/>
      <c r="M263" s="242"/>
    </row>
    <row r="264" spans="1:13" s="13" customFormat="1" ht="18" customHeight="1" x14ac:dyDescent="0.3">
      <c r="A264" s="242"/>
      <c r="B264" s="242"/>
      <c r="C264" s="242"/>
      <c r="D264" s="242"/>
      <c r="E264" s="21">
        <v>20</v>
      </c>
      <c r="F264" s="22" t="s">
        <v>771</v>
      </c>
      <c r="G264" s="22" t="s">
        <v>772</v>
      </c>
      <c r="H264" s="23" t="s">
        <v>773</v>
      </c>
      <c r="I264" s="24" t="s">
        <v>274</v>
      </c>
      <c r="J264" s="277" t="str">
        <f t="shared" si="9"/>
        <v>VIII-G</v>
      </c>
      <c r="K264" s="287"/>
      <c r="L264" s="242"/>
      <c r="M264" s="242"/>
    </row>
    <row r="265" spans="1:13" s="13" customFormat="1" ht="18" customHeight="1" x14ac:dyDescent="0.3">
      <c r="A265" s="242"/>
      <c r="B265" s="242"/>
      <c r="C265" s="242"/>
      <c r="D265" s="242"/>
      <c r="E265" s="21">
        <v>21</v>
      </c>
      <c r="F265" s="22" t="s">
        <v>774</v>
      </c>
      <c r="G265" s="22" t="s">
        <v>775</v>
      </c>
      <c r="H265" s="421" t="s">
        <v>776</v>
      </c>
      <c r="I265" s="24" t="s">
        <v>274</v>
      </c>
      <c r="J265" s="277" t="str">
        <f t="shared" si="9"/>
        <v>VIII-G</v>
      </c>
      <c r="K265" s="287"/>
      <c r="L265" s="242"/>
      <c r="M265" s="242"/>
    </row>
    <row r="266" spans="1:13" s="13" customFormat="1" ht="18" customHeight="1" x14ac:dyDescent="0.3">
      <c r="A266" s="242"/>
      <c r="B266" s="242"/>
      <c r="C266" s="242"/>
      <c r="D266" s="242"/>
      <c r="E266" s="21">
        <v>22</v>
      </c>
      <c r="F266" s="22" t="s">
        <v>777</v>
      </c>
      <c r="G266" s="22" t="s">
        <v>778</v>
      </c>
      <c r="H266" s="23" t="s">
        <v>779</v>
      </c>
      <c r="I266" s="24" t="s">
        <v>274</v>
      </c>
      <c r="J266" s="277" t="str">
        <f t="shared" si="9"/>
        <v>VIII-G</v>
      </c>
      <c r="K266" s="287"/>
      <c r="L266" s="242"/>
      <c r="M266" s="242"/>
    </row>
    <row r="267" spans="1:13" s="13" customFormat="1" ht="18" customHeight="1" x14ac:dyDescent="0.3">
      <c r="A267" s="242"/>
      <c r="B267" s="242"/>
      <c r="C267" s="242"/>
      <c r="D267" s="242"/>
      <c r="E267" s="21">
        <v>23</v>
      </c>
      <c r="F267" s="22" t="s">
        <v>780</v>
      </c>
      <c r="G267" s="22" t="s">
        <v>781</v>
      </c>
      <c r="H267" s="421" t="s">
        <v>782</v>
      </c>
      <c r="I267" s="24" t="s">
        <v>274</v>
      </c>
      <c r="J267" s="277" t="str">
        <f t="shared" ref="J267:J284" si="10">J266</f>
        <v>VIII-G</v>
      </c>
      <c r="K267" s="287"/>
      <c r="L267" s="242"/>
      <c r="M267" s="242"/>
    </row>
    <row r="268" spans="1:13" s="13" customFormat="1" ht="18" customHeight="1" x14ac:dyDescent="0.3">
      <c r="A268" s="242"/>
      <c r="B268" s="242"/>
      <c r="C268" s="242"/>
      <c r="D268" s="242"/>
      <c r="E268" s="21">
        <v>24</v>
      </c>
      <c r="F268" s="22" t="s">
        <v>783</v>
      </c>
      <c r="G268" s="22">
        <v>3138056932</v>
      </c>
      <c r="H268" s="23" t="s">
        <v>784</v>
      </c>
      <c r="I268" s="24" t="s">
        <v>274</v>
      </c>
      <c r="J268" s="277" t="str">
        <f t="shared" si="10"/>
        <v>VIII-G</v>
      </c>
      <c r="K268" s="287"/>
      <c r="L268" s="242"/>
      <c r="M268" s="242"/>
    </row>
    <row r="269" spans="1:13" s="13" customFormat="1" ht="18" customHeight="1" x14ac:dyDescent="0.3">
      <c r="A269" s="242"/>
      <c r="B269" s="242"/>
      <c r="C269" s="242"/>
      <c r="D269" s="242"/>
      <c r="E269" s="21">
        <v>25</v>
      </c>
      <c r="F269" s="22"/>
      <c r="G269" s="22"/>
      <c r="H269" s="421"/>
      <c r="I269" s="24"/>
      <c r="J269" s="277" t="str">
        <f t="shared" si="10"/>
        <v>VIII-G</v>
      </c>
      <c r="K269" s="287"/>
      <c r="L269" s="242"/>
      <c r="M269" s="242"/>
    </row>
    <row r="270" spans="1:13" s="13" customFormat="1" ht="18" customHeight="1" x14ac:dyDescent="0.3">
      <c r="A270" s="242"/>
      <c r="B270" s="242"/>
      <c r="C270" s="242"/>
      <c r="D270" s="242"/>
      <c r="E270" s="21">
        <v>26</v>
      </c>
      <c r="F270" s="22"/>
      <c r="G270" s="22"/>
      <c r="H270" s="23"/>
      <c r="I270" s="24"/>
      <c r="J270" s="277" t="str">
        <f t="shared" si="10"/>
        <v>VIII-G</v>
      </c>
      <c r="K270" s="287"/>
      <c r="L270" s="242"/>
      <c r="M270" s="242"/>
    </row>
    <row r="271" spans="1:13" s="13" customFormat="1" ht="18" customHeight="1" x14ac:dyDescent="0.3">
      <c r="A271" s="242"/>
      <c r="B271" s="242"/>
      <c r="C271" s="242"/>
      <c r="D271" s="242"/>
      <c r="E271" s="21">
        <v>27</v>
      </c>
      <c r="F271" s="22"/>
      <c r="G271" s="22"/>
      <c r="H271" s="421"/>
      <c r="I271" s="24"/>
      <c r="J271" s="277" t="str">
        <f t="shared" si="10"/>
        <v>VIII-G</v>
      </c>
      <c r="K271" s="287"/>
      <c r="L271" s="242"/>
      <c r="M271" s="242"/>
    </row>
    <row r="272" spans="1:13" s="13" customFormat="1" ht="18" customHeight="1" x14ac:dyDescent="0.3">
      <c r="A272" s="242"/>
      <c r="B272" s="242"/>
      <c r="C272" s="242"/>
      <c r="D272" s="242"/>
      <c r="E272" s="21">
        <v>28</v>
      </c>
      <c r="F272" s="22"/>
      <c r="G272" s="22"/>
      <c r="H272" s="23"/>
      <c r="I272" s="24"/>
      <c r="J272" s="277" t="str">
        <f t="shared" si="10"/>
        <v>VIII-G</v>
      </c>
      <c r="K272" s="287"/>
      <c r="L272" s="242"/>
      <c r="M272" s="242"/>
    </row>
    <row r="273" spans="1:13" s="13" customFormat="1" ht="18" customHeight="1" x14ac:dyDescent="0.3">
      <c r="A273" s="242"/>
      <c r="B273" s="242"/>
      <c r="C273" s="242"/>
      <c r="D273" s="242"/>
      <c r="E273" s="21">
        <v>29</v>
      </c>
      <c r="F273" s="22"/>
      <c r="G273" s="22"/>
      <c r="H273" s="421"/>
      <c r="I273" s="24"/>
      <c r="J273" s="277" t="str">
        <f t="shared" si="10"/>
        <v>VIII-G</v>
      </c>
      <c r="K273" s="287"/>
      <c r="L273" s="242"/>
      <c r="M273" s="242"/>
    </row>
    <row r="274" spans="1:13" s="13" customFormat="1" ht="18" customHeight="1" x14ac:dyDescent="0.3">
      <c r="A274" s="242"/>
      <c r="B274" s="242"/>
      <c r="C274" s="242"/>
      <c r="D274" s="242"/>
      <c r="E274" s="21">
        <v>30</v>
      </c>
      <c r="F274" s="22"/>
      <c r="G274" s="22"/>
      <c r="H274" s="23"/>
      <c r="I274" s="24"/>
      <c r="J274" s="277" t="str">
        <f t="shared" si="10"/>
        <v>VIII-G</v>
      </c>
      <c r="K274" s="287"/>
      <c r="L274" s="242"/>
      <c r="M274" s="242"/>
    </row>
    <row r="275" spans="1:13" s="13" customFormat="1" ht="18" customHeight="1" x14ac:dyDescent="0.3">
      <c r="A275" s="242"/>
      <c r="B275" s="242"/>
      <c r="C275" s="242"/>
      <c r="D275" s="242"/>
      <c r="E275" s="21">
        <v>31</v>
      </c>
      <c r="F275" s="22"/>
      <c r="G275" s="22"/>
      <c r="H275" s="421"/>
      <c r="I275" s="24"/>
      <c r="J275" s="277" t="str">
        <f t="shared" si="10"/>
        <v>VIII-G</v>
      </c>
      <c r="K275" s="287"/>
      <c r="L275" s="242"/>
      <c r="M275" s="242"/>
    </row>
    <row r="276" spans="1:13" s="13" customFormat="1" ht="18" customHeight="1" x14ac:dyDescent="0.3">
      <c r="A276" s="242"/>
      <c r="B276" s="242"/>
      <c r="C276" s="242"/>
      <c r="D276" s="242"/>
      <c r="E276" s="21">
        <v>32</v>
      </c>
      <c r="F276" s="22"/>
      <c r="G276" s="22"/>
      <c r="H276" s="23"/>
      <c r="I276" s="24"/>
      <c r="J276" s="277" t="str">
        <f t="shared" si="10"/>
        <v>VIII-G</v>
      </c>
      <c r="K276" s="287"/>
      <c r="L276" s="242"/>
      <c r="M276" s="242"/>
    </row>
    <row r="277" spans="1:13" s="13" customFormat="1" ht="18" customHeight="1" x14ac:dyDescent="0.3">
      <c r="A277" s="242"/>
      <c r="B277" s="242"/>
      <c r="C277" s="242"/>
      <c r="D277" s="242"/>
      <c r="E277" s="21">
        <v>33</v>
      </c>
      <c r="F277" s="22"/>
      <c r="G277" s="22"/>
      <c r="H277" s="421"/>
      <c r="I277" s="24"/>
      <c r="J277" s="277" t="str">
        <f t="shared" si="10"/>
        <v>VIII-G</v>
      </c>
      <c r="K277" s="287"/>
      <c r="L277" s="242"/>
      <c r="M277" s="242"/>
    </row>
    <row r="278" spans="1:13" s="13" customFormat="1" ht="18" customHeight="1" x14ac:dyDescent="0.3">
      <c r="A278" s="242"/>
      <c r="B278" s="242"/>
      <c r="C278" s="242"/>
      <c r="D278" s="242"/>
      <c r="E278" s="21">
        <v>34</v>
      </c>
      <c r="F278" s="22"/>
      <c r="G278" s="22"/>
      <c r="H278" s="23"/>
      <c r="I278" s="24"/>
      <c r="J278" s="277" t="str">
        <f t="shared" si="10"/>
        <v>VIII-G</v>
      </c>
      <c r="K278" s="287"/>
      <c r="L278" s="242"/>
      <c r="M278" s="242"/>
    </row>
    <row r="279" spans="1:13" s="13" customFormat="1" ht="18" customHeight="1" x14ac:dyDescent="0.3">
      <c r="A279" s="242"/>
      <c r="B279" s="242"/>
      <c r="C279" s="242"/>
      <c r="D279" s="242"/>
      <c r="E279" s="21">
        <v>35</v>
      </c>
      <c r="F279" s="22"/>
      <c r="G279" s="22"/>
      <c r="H279" s="421"/>
      <c r="I279" s="24"/>
      <c r="J279" s="277" t="str">
        <f t="shared" si="10"/>
        <v>VIII-G</v>
      </c>
      <c r="K279" s="287"/>
      <c r="L279" s="242"/>
      <c r="M279" s="242"/>
    </row>
    <row r="280" spans="1:13" s="13" customFormat="1" ht="18" customHeight="1" x14ac:dyDescent="0.3">
      <c r="A280" s="242"/>
      <c r="B280" s="242"/>
      <c r="C280" s="242"/>
      <c r="D280" s="242"/>
      <c r="E280" s="21">
        <v>36</v>
      </c>
      <c r="F280" s="22"/>
      <c r="G280" s="22"/>
      <c r="H280" s="23"/>
      <c r="I280" s="24"/>
      <c r="J280" s="277" t="str">
        <f t="shared" si="10"/>
        <v>VIII-G</v>
      </c>
      <c r="K280" s="287"/>
      <c r="L280" s="242"/>
      <c r="M280" s="242"/>
    </row>
    <row r="281" spans="1:13" s="13" customFormat="1" ht="18" customHeight="1" x14ac:dyDescent="0.3">
      <c r="A281" s="242"/>
      <c r="B281" s="242"/>
      <c r="C281" s="242"/>
      <c r="D281" s="242"/>
      <c r="E281" s="21">
        <v>37</v>
      </c>
      <c r="F281" s="22"/>
      <c r="G281" s="22"/>
      <c r="H281" s="421"/>
      <c r="I281" s="24"/>
      <c r="J281" s="277" t="str">
        <f t="shared" si="10"/>
        <v>VIII-G</v>
      </c>
      <c r="K281" s="287"/>
      <c r="L281" s="242"/>
      <c r="M281" s="242"/>
    </row>
    <row r="282" spans="1:13" s="13" customFormat="1" ht="18" customHeight="1" x14ac:dyDescent="0.3">
      <c r="A282" s="242"/>
      <c r="B282" s="242"/>
      <c r="C282" s="242"/>
      <c r="D282" s="242"/>
      <c r="E282" s="21">
        <v>38</v>
      </c>
      <c r="F282" s="22"/>
      <c r="G282" s="22"/>
      <c r="H282" s="23"/>
      <c r="I282" s="24"/>
      <c r="J282" s="277" t="str">
        <f t="shared" si="10"/>
        <v>VIII-G</v>
      </c>
      <c r="K282" s="287"/>
      <c r="L282" s="242"/>
      <c r="M282" s="242"/>
    </row>
    <row r="283" spans="1:13" s="13" customFormat="1" ht="18" customHeight="1" x14ac:dyDescent="0.3">
      <c r="A283" s="242"/>
      <c r="B283" s="242"/>
      <c r="C283" s="242"/>
      <c r="D283" s="242"/>
      <c r="E283" s="21">
        <v>39</v>
      </c>
      <c r="F283" s="22"/>
      <c r="G283" s="22"/>
      <c r="H283" s="421"/>
      <c r="I283" s="24"/>
      <c r="J283" s="277" t="str">
        <f t="shared" si="10"/>
        <v>VIII-G</v>
      </c>
      <c r="K283" s="287"/>
      <c r="L283" s="242"/>
      <c r="M283" s="242"/>
    </row>
    <row r="284" spans="1:13" s="13" customFormat="1" ht="18" customHeight="1" x14ac:dyDescent="0.3">
      <c r="A284" s="242"/>
      <c r="B284" s="242"/>
      <c r="C284" s="242"/>
      <c r="D284" s="242"/>
      <c r="E284" s="21">
        <v>40</v>
      </c>
      <c r="F284" s="22"/>
      <c r="G284" s="22"/>
      <c r="H284" s="23"/>
      <c r="I284" s="24"/>
      <c r="J284" s="277" t="str">
        <f t="shared" si="10"/>
        <v>VIII-G</v>
      </c>
      <c r="K284" s="287"/>
      <c r="L284" s="242"/>
      <c r="M284" s="242"/>
    </row>
    <row r="285" spans="1:13" s="13" customFormat="1" ht="18" customHeight="1" x14ac:dyDescent="0.3">
      <c r="A285" s="242"/>
      <c r="B285" s="242"/>
      <c r="C285" s="242"/>
      <c r="D285" s="242"/>
      <c r="E285" s="21">
        <v>1</v>
      </c>
      <c r="F285" s="22" t="s">
        <v>785</v>
      </c>
      <c r="G285" s="22" t="s">
        <v>786</v>
      </c>
      <c r="H285" s="23" t="s">
        <v>787</v>
      </c>
      <c r="I285" s="24" t="s">
        <v>548</v>
      </c>
      <c r="J285" s="277" t="str">
        <f>IF(C9=7,"VII",IF(C9=8,"VIII","IX"))&amp;"-"&amp;"H"</f>
        <v>VIII-H</v>
      </c>
      <c r="K285" s="287"/>
      <c r="L285" s="242"/>
      <c r="M285" s="242"/>
    </row>
    <row r="286" spans="1:13" s="13" customFormat="1" ht="18" customHeight="1" x14ac:dyDescent="0.3">
      <c r="A286" s="242"/>
      <c r="B286" s="242"/>
      <c r="C286" s="242"/>
      <c r="D286" s="242"/>
      <c r="E286" s="21">
        <v>2</v>
      </c>
      <c r="F286" s="22" t="s">
        <v>788</v>
      </c>
      <c r="G286" s="22">
        <v>3121015197</v>
      </c>
      <c r="H286" s="23" t="s">
        <v>789</v>
      </c>
      <c r="I286" s="24" t="s">
        <v>548</v>
      </c>
      <c r="J286" s="277" t="str">
        <f t="shared" si="7"/>
        <v>VIII-H</v>
      </c>
      <c r="K286" s="287"/>
      <c r="L286" s="242"/>
      <c r="M286" s="242"/>
    </row>
    <row r="287" spans="1:13" s="13" customFormat="1" ht="18" customHeight="1" x14ac:dyDescent="0.3">
      <c r="A287" s="242"/>
      <c r="B287" s="242"/>
      <c r="C287" s="242"/>
      <c r="D287" s="242"/>
      <c r="E287" s="21">
        <v>3</v>
      </c>
      <c r="F287" s="22" t="s">
        <v>790</v>
      </c>
      <c r="G287" s="22" t="s">
        <v>791</v>
      </c>
      <c r="H287" s="23" t="s">
        <v>792</v>
      </c>
      <c r="I287" s="24" t="s">
        <v>548</v>
      </c>
      <c r="J287" s="277" t="str">
        <f t="shared" si="7"/>
        <v>VIII-H</v>
      </c>
      <c r="K287" s="287"/>
      <c r="L287" s="242"/>
      <c r="M287" s="242"/>
    </row>
    <row r="288" spans="1:13" s="13" customFormat="1" ht="18" customHeight="1" x14ac:dyDescent="0.3">
      <c r="A288" s="242"/>
      <c r="B288" s="242"/>
      <c r="C288" s="242"/>
      <c r="D288" s="242"/>
      <c r="E288" s="21">
        <v>4</v>
      </c>
      <c r="F288" s="22" t="s">
        <v>793</v>
      </c>
      <c r="G288" s="22">
        <v>3126618271</v>
      </c>
      <c r="H288" s="23" t="s">
        <v>794</v>
      </c>
      <c r="I288" s="24" t="s">
        <v>548</v>
      </c>
      <c r="J288" s="277" t="str">
        <f t="shared" si="7"/>
        <v>VIII-H</v>
      </c>
      <c r="K288" s="287"/>
      <c r="L288" s="242"/>
      <c r="M288" s="242"/>
    </row>
    <row r="289" spans="1:13" s="13" customFormat="1" ht="18" customHeight="1" x14ac:dyDescent="0.3">
      <c r="A289" s="242"/>
      <c r="B289" s="242"/>
      <c r="C289" s="242"/>
      <c r="D289" s="242"/>
      <c r="E289" s="21">
        <v>5</v>
      </c>
      <c r="F289" s="22" t="s">
        <v>795</v>
      </c>
      <c r="G289" s="22">
        <v>3126618271</v>
      </c>
      <c r="H289" s="23" t="s">
        <v>796</v>
      </c>
      <c r="I289" s="24" t="s">
        <v>548</v>
      </c>
      <c r="J289" s="277" t="str">
        <f t="shared" si="7"/>
        <v>VIII-H</v>
      </c>
      <c r="K289" s="287"/>
      <c r="L289" s="242"/>
      <c r="M289" s="242"/>
    </row>
    <row r="290" spans="1:13" s="13" customFormat="1" ht="18" customHeight="1" x14ac:dyDescent="0.3">
      <c r="A290" s="242"/>
      <c r="B290" s="242"/>
      <c r="C290" s="242"/>
      <c r="D290" s="242"/>
      <c r="E290" s="21">
        <v>6</v>
      </c>
      <c r="F290" s="22" t="s">
        <v>797</v>
      </c>
      <c r="G290" s="22" t="s">
        <v>798</v>
      </c>
      <c r="H290" s="23" t="s">
        <v>799</v>
      </c>
      <c r="I290" s="24" t="s">
        <v>548</v>
      </c>
      <c r="J290" s="277" t="str">
        <f t="shared" si="7"/>
        <v>VIII-H</v>
      </c>
      <c r="K290" s="287"/>
      <c r="L290" s="242"/>
      <c r="M290" s="242"/>
    </row>
    <row r="291" spans="1:13" s="13" customFormat="1" ht="18" customHeight="1" x14ac:dyDescent="0.3">
      <c r="A291" s="242"/>
      <c r="B291" s="242"/>
      <c r="C291" s="242"/>
      <c r="D291" s="242"/>
      <c r="E291" s="21">
        <v>7</v>
      </c>
      <c r="F291" s="22" t="s">
        <v>800</v>
      </c>
      <c r="G291" s="22" t="s">
        <v>801</v>
      </c>
      <c r="H291" s="23" t="s">
        <v>802</v>
      </c>
      <c r="I291" s="24" t="s">
        <v>548</v>
      </c>
      <c r="J291" s="277" t="str">
        <f t="shared" ref="J291:J324" si="11">J290</f>
        <v>VIII-H</v>
      </c>
      <c r="K291" s="287"/>
      <c r="L291" s="242"/>
      <c r="M291" s="242"/>
    </row>
    <row r="292" spans="1:13" s="13" customFormat="1" ht="18" customHeight="1" x14ac:dyDescent="0.3">
      <c r="A292" s="242"/>
      <c r="B292" s="242"/>
      <c r="C292" s="242"/>
      <c r="D292" s="242"/>
      <c r="E292" s="21">
        <v>8</v>
      </c>
      <c r="F292" s="22" t="s">
        <v>803</v>
      </c>
      <c r="G292" s="22" t="s">
        <v>804</v>
      </c>
      <c r="H292" s="23" t="s">
        <v>805</v>
      </c>
      <c r="I292" s="24" t="s">
        <v>548</v>
      </c>
      <c r="J292" s="277" t="str">
        <f t="shared" si="11"/>
        <v>VIII-H</v>
      </c>
      <c r="K292" s="287"/>
      <c r="L292" s="242"/>
      <c r="M292" s="242"/>
    </row>
    <row r="293" spans="1:13" s="13" customFormat="1" ht="18" customHeight="1" x14ac:dyDescent="0.3">
      <c r="A293" s="242"/>
      <c r="B293" s="242"/>
      <c r="C293" s="242"/>
      <c r="D293" s="242"/>
      <c r="E293" s="21">
        <v>9</v>
      </c>
      <c r="F293" s="22" t="s">
        <v>806</v>
      </c>
      <c r="G293" s="22" t="s">
        <v>807</v>
      </c>
      <c r="H293" s="23" t="s">
        <v>808</v>
      </c>
      <c r="I293" s="24" t="s">
        <v>548</v>
      </c>
      <c r="J293" s="277" t="str">
        <f t="shared" si="11"/>
        <v>VIII-H</v>
      </c>
      <c r="K293" s="287"/>
      <c r="L293" s="242"/>
      <c r="M293" s="242"/>
    </row>
    <row r="294" spans="1:13" s="13" customFormat="1" ht="18" customHeight="1" x14ac:dyDescent="0.3">
      <c r="A294" s="242"/>
      <c r="B294" s="242"/>
      <c r="C294" s="242"/>
      <c r="D294" s="242"/>
      <c r="E294" s="21">
        <v>10</v>
      </c>
      <c r="F294" s="22" t="s">
        <v>809</v>
      </c>
      <c r="G294" s="22" t="s">
        <v>810</v>
      </c>
      <c r="H294" s="23" t="s">
        <v>811</v>
      </c>
      <c r="I294" s="24" t="s">
        <v>548</v>
      </c>
      <c r="J294" s="277" t="str">
        <f t="shared" si="11"/>
        <v>VIII-H</v>
      </c>
      <c r="K294" s="287"/>
      <c r="L294" s="242"/>
      <c r="M294" s="242"/>
    </row>
    <row r="295" spans="1:13" s="13" customFormat="1" ht="18" customHeight="1" x14ac:dyDescent="0.3">
      <c r="A295" s="242"/>
      <c r="B295" s="242"/>
      <c r="C295" s="242"/>
      <c r="D295" s="242"/>
      <c r="E295" s="21">
        <v>11</v>
      </c>
      <c r="F295" s="22" t="s">
        <v>812</v>
      </c>
      <c r="G295" s="22" t="s">
        <v>813</v>
      </c>
      <c r="H295" s="23" t="s">
        <v>814</v>
      </c>
      <c r="I295" s="24" t="s">
        <v>548</v>
      </c>
      <c r="J295" s="277" t="str">
        <f t="shared" si="11"/>
        <v>VIII-H</v>
      </c>
      <c r="K295" s="287"/>
      <c r="L295" s="242"/>
      <c r="M295" s="242"/>
    </row>
    <row r="296" spans="1:13" s="13" customFormat="1" ht="18" customHeight="1" x14ac:dyDescent="0.3">
      <c r="A296" s="242"/>
      <c r="B296" s="242"/>
      <c r="C296" s="242"/>
      <c r="D296" s="242"/>
      <c r="E296" s="21">
        <v>12</v>
      </c>
      <c r="F296" s="22" t="s">
        <v>815</v>
      </c>
      <c r="G296" s="22" t="s">
        <v>816</v>
      </c>
      <c r="H296" s="23" t="s">
        <v>817</v>
      </c>
      <c r="I296" s="24" t="s">
        <v>548</v>
      </c>
      <c r="J296" s="277" t="str">
        <f t="shared" si="11"/>
        <v>VIII-H</v>
      </c>
      <c r="K296" s="287"/>
      <c r="L296" s="242"/>
      <c r="M296" s="242"/>
    </row>
    <row r="297" spans="1:13" s="13" customFormat="1" ht="18" customHeight="1" x14ac:dyDescent="0.3">
      <c r="A297" s="242"/>
      <c r="B297" s="242"/>
      <c r="C297" s="242"/>
      <c r="D297" s="242"/>
      <c r="E297" s="21">
        <v>13</v>
      </c>
      <c r="F297" s="22" t="s">
        <v>818</v>
      </c>
      <c r="G297" s="22" t="s">
        <v>819</v>
      </c>
      <c r="H297" s="23" t="s">
        <v>820</v>
      </c>
      <c r="I297" s="24" t="s">
        <v>548</v>
      </c>
      <c r="J297" s="277" t="str">
        <f t="shared" si="11"/>
        <v>VIII-H</v>
      </c>
      <c r="K297" s="287"/>
      <c r="L297" s="242"/>
      <c r="M297" s="242"/>
    </row>
    <row r="298" spans="1:13" s="13" customFormat="1" ht="18" customHeight="1" x14ac:dyDescent="0.3">
      <c r="A298" s="242"/>
      <c r="B298" s="242"/>
      <c r="C298" s="242"/>
      <c r="D298" s="242"/>
      <c r="E298" s="21">
        <v>14</v>
      </c>
      <c r="F298" s="22" t="s">
        <v>821</v>
      </c>
      <c r="G298" s="22" t="s">
        <v>822</v>
      </c>
      <c r="H298" s="23" t="s">
        <v>823</v>
      </c>
      <c r="I298" s="24" t="s">
        <v>548</v>
      </c>
      <c r="J298" s="277" t="str">
        <f t="shared" si="11"/>
        <v>VIII-H</v>
      </c>
      <c r="K298" s="287"/>
      <c r="L298" s="242"/>
      <c r="M298" s="242"/>
    </row>
    <row r="299" spans="1:13" s="13" customFormat="1" ht="18" customHeight="1" x14ac:dyDescent="0.3">
      <c r="A299" s="242"/>
      <c r="B299" s="242"/>
      <c r="C299" s="242"/>
      <c r="D299" s="242"/>
      <c r="E299" s="21">
        <v>15</v>
      </c>
      <c r="F299" s="22" t="s">
        <v>824</v>
      </c>
      <c r="G299" s="22" t="s">
        <v>825</v>
      </c>
      <c r="H299" s="23" t="s">
        <v>826</v>
      </c>
      <c r="I299" s="24" t="s">
        <v>548</v>
      </c>
      <c r="J299" s="277" t="str">
        <f t="shared" si="11"/>
        <v>VIII-H</v>
      </c>
      <c r="K299" s="287"/>
      <c r="L299" s="242"/>
      <c r="M299" s="242"/>
    </row>
    <row r="300" spans="1:13" s="13" customFormat="1" ht="18" customHeight="1" x14ac:dyDescent="0.3">
      <c r="A300" s="242"/>
      <c r="B300" s="242"/>
      <c r="C300" s="242"/>
      <c r="D300" s="242"/>
      <c r="E300" s="21">
        <v>16</v>
      </c>
      <c r="F300" s="22" t="s">
        <v>827</v>
      </c>
      <c r="G300" s="22" t="s">
        <v>828</v>
      </c>
      <c r="H300" s="23" t="s">
        <v>829</v>
      </c>
      <c r="I300" s="24" t="s">
        <v>548</v>
      </c>
      <c r="J300" s="277" t="str">
        <f t="shared" si="11"/>
        <v>VIII-H</v>
      </c>
      <c r="K300" s="287"/>
      <c r="L300" s="242"/>
      <c r="M300" s="242"/>
    </row>
    <row r="301" spans="1:13" s="13" customFormat="1" ht="18" customHeight="1" x14ac:dyDescent="0.3">
      <c r="A301" s="242"/>
      <c r="B301" s="242"/>
      <c r="C301" s="242"/>
      <c r="D301" s="242"/>
      <c r="E301" s="21">
        <v>17</v>
      </c>
      <c r="F301" s="22" t="s">
        <v>830</v>
      </c>
      <c r="G301" s="22" t="s">
        <v>831</v>
      </c>
      <c r="H301" s="23" t="s">
        <v>832</v>
      </c>
      <c r="I301" s="24" t="s">
        <v>548</v>
      </c>
      <c r="J301" s="277" t="str">
        <f t="shared" si="11"/>
        <v>VIII-H</v>
      </c>
      <c r="K301" s="287"/>
      <c r="L301" s="242"/>
      <c r="M301" s="242"/>
    </row>
    <row r="302" spans="1:13" s="13" customFormat="1" ht="18" customHeight="1" x14ac:dyDescent="0.3">
      <c r="A302" s="242"/>
      <c r="B302" s="242"/>
      <c r="C302" s="242"/>
      <c r="D302" s="242"/>
      <c r="E302" s="21">
        <v>18</v>
      </c>
      <c r="F302" s="22"/>
      <c r="G302" s="22"/>
      <c r="H302" s="23"/>
      <c r="I302" s="24"/>
      <c r="J302" s="277" t="str">
        <f t="shared" si="11"/>
        <v>VIII-H</v>
      </c>
      <c r="K302" s="287"/>
      <c r="L302" s="242"/>
      <c r="M302" s="242"/>
    </row>
    <row r="303" spans="1:13" s="13" customFormat="1" ht="18" customHeight="1" x14ac:dyDescent="0.3">
      <c r="A303" s="242"/>
      <c r="B303" s="242"/>
      <c r="C303" s="242"/>
      <c r="D303" s="242"/>
      <c r="E303" s="21">
        <v>19</v>
      </c>
      <c r="F303" s="22"/>
      <c r="G303" s="22"/>
      <c r="H303" s="23"/>
      <c r="I303" s="24"/>
      <c r="J303" s="277" t="str">
        <f t="shared" si="11"/>
        <v>VIII-H</v>
      </c>
      <c r="K303" s="287"/>
      <c r="L303" s="242"/>
      <c r="M303" s="242"/>
    </row>
    <row r="304" spans="1:13" s="13" customFormat="1" ht="18" customHeight="1" x14ac:dyDescent="0.3">
      <c r="A304" s="242"/>
      <c r="B304" s="242"/>
      <c r="C304" s="242"/>
      <c r="D304" s="242"/>
      <c r="E304" s="21">
        <v>20</v>
      </c>
      <c r="F304" s="22"/>
      <c r="G304" s="22"/>
      <c r="H304" s="23"/>
      <c r="I304" s="24"/>
      <c r="J304" s="277" t="str">
        <f t="shared" si="11"/>
        <v>VIII-H</v>
      </c>
      <c r="K304" s="287"/>
      <c r="L304" s="242"/>
      <c r="M304" s="242"/>
    </row>
    <row r="305" spans="1:13" s="13" customFormat="1" ht="18" customHeight="1" x14ac:dyDescent="0.3">
      <c r="A305" s="242"/>
      <c r="B305" s="242"/>
      <c r="C305" s="242"/>
      <c r="D305" s="242"/>
      <c r="E305" s="21">
        <v>21</v>
      </c>
      <c r="F305" s="22"/>
      <c r="G305" s="22"/>
      <c r="H305" s="23"/>
      <c r="I305" s="24"/>
      <c r="J305" s="277" t="str">
        <f t="shared" si="11"/>
        <v>VIII-H</v>
      </c>
      <c r="K305" s="287"/>
      <c r="L305" s="242"/>
      <c r="M305" s="242"/>
    </row>
    <row r="306" spans="1:13" s="13" customFormat="1" ht="18" customHeight="1" x14ac:dyDescent="0.3">
      <c r="A306" s="242"/>
      <c r="B306" s="242"/>
      <c r="C306" s="242"/>
      <c r="D306" s="242"/>
      <c r="E306" s="21">
        <v>22</v>
      </c>
      <c r="F306" s="22"/>
      <c r="G306" s="22"/>
      <c r="H306" s="23"/>
      <c r="I306" s="24"/>
      <c r="J306" s="277" t="str">
        <f t="shared" si="11"/>
        <v>VIII-H</v>
      </c>
      <c r="K306" s="287"/>
      <c r="L306" s="242"/>
      <c r="M306" s="242"/>
    </row>
    <row r="307" spans="1:13" s="13" customFormat="1" ht="18" customHeight="1" x14ac:dyDescent="0.3">
      <c r="A307" s="242"/>
      <c r="B307" s="242"/>
      <c r="C307" s="242"/>
      <c r="D307" s="242"/>
      <c r="E307" s="21">
        <v>23</v>
      </c>
      <c r="F307" s="22"/>
      <c r="G307" s="22"/>
      <c r="H307" s="23"/>
      <c r="I307" s="24"/>
      <c r="J307" s="277" t="str">
        <f t="shared" si="11"/>
        <v>VIII-H</v>
      </c>
      <c r="K307" s="287"/>
      <c r="L307" s="242"/>
      <c r="M307" s="242"/>
    </row>
    <row r="308" spans="1:13" s="13" customFormat="1" ht="18" customHeight="1" x14ac:dyDescent="0.3">
      <c r="A308" s="242"/>
      <c r="B308" s="242"/>
      <c r="C308" s="242"/>
      <c r="D308" s="242"/>
      <c r="E308" s="21">
        <v>24</v>
      </c>
      <c r="F308" s="22"/>
      <c r="G308" s="22"/>
      <c r="H308" s="23"/>
      <c r="I308" s="24"/>
      <c r="J308" s="277" t="str">
        <f t="shared" si="11"/>
        <v>VIII-H</v>
      </c>
      <c r="K308" s="287"/>
      <c r="L308" s="242"/>
      <c r="M308" s="242"/>
    </row>
    <row r="309" spans="1:13" s="13" customFormat="1" ht="18" customHeight="1" x14ac:dyDescent="0.3">
      <c r="A309" s="242"/>
      <c r="B309" s="242"/>
      <c r="C309" s="242"/>
      <c r="D309" s="242"/>
      <c r="E309" s="21">
        <v>25</v>
      </c>
      <c r="F309" s="22"/>
      <c r="G309" s="22"/>
      <c r="H309" s="23"/>
      <c r="I309" s="24"/>
      <c r="J309" s="277" t="str">
        <f t="shared" si="11"/>
        <v>VIII-H</v>
      </c>
      <c r="K309" s="287"/>
      <c r="L309" s="242"/>
      <c r="M309" s="242"/>
    </row>
    <row r="310" spans="1:13" s="13" customFormat="1" ht="18" customHeight="1" x14ac:dyDescent="0.3">
      <c r="A310" s="242"/>
      <c r="B310" s="242"/>
      <c r="C310" s="242"/>
      <c r="D310" s="242"/>
      <c r="E310" s="21">
        <v>26</v>
      </c>
      <c r="F310" s="22"/>
      <c r="G310" s="22"/>
      <c r="H310" s="23"/>
      <c r="I310" s="24"/>
      <c r="J310" s="277" t="str">
        <f t="shared" si="11"/>
        <v>VIII-H</v>
      </c>
      <c r="K310" s="287"/>
      <c r="L310" s="242"/>
      <c r="M310" s="242"/>
    </row>
    <row r="311" spans="1:13" s="13" customFormat="1" ht="18" customHeight="1" x14ac:dyDescent="0.3">
      <c r="A311" s="242"/>
      <c r="B311" s="242"/>
      <c r="C311" s="242"/>
      <c r="D311" s="242"/>
      <c r="E311" s="21">
        <v>27</v>
      </c>
      <c r="F311" s="22"/>
      <c r="G311" s="22"/>
      <c r="H311" s="23"/>
      <c r="I311" s="24"/>
      <c r="J311" s="277" t="str">
        <f t="shared" si="11"/>
        <v>VIII-H</v>
      </c>
      <c r="K311" s="287"/>
      <c r="L311" s="242"/>
      <c r="M311" s="242"/>
    </row>
    <row r="312" spans="1:13" s="13" customFormat="1" ht="18" customHeight="1" x14ac:dyDescent="0.3">
      <c r="A312" s="242"/>
      <c r="B312" s="242"/>
      <c r="C312" s="242"/>
      <c r="D312" s="242"/>
      <c r="E312" s="21">
        <v>28</v>
      </c>
      <c r="F312" s="22"/>
      <c r="G312" s="22"/>
      <c r="H312" s="23"/>
      <c r="I312" s="24"/>
      <c r="J312" s="277" t="str">
        <f t="shared" si="11"/>
        <v>VIII-H</v>
      </c>
      <c r="K312" s="287"/>
      <c r="L312" s="242"/>
      <c r="M312" s="242"/>
    </row>
    <row r="313" spans="1:13" s="13" customFormat="1" ht="18" customHeight="1" x14ac:dyDescent="0.3">
      <c r="A313" s="242"/>
      <c r="B313" s="242"/>
      <c r="C313" s="242"/>
      <c r="D313" s="242"/>
      <c r="E313" s="21">
        <v>29</v>
      </c>
      <c r="F313" s="22"/>
      <c r="G313" s="22"/>
      <c r="H313" s="23"/>
      <c r="I313" s="24"/>
      <c r="J313" s="277" t="str">
        <f t="shared" si="11"/>
        <v>VIII-H</v>
      </c>
      <c r="K313" s="287"/>
      <c r="L313" s="242"/>
      <c r="M313" s="242"/>
    </row>
    <row r="314" spans="1:13" s="13" customFormat="1" ht="18" customHeight="1" x14ac:dyDescent="0.3">
      <c r="A314" s="242"/>
      <c r="B314" s="242"/>
      <c r="C314" s="242"/>
      <c r="D314" s="242"/>
      <c r="E314" s="21">
        <v>30</v>
      </c>
      <c r="F314" s="22"/>
      <c r="G314" s="22"/>
      <c r="H314" s="23"/>
      <c r="I314" s="24"/>
      <c r="J314" s="277" t="str">
        <f t="shared" si="11"/>
        <v>VIII-H</v>
      </c>
      <c r="K314" s="287"/>
      <c r="L314" s="242"/>
      <c r="M314" s="242"/>
    </row>
    <row r="315" spans="1:13" s="13" customFormat="1" ht="18" customHeight="1" x14ac:dyDescent="0.3">
      <c r="A315" s="242"/>
      <c r="B315" s="242"/>
      <c r="C315" s="242"/>
      <c r="D315" s="242"/>
      <c r="E315" s="21">
        <v>31</v>
      </c>
      <c r="F315" s="22"/>
      <c r="G315" s="22"/>
      <c r="H315" s="23"/>
      <c r="I315" s="24"/>
      <c r="J315" s="277" t="str">
        <f t="shared" si="11"/>
        <v>VIII-H</v>
      </c>
      <c r="K315" s="287"/>
      <c r="L315" s="242"/>
      <c r="M315" s="242"/>
    </row>
    <row r="316" spans="1:13" s="13" customFormat="1" ht="18" customHeight="1" x14ac:dyDescent="0.3">
      <c r="A316" s="242"/>
      <c r="B316" s="242"/>
      <c r="C316" s="242"/>
      <c r="D316" s="242"/>
      <c r="E316" s="21">
        <v>32</v>
      </c>
      <c r="F316" s="22"/>
      <c r="G316" s="22"/>
      <c r="H316" s="23"/>
      <c r="I316" s="24"/>
      <c r="J316" s="277" t="str">
        <f t="shared" si="11"/>
        <v>VIII-H</v>
      </c>
      <c r="K316" s="287"/>
      <c r="L316" s="242"/>
      <c r="M316" s="242"/>
    </row>
    <row r="317" spans="1:13" s="13" customFormat="1" ht="18" customHeight="1" x14ac:dyDescent="0.3">
      <c r="A317" s="242"/>
      <c r="B317" s="242"/>
      <c r="C317" s="242"/>
      <c r="D317" s="242"/>
      <c r="E317" s="21">
        <v>33</v>
      </c>
      <c r="F317" s="22"/>
      <c r="G317" s="22"/>
      <c r="H317" s="23"/>
      <c r="I317" s="24"/>
      <c r="J317" s="277" t="str">
        <f t="shared" si="11"/>
        <v>VIII-H</v>
      </c>
      <c r="K317" s="287"/>
      <c r="L317" s="242"/>
      <c r="M317" s="242"/>
    </row>
    <row r="318" spans="1:13" s="13" customFormat="1" ht="18" customHeight="1" x14ac:dyDescent="0.3">
      <c r="A318" s="242"/>
      <c r="B318" s="242"/>
      <c r="C318" s="242"/>
      <c r="D318" s="242"/>
      <c r="E318" s="21">
        <v>34</v>
      </c>
      <c r="F318" s="22"/>
      <c r="G318" s="22"/>
      <c r="H318" s="23"/>
      <c r="I318" s="24"/>
      <c r="J318" s="277" t="str">
        <f t="shared" si="11"/>
        <v>VIII-H</v>
      </c>
      <c r="K318" s="287"/>
      <c r="L318" s="242"/>
      <c r="M318" s="242"/>
    </row>
    <row r="319" spans="1:13" s="13" customFormat="1" ht="18" customHeight="1" x14ac:dyDescent="0.3">
      <c r="A319" s="242"/>
      <c r="B319" s="242"/>
      <c r="C319" s="242"/>
      <c r="D319" s="242"/>
      <c r="E319" s="21">
        <v>35</v>
      </c>
      <c r="F319" s="22"/>
      <c r="G319" s="22"/>
      <c r="H319" s="23"/>
      <c r="I319" s="24"/>
      <c r="J319" s="277" t="str">
        <f t="shared" si="11"/>
        <v>VIII-H</v>
      </c>
      <c r="K319" s="287"/>
      <c r="L319" s="242"/>
      <c r="M319" s="242"/>
    </row>
    <row r="320" spans="1:13" s="13" customFormat="1" ht="18" customHeight="1" x14ac:dyDescent="0.3">
      <c r="A320" s="242"/>
      <c r="B320" s="242"/>
      <c r="C320" s="242"/>
      <c r="D320" s="242"/>
      <c r="E320" s="21">
        <v>36</v>
      </c>
      <c r="F320" s="22"/>
      <c r="G320" s="22"/>
      <c r="H320" s="23"/>
      <c r="I320" s="24"/>
      <c r="J320" s="277" t="str">
        <f t="shared" si="11"/>
        <v>VIII-H</v>
      </c>
      <c r="K320" s="287"/>
      <c r="L320" s="242"/>
      <c r="M320" s="242"/>
    </row>
    <row r="321" spans="1:13" s="13" customFormat="1" ht="18" customHeight="1" x14ac:dyDescent="0.3">
      <c r="A321" s="242"/>
      <c r="B321" s="242"/>
      <c r="C321" s="242"/>
      <c r="D321" s="242"/>
      <c r="E321" s="21">
        <v>37</v>
      </c>
      <c r="F321" s="22"/>
      <c r="G321" s="22"/>
      <c r="H321" s="23"/>
      <c r="I321" s="24"/>
      <c r="J321" s="277" t="str">
        <f t="shared" si="11"/>
        <v>VIII-H</v>
      </c>
      <c r="K321" s="287"/>
      <c r="L321" s="242"/>
      <c r="M321" s="242"/>
    </row>
    <row r="322" spans="1:13" s="13" customFormat="1" ht="18" customHeight="1" x14ac:dyDescent="0.3">
      <c r="A322" s="242"/>
      <c r="B322" s="242"/>
      <c r="C322" s="242"/>
      <c r="D322" s="242"/>
      <c r="E322" s="21">
        <v>38</v>
      </c>
      <c r="F322" s="22"/>
      <c r="G322" s="22"/>
      <c r="H322" s="23"/>
      <c r="I322" s="24"/>
      <c r="J322" s="277" t="str">
        <f t="shared" si="11"/>
        <v>VIII-H</v>
      </c>
      <c r="K322" s="287"/>
      <c r="L322" s="242"/>
      <c r="M322" s="242"/>
    </row>
    <row r="323" spans="1:13" s="13" customFormat="1" ht="18" customHeight="1" x14ac:dyDescent="0.3">
      <c r="A323" s="242"/>
      <c r="B323" s="242"/>
      <c r="C323" s="242"/>
      <c r="D323" s="242"/>
      <c r="E323" s="21">
        <v>39</v>
      </c>
      <c r="F323" s="22"/>
      <c r="G323" s="22"/>
      <c r="H323" s="23"/>
      <c r="I323" s="24"/>
      <c r="J323" s="277" t="str">
        <f t="shared" si="11"/>
        <v>VIII-H</v>
      </c>
      <c r="K323" s="287"/>
      <c r="L323" s="242"/>
      <c r="M323" s="242"/>
    </row>
    <row r="324" spans="1:13" s="13" customFormat="1" ht="18" customHeight="1" x14ac:dyDescent="0.3">
      <c r="A324" s="242"/>
      <c r="B324" s="242"/>
      <c r="C324" s="242"/>
      <c r="D324" s="242"/>
      <c r="E324" s="21">
        <v>40</v>
      </c>
      <c r="F324" s="22"/>
      <c r="G324" s="22"/>
      <c r="H324" s="23"/>
      <c r="I324" s="24"/>
      <c r="J324" s="277" t="str">
        <f t="shared" si="11"/>
        <v>VIII-H</v>
      </c>
      <c r="K324" s="287"/>
      <c r="L324" s="242"/>
      <c r="M324" s="242"/>
    </row>
    <row r="325" spans="1:13" s="13" customFormat="1" ht="18" customHeight="1" x14ac:dyDescent="0.3">
      <c r="A325" s="242"/>
      <c r="B325" s="242"/>
      <c r="C325" s="242"/>
      <c r="D325" s="242"/>
      <c r="E325" s="21">
        <v>1</v>
      </c>
      <c r="F325" s="22"/>
      <c r="G325" s="22"/>
      <c r="H325" s="23"/>
      <c r="I325" s="24"/>
      <c r="J325" s="277" t="str">
        <f>IF(C9=7,"VII",IF(C9=8,"VIII","IX"))&amp;"-"&amp;"I"</f>
        <v>VIII-I</v>
      </c>
      <c r="K325" s="287"/>
      <c r="L325" s="242"/>
      <c r="M325" s="242"/>
    </row>
    <row r="326" spans="1:13" s="13" customFormat="1" ht="18" customHeight="1" x14ac:dyDescent="0.3">
      <c r="A326" s="242"/>
      <c r="B326" s="242"/>
      <c r="C326" s="242"/>
      <c r="D326" s="242"/>
      <c r="E326" s="21">
        <v>2</v>
      </c>
      <c r="F326" s="22"/>
      <c r="G326" s="22"/>
      <c r="H326" s="23"/>
      <c r="I326" s="24"/>
      <c r="J326" s="277" t="str">
        <f>J325</f>
        <v>VIII-I</v>
      </c>
      <c r="K326" s="287"/>
      <c r="L326" s="242"/>
      <c r="M326" s="242"/>
    </row>
    <row r="327" spans="1:13" s="13" customFormat="1" ht="18" customHeight="1" x14ac:dyDescent="0.3">
      <c r="A327" s="242"/>
      <c r="B327" s="242"/>
      <c r="C327" s="242"/>
      <c r="D327" s="242"/>
      <c r="E327" s="21">
        <v>3</v>
      </c>
      <c r="F327" s="22"/>
      <c r="G327" s="22"/>
      <c r="H327" s="23"/>
      <c r="I327" s="24"/>
      <c r="J327" s="277" t="str">
        <f t="shared" ref="J327:J364" si="12">J326</f>
        <v>VIII-I</v>
      </c>
      <c r="K327" s="287"/>
      <c r="L327" s="242"/>
      <c r="M327" s="242"/>
    </row>
    <row r="328" spans="1:13" s="13" customFormat="1" ht="18" customHeight="1" x14ac:dyDescent="0.3">
      <c r="A328" s="242"/>
      <c r="B328" s="242"/>
      <c r="C328" s="242"/>
      <c r="D328" s="242"/>
      <c r="E328" s="21">
        <v>4</v>
      </c>
      <c r="F328" s="22"/>
      <c r="G328" s="22"/>
      <c r="H328" s="23"/>
      <c r="I328" s="24"/>
      <c r="J328" s="277" t="str">
        <f t="shared" si="12"/>
        <v>VIII-I</v>
      </c>
      <c r="K328" s="287"/>
      <c r="L328" s="242"/>
      <c r="M328" s="242"/>
    </row>
    <row r="329" spans="1:13" s="13" customFormat="1" ht="18" customHeight="1" x14ac:dyDescent="0.3">
      <c r="A329" s="242"/>
      <c r="B329" s="242"/>
      <c r="C329" s="242"/>
      <c r="D329" s="242"/>
      <c r="E329" s="21">
        <v>5</v>
      </c>
      <c r="F329" s="22"/>
      <c r="G329" s="22"/>
      <c r="H329" s="23"/>
      <c r="I329" s="24"/>
      <c r="J329" s="277" t="str">
        <f t="shared" si="12"/>
        <v>VIII-I</v>
      </c>
      <c r="K329" s="287"/>
      <c r="L329" s="242"/>
      <c r="M329" s="242"/>
    </row>
    <row r="330" spans="1:13" s="13" customFormat="1" ht="18" customHeight="1" x14ac:dyDescent="0.3">
      <c r="A330" s="242"/>
      <c r="B330" s="242"/>
      <c r="C330" s="242"/>
      <c r="D330" s="242"/>
      <c r="E330" s="21">
        <v>6</v>
      </c>
      <c r="F330" s="22"/>
      <c r="G330" s="22"/>
      <c r="H330" s="23"/>
      <c r="I330" s="24"/>
      <c r="J330" s="277" t="str">
        <f t="shared" si="12"/>
        <v>VIII-I</v>
      </c>
      <c r="K330" s="287"/>
      <c r="L330" s="242"/>
      <c r="M330" s="242"/>
    </row>
    <row r="331" spans="1:13" s="13" customFormat="1" ht="18" customHeight="1" x14ac:dyDescent="0.3">
      <c r="A331" s="242"/>
      <c r="B331" s="242"/>
      <c r="C331" s="242"/>
      <c r="D331" s="242"/>
      <c r="E331" s="21">
        <v>7</v>
      </c>
      <c r="F331" s="22"/>
      <c r="G331" s="22"/>
      <c r="H331" s="23"/>
      <c r="I331" s="24"/>
      <c r="J331" s="277" t="str">
        <f t="shared" si="12"/>
        <v>VIII-I</v>
      </c>
      <c r="K331" s="287"/>
      <c r="L331" s="242"/>
      <c r="M331" s="242"/>
    </row>
    <row r="332" spans="1:13" s="13" customFormat="1" ht="18" customHeight="1" x14ac:dyDescent="0.3">
      <c r="A332" s="242"/>
      <c r="B332" s="242"/>
      <c r="C332" s="242"/>
      <c r="D332" s="242"/>
      <c r="E332" s="21">
        <v>8</v>
      </c>
      <c r="F332" s="22"/>
      <c r="G332" s="22"/>
      <c r="H332" s="23"/>
      <c r="I332" s="24"/>
      <c r="J332" s="277" t="str">
        <f t="shared" si="12"/>
        <v>VIII-I</v>
      </c>
      <c r="K332" s="287"/>
      <c r="L332" s="242"/>
      <c r="M332" s="242"/>
    </row>
    <row r="333" spans="1:13" s="13" customFormat="1" ht="18" customHeight="1" x14ac:dyDescent="0.3">
      <c r="A333" s="242"/>
      <c r="B333" s="242"/>
      <c r="C333" s="242"/>
      <c r="D333" s="242"/>
      <c r="E333" s="21">
        <v>9</v>
      </c>
      <c r="F333" s="22"/>
      <c r="G333" s="22"/>
      <c r="H333" s="23"/>
      <c r="I333" s="24"/>
      <c r="J333" s="277" t="str">
        <f t="shared" si="12"/>
        <v>VIII-I</v>
      </c>
      <c r="K333" s="287"/>
      <c r="L333" s="242"/>
      <c r="M333" s="242"/>
    </row>
    <row r="334" spans="1:13" s="13" customFormat="1" ht="18" customHeight="1" x14ac:dyDescent="0.3">
      <c r="A334" s="242"/>
      <c r="B334" s="242"/>
      <c r="C334" s="242"/>
      <c r="D334" s="242"/>
      <c r="E334" s="21">
        <v>10</v>
      </c>
      <c r="F334" s="22"/>
      <c r="G334" s="22"/>
      <c r="H334" s="23"/>
      <c r="I334" s="24"/>
      <c r="J334" s="277" t="str">
        <f t="shared" si="12"/>
        <v>VIII-I</v>
      </c>
      <c r="K334" s="287"/>
      <c r="L334" s="242"/>
      <c r="M334" s="242"/>
    </row>
    <row r="335" spans="1:13" s="13" customFormat="1" ht="18" customHeight="1" x14ac:dyDescent="0.3">
      <c r="A335" s="242"/>
      <c r="B335" s="242"/>
      <c r="C335" s="242"/>
      <c r="D335" s="242"/>
      <c r="E335" s="21">
        <v>11</v>
      </c>
      <c r="F335" s="22"/>
      <c r="G335" s="22"/>
      <c r="H335" s="23"/>
      <c r="I335" s="24"/>
      <c r="J335" s="277" t="str">
        <f t="shared" si="12"/>
        <v>VIII-I</v>
      </c>
      <c r="K335" s="287"/>
      <c r="L335" s="242"/>
      <c r="M335" s="242"/>
    </row>
    <row r="336" spans="1:13" s="13" customFormat="1" ht="18" customHeight="1" x14ac:dyDescent="0.3">
      <c r="A336" s="242"/>
      <c r="B336" s="242"/>
      <c r="C336" s="242"/>
      <c r="D336" s="242"/>
      <c r="E336" s="21">
        <v>12</v>
      </c>
      <c r="F336" s="22"/>
      <c r="G336" s="22"/>
      <c r="H336" s="23"/>
      <c r="I336" s="24"/>
      <c r="J336" s="277" t="str">
        <f t="shared" si="12"/>
        <v>VIII-I</v>
      </c>
      <c r="K336" s="287"/>
      <c r="L336" s="242"/>
      <c r="M336" s="242"/>
    </row>
    <row r="337" spans="1:13" s="13" customFormat="1" ht="18" customHeight="1" x14ac:dyDescent="0.3">
      <c r="A337" s="242"/>
      <c r="B337" s="242"/>
      <c r="C337" s="242"/>
      <c r="D337" s="242"/>
      <c r="E337" s="21">
        <v>13</v>
      </c>
      <c r="F337" s="22"/>
      <c r="G337" s="22"/>
      <c r="H337" s="23"/>
      <c r="I337" s="24"/>
      <c r="J337" s="277" t="str">
        <f t="shared" si="12"/>
        <v>VIII-I</v>
      </c>
      <c r="K337" s="287"/>
      <c r="L337" s="242"/>
      <c r="M337" s="242"/>
    </row>
    <row r="338" spans="1:13" s="13" customFormat="1" ht="18" customHeight="1" x14ac:dyDescent="0.3">
      <c r="A338" s="242"/>
      <c r="B338" s="242"/>
      <c r="C338" s="242"/>
      <c r="D338" s="242"/>
      <c r="E338" s="21">
        <v>14</v>
      </c>
      <c r="F338" s="22"/>
      <c r="G338" s="22"/>
      <c r="H338" s="23"/>
      <c r="I338" s="24"/>
      <c r="J338" s="277" t="str">
        <f t="shared" si="12"/>
        <v>VIII-I</v>
      </c>
      <c r="K338" s="287"/>
      <c r="L338" s="242"/>
      <c r="M338" s="242"/>
    </row>
    <row r="339" spans="1:13" s="13" customFormat="1" ht="18" customHeight="1" x14ac:dyDescent="0.3">
      <c r="A339" s="242"/>
      <c r="B339" s="242"/>
      <c r="C339" s="242"/>
      <c r="D339" s="242"/>
      <c r="E339" s="21">
        <v>15</v>
      </c>
      <c r="F339" s="22"/>
      <c r="G339" s="22"/>
      <c r="H339" s="23"/>
      <c r="I339" s="24"/>
      <c r="J339" s="277" t="str">
        <f t="shared" si="12"/>
        <v>VIII-I</v>
      </c>
      <c r="K339" s="287"/>
      <c r="L339" s="242"/>
      <c r="M339" s="242"/>
    </row>
    <row r="340" spans="1:13" s="13" customFormat="1" ht="18" customHeight="1" x14ac:dyDescent="0.3">
      <c r="A340" s="242"/>
      <c r="B340" s="242"/>
      <c r="C340" s="242"/>
      <c r="D340" s="242"/>
      <c r="E340" s="21">
        <v>16</v>
      </c>
      <c r="F340" s="22"/>
      <c r="G340" s="22"/>
      <c r="H340" s="23"/>
      <c r="I340" s="24"/>
      <c r="J340" s="277" t="str">
        <f t="shared" si="12"/>
        <v>VIII-I</v>
      </c>
      <c r="K340" s="287"/>
      <c r="L340" s="242"/>
      <c r="M340" s="242"/>
    </row>
    <row r="341" spans="1:13" s="13" customFormat="1" ht="18" customHeight="1" x14ac:dyDescent="0.3">
      <c r="A341" s="242"/>
      <c r="B341" s="242"/>
      <c r="C341" s="242"/>
      <c r="D341" s="242"/>
      <c r="E341" s="21">
        <v>17</v>
      </c>
      <c r="F341" s="22"/>
      <c r="G341" s="22"/>
      <c r="H341" s="23"/>
      <c r="I341" s="24"/>
      <c r="J341" s="277" t="str">
        <f t="shared" si="12"/>
        <v>VIII-I</v>
      </c>
      <c r="K341" s="287"/>
      <c r="L341" s="242"/>
      <c r="M341" s="242"/>
    </row>
    <row r="342" spans="1:13" s="13" customFormat="1" ht="18" customHeight="1" x14ac:dyDescent="0.3">
      <c r="A342" s="242"/>
      <c r="B342" s="242"/>
      <c r="C342" s="242"/>
      <c r="D342" s="242"/>
      <c r="E342" s="21">
        <v>18</v>
      </c>
      <c r="F342" s="22"/>
      <c r="G342" s="22"/>
      <c r="H342" s="23"/>
      <c r="I342" s="24"/>
      <c r="J342" s="277" t="str">
        <f t="shared" si="12"/>
        <v>VIII-I</v>
      </c>
      <c r="K342" s="287"/>
      <c r="L342" s="242"/>
      <c r="M342" s="242"/>
    </row>
    <row r="343" spans="1:13" s="13" customFormat="1" ht="18" customHeight="1" x14ac:dyDescent="0.3">
      <c r="A343" s="242"/>
      <c r="B343" s="242"/>
      <c r="C343" s="242"/>
      <c r="D343" s="242"/>
      <c r="E343" s="21">
        <v>19</v>
      </c>
      <c r="F343" s="22"/>
      <c r="G343" s="22"/>
      <c r="H343" s="23"/>
      <c r="I343" s="24"/>
      <c r="J343" s="277" t="str">
        <f t="shared" si="12"/>
        <v>VIII-I</v>
      </c>
      <c r="K343" s="287"/>
      <c r="L343" s="242"/>
      <c r="M343" s="242"/>
    </row>
    <row r="344" spans="1:13" s="13" customFormat="1" ht="18" customHeight="1" x14ac:dyDescent="0.3">
      <c r="A344" s="242"/>
      <c r="B344" s="242"/>
      <c r="C344" s="242"/>
      <c r="D344" s="242"/>
      <c r="E344" s="21">
        <v>20</v>
      </c>
      <c r="F344" s="22"/>
      <c r="G344" s="22"/>
      <c r="H344" s="23"/>
      <c r="I344" s="24"/>
      <c r="J344" s="277" t="str">
        <f t="shared" si="12"/>
        <v>VIII-I</v>
      </c>
      <c r="K344" s="287"/>
      <c r="L344" s="242"/>
      <c r="M344" s="242"/>
    </row>
    <row r="345" spans="1:13" s="13" customFormat="1" ht="18" customHeight="1" x14ac:dyDescent="0.3">
      <c r="A345" s="242"/>
      <c r="B345" s="242"/>
      <c r="C345" s="242"/>
      <c r="D345" s="242"/>
      <c r="E345" s="21">
        <v>21</v>
      </c>
      <c r="F345" s="22"/>
      <c r="G345" s="22"/>
      <c r="H345" s="23"/>
      <c r="I345" s="24"/>
      <c r="J345" s="277" t="str">
        <f t="shared" si="12"/>
        <v>VIII-I</v>
      </c>
      <c r="K345" s="287"/>
      <c r="L345" s="242"/>
      <c r="M345" s="242"/>
    </row>
    <row r="346" spans="1:13" s="13" customFormat="1" ht="18" customHeight="1" x14ac:dyDescent="0.3">
      <c r="A346" s="242"/>
      <c r="B346" s="242"/>
      <c r="C346" s="242"/>
      <c r="D346" s="242"/>
      <c r="E346" s="21">
        <v>22</v>
      </c>
      <c r="F346" s="22"/>
      <c r="G346" s="22"/>
      <c r="H346" s="23"/>
      <c r="I346" s="24"/>
      <c r="J346" s="277" t="str">
        <f t="shared" si="12"/>
        <v>VIII-I</v>
      </c>
      <c r="K346" s="287"/>
      <c r="L346" s="242"/>
      <c r="M346" s="242"/>
    </row>
    <row r="347" spans="1:13" s="13" customFormat="1" ht="18" customHeight="1" x14ac:dyDescent="0.3">
      <c r="A347" s="242"/>
      <c r="B347" s="242"/>
      <c r="C347" s="242"/>
      <c r="D347" s="242"/>
      <c r="E347" s="21">
        <v>23</v>
      </c>
      <c r="F347" s="22"/>
      <c r="G347" s="22"/>
      <c r="H347" s="23"/>
      <c r="I347" s="24"/>
      <c r="J347" s="277" t="str">
        <f t="shared" si="12"/>
        <v>VIII-I</v>
      </c>
      <c r="K347" s="287"/>
      <c r="L347" s="242"/>
      <c r="M347" s="242"/>
    </row>
    <row r="348" spans="1:13" s="13" customFormat="1" ht="18" customHeight="1" x14ac:dyDescent="0.3">
      <c r="A348" s="242"/>
      <c r="B348" s="242"/>
      <c r="C348" s="242"/>
      <c r="D348" s="242"/>
      <c r="E348" s="21">
        <v>24</v>
      </c>
      <c r="F348" s="22"/>
      <c r="G348" s="22"/>
      <c r="H348" s="23"/>
      <c r="I348" s="24"/>
      <c r="J348" s="277" t="str">
        <f t="shared" si="12"/>
        <v>VIII-I</v>
      </c>
      <c r="K348" s="287"/>
      <c r="L348" s="242"/>
      <c r="M348" s="242"/>
    </row>
    <row r="349" spans="1:13" s="13" customFormat="1" ht="18" customHeight="1" x14ac:dyDescent="0.3">
      <c r="A349" s="242"/>
      <c r="B349" s="242"/>
      <c r="C349" s="242"/>
      <c r="D349" s="242"/>
      <c r="E349" s="21">
        <v>25</v>
      </c>
      <c r="F349" s="22"/>
      <c r="G349" s="22"/>
      <c r="H349" s="23"/>
      <c r="I349" s="24"/>
      <c r="J349" s="277" t="str">
        <f t="shared" si="12"/>
        <v>VIII-I</v>
      </c>
      <c r="K349" s="287"/>
      <c r="L349" s="242"/>
      <c r="M349" s="242"/>
    </row>
    <row r="350" spans="1:13" s="13" customFormat="1" ht="18" customHeight="1" x14ac:dyDescent="0.3">
      <c r="A350" s="242"/>
      <c r="B350" s="242"/>
      <c r="C350" s="242"/>
      <c r="D350" s="242"/>
      <c r="E350" s="21">
        <v>26</v>
      </c>
      <c r="F350" s="22"/>
      <c r="G350" s="22"/>
      <c r="H350" s="23"/>
      <c r="I350" s="24"/>
      <c r="J350" s="277" t="str">
        <f t="shared" si="12"/>
        <v>VIII-I</v>
      </c>
      <c r="K350" s="287"/>
      <c r="L350" s="242"/>
      <c r="M350" s="242"/>
    </row>
    <row r="351" spans="1:13" s="13" customFormat="1" ht="18" customHeight="1" x14ac:dyDescent="0.3">
      <c r="A351" s="242"/>
      <c r="B351" s="242"/>
      <c r="C351" s="242"/>
      <c r="D351" s="242"/>
      <c r="E351" s="21">
        <v>27</v>
      </c>
      <c r="F351" s="22"/>
      <c r="G351" s="22"/>
      <c r="H351" s="23"/>
      <c r="I351" s="24"/>
      <c r="J351" s="277" t="str">
        <f t="shared" si="12"/>
        <v>VIII-I</v>
      </c>
      <c r="K351" s="287"/>
      <c r="L351" s="242"/>
      <c r="M351" s="242"/>
    </row>
    <row r="352" spans="1:13" s="13" customFormat="1" ht="18" customHeight="1" x14ac:dyDescent="0.3">
      <c r="A352" s="242"/>
      <c r="B352" s="242"/>
      <c r="C352" s="242"/>
      <c r="D352" s="242"/>
      <c r="E352" s="21">
        <v>28</v>
      </c>
      <c r="F352" s="22"/>
      <c r="G352" s="22"/>
      <c r="H352" s="23"/>
      <c r="I352" s="24"/>
      <c r="J352" s="277" t="str">
        <f t="shared" si="12"/>
        <v>VIII-I</v>
      </c>
      <c r="K352" s="287"/>
      <c r="L352" s="242"/>
      <c r="M352" s="242"/>
    </row>
    <row r="353" spans="1:13" s="13" customFormat="1" ht="18" customHeight="1" x14ac:dyDescent="0.3">
      <c r="A353" s="242"/>
      <c r="B353" s="242"/>
      <c r="C353" s="242"/>
      <c r="D353" s="242"/>
      <c r="E353" s="21">
        <v>29</v>
      </c>
      <c r="F353" s="22"/>
      <c r="G353" s="22"/>
      <c r="H353" s="23"/>
      <c r="I353" s="24"/>
      <c r="J353" s="277" t="str">
        <f t="shared" si="12"/>
        <v>VIII-I</v>
      </c>
      <c r="K353" s="287"/>
      <c r="L353" s="242"/>
      <c r="M353" s="242"/>
    </row>
    <row r="354" spans="1:13" s="13" customFormat="1" ht="18" customHeight="1" x14ac:dyDescent="0.3">
      <c r="A354" s="242"/>
      <c r="B354" s="242"/>
      <c r="C354" s="242"/>
      <c r="D354" s="242"/>
      <c r="E354" s="21">
        <v>30</v>
      </c>
      <c r="F354" s="22"/>
      <c r="G354" s="22"/>
      <c r="H354" s="23"/>
      <c r="I354" s="24"/>
      <c r="J354" s="277" t="str">
        <f t="shared" si="12"/>
        <v>VIII-I</v>
      </c>
      <c r="K354" s="287"/>
      <c r="L354" s="242"/>
      <c r="M354" s="242"/>
    </row>
    <row r="355" spans="1:13" s="13" customFormat="1" ht="18" customHeight="1" x14ac:dyDescent="0.3">
      <c r="A355" s="242"/>
      <c r="B355" s="242"/>
      <c r="C355" s="242"/>
      <c r="D355" s="242"/>
      <c r="E355" s="21">
        <v>31</v>
      </c>
      <c r="F355" s="22"/>
      <c r="G355" s="22"/>
      <c r="H355" s="23"/>
      <c r="I355" s="24"/>
      <c r="J355" s="277" t="str">
        <f t="shared" si="12"/>
        <v>VIII-I</v>
      </c>
      <c r="K355" s="287"/>
      <c r="L355" s="242"/>
      <c r="M355" s="242"/>
    </row>
    <row r="356" spans="1:13" s="13" customFormat="1" ht="18" customHeight="1" x14ac:dyDescent="0.3">
      <c r="A356" s="242"/>
      <c r="B356" s="242"/>
      <c r="C356" s="242"/>
      <c r="D356" s="242"/>
      <c r="E356" s="21">
        <v>32</v>
      </c>
      <c r="F356" s="22"/>
      <c r="G356" s="22"/>
      <c r="H356" s="23"/>
      <c r="I356" s="24"/>
      <c r="J356" s="277" t="str">
        <f t="shared" si="12"/>
        <v>VIII-I</v>
      </c>
      <c r="K356" s="287"/>
      <c r="L356" s="242"/>
      <c r="M356" s="242"/>
    </row>
    <row r="357" spans="1:13" s="13" customFormat="1" ht="18" customHeight="1" x14ac:dyDescent="0.3">
      <c r="A357" s="242"/>
      <c r="B357" s="242"/>
      <c r="C357" s="242"/>
      <c r="D357" s="242"/>
      <c r="E357" s="21">
        <v>33</v>
      </c>
      <c r="F357" s="22"/>
      <c r="G357" s="22"/>
      <c r="H357" s="23"/>
      <c r="I357" s="24"/>
      <c r="J357" s="277" t="str">
        <f t="shared" si="12"/>
        <v>VIII-I</v>
      </c>
      <c r="K357" s="287"/>
      <c r="L357" s="242"/>
      <c r="M357" s="242"/>
    </row>
    <row r="358" spans="1:13" s="13" customFormat="1" ht="18" customHeight="1" x14ac:dyDescent="0.3">
      <c r="A358" s="242"/>
      <c r="B358" s="242"/>
      <c r="C358" s="242"/>
      <c r="D358" s="242"/>
      <c r="E358" s="21">
        <v>34</v>
      </c>
      <c r="F358" s="22"/>
      <c r="G358" s="22"/>
      <c r="H358" s="23"/>
      <c r="I358" s="24"/>
      <c r="J358" s="277" t="str">
        <f t="shared" si="12"/>
        <v>VIII-I</v>
      </c>
      <c r="K358" s="287"/>
      <c r="L358" s="242"/>
      <c r="M358" s="242"/>
    </row>
    <row r="359" spans="1:13" s="13" customFormat="1" ht="18" customHeight="1" x14ac:dyDescent="0.3">
      <c r="A359" s="242"/>
      <c r="B359" s="242"/>
      <c r="C359" s="242"/>
      <c r="D359" s="242"/>
      <c r="E359" s="21">
        <v>35</v>
      </c>
      <c r="F359" s="22"/>
      <c r="G359" s="22"/>
      <c r="H359" s="23"/>
      <c r="I359" s="24"/>
      <c r="J359" s="277" t="str">
        <f t="shared" si="12"/>
        <v>VIII-I</v>
      </c>
      <c r="K359" s="287"/>
      <c r="L359" s="242"/>
      <c r="M359" s="242"/>
    </row>
    <row r="360" spans="1:13" s="13" customFormat="1" ht="18" customHeight="1" x14ac:dyDescent="0.3">
      <c r="A360" s="242"/>
      <c r="B360" s="242"/>
      <c r="C360" s="242"/>
      <c r="D360" s="242"/>
      <c r="E360" s="21">
        <v>36</v>
      </c>
      <c r="F360" s="22"/>
      <c r="G360" s="22"/>
      <c r="H360" s="23"/>
      <c r="I360" s="24"/>
      <c r="J360" s="277" t="str">
        <f t="shared" si="12"/>
        <v>VIII-I</v>
      </c>
      <c r="K360" s="287"/>
      <c r="L360" s="242"/>
      <c r="M360" s="242"/>
    </row>
    <row r="361" spans="1:13" s="13" customFormat="1" ht="18" customHeight="1" x14ac:dyDescent="0.3">
      <c r="A361" s="242"/>
      <c r="B361" s="242"/>
      <c r="C361" s="242"/>
      <c r="D361" s="242"/>
      <c r="E361" s="21">
        <v>37</v>
      </c>
      <c r="F361" s="22"/>
      <c r="G361" s="22"/>
      <c r="H361" s="23"/>
      <c r="I361" s="24"/>
      <c r="J361" s="277" t="str">
        <f t="shared" si="12"/>
        <v>VIII-I</v>
      </c>
      <c r="K361" s="287"/>
      <c r="L361" s="242"/>
      <c r="M361" s="242"/>
    </row>
    <row r="362" spans="1:13" s="13" customFormat="1" ht="18" customHeight="1" x14ac:dyDescent="0.3">
      <c r="A362" s="242"/>
      <c r="B362" s="242"/>
      <c r="C362" s="242"/>
      <c r="D362" s="242"/>
      <c r="E362" s="21">
        <v>38</v>
      </c>
      <c r="F362" s="22"/>
      <c r="G362" s="22"/>
      <c r="H362" s="23"/>
      <c r="I362" s="24"/>
      <c r="J362" s="277" t="str">
        <f t="shared" si="12"/>
        <v>VIII-I</v>
      </c>
      <c r="K362" s="287"/>
      <c r="L362" s="242"/>
      <c r="M362" s="242"/>
    </row>
    <row r="363" spans="1:13" s="13" customFormat="1" ht="18" customHeight="1" x14ac:dyDescent="0.3">
      <c r="A363" s="242"/>
      <c r="B363" s="242"/>
      <c r="C363" s="242"/>
      <c r="D363" s="242"/>
      <c r="E363" s="21">
        <v>39</v>
      </c>
      <c r="F363" s="22"/>
      <c r="G363" s="22"/>
      <c r="H363" s="23"/>
      <c r="I363" s="24"/>
      <c r="J363" s="277" t="str">
        <f t="shared" si="12"/>
        <v>VIII-I</v>
      </c>
      <c r="K363" s="287"/>
      <c r="L363" s="242"/>
      <c r="M363" s="242"/>
    </row>
    <row r="364" spans="1:13" s="13" customFormat="1" ht="18" customHeight="1" x14ac:dyDescent="0.3">
      <c r="A364" s="242"/>
      <c r="B364" s="242"/>
      <c r="C364" s="242"/>
      <c r="D364" s="242"/>
      <c r="E364" s="21">
        <v>40</v>
      </c>
      <c r="F364" s="22"/>
      <c r="G364" s="22"/>
      <c r="H364" s="23"/>
      <c r="I364" s="24"/>
      <c r="J364" s="277" t="str">
        <f t="shared" si="12"/>
        <v>VIII-I</v>
      </c>
      <c r="K364" s="287"/>
      <c r="L364" s="242"/>
      <c r="M364" s="242"/>
    </row>
    <row r="365" spans="1:13" s="13" customFormat="1" ht="18" customHeight="1" x14ac:dyDescent="0.3">
      <c r="A365" s="242"/>
      <c r="B365" s="242"/>
      <c r="C365" s="242"/>
      <c r="D365" s="242"/>
      <c r="E365" s="21">
        <v>1</v>
      </c>
      <c r="F365" s="22"/>
      <c r="G365" s="22"/>
      <c r="H365" s="23"/>
      <c r="I365" s="24"/>
      <c r="J365" s="277" t="str">
        <f>IF(C9=7,"VII",IF(C9=8,"VIII","IX"))&amp;"-"&amp;"J"</f>
        <v>VIII-J</v>
      </c>
      <c r="K365" s="287"/>
      <c r="L365" s="242"/>
      <c r="M365" s="242"/>
    </row>
    <row r="366" spans="1:13" s="13" customFormat="1" ht="18" customHeight="1" x14ac:dyDescent="0.3">
      <c r="A366" s="242"/>
      <c r="B366" s="242"/>
      <c r="C366" s="242"/>
      <c r="D366" s="242"/>
      <c r="E366" s="21">
        <v>2</v>
      </c>
      <c r="F366" s="22"/>
      <c r="G366" s="22"/>
      <c r="H366" s="23"/>
      <c r="I366" s="24"/>
      <c r="J366" s="277" t="str">
        <f t="shared" ref="J366:J404" si="13">J365</f>
        <v>VIII-J</v>
      </c>
      <c r="K366" s="287"/>
      <c r="L366" s="242"/>
      <c r="M366" s="242"/>
    </row>
    <row r="367" spans="1:13" s="13" customFormat="1" ht="18" customHeight="1" x14ac:dyDescent="0.3">
      <c r="A367" s="242"/>
      <c r="B367" s="242"/>
      <c r="C367" s="242"/>
      <c r="D367" s="242"/>
      <c r="E367" s="21">
        <v>3</v>
      </c>
      <c r="F367" s="22"/>
      <c r="G367" s="22"/>
      <c r="H367" s="23"/>
      <c r="I367" s="24"/>
      <c r="J367" s="277" t="str">
        <f t="shared" si="13"/>
        <v>VIII-J</v>
      </c>
      <c r="K367" s="287"/>
      <c r="L367" s="242"/>
      <c r="M367" s="242"/>
    </row>
    <row r="368" spans="1:13" s="13" customFormat="1" ht="18" customHeight="1" x14ac:dyDescent="0.3">
      <c r="A368" s="242"/>
      <c r="B368" s="242"/>
      <c r="C368" s="242"/>
      <c r="D368" s="242"/>
      <c r="E368" s="21">
        <v>4</v>
      </c>
      <c r="F368" s="22"/>
      <c r="G368" s="22"/>
      <c r="H368" s="23"/>
      <c r="I368" s="24"/>
      <c r="J368" s="277" t="str">
        <f t="shared" si="13"/>
        <v>VIII-J</v>
      </c>
      <c r="K368" s="287"/>
      <c r="L368" s="242"/>
      <c r="M368" s="242"/>
    </row>
    <row r="369" spans="1:13" s="13" customFormat="1" ht="18" customHeight="1" x14ac:dyDescent="0.3">
      <c r="A369" s="242"/>
      <c r="B369" s="242"/>
      <c r="C369" s="242"/>
      <c r="D369" s="242"/>
      <c r="E369" s="21">
        <v>5</v>
      </c>
      <c r="F369" s="22"/>
      <c r="G369" s="22"/>
      <c r="H369" s="23"/>
      <c r="I369" s="24"/>
      <c r="J369" s="277" t="str">
        <f t="shared" si="13"/>
        <v>VIII-J</v>
      </c>
      <c r="K369" s="287"/>
      <c r="L369" s="242"/>
      <c r="M369" s="242"/>
    </row>
    <row r="370" spans="1:13" s="13" customFormat="1" ht="18" customHeight="1" x14ac:dyDescent="0.3">
      <c r="A370" s="242"/>
      <c r="B370" s="242"/>
      <c r="C370" s="242"/>
      <c r="D370" s="242"/>
      <c r="E370" s="21">
        <v>6</v>
      </c>
      <c r="F370" s="22"/>
      <c r="G370" s="22"/>
      <c r="H370" s="23"/>
      <c r="I370" s="24"/>
      <c r="J370" s="277" t="str">
        <f t="shared" si="13"/>
        <v>VIII-J</v>
      </c>
      <c r="K370" s="287"/>
      <c r="L370" s="242"/>
      <c r="M370" s="242"/>
    </row>
    <row r="371" spans="1:13" s="13" customFormat="1" ht="18" customHeight="1" x14ac:dyDescent="0.3">
      <c r="A371" s="242"/>
      <c r="B371" s="242"/>
      <c r="C371" s="242"/>
      <c r="D371" s="242"/>
      <c r="E371" s="21">
        <v>7</v>
      </c>
      <c r="F371" s="22"/>
      <c r="G371" s="22"/>
      <c r="H371" s="23"/>
      <c r="I371" s="24"/>
      <c r="J371" s="277" t="str">
        <f t="shared" si="13"/>
        <v>VIII-J</v>
      </c>
      <c r="K371" s="287"/>
      <c r="L371" s="242"/>
      <c r="M371" s="242"/>
    </row>
    <row r="372" spans="1:13" s="13" customFormat="1" ht="18" customHeight="1" x14ac:dyDescent="0.3">
      <c r="A372" s="242"/>
      <c r="B372" s="242"/>
      <c r="C372" s="242"/>
      <c r="D372" s="242"/>
      <c r="E372" s="21">
        <v>8</v>
      </c>
      <c r="F372" s="22"/>
      <c r="G372" s="22"/>
      <c r="H372" s="23"/>
      <c r="I372" s="24"/>
      <c r="J372" s="277" t="str">
        <f t="shared" si="13"/>
        <v>VIII-J</v>
      </c>
      <c r="K372" s="287"/>
      <c r="L372" s="242"/>
      <c r="M372" s="242"/>
    </row>
    <row r="373" spans="1:13" s="13" customFormat="1" ht="18" customHeight="1" x14ac:dyDescent="0.3">
      <c r="A373" s="242"/>
      <c r="B373" s="242"/>
      <c r="C373" s="242"/>
      <c r="D373" s="242"/>
      <c r="E373" s="21">
        <v>9</v>
      </c>
      <c r="F373" s="22"/>
      <c r="G373" s="22"/>
      <c r="H373" s="23"/>
      <c r="I373" s="24"/>
      <c r="J373" s="277" t="str">
        <f t="shared" si="13"/>
        <v>VIII-J</v>
      </c>
      <c r="K373" s="287"/>
      <c r="L373" s="242"/>
      <c r="M373" s="242"/>
    </row>
    <row r="374" spans="1:13" s="13" customFormat="1" ht="18" customHeight="1" x14ac:dyDescent="0.3">
      <c r="A374" s="242"/>
      <c r="B374" s="242"/>
      <c r="C374" s="242"/>
      <c r="D374" s="242"/>
      <c r="E374" s="21">
        <v>10</v>
      </c>
      <c r="F374" s="22"/>
      <c r="G374" s="22"/>
      <c r="H374" s="23"/>
      <c r="I374" s="24"/>
      <c r="J374" s="277" t="str">
        <f t="shared" si="13"/>
        <v>VIII-J</v>
      </c>
      <c r="K374" s="287"/>
      <c r="L374" s="242"/>
      <c r="M374" s="242"/>
    </row>
    <row r="375" spans="1:13" s="13" customFormat="1" ht="18" customHeight="1" x14ac:dyDescent="0.3">
      <c r="A375" s="242"/>
      <c r="B375" s="242"/>
      <c r="C375" s="242"/>
      <c r="D375" s="242"/>
      <c r="E375" s="21">
        <v>11</v>
      </c>
      <c r="F375" s="22"/>
      <c r="G375" s="22"/>
      <c r="H375" s="23"/>
      <c r="I375" s="24"/>
      <c r="J375" s="277" t="str">
        <f t="shared" si="13"/>
        <v>VIII-J</v>
      </c>
      <c r="K375" s="287"/>
      <c r="L375" s="242"/>
      <c r="M375" s="242"/>
    </row>
    <row r="376" spans="1:13" s="13" customFormat="1" ht="18" customHeight="1" x14ac:dyDescent="0.3">
      <c r="A376" s="242"/>
      <c r="B376" s="242"/>
      <c r="C376" s="242"/>
      <c r="D376" s="242"/>
      <c r="E376" s="21">
        <v>12</v>
      </c>
      <c r="F376" s="22"/>
      <c r="G376" s="22"/>
      <c r="H376" s="23"/>
      <c r="I376" s="24"/>
      <c r="J376" s="277" t="str">
        <f t="shared" si="13"/>
        <v>VIII-J</v>
      </c>
      <c r="K376" s="287"/>
      <c r="L376" s="242"/>
      <c r="M376" s="242"/>
    </row>
    <row r="377" spans="1:13" s="13" customFormat="1" ht="18" customHeight="1" x14ac:dyDescent="0.3">
      <c r="A377" s="242"/>
      <c r="B377" s="242"/>
      <c r="C377" s="242"/>
      <c r="D377" s="242"/>
      <c r="E377" s="21">
        <v>13</v>
      </c>
      <c r="F377" s="22"/>
      <c r="G377" s="22"/>
      <c r="H377" s="23"/>
      <c r="I377" s="24"/>
      <c r="J377" s="277" t="str">
        <f t="shared" si="13"/>
        <v>VIII-J</v>
      </c>
      <c r="K377" s="287"/>
      <c r="L377" s="242"/>
      <c r="M377" s="242"/>
    </row>
    <row r="378" spans="1:13" s="13" customFormat="1" ht="18" customHeight="1" x14ac:dyDescent="0.3">
      <c r="A378" s="242"/>
      <c r="B378" s="242"/>
      <c r="C378" s="242"/>
      <c r="D378" s="242"/>
      <c r="E378" s="21">
        <v>14</v>
      </c>
      <c r="F378" s="22"/>
      <c r="G378" s="22"/>
      <c r="H378" s="23"/>
      <c r="I378" s="24"/>
      <c r="J378" s="277" t="str">
        <f t="shared" si="13"/>
        <v>VIII-J</v>
      </c>
      <c r="K378" s="287"/>
      <c r="L378" s="242"/>
      <c r="M378" s="242"/>
    </row>
    <row r="379" spans="1:13" s="13" customFormat="1" ht="18" customHeight="1" x14ac:dyDescent="0.3">
      <c r="A379" s="242"/>
      <c r="B379" s="242"/>
      <c r="C379" s="242"/>
      <c r="D379" s="242"/>
      <c r="E379" s="21">
        <v>15</v>
      </c>
      <c r="F379" s="22"/>
      <c r="G379" s="22"/>
      <c r="H379" s="23"/>
      <c r="I379" s="24"/>
      <c r="J379" s="277" t="str">
        <f t="shared" si="13"/>
        <v>VIII-J</v>
      </c>
      <c r="K379" s="287"/>
      <c r="L379" s="242"/>
      <c r="M379" s="242"/>
    </row>
    <row r="380" spans="1:13" s="13" customFormat="1" ht="18" customHeight="1" x14ac:dyDescent="0.3">
      <c r="A380" s="242"/>
      <c r="B380" s="242"/>
      <c r="C380" s="242"/>
      <c r="D380" s="242"/>
      <c r="E380" s="21">
        <v>16</v>
      </c>
      <c r="F380" s="22"/>
      <c r="G380" s="22"/>
      <c r="H380" s="23"/>
      <c r="I380" s="24"/>
      <c r="J380" s="277" t="str">
        <f t="shared" si="13"/>
        <v>VIII-J</v>
      </c>
      <c r="K380" s="287"/>
      <c r="L380" s="242"/>
      <c r="M380" s="242"/>
    </row>
    <row r="381" spans="1:13" s="13" customFormat="1" ht="18" customHeight="1" x14ac:dyDescent="0.3">
      <c r="A381" s="242"/>
      <c r="B381" s="242"/>
      <c r="C381" s="242"/>
      <c r="D381" s="242"/>
      <c r="E381" s="21">
        <v>17</v>
      </c>
      <c r="F381" s="22"/>
      <c r="G381" s="22"/>
      <c r="H381" s="23"/>
      <c r="I381" s="24"/>
      <c r="J381" s="277" t="str">
        <f t="shared" si="13"/>
        <v>VIII-J</v>
      </c>
      <c r="K381" s="287"/>
      <c r="L381" s="242"/>
      <c r="M381" s="242"/>
    </row>
    <row r="382" spans="1:13" s="13" customFormat="1" ht="18" customHeight="1" x14ac:dyDescent="0.3">
      <c r="A382" s="242"/>
      <c r="B382" s="242"/>
      <c r="C382" s="242"/>
      <c r="D382" s="242"/>
      <c r="E382" s="21">
        <v>18</v>
      </c>
      <c r="F382" s="22"/>
      <c r="G382" s="22"/>
      <c r="H382" s="23"/>
      <c r="I382" s="24"/>
      <c r="J382" s="277" t="str">
        <f t="shared" si="13"/>
        <v>VIII-J</v>
      </c>
      <c r="K382" s="287"/>
      <c r="L382" s="242"/>
      <c r="M382" s="242"/>
    </row>
    <row r="383" spans="1:13" s="13" customFormat="1" ht="18" customHeight="1" x14ac:dyDescent="0.3">
      <c r="A383" s="242"/>
      <c r="B383" s="242"/>
      <c r="C383" s="242"/>
      <c r="D383" s="242"/>
      <c r="E383" s="21">
        <v>19</v>
      </c>
      <c r="F383" s="22"/>
      <c r="G383" s="22"/>
      <c r="H383" s="23"/>
      <c r="I383" s="24"/>
      <c r="J383" s="277" t="str">
        <f t="shared" si="13"/>
        <v>VIII-J</v>
      </c>
      <c r="K383" s="287"/>
      <c r="L383" s="242"/>
      <c r="M383" s="242"/>
    </row>
    <row r="384" spans="1:13" s="13" customFormat="1" ht="18" customHeight="1" x14ac:dyDescent="0.3">
      <c r="A384" s="242"/>
      <c r="B384" s="242"/>
      <c r="C384" s="242"/>
      <c r="D384" s="242"/>
      <c r="E384" s="21">
        <v>20</v>
      </c>
      <c r="F384" s="22"/>
      <c r="G384" s="22"/>
      <c r="H384" s="23"/>
      <c r="I384" s="24"/>
      <c r="J384" s="277" t="str">
        <f t="shared" si="13"/>
        <v>VIII-J</v>
      </c>
      <c r="K384" s="287"/>
      <c r="L384" s="242"/>
      <c r="M384" s="242"/>
    </row>
    <row r="385" spans="1:13" s="13" customFormat="1" ht="18" customHeight="1" x14ac:dyDescent="0.3">
      <c r="A385" s="242"/>
      <c r="B385" s="242"/>
      <c r="C385" s="242"/>
      <c r="D385" s="242"/>
      <c r="E385" s="21">
        <v>21</v>
      </c>
      <c r="F385" s="22"/>
      <c r="G385" s="22"/>
      <c r="H385" s="23"/>
      <c r="I385" s="24"/>
      <c r="J385" s="277" t="str">
        <f t="shared" si="13"/>
        <v>VIII-J</v>
      </c>
      <c r="K385" s="287"/>
      <c r="L385" s="242"/>
      <c r="M385" s="242"/>
    </row>
    <row r="386" spans="1:13" s="13" customFormat="1" ht="18" customHeight="1" x14ac:dyDescent="0.3">
      <c r="A386" s="242"/>
      <c r="B386" s="242"/>
      <c r="C386" s="242"/>
      <c r="D386" s="242"/>
      <c r="E386" s="21">
        <v>22</v>
      </c>
      <c r="F386" s="22"/>
      <c r="G386" s="22"/>
      <c r="H386" s="23"/>
      <c r="I386" s="24"/>
      <c r="J386" s="277" t="str">
        <f t="shared" si="13"/>
        <v>VIII-J</v>
      </c>
      <c r="K386" s="287"/>
      <c r="L386" s="242"/>
      <c r="M386" s="242"/>
    </row>
    <row r="387" spans="1:13" s="13" customFormat="1" ht="18" customHeight="1" x14ac:dyDescent="0.3">
      <c r="A387" s="242"/>
      <c r="B387" s="242"/>
      <c r="C387" s="242"/>
      <c r="D387" s="242"/>
      <c r="E387" s="21">
        <v>23</v>
      </c>
      <c r="F387" s="22"/>
      <c r="G387" s="22"/>
      <c r="H387" s="23"/>
      <c r="I387" s="24"/>
      <c r="J387" s="277" t="str">
        <f t="shared" si="13"/>
        <v>VIII-J</v>
      </c>
      <c r="K387" s="287"/>
      <c r="L387" s="242"/>
      <c r="M387" s="242"/>
    </row>
    <row r="388" spans="1:13" s="13" customFormat="1" ht="18" customHeight="1" x14ac:dyDescent="0.3">
      <c r="A388" s="242"/>
      <c r="B388" s="242"/>
      <c r="C388" s="242"/>
      <c r="D388" s="242"/>
      <c r="E388" s="21">
        <v>24</v>
      </c>
      <c r="F388" s="22"/>
      <c r="G388" s="22"/>
      <c r="H388" s="23"/>
      <c r="I388" s="24"/>
      <c r="J388" s="277" t="str">
        <f t="shared" si="13"/>
        <v>VIII-J</v>
      </c>
      <c r="K388" s="287"/>
      <c r="L388" s="242"/>
      <c r="M388" s="242"/>
    </row>
    <row r="389" spans="1:13" s="13" customFormat="1" ht="18" customHeight="1" x14ac:dyDescent="0.3">
      <c r="A389" s="242"/>
      <c r="B389" s="242"/>
      <c r="C389" s="242"/>
      <c r="D389" s="242"/>
      <c r="E389" s="21">
        <v>25</v>
      </c>
      <c r="F389" s="22"/>
      <c r="G389" s="22"/>
      <c r="H389" s="23"/>
      <c r="I389" s="24"/>
      <c r="J389" s="277" t="str">
        <f t="shared" si="13"/>
        <v>VIII-J</v>
      </c>
      <c r="K389" s="287"/>
      <c r="L389" s="242"/>
      <c r="M389" s="242"/>
    </row>
    <row r="390" spans="1:13" s="13" customFormat="1" ht="18" customHeight="1" x14ac:dyDescent="0.3">
      <c r="A390" s="242"/>
      <c r="B390" s="242"/>
      <c r="C390" s="242"/>
      <c r="D390" s="242"/>
      <c r="E390" s="21">
        <v>26</v>
      </c>
      <c r="F390" s="22"/>
      <c r="G390" s="22"/>
      <c r="H390" s="23"/>
      <c r="I390" s="24"/>
      <c r="J390" s="277" t="str">
        <f t="shared" si="13"/>
        <v>VIII-J</v>
      </c>
      <c r="K390" s="287"/>
      <c r="L390" s="242"/>
      <c r="M390" s="242"/>
    </row>
    <row r="391" spans="1:13" s="13" customFormat="1" ht="18" customHeight="1" x14ac:dyDescent="0.3">
      <c r="A391" s="242"/>
      <c r="B391" s="242"/>
      <c r="C391" s="242"/>
      <c r="D391" s="242"/>
      <c r="E391" s="21">
        <v>27</v>
      </c>
      <c r="F391" s="22"/>
      <c r="G391" s="22"/>
      <c r="H391" s="23"/>
      <c r="I391" s="24"/>
      <c r="J391" s="277" t="str">
        <f t="shared" si="13"/>
        <v>VIII-J</v>
      </c>
      <c r="K391" s="287"/>
      <c r="L391" s="242"/>
      <c r="M391" s="242"/>
    </row>
    <row r="392" spans="1:13" s="13" customFormat="1" ht="18" customHeight="1" x14ac:dyDescent="0.3">
      <c r="A392" s="242"/>
      <c r="B392" s="242"/>
      <c r="C392" s="242"/>
      <c r="D392" s="242"/>
      <c r="E392" s="21">
        <v>28</v>
      </c>
      <c r="F392" s="22"/>
      <c r="G392" s="22"/>
      <c r="H392" s="23"/>
      <c r="I392" s="24"/>
      <c r="J392" s="277" t="str">
        <f t="shared" si="13"/>
        <v>VIII-J</v>
      </c>
      <c r="K392" s="287"/>
      <c r="L392" s="242"/>
      <c r="M392" s="242"/>
    </row>
    <row r="393" spans="1:13" s="13" customFormat="1" ht="18" customHeight="1" x14ac:dyDescent="0.3">
      <c r="A393" s="242"/>
      <c r="B393" s="242"/>
      <c r="C393" s="242"/>
      <c r="D393" s="242"/>
      <c r="E393" s="21">
        <v>29</v>
      </c>
      <c r="F393" s="22"/>
      <c r="G393" s="22"/>
      <c r="H393" s="23"/>
      <c r="I393" s="24"/>
      <c r="J393" s="277" t="str">
        <f t="shared" si="13"/>
        <v>VIII-J</v>
      </c>
      <c r="K393" s="287"/>
      <c r="L393" s="242"/>
      <c r="M393" s="242"/>
    </row>
    <row r="394" spans="1:13" s="13" customFormat="1" ht="18" customHeight="1" x14ac:dyDescent="0.3">
      <c r="A394" s="242"/>
      <c r="B394" s="242"/>
      <c r="C394" s="242"/>
      <c r="D394" s="242"/>
      <c r="E394" s="21">
        <v>30</v>
      </c>
      <c r="F394" s="22"/>
      <c r="G394" s="22"/>
      <c r="H394" s="23"/>
      <c r="I394" s="24"/>
      <c r="J394" s="277" t="str">
        <f t="shared" si="13"/>
        <v>VIII-J</v>
      </c>
      <c r="K394" s="287"/>
      <c r="L394" s="242"/>
      <c r="M394" s="242"/>
    </row>
    <row r="395" spans="1:13" s="13" customFormat="1" ht="18" customHeight="1" x14ac:dyDescent="0.3">
      <c r="A395" s="242"/>
      <c r="B395" s="242"/>
      <c r="C395" s="242"/>
      <c r="D395" s="242"/>
      <c r="E395" s="21">
        <v>31</v>
      </c>
      <c r="F395" s="22"/>
      <c r="G395" s="22"/>
      <c r="H395" s="23"/>
      <c r="I395" s="24"/>
      <c r="J395" s="277" t="str">
        <f t="shared" si="13"/>
        <v>VIII-J</v>
      </c>
      <c r="K395" s="287"/>
      <c r="L395" s="242"/>
      <c r="M395" s="242"/>
    </row>
    <row r="396" spans="1:13" s="13" customFormat="1" ht="18" customHeight="1" x14ac:dyDescent="0.3">
      <c r="A396" s="242"/>
      <c r="B396" s="288"/>
      <c r="C396" s="289"/>
      <c r="D396" s="242"/>
      <c r="E396" s="21">
        <v>32</v>
      </c>
      <c r="F396" s="22"/>
      <c r="G396" s="22"/>
      <c r="H396" s="23"/>
      <c r="I396" s="24"/>
      <c r="J396" s="277" t="str">
        <f t="shared" si="13"/>
        <v>VIII-J</v>
      </c>
      <c r="K396" s="287"/>
      <c r="L396" s="242"/>
      <c r="M396" s="242"/>
    </row>
    <row r="397" spans="1:13" s="13" customFormat="1" ht="18" customHeight="1" x14ac:dyDescent="0.3">
      <c r="A397" s="242"/>
      <c r="B397" s="234"/>
      <c r="C397" s="234"/>
      <c r="D397" s="242"/>
      <c r="E397" s="21">
        <v>33</v>
      </c>
      <c r="F397" s="22"/>
      <c r="G397" s="22"/>
      <c r="H397" s="23"/>
      <c r="I397" s="24"/>
      <c r="J397" s="277" t="str">
        <f t="shared" si="13"/>
        <v>VIII-J</v>
      </c>
      <c r="K397" s="287"/>
      <c r="L397" s="242"/>
      <c r="M397" s="242"/>
    </row>
    <row r="398" spans="1:13" s="13" customFormat="1" ht="18" customHeight="1" x14ac:dyDescent="0.3">
      <c r="A398" s="242"/>
      <c r="B398" s="234"/>
      <c r="C398" s="234"/>
      <c r="D398" s="242"/>
      <c r="E398" s="21">
        <v>34</v>
      </c>
      <c r="F398" s="22"/>
      <c r="G398" s="22"/>
      <c r="H398" s="23"/>
      <c r="I398" s="24"/>
      <c r="J398" s="277" t="str">
        <f t="shared" si="13"/>
        <v>VIII-J</v>
      </c>
      <c r="K398" s="287"/>
      <c r="L398" s="242">
        <v>6</v>
      </c>
      <c r="M398" s="242"/>
    </row>
    <row r="399" spans="1:13" s="13" customFormat="1" ht="18" customHeight="1" x14ac:dyDescent="0.3">
      <c r="A399" s="242"/>
      <c r="B399" s="242"/>
      <c r="C399" s="242"/>
      <c r="D399" s="242"/>
      <c r="E399" s="21">
        <v>35</v>
      </c>
      <c r="F399" s="22"/>
      <c r="G399" s="22"/>
      <c r="H399" s="23"/>
      <c r="I399" s="24"/>
      <c r="J399" s="277" t="str">
        <f t="shared" si="13"/>
        <v>VIII-J</v>
      </c>
      <c r="K399" s="287"/>
      <c r="L399" s="242"/>
      <c r="M399" s="242"/>
    </row>
    <row r="400" spans="1:13" s="13" customFormat="1" ht="18" customHeight="1" x14ac:dyDescent="0.3">
      <c r="A400" s="242"/>
      <c r="B400" s="288"/>
      <c r="C400" s="289"/>
      <c r="D400" s="242"/>
      <c r="E400" s="21">
        <v>36</v>
      </c>
      <c r="F400" s="22"/>
      <c r="G400" s="22"/>
      <c r="H400" s="23"/>
      <c r="I400" s="24"/>
      <c r="J400" s="277" t="str">
        <f t="shared" si="13"/>
        <v>VIII-J</v>
      </c>
      <c r="K400" s="287"/>
      <c r="L400" s="242"/>
      <c r="M400" s="242"/>
    </row>
    <row r="401" spans="1:13" s="13" customFormat="1" ht="18" customHeight="1" x14ac:dyDescent="0.3">
      <c r="A401" s="242"/>
      <c r="B401" s="234"/>
      <c r="C401" s="234"/>
      <c r="D401" s="242"/>
      <c r="E401" s="21">
        <v>37</v>
      </c>
      <c r="F401" s="22"/>
      <c r="G401" s="22"/>
      <c r="H401" s="23"/>
      <c r="I401" s="24"/>
      <c r="J401" s="277" t="str">
        <f t="shared" si="13"/>
        <v>VIII-J</v>
      </c>
      <c r="K401" s="287"/>
      <c r="L401" s="242"/>
      <c r="M401" s="242"/>
    </row>
    <row r="402" spans="1:13" s="13" customFormat="1" ht="18" customHeight="1" x14ac:dyDescent="0.3">
      <c r="A402" s="242"/>
      <c r="B402" s="234"/>
      <c r="C402" s="234"/>
      <c r="D402" s="242"/>
      <c r="E402" s="21">
        <v>38</v>
      </c>
      <c r="F402" s="22"/>
      <c r="G402" s="22"/>
      <c r="H402" s="23"/>
      <c r="I402" s="24"/>
      <c r="J402" s="277" t="str">
        <f t="shared" si="13"/>
        <v>VIII-J</v>
      </c>
      <c r="K402" s="287"/>
      <c r="L402" s="242">
        <v>6</v>
      </c>
      <c r="M402" s="242"/>
    </row>
    <row r="403" spans="1:13" s="13" customFormat="1" ht="18" customHeight="1" x14ac:dyDescent="0.3">
      <c r="A403" s="242"/>
      <c r="B403" s="234"/>
      <c r="C403" s="234"/>
      <c r="D403" s="242"/>
      <c r="E403" s="21">
        <v>39</v>
      </c>
      <c r="F403" s="22"/>
      <c r="G403" s="22"/>
      <c r="H403" s="23"/>
      <c r="I403" s="24"/>
      <c r="J403" s="277" t="str">
        <f t="shared" si="13"/>
        <v>VIII-J</v>
      </c>
      <c r="K403" s="287"/>
      <c r="L403" s="242"/>
      <c r="M403" s="242"/>
    </row>
    <row r="404" spans="1:13" s="13" customFormat="1" ht="18" customHeight="1" x14ac:dyDescent="0.3">
      <c r="A404" s="242"/>
      <c r="B404" s="234"/>
      <c r="C404" s="234"/>
      <c r="D404" s="242"/>
      <c r="E404" s="21">
        <v>40</v>
      </c>
      <c r="F404" s="22"/>
      <c r="G404" s="22"/>
      <c r="H404" s="23"/>
      <c r="I404" s="24"/>
      <c r="J404" s="277" t="str">
        <f t="shared" si="13"/>
        <v>VIII-J</v>
      </c>
      <c r="K404" s="287"/>
      <c r="L404" s="242"/>
      <c r="M404" s="242"/>
    </row>
    <row r="405" spans="1:13" s="13" customFormat="1" ht="18" customHeight="1" x14ac:dyDescent="0.3">
      <c r="A405" s="242"/>
      <c r="B405" s="242"/>
      <c r="C405" s="242"/>
      <c r="D405" s="242"/>
      <c r="E405" s="21">
        <v>1</v>
      </c>
      <c r="F405" s="22"/>
      <c r="G405" s="22"/>
      <c r="H405" s="23"/>
      <c r="I405" s="24"/>
      <c r="J405" s="277" t="str">
        <f>IF(C9=7,"VII",IF(C9=8,"VIII","IX"))&amp;"-"&amp;"K"</f>
        <v>VIII-K</v>
      </c>
      <c r="K405" s="287"/>
      <c r="L405" s="242"/>
      <c r="M405" s="242"/>
    </row>
    <row r="406" spans="1:13" s="13" customFormat="1" ht="18" customHeight="1" x14ac:dyDescent="0.3">
      <c r="A406" s="242"/>
      <c r="B406" s="242"/>
      <c r="C406" s="242"/>
      <c r="D406" s="242"/>
      <c r="E406" s="21">
        <v>2</v>
      </c>
      <c r="F406" s="22"/>
      <c r="G406" s="22"/>
      <c r="H406" s="23"/>
      <c r="I406" s="24"/>
      <c r="J406" s="277" t="str">
        <f t="shared" ref="J406:J444" si="14">J405</f>
        <v>VIII-K</v>
      </c>
      <c r="K406" s="287"/>
      <c r="L406" s="242"/>
      <c r="M406" s="242"/>
    </row>
    <row r="407" spans="1:13" s="13" customFormat="1" ht="18" customHeight="1" x14ac:dyDescent="0.3">
      <c r="A407" s="242"/>
      <c r="B407" s="242"/>
      <c r="C407" s="242"/>
      <c r="D407" s="242"/>
      <c r="E407" s="21">
        <v>3</v>
      </c>
      <c r="F407" s="22"/>
      <c r="G407" s="22"/>
      <c r="H407" s="23"/>
      <c r="I407" s="24"/>
      <c r="J407" s="277" t="str">
        <f t="shared" si="14"/>
        <v>VIII-K</v>
      </c>
      <c r="K407" s="287"/>
      <c r="L407" s="242"/>
      <c r="M407" s="242"/>
    </row>
    <row r="408" spans="1:13" s="13" customFormat="1" ht="18" customHeight="1" x14ac:dyDescent="0.3">
      <c r="A408" s="242"/>
      <c r="B408" s="242"/>
      <c r="C408" s="242"/>
      <c r="D408" s="242"/>
      <c r="E408" s="21">
        <v>4</v>
      </c>
      <c r="F408" s="22"/>
      <c r="G408" s="22"/>
      <c r="H408" s="23"/>
      <c r="I408" s="24"/>
      <c r="J408" s="277" t="str">
        <f t="shared" si="14"/>
        <v>VIII-K</v>
      </c>
      <c r="K408" s="287"/>
      <c r="L408" s="242"/>
      <c r="M408" s="242"/>
    </row>
    <row r="409" spans="1:13" s="13" customFormat="1" ht="18" customHeight="1" x14ac:dyDescent="0.3">
      <c r="A409" s="242"/>
      <c r="B409" s="242"/>
      <c r="C409" s="242"/>
      <c r="D409" s="242"/>
      <c r="E409" s="21">
        <v>5</v>
      </c>
      <c r="F409" s="22"/>
      <c r="G409" s="22"/>
      <c r="H409" s="23"/>
      <c r="I409" s="24"/>
      <c r="J409" s="277" t="str">
        <f t="shared" si="14"/>
        <v>VIII-K</v>
      </c>
      <c r="K409" s="287"/>
      <c r="L409" s="242"/>
      <c r="M409" s="242"/>
    </row>
    <row r="410" spans="1:13" s="13" customFormat="1" ht="18" customHeight="1" x14ac:dyDescent="0.3">
      <c r="A410" s="242"/>
      <c r="B410" s="242"/>
      <c r="C410" s="242"/>
      <c r="D410" s="242"/>
      <c r="E410" s="21">
        <v>6</v>
      </c>
      <c r="F410" s="22"/>
      <c r="G410" s="22"/>
      <c r="H410" s="23"/>
      <c r="I410" s="24"/>
      <c r="J410" s="277" t="str">
        <f t="shared" si="14"/>
        <v>VIII-K</v>
      </c>
      <c r="K410" s="287"/>
      <c r="L410" s="242"/>
      <c r="M410" s="242"/>
    </row>
    <row r="411" spans="1:13" s="13" customFormat="1" ht="18" customHeight="1" x14ac:dyDescent="0.3">
      <c r="A411" s="242"/>
      <c r="B411" s="242"/>
      <c r="C411" s="242"/>
      <c r="D411" s="242"/>
      <c r="E411" s="21">
        <v>7</v>
      </c>
      <c r="F411" s="22"/>
      <c r="G411" s="22"/>
      <c r="H411" s="23"/>
      <c r="I411" s="24"/>
      <c r="J411" s="277" t="str">
        <f t="shared" si="14"/>
        <v>VIII-K</v>
      </c>
      <c r="K411" s="287"/>
      <c r="L411" s="242"/>
      <c r="M411" s="242"/>
    </row>
    <row r="412" spans="1:13" s="13" customFormat="1" ht="18" customHeight="1" x14ac:dyDescent="0.3">
      <c r="A412" s="242"/>
      <c r="B412" s="242"/>
      <c r="C412" s="242"/>
      <c r="D412" s="242"/>
      <c r="E412" s="21">
        <v>8</v>
      </c>
      <c r="F412" s="22"/>
      <c r="G412" s="22"/>
      <c r="H412" s="23"/>
      <c r="I412" s="24"/>
      <c r="J412" s="277" t="str">
        <f t="shared" si="14"/>
        <v>VIII-K</v>
      </c>
      <c r="K412" s="287"/>
      <c r="L412" s="242"/>
      <c r="M412" s="242"/>
    </row>
    <row r="413" spans="1:13" s="13" customFormat="1" ht="18" customHeight="1" x14ac:dyDescent="0.3">
      <c r="A413" s="242"/>
      <c r="B413" s="242"/>
      <c r="C413" s="242"/>
      <c r="D413" s="242"/>
      <c r="E413" s="21">
        <v>9</v>
      </c>
      <c r="F413" s="22"/>
      <c r="G413" s="22"/>
      <c r="H413" s="23"/>
      <c r="I413" s="24"/>
      <c r="J413" s="277" t="str">
        <f t="shared" si="14"/>
        <v>VIII-K</v>
      </c>
      <c r="K413" s="287"/>
      <c r="L413" s="242"/>
      <c r="M413" s="242"/>
    </row>
    <row r="414" spans="1:13" s="13" customFormat="1" ht="18" customHeight="1" x14ac:dyDescent="0.3">
      <c r="A414" s="242"/>
      <c r="B414" s="242"/>
      <c r="C414" s="242"/>
      <c r="D414" s="242"/>
      <c r="E414" s="21">
        <v>10</v>
      </c>
      <c r="F414" s="22"/>
      <c r="G414" s="22"/>
      <c r="H414" s="23"/>
      <c r="I414" s="24"/>
      <c r="J414" s="277" t="str">
        <f t="shared" si="14"/>
        <v>VIII-K</v>
      </c>
      <c r="K414" s="287"/>
      <c r="L414" s="242"/>
      <c r="M414" s="242"/>
    </row>
    <row r="415" spans="1:13" s="13" customFormat="1" ht="18" customHeight="1" x14ac:dyDescent="0.3">
      <c r="A415" s="242"/>
      <c r="B415" s="242"/>
      <c r="C415" s="242"/>
      <c r="D415" s="242"/>
      <c r="E415" s="21">
        <v>11</v>
      </c>
      <c r="F415" s="22"/>
      <c r="G415" s="22"/>
      <c r="H415" s="23"/>
      <c r="I415" s="24"/>
      <c r="J415" s="277" t="str">
        <f t="shared" si="14"/>
        <v>VIII-K</v>
      </c>
      <c r="K415" s="287"/>
      <c r="L415" s="242"/>
      <c r="M415" s="242"/>
    </row>
    <row r="416" spans="1:13" s="13" customFormat="1" ht="18" customHeight="1" x14ac:dyDescent="0.3">
      <c r="A416" s="242"/>
      <c r="B416" s="242"/>
      <c r="C416" s="242"/>
      <c r="D416" s="242"/>
      <c r="E416" s="21">
        <v>12</v>
      </c>
      <c r="F416" s="22"/>
      <c r="G416" s="22"/>
      <c r="H416" s="23"/>
      <c r="I416" s="24"/>
      <c r="J416" s="277" t="str">
        <f t="shared" si="14"/>
        <v>VIII-K</v>
      </c>
      <c r="K416" s="287"/>
      <c r="L416" s="242"/>
      <c r="M416" s="242"/>
    </row>
    <row r="417" spans="1:13" s="13" customFormat="1" ht="18" customHeight="1" x14ac:dyDescent="0.3">
      <c r="A417" s="242"/>
      <c r="B417" s="242"/>
      <c r="C417" s="242"/>
      <c r="D417" s="242"/>
      <c r="E417" s="21">
        <v>13</v>
      </c>
      <c r="F417" s="22"/>
      <c r="G417" s="22"/>
      <c r="H417" s="23"/>
      <c r="I417" s="24"/>
      <c r="J417" s="277" t="str">
        <f t="shared" si="14"/>
        <v>VIII-K</v>
      </c>
      <c r="K417" s="287"/>
      <c r="L417" s="242"/>
      <c r="M417" s="242"/>
    </row>
    <row r="418" spans="1:13" s="13" customFormat="1" ht="18" customHeight="1" x14ac:dyDescent="0.3">
      <c r="A418" s="242"/>
      <c r="B418" s="242"/>
      <c r="C418" s="242"/>
      <c r="D418" s="242"/>
      <c r="E418" s="21">
        <v>14</v>
      </c>
      <c r="F418" s="22"/>
      <c r="G418" s="22"/>
      <c r="H418" s="23"/>
      <c r="I418" s="24"/>
      <c r="J418" s="277" t="str">
        <f t="shared" si="14"/>
        <v>VIII-K</v>
      </c>
      <c r="K418" s="287"/>
      <c r="L418" s="242"/>
      <c r="M418" s="242"/>
    </row>
    <row r="419" spans="1:13" s="13" customFormat="1" ht="18" customHeight="1" x14ac:dyDescent="0.3">
      <c r="A419" s="242"/>
      <c r="B419" s="242"/>
      <c r="C419" s="242"/>
      <c r="D419" s="242"/>
      <c r="E419" s="21">
        <v>15</v>
      </c>
      <c r="F419" s="22"/>
      <c r="G419" s="22"/>
      <c r="H419" s="23"/>
      <c r="I419" s="24"/>
      <c r="J419" s="277" t="str">
        <f t="shared" si="14"/>
        <v>VIII-K</v>
      </c>
      <c r="K419" s="287"/>
      <c r="L419" s="242"/>
      <c r="M419" s="242"/>
    </row>
    <row r="420" spans="1:13" s="13" customFormat="1" ht="18" customHeight="1" x14ac:dyDescent="0.3">
      <c r="A420" s="242"/>
      <c r="B420" s="242"/>
      <c r="C420" s="242"/>
      <c r="D420" s="242"/>
      <c r="E420" s="21">
        <v>16</v>
      </c>
      <c r="F420" s="22"/>
      <c r="G420" s="22"/>
      <c r="H420" s="23"/>
      <c r="I420" s="24"/>
      <c r="J420" s="277" t="str">
        <f t="shared" si="14"/>
        <v>VIII-K</v>
      </c>
      <c r="K420" s="287"/>
      <c r="L420" s="242"/>
      <c r="M420" s="242"/>
    </row>
    <row r="421" spans="1:13" s="13" customFormat="1" ht="18" customHeight="1" x14ac:dyDescent="0.3">
      <c r="A421" s="242"/>
      <c r="B421" s="242"/>
      <c r="C421" s="242"/>
      <c r="D421" s="242"/>
      <c r="E421" s="21">
        <v>17</v>
      </c>
      <c r="F421" s="22"/>
      <c r="G421" s="22"/>
      <c r="H421" s="23"/>
      <c r="I421" s="24"/>
      <c r="J421" s="277" t="str">
        <f t="shared" si="14"/>
        <v>VIII-K</v>
      </c>
      <c r="K421" s="287"/>
      <c r="L421" s="242"/>
      <c r="M421" s="242"/>
    </row>
    <row r="422" spans="1:13" s="13" customFormat="1" ht="18" customHeight="1" x14ac:dyDescent="0.3">
      <c r="A422" s="242"/>
      <c r="B422" s="242"/>
      <c r="C422" s="242"/>
      <c r="D422" s="242"/>
      <c r="E422" s="21">
        <v>18</v>
      </c>
      <c r="F422" s="22"/>
      <c r="G422" s="22"/>
      <c r="H422" s="23"/>
      <c r="I422" s="24"/>
      <c r="J422" s="277" t="str">
        <f t="shared" si="14"/>
        <v>VIII-K</v>
      </c>
      <c r="K422" s="287"/>
      <c r="L422" s="242"/>
      <c r="M422" s="242"/>
    </row>
    <row r="423" spans="1:13" s="13" customFormat="1" ht="18" customHeight="1" x14ac:dyDescent="0.3">
      <c r="A423" s="242"/>
      <c r="B423" s="242"/>
      <c r="C423" s="242"/>
      <c r="D423" s="242"/>
      <c r="E423" s="21">
        <v>19</v>
      </c>
      <c r="F423" s="22"/>
      <c r="G423" s="22"/>
      <c r="H423" s="23"/>
      <c r="I423" s="24"/>
      <c r="J423" s="277" t="str">
        <f t="shared" si="14"/>
        <v>VIII-K</v>
      </c>
      <c r="K423" s="287"/>
      <c r="L423" s="242"/>
      <c r="M423" s="242"/>
    </row>
    <row r="424" spans="1:13" s="13" customFormat="1" ht="18" customHeight="1" x14ac:dyDescent="0.3">
      <c r="A424" s="242"/>
      <c r="B424" s="242"/>
      <c r="C424" s="242"/>
      <c r="D424" s="242"/>
      <c r="E424" s="21">
        <v>20</v>
      </c>
      <c r="F424" s="22"/>
      <c r="G424" s="22"/>
      <c r="H424" s="23"/>
      <c r="I424" s="24"/>
      <c r="J424" s="277" t="str">
        <f t="shared" si="14"/>
        <v>VIII-K</v>
      </c>
      <c r="K424" s="287"/>
      <c r="L424" s="242"/>
      <c r="M424" s="242"/>
    </row>
    <row r="425" spans="1:13" s="13" customFormat="1" ht="18" customHeight="1" x14ac:dyDescent="0.3">
      <c r="A425" s="242"/>
      <c r="B425" s="242"/>
      <c r="C425" s="242"/>
      <c r="D425" s="242"/>
      <c r="E425" s="21">
        <v>21</v>
      </c>
      <c r="F425" s="22"/>
      <c r="G425" s="22"/>
      <c r="H425" s="23"/>
      <c r="I425" s="24"/>
      <c r="J425" s="277" t="str">
        <f t="shared" si="14"/>
        <v>VIII-K</v>
      </c>
      <c r="K425" s="287"/>
      <c r="L425" s="242"/>
      <c r="M425" s="242"/>
    </row>
    <row r="426" spans="1:13" s="13" customFormat="1" ht="18" customHeight="1" x14ac:dyDescent="0.3">
      <c r="A426" s="242"/>
      <c r="B426" s="242"/>
      <c r="C426" s="242"/>
      <c r="D426" s="242"/>
      <c r="E426" s="21">
        <v>22</v>
      </c>
      <c r="F426" s="22"/>
      <c r="G426" s="22"/>
      <c r="H426" s="23"/>
      <c r="I426" s="24"/>
      <c r="J426" s="277" t="str">
        <f t="shared" si="14"/>
        <v>VIII-K</v>
      </c>
      <c r="K426" s="287"/>
      <c r="L426" s="242"/>
      <c r="M426" s="242"/>
    </row>
    <row r="427" spans="1:13" s="13" customFormat="1" ht="18" customHeight="1" x14ac:dyDescent="0.3">
      <c r="A427" s="242"/>
      <c r="B427" s="242"/>
      <c r="C427" s="242"/>
      <c r="D427" s="242"/>
      <c r="E427" s="21">
        <v>23</v>
      </c>
      <c r="F427" s="22"/>
      <c r="G427" s="22"/>
      <c r="H427" s="23"/>
      <c r="I427" s="24"/>
      <c r="J427" s="277" t="str">
        <f t="shared" si="14"/>
        <v>VIII-K</v>
      </c>
      <c r="K427" s="287"/>
      <c r="L427" s="242"/>
      <c r="M427" s="242"/>
    </row>
    <row r="428" spans="1:13" s="13" customFormat="1" ht="18" customHeight="1" x14ac:dyDescent="0.3">
      <c r="A428" s="242"/>
      <c r="B428" s="242"/>
      <c r="C428" s="242"/>
      <c r="D428" s="242"/>
      <c r="E428" s="21">
        <v>24</v>
      </c>
      <c r="F428" s="22"/>
      <c r="G428" s="22"/>
      <c r="H428" s="23"/>
      <c r="I428" s="24"/>
      <c r="J428" s="277" t="str">
        <f t="shared" si="14"/>
        <v>VIII-K</v>
      </c>
      <c r="K428" s="287"/>
      <c r="L428" s="242"/>
      <c r="M428" s="242"/>
    </row>
    <row r="429" spans="1:13" s="13" customFormat="1" ht="18" customHeight="1" x14ac:dyDescent="0.3">
      <c r="A429" s="242"/>
      <c r="B429" s="242"/>
      <c r="C429" s="242"/>
      <c r="D429" s="242"/>
      <c r="E429" s="21">
        <v>25</v>
      </c>
      <c r="F429" s="22"/>
      <c r="G429" s="22"/>
      <c r="H429" s="23"/>
      <c r="I429" s="24"/>
      <c r="J429" s="277" t="str">
        <f t="shared" si="14"/>
        <v>VIII-K</v>
      </c>
      <c r="K429" s="287"/>
      <c r="L429" s="242"/>
      <c r="M429" s="242"/>
    </row>
    <row r="430" spans="1:13" s="13" customFormat="1" ht="18" customHeight="1" x14ac:dyDescent="0.3">
      <c r="A430" s="242"/>
      <c r="B430" s="242"/>
      <c r="C430" s="242"/>
      <c r="D430" s="242"/>
      <c r="E430" s="21">
        <v>26</v>
      </c>
      <c r="F430" s="22"/>
      <c r="G430" s="22"/>
      <c r="H430" s="23"/>
      <c r="I430" s="24"/>
      <c r="J430" s="277" t="str">
        <f t="shared" si="14"/>
        <v>VIII-K</v>
      </c>
      <c r="K430" s="287"/>
      <c r="L430" s="242"/>
      <c r="M430" s="242"/>
    </row>
    <row r="431" spans="1:13" s="13" customFormat="1" ht="18" customHeight="1" x14ac:dyDescent="0.3">
      <c r="A431" s="242"/>
      <c r="B431" s="242"/>
      <c r="C431" s="242"/>
      <c r="D431" s="242"/>
      <c r="E431" s="21">
        <v>27</v>
      </c>
      <c r="F431" s="22"/>
      <c r="G431" s="22"/>
      <c r="H431" s="23"/>
      <c r="I431" s="24"/>
      <c r="J431" s="277" t="str">
        <f t="shared" si="14"/>
        <v>VIII-K</v>
      </c>
      <c r="K431" s="287"/>
      <c r="L431" s="242"/>
      <c r="M431" s="242"/>
    </row>
    <row r="432" spans="1:13" s="13" customFormat="1" ht="18" customHeight="1" x14ac:dyDescent="0.3">
      <c r="A432" s="242"/>
      <c r="B432" s="242"/>
      <c r="C432" s="242"/>
      <c r="D432" s="242"/>
      <c r="E432" s="21">
        <v>28</v>
      </c>
      <c r="F432" s="22"/>
      <c r="G432" s="22"/>
      <c r="H432" s="23"/>
      <c r="I432" s="24"/>
      <c r="J432" s="277" t="str">
        <f t="shared" si="14"/>
        <v>VIII-K</v>
      </c>
      <c r="K432" s="287"/>
      <c r="L432" s="242"/>
      <c r="M432" s="242"/>
    </row>
    <row r="433" spans="1:13" s="13" customFormat="1" ht="18" customHeight="1" x14ac:dyDescent="0.3">
      <c r="A433" s="242"/>
      <c r="B433" s="242"/>
      <c r="C433" s="242"/>
      <c r="D433" s="242"/>
      <c r="E433" s="21">
        <v>29</v>
      </c>
      <c r="F433" s="22"/>
      <c r="G433" s="22"/>
      <c r="H433" s="23"/>
      <c r="I433" s="24"/>
      <c r="J433" s="277" t="str">
        <f t="shared" si="14"/>
        <v>VIII-K</v>
      </c>
      <c r="K433" s="287"/>
      <c r="L433" s="242"/>
      <c r="M433" s="242"/>
    </row>
    <row r="434" spans="1:13" s="13" customFormat="1" ht="18" customHeight="1" x14ac:dyDescent="0.3">
      <c r="A434" s="242"/>
      <c r="B434" s="242"/>
      <c r="C434" s="242"/>
      <c r="D434" s="242"/>
      <c r="E434" s="21">
        <v>30</v>
      </c>
      <c r="F434" s="22"/>
      <c r="G434" s="22"/>
      <c r="H434" s="23"/>
      <c r="I434" s="24"/>
      <c r="J434" s="277" t="str">
        <f t="shared" si="14"/>
        <v>VIII-K</v>
      </c>
      <c r="K434" s="287"/>
      <c r="L434" s="242"/>
      <c r="M434" s="242"/>
    </row>
    <row r="435" spans="1:13" s="13" customFormat="1" ht="18" customHeight="1" x14ac:dyDescent="0.3">
      <c r="A435" s="242"/>
      <c r="B435" s="242"/>
      <c r="C435" s="242"/>
      <c r="D435" s="242"/>
      <c r="E435" s="21">
        <v>31</v>
      </c>
      <c r="F435" s="22"/>
      <c r="G435" s="22"/>
      <c r="H435" s="23"/>
      <c r="I435" s="24"/>
      <c r="J435" s="277" t="str">
        <f t="shared" si="14"/>
        <v>VIII-K</v>
      </c>
      <c r="K435" s="287"/>
      <c r="L435" s="242"/>
      <c r="M435" s="242"/>
    </row>
    <row r="436" spans="1:13" s="13" customFormat="1" ht="18" customHeight="1" x14ac:dyDescent="0.3">
      <c r="A436" s="242"/>
      <c r="B436" s="288"/>
      <c r="C436" s="289"/>
      <c r="D436" s="242"/>
      <c r="E436" s="21">
        <v>32</v>
      </c>
      <c r="F436" s="22"/>
      <c r="G436" s="22"/>
      <c r="H436" s="23"/>
      <c r="I436" s="24"/>
      <c r="J436" s="277" t="str">
        <f t="shared" si="14"/>
        <v>VIII-K</v>
      </c>
      <c r="K436" s="287"/>
      <c r="L436" s="242"/>
      <c r="M436" s="242"/>
    </row>
    <row r="437" spans="1:13" s="13" customFormat="1" ht="18" customHeight="1" x14ac:dyDescent="0.3">
      <c r="A437" s="242"/>
      <c r="B437" s="234"/>
      <c r="C437" s="234"/>
      <c r="D437" s="242"/>
      <c r="E437" s="21">
        <v>33</v>
      </c>
      <c r="F437" s="22"/>
      <c r="G437" s="22"/>
      <c r="H437" s="23"/>
      <c r="I437" s="24"/>
      <c r="J437" s="277" t="str">
        <f t="shared" si="14"/>
        <v>VIII-K</v>
      </c>
      <c r="K437" s="287"/>
      <c r="L437" s="242"/>
      <c r="M437" s="242"/>
    </row>
    <row r="438" spans="1:13" s="13" customFormat="1" ht="18" customHeight="1" x14ac:dyDescent="0.3">
      <c r="A438" s="242"/>
      <c r="B438" s="234"/>
      <c r="C438" s="234"/>
      <c r="D438" s="242"/>
      <c r="E438" s="21">
        <v>34</v>
      </c>
      <c r="F438" s="22"/>
      <c r="G438" s="22"/>
      <c r="H438" s="23"/>
      <c r="I438" s="24"/>
      <c r="J438" s="277" t="str">
        <f t="shared" si="14"/>
        <v>VIII-K</v>
      </c>
      <c r="K438" s="287"/>
      <c r="L438" s="242">
        <v>6</v>
      </c>
      <c r="M438" s="242"/>
    </row>
    <row r="439" spans="1:13" s="13" customFormat="1" ht="18" customHeight="1" x14ac:dyDescent="0.3">
      <c r="A439" s="242"/>
      <c r="B439" s="242"/>
      <c r="C439" s="242"/>
      <c r="D439" s="242"/>
      <c r="E439" s="21">
        <v>35</v>
      </c>
      <c r="F439" s="22"/>
      <c r="G439" s="22"/>
      <c r="H439" s="23"/>
      <c r="I439" s="24"/>
      <c r="J439" s="277" t="str">
        <f t="shared" si="14"/>
        <v>VIII-K</v>
      </c>
      <c r="K439" s="287"/>
      <c r="L439" s="242"/>
      <c r="M439" s="242"/>
    </row>
    <row r="440" spans="1:13" s="13" customFormat="1" ht="18" customHeight="1" x14ac:dyDescent="0.3">
      <c r="A440" s="242"/>
      <c r="B440" s="288"/>
      <c r="C440" s="289"/>
      <c r="D440" s="242"/>
      <c r="E440" s="21">
        <v>36</v>
      </c>
      <c r="F440" s="22"/>
      <c r="G440" s="22"/>
      <c r="H440" s="23"/>
      <c r="I440" s="24"/>
      <c r="J440" s="277" t="str">
        <f t="shared" si="14"/>
        <v>VIII-K</v>
      </c>
      <c r="K440" s="287"/>
      <c r="L440" s="242"/>
      <c r="M440" s="242"/>
    </row>
    <row r="441" spans="1:13" s="13" customFormat="1" ht="18" customHeight="1" x14ac:dyDescent="0.3">
      <c r="A441" s="242"/>
      <c r="B441" s="234"/>
      <c r="C441" s="234"/>
      <c r="D441" s="242"/>
      <c r="E441" s="21">
        <v>37</v>
      </c>
      <c r="F441" s="22"/>
      <c r="G441" s="22"/>
      <c r="H441" s="23"/>
      <c r="I441" s="24"/>
      <c r="J441" s="277" t="str">
        <f t="shared" si="14"/>
        <v>VIII-K</v>
      </c>
      <c r="K441" s="287"/>
      <c r="L441" s="242"/>
      <c r="M441" s="242"/>
    </row>
    <row r="442" spans="1:13" s="13" customFormat="1" ht="18" customHeight="1" x14ac:dyDescent="0.3">
      <c r="A442" s="242"/>
      <c r="B442" s="234"/>
      <c r="C442" s="234"/>
      <c r="D442" s="242"/>
      <c r="E442" s="21">
        <v>38</v>
      </c>
      <c r="F442" s="22"/>
      <c r="G442" s="22"/>
      <c r="H442" s="23"/>
      <c r="I442" s="24"/>
      <c r="J442" s="277" t="str">
        <f t="shared" si="14"/>
        <v>VIII-K</v>
      </c>
      <c r="K442" s="287"/>
      <c r="L442" s="242">
        <v>6</v>
      </c>
      <c r="M442" s="242"/>
    </row>
    <row r="443" spans="1:13" s="13" customFormat="1" ht="18" customHeight="1" x14ac:dyDescent="0.3">
      <c r="A443" s="242"/>
      <c r="B443" s="234"/>
      <c r="C443" s="234"/>
      <c r="D443" s="242"/>
      <c r="E443" s="21">
        <v>39</v>
      </c>
      <c r="F443" s="22"/>
      <c r="G443" s="22"/>
      <c r="H443" s="23"/>
      <c r="I443" s="24"/>
      <c r="J443" s="277" t="str">
        <f t="shared" si="14"/>
        <v>VIII-K</v>
      </c>
      <c r="K443" s="287"/>
      <c r="L443" s="242"/>
      <c r="M443" s="242"/>
    </row>
    <row r="444" spans="1:13" s="13" customFormat="1" ht="18" customHeight="1" x14ac:dyDescent="0.3">
      <c r="A444" s="242"/>
      <c r="B444" s="234"/>
      <c r="C444" s="234"/>
      <c r="D444" s="242"/>
      <c r="E444" s="21">
        <v>40</v>
      </c>
      <c r="F444" s="22"/>
      <c r="G444" s="22"/>
      <c r="H444" s="23"/>
      <c r="I444" s="24"/>
      <c r="J444" s="277" t="str">
        <f t="shared" si="14"/>
        <v>VIII-K</v>
      </c>
      <c r="K444" s="287"/>
      <c r="L444" s="242"/>
      <c r="M444" s="242"/>
    </row>
    <row r="445" spans="1:13" s="13" customFormat="1" ht="18" customHeight="1" x14ac:dyDescent="0.3">
      <c r="A445" s="242"/>
      <c r="B445" s="242"/>
      <c r="C445" s="242"/>
      <c r="D445" s="242"/>
      <c r="E445" s="21">
        <v>1</v>
      </c>
      <c r="F445" s="22"/>
      <c r="G445" s="22"/>
      <c r="H445" s="23"/>
      <c r="I445" s="24"/>
      <c r="J445" s="277" t="str">
        <f>IF(C9=7,"VII",IF(C9=8,"VIII","IX"))&amp;"-"&amp;"L"</f>
        <v>VIII-L</v>
      </c>
      <c r="K445" s="287"/>
      <c r="L445" s="242"/>
      <c r="M445" s="242"/>
    </row>
    <row r="446" spans="1:13" s="13" customFormat="1" ht="18" customHeight="1" x14ac:dyDescent="0.3">
      <c r="A446" s="242"/>
      <c r="B446" s="242"/>
      <c r="C446" s="242"/>
      <c r="D446" s="242"/>
      <c r="E446" s="21">
        <v>2</v>
      </c>
      <c r="F446" s="22"/>
      <c r="G446" s="22"/>
      <c r="H446" s="23"/>
      <c r="I446" s="24"/>
      <c r="J446" s="277" t="str">
        <f t="shared" ref="J446:J484" si="15">J445</f>
        <v>VIII-L</v>
      </c>
      <c r="K446" s="287"/>
      <c r="L446" s="242"/>
      <c r="M446" s="242"/>
    </row>
    <row r="447" spans="1:13" s="13" customFormat="1" ht="18" customHeight="1" x14ac:dyDescent="0.3">
      <c r="A447" s="242"/>
      <c r="B447" s="242"/>
      <c r="C447" s="242"/>
      <c r="D447" s="242"/>
      <c r="E447" s="21">
        <v>3</v>
      </c>
      <c r="F447" s="22"/>
      <c r="G447" s="22"/>
      <c r="H447" s="23"/>
      <c r="I447" s="24"/>
      <c r="J447" s="277" t="str">
        <f t="shared" si="15"/>
        <v>VIII-L</v>
      </c>
      <c r="K447" s="287"/>
      <c r="L447" s="242"/>
      <c r="M447" s="242"/>
    </row>
    <row r="448" spans="1:13" s="13" customFormat="1" ht="18" customHeight="1" x14ac:dyDescent="0.3">
      <c r="A448" s="242"/>
      <c r="B448" s="242"/>
      <c r="C448" s="242"/>
      <c r="D448" s="242"/>
      <c r="E448" s="21">
        <v>4</v>
      </c>
      <c r="F448" s="22"/>
      <c r="G448" s="22"/>
      <c r="H448" s="23"/>
      <c r="I448" s="24"/>
      <c r="J448" s="277" t="str">
        <f t="shared" si="15"/>
        <v>VIII-L</v>
      </c>
      <c r="K448" s="287"/>
      <c r="L448" s="242"/>
      <c r="M448" s="242"/>
    </row>
    <row r="449" spans="1:13" s="13" customFormat="1" ht="18" customHeight="1" x14ac:dyDescent="0.3">
      <c r="A449" s="242"/>
      <c r="B449" s="242"/>
      <c r="C449" s="242"/>
      <c r="D449" s="242"/>
      <c r="E449" s="21">
        <v>5</v>
      </c>
      <c r="F449" s="22"/>
      <c r="G449" s="22"/>
      <c r="H449" s="23"/>
      <c r="I449" s="24"/>
      <c r="J449" s="277" t="str">
        <f t="shared" si="15"/>
        <v>VIII-L</v>
      </c>
      <c r="K449" s="287"/>
      <c r="L449" s="242"/>
      <c r="M449" s="242"/>
    </row>
    <row r="450" spans="1:13" s="13" customFormat="1" ht="18" customHeight="1" x14ac:dyDescent="0.3">
      <c r="A450" s="242"/>
      <c r="B450" s="242"/>
      <c r="C450" s="242"/>
      <c r="D450" s="242"/>
      <c r="E450" s="21">
        <v>6</v>
      </c>
      <c r="F450" s="22"/>
      <c r="G450" s="22"/>
      <c r="H450" s="23"/>
      <c r="I450" s="24"/>
      <c r="J450" s="277" t="str">
        <f t="shared" si="15"/>
        <v>VIII-L</v>
      </c>
      <c r="K450" s="287"/>
      <c r="L450" s="242"/>
      <c r="M450" s="242"/>
    </row>
    <row r="451" spans="1:13" s="13" customFormat="1" ht="18" customHeight="1" x14ac:dyDescent="0.3">
      <c r="A451" s="242"/>
      <c r="B451" s="242"/>
      <c r="C451" s="242"/>
      <c r="D451" s="242"/>
      <c r="E451" s="21">
        <v>7</v>
      </c>
      <c r="F451" s="22"/>
      <c r="G451" s="22"/>
      <c r="H451" s="23"/>
      <c r="I451" s="24"/>
      <c r="J451" s="277" t="str">
        <f t="shared" si="15"/>
        <v>VIII-L</v>
      </c>
      <c r="K451" s="287"/>
      <c r="L451" s="242"/>
      <c r="M451" s="242"/>
    </row>
    <row r="452" spans="1:13" s="13" customFormat="1" ht="18" customHeight="1" x14ac:dyDescent="0.3">
      <c r="A452" s="242"/>
      <c r="B452" s="242"/>
      <c r="C452" s="242"/>
      <c r="D452" s="242"/>
      <c r="E452" s="21">
        <v>8</v>
      </c>
      <c r="F452" s="22"/>
      <c r="G452" s="22"/>
      <c r="H452" s="23"/>
      <c r="I452" s="24"/>
      <c r="J452" s="277" t="str">
        <f t="shared" si="15"/>
        <v>VIII-L</v>
      </c>
      <c r="K452" s="287"/>
      <c r="L452" s="242"/>
      <c r="M452" s="242"/>
    </row>
    <row r="453" spans="1:13" s="13" customFormat="1" ht="18" customHeight="1" x14ac:dyDescent="0.3">
      <c r="A453" s="242"/>
      <c r="B453" s="242"/>
      <c r="C453" s="242"/>
      <c r="D453" s="242"/>
      <c r="E453" s="21">
        <v>9</v>
      </c>
      <c r="F453" s="22"/>
      <c r="G453" s="22"/>
      <c r="H453" s="23"/>
      <c r="I453" s="24"/>
      <c r="J453" s="277" t="str">
        <f t="shared" si="15"/>
        <v>VIII-L</v>
      </c>
      <c r="K453" s="287"/>
      <c r="L453" s="242"/>
      <c r="M453" s="242"/>
    </row>
    <row r="454" spans="1:13" s="13" customFormat="1" ht="18" customHeight="1" x14ac:dyDescent="0.3">
      <c r="A454" s="242"/>
      <c r="B454" s="242"/>
      <c r="C454" s="242"/>
      <c r="D454" s="242"/>
      <c r="E454" s="21">
        <v>10</v>
      </c>
      <c r="F454" s="22"/>
      <c r="G454" s="22"/>
      <c r="H454" s="23"/>
      <c r="I454" s="24"/>
      <c r="J454" s="277" t="str">
        <f t="shared" si="15"/>
        <v>VIII-L</v>
      </c>
      <c r="K454" s="287"/>
      <c r="L454" s="242"/>
      <c r="M454" s="242"/>
    </row>
    <row r="455" spans="1:13" s="13" customFormat="1" ht="18" customHeight="1" x14ac:dyDescent="0.3">
      <c r="A455" s="242"/>
      <c r="B455" s="242"/>
      <c r="C455" s="242"/>
      <c r="D455" s="242"/>
      <c r="E455" s="21">
        <v>11</v>
      </c>
      <c r="F455" s="22"/>
      <c r="G455" s="22"/>
      <c r="H455" s="23"/>
      <c r="I455" s="24"/>
      <c r="J455" s="277" t="str">
        <f t="shared" si="15"/>
        <v>VIII-L</v>
      </c>
      <c r="K455" s="287"/>
      <c r="L455" s="242"/>
      <c r="M455" s="242"/>
    </row>
    <row r="456" spans="1:13" s="13" customFormat="1" ht="18" customHeight="1" x14ac:dyDescent="0.3">
      <c r="A456" s="242"/>
      <c r="B456" s="242"/>
      <c r="C456" s="242"/>
      <c r="D456" s="242"/>
      <c r="E456" s="21">
        <v>12</v>
      </c>
      <c r="F456" s="22"/>
      <c r="G456" s="22"/>
      <c r="H456" s="23"/>
      <c r="I456" s="24"/>
      <c r="J456" s="277" t="str">
        <f t="shared" si="15"/>
        <v>VIII-L</v>
      </c>
      <c r="K456" s="287"/>
      <c r="L456" s="242"/>
      <c r="M456" s="242"/>
    </row>
    <row r="457" spans="1:13" s="13" customFormat="1" ht="18" customHeight="1" x14ac:dyDescent="0.3">
      <c r="A457" s="242"/>
      <c r="B457" s="242"/>
      <c r="C457" s="242"/>
      <c r="D457" s="242"/>
      <c r="E457" s="21">
        <v>13</v>
      </c>
      <c r="F457" s="22"/>
      <c r="G457" s="22"/>
      <c r="H457" s="23"/>
      <c r="I457" s="24"/>
      <c r="J457" s="277" t="str">
        <f t="shared" si="15"/>
        <v>VIII-L</v>
      </c>
      <c r="K457" s="287"/>
      <c r="L457" s="242"/>
      <c r="M457" s="242"/>
    </row>
    <row r="458" spans="1:13" s="13" customFormat="1" ht="18" customHeight="1" x14ac:dyDescent="0.3">
      <c r="A458" s="242"/>
      <c r="B458" s="242"/>
      <c r="C458" s="242"/>
      <c r="D458" s="242"/>
      <c r="E458" s="21">
        <v>14</v>
      </c>
      <c r="F458" s="22"/>
      <c r="G458" s="22"/>
      <c r="H458" s="23"/>
      <c r="I458" s="24"/>
      <c r="J458" s="277" t="str">
        <f t="shared" si="15"/>
        <v>VIII-L</v>
      </c>
      <c r="K458" s="287"/>
      <c r="L458" s="242"/>
      <c r="M458" s="242"/>
    </row>
    <row r="459" spans="1:13" s="13" customFormat="1" ht="18" customHeight="1" x14ac:dyDescent="0.3">
      <c r="A459" s="242"/>
      <c r="B459" s="242"/>
      <c r="C459" s="242"/>
      <c r="D459" s="242"/>
      <c r="E459" s="21">
        <v>15</v>
      </c>
      <c r="F459" s="22"/>
      <c r="G459" s="22"/>
      <c r="H459" s="23"/>
      <c r="I459" s="24"/>
      <c r="J459" s="277" t="str">
        <f t="shared" si="15"/>
        <v>VIII-L</v>
      </c>
      <c r="K459" s="287"/>
      <c r="L459" s="242"/>
      <c r="M459" s="242"/>
    </row>
    <row r="460" spans="1:13" s="13" customFormat="1" ht="18" customHeight="1" x14ac:dyDescent="0.3">
      <c r="A460" s="242"/>
      <c r="B460" s="242"/>
      <c r="C460" s="242"/>
      <c r="D460" s="242"/>
      <c r="E460" s="21">
        <v>16</v>
      </c>
      <c r="F460" s="22"/>
      <c r="G460" s="22"/>
      <c r="H460" s="23"/>
      <c r="I460" s="24"/>
      <c r="J460" s="277" t="str">
        <f t="shared" si="15"/>
        <v>VIII-L</v>
      </c>
      <c r="K460" s="287"/>
      <c r="L460" s="242"/>
      <c r="M460" s="242"/>
    </row>
    <row r="461" spans="1:13" s="13" customFormat="1" ht="18" customHeight="1" x14ac:dyDescent="0.3">
      <c r="A461" s="242"/>
      <c r="B461" s="242"/>
      <c r="C461" s="242"/>
      <c r="D461" s="242"/>
      <c r="E461" s="21">
        <v>17</v>
      </c>
      <c r="F461" s="22"/>
      <c r="G461" s="22"/>
      <c r="H461" s="23"/>
      <c r="I461" s="24"/>
      <c r="J461" s="277" t="str">
        <f t="shared" si="15"/>
        <v>VIII-L</v>
      </c>
      <c r="K461" s="287"/>
      <c r="L461" s="242"/>
      <c r="M461" s="242"/>
    </row>
    <row r="462" spans="1:13" s="13" customFormat="1" ht="18" customHeight="1" x14ac:dyDescent="0.3">
      <c r="A462" s="242"/>
      <c r="B462" s="242"/>
      <c r="C462" s="242"/>
      <c r="D462" s="242"/>
      <c r="E462" s="21">
        <v>18</v>
      </c>
      <c r="F462" s="22"/>
      <c r="G462" s="22"/>
      <c r="H462" s="23"/>
      <c r="I462" s="24"/>
      <c r="J462" s="277" t="str">
        <f t="shared" si="15"/>
        <v>VIII-L</v>
      </c>
      <c r="K462" s="287"/>
      <c r="L462" s="242"/>
      <c r="M462" s="242"/>
    </row>
    <row r="463" spans="1:13" s="13" customFormat="1" ht="18" customHeight="1" x14ac:dyDescent="0.3">
      <c r="A463" s="242"/>
      <c r="B463" s="242"/>
      <c r="C463" s="242"/>
      <c r="D463" s="242"/>
      <c r="E463" s="21">
        <v>19</v>
      </c>
      <c r="F463" s="22"/>
      <c r="G463" s="22"/>
      <c r="H463" s="23"/>
      <c r="I463" s="24"/>
      <c r="J463" s="277" t="str">
        <f t="shared" si="15"/>
        <v>VIII-L</v>
      </c>
      <c r="K463" s="287"/>
      <c r="L463" s="242"/>
      <c r="M463" s="242"/>
    </row>
    <row r="464" spans="1:13" s="13" customFormat="1" ht="18" customHeight="1" x14ac:dyDescent="0.3">
      <c r="A464" s="242"/>
      <c r="B464" s="242"/>
      <c r="C464" s="242"/>
      <c r="D464" s="242"/>
      <c r="E464" s="21">
        <v>20</v>
      </c>
      <c r="F464" s="22"/>
      <c r="G464" s="22"/>
      <c r="H464" s="23"/>
      <c r="I464" s="24"/>
      <c r="J464" s="277" t="str">
        <f t="shared" si="15"/>
        <v>VIII-L</v>
      </c>
      <c r="K464" s="287"/>
      <c r="L464" s="242"/>
      <c r="M464" s="242"/>
    </row>
    <row r="465" spans="1:13" s="13" customFormat="1" ht="18" customHeight="1" x14ac:dyDescent="0.3">
      <c r="A465" s="242"/>
      <c r="B465" s="242"/>
      <c r="C465" s="242"/>
      <c r="D465" s="242"/>
      <c r="E465" s="21">
        <v>21</v>
      </c>
      <c r="F465" s="22"/>
      <c r="G465" s="22"/>
      <c r="H465" s="23"/>
      <c r="I465" s="24"/>
      <c r="J465" s="277" t="str">
        <f t="shared" si="15"/>
        <v>VIII-L</v>
      </c>
      <c r="K465" s="287"/>
      <c r="L465" s="242"/>
      <c r="M465" s="242"/>
    </row>
    <row r="466" spans="1:13" s="13" customFormat="1" ht="18" customHeight="1" x14ac:dyDescent="0.3">
      <c r="A466" s="242"/>
      <c r="B466" s="242"/>
      <c r="C466" s="242"/>
      <c r="D466" s="242"/>
      <c r="E466" s="21">
        <v>22</v>
      </c>
      <c r="F466" s="22"/>
      <c r="G466" s="22"/>
      <c r="H466" s="23"/>
      <c r="I466" s="24"/>
      <c r="J466" s="277" t="str">
        <f t="shared" si="15"/>
        <v>VIII-L</v>
      </c>
      <c r="K466" s="287"/>
      <c r="L466" s="242"/>
      <c r="M466" s="242"/>
    </row>
    <row r="467" spans="1:13" s="13" customFormat="1" ht="18" customHeight="1" x14ac:dyDescent="0.3">
      <c r="A467" s="242"/>
      <c r="B467" s="242"/>
      <c r="C467" s="242"/>
      <c r="D467" s="242"/>
      <c r="E467" s="21">
        <v>23</v>
      </c>
      <c r="F467" s="22"/>
      <c r="G467" s="22"/>
      <c r="H467" s="23"/>
      <c r="I467" s="24"/>
      <c r="J467" s="277" t="str">
        <f t="shared" si="15"/>
        <v>VIII-L</v>
      </c>
      <c r="K467" s="287"/>
      <c r="L467" s="242"/>
      <c r="M467" s="242"/>
    </row>
    <row r="468" spans="1:13" s="13" customFormat="1" ht="18" customHeight="1" x14ac:dyDescent="0.3">
      <c r="A468" s="242"/>
      <c r="B468" s="242"/>
      <c r="C468" s="242"/>
      <c r="D468" s="242"/>
      <c r="E468" s="21">
        <v>24</v>
      </c>
      <c r="F468" s="22"/>
      <c r="G468" s="22"/>
      <c r="H468" s="23"/>
      <c r="I468" s="24"/>
      <c r="J468" s="277" t="str">
        <f t="shared" si="15"/>
        <v>VIII-L</v>
      </c>
      <c r="K468" s="287"/>
      <c r="L468" s="242"/>
      <c r="M468" s="242"/>
    </row>
    <row r="469" spans="1:13" s="13" customFormat="1" ht="18" customHeight="1" x14ac:dyDescent="0.3">
      <c r="A469" s="242"/>
      <c r="B469" s="242"/>
      <c r="C469" s="242"/>
      <c r="D469" s="242"/>
      <c r="E469" s="21">
        <v>25</v>
      </c>
      <c r="F469" s="22"/>
      <c r="G469" s="22"/>
      <c r="H469" s="23"/>
      <c r="I469" s="24"/>
      <c r="J469" s="277" t="str">
        <f t="shared" si="15"/>
        <v>VIII-L</v>
      </c>
      <c r="K469" s="287"/>
      <c r="L469" s="242"/>
      <c r="M469" s="242"/>
    </row>
    <row r="470" spans="1:13" s="13" customFormat="1" ht="18" customHeight="1" x14ac:dyDescent="0.3">
      <c r="A470" s="242"/>
      <c r="B470" s="242"/>
      <c r="C470" s="242"/>
      <c r="D470" s="242"/>
      <c r="E470" s="21">
        <v>26</v>
      </c>
      <c r="F470" s="22"/>
      <c r="G470" s="22"/>
      <c r="H470" s="23"/>
      <c r="I470" s="24"/>
      <c r="J470" s="277" t="str">
        <f t="shared" si="15"/>
        <v>VIII-L</v>
      </c>
      <c r="K470" s="287"/>
      <c r="L470" s="242"/>
      <c r="M470" s="242"/>
    </row>
    <row r="471" spans="1:13" s="13" customFormat="1" ht="18" customHeight="1" x14ac:dyDescent="0.3">
      <c r="A471" s="242"/>
      <c r="B471" s="242"/>
      <c r="C471" s="242"/>
      <c r="D471" s="242"/>
      <c r="E471" s="21">
        <v>27</v>
      </c>
      <c r="F471" s="22"/>
      <c r="G471" s="22"/>
      <c r="H471" s="23"/>
      <c r="I471" s="24"/>
      <c r="J471" s="277" t="str">
        <f t="shared" si="15"/>
        <v>VIII-L</v>
      </c>
      <c r="K471" s="287"/>
      <c r="L471" s="242"/>
      <c r="M471" s="242"/>
    </row>
    <row r="472" spans="1:13" s="13" customFormat="1" ht="18" customHeight="1" x14ac:dyDescent="0.3">
      <c r="A472" s="242"/>
      <c r="B472" s="242"/>
      <c r="C472" s="242"/>
      <c r="D472" s="242"/>
      <c r="E472" s="21">
        <v>28</v>
      </c>
      <c r="F472" s="22"/>
      <c r="G472" s="22"/>
      <c r="H472" s="23"/>
      <c r="I472" s="24"/>
      <c r="J472" s="277" t="str">
        <f t="shared" si="15"/>
        <v>VIII-L</v>
      </c>
      <c r="K472" s="287"/>
      <c r="L472" s="242"/>
      <c r="M472" s="242"/>
    </row>
    <row r="473" spans="1:13" s="13" customFormat="1" ht="18" customHeight="1" x14ac:dyDescent="0.3">
      <c r="A473" s="242"/>
      <c r="B473" s="242"/>
      <c r="C473" s="242"/>
      <c r="D473" s="242"/>
      <c r="E473" s="21">
        <v>29</v>
      </c>
      <c r="F473" s="22"/>
      <c r="G473" s="22"/>
      <c r="H473" s="23"/>
      <c r="I473" s="24"/>
      <c r="J473" s="277" t="str">
        <f t="shared" si="15"/>
        <v>VIII-L</v>
      </c>
      <c r="K473" s="287"/>
      <c r="L473" s="242"/>
      <c r="M473" s="242"/>
    </row>
    <row r="474" spans="1:13" s="13" customFormat="1" ht="18" customHeight="1" x14ac:dyDescent="0.3">
      <c r="A474" s="242"/>
      <c r="B474" s="242"/>
      <c r="C474" s="242"/>
      <c r="D474" s="242"/>
      <c r="E474" s="21">
        <v>30</v>
      </c>
      <c r="F474" s="22"/>
      <c r="G474" s="22"/>
      <c r="H474" s="23"/>
      <c r="I474" s="24"/>
      <c r="J474" s="277" t="str">
        <f t="shared" si="15"/>
        <v>VIII-L</v>
      </c>
      <c r="K474" s="287"/>
      <c r="L474" s="242"/>
      <c r="M474" s="242"/>
    </row>
    <row r="475" spans="1:13" s="13" customFormat="1" ht="18" customHeight="1" x14ac:dyDescent="0.3">
      <c r="A475" s="242"/>
      <c r="B475" s="242"/>
      <c r="C475" s="242"/>
      <c r="D475" s="242"/>
      <c r="E475" s="21">
        <v>31</v>
      </c>
      <c r="F475" s="22"/>
      <c r="G475" s="22"/>
      <c r="H475" s="23"/>
      <c r="I475" s="24"/>
      <c r="J475" s="277" t="str">
        <f t="shared" si="15"/>
        <v>VIII-L</v>
      </c>
      <c r="K475" s="287"/>
      <c r="L475" s="242"/>
      <c r="M475" s="242"/>
    </row>
    <row r="476" spans="1:13" s="13" customFormat="1" ht="18" customHeight="1" x14ac:dyDescent="0.3">
      <c r="A476" s="242"/>
      <c r="B476" s="288"/>
      <c r="C476" s="289"/>
      <c r="D476" s="242"/>
      <c r="E476" s="21">
        <v>32</v>
      </c>
      <c r="F476" s="22"/>
      <c r="G476" s="22"/>
      <c r="H476" s="23"/>
      <c r="I476" s="24"/>
      <c r="J476" s="277" t="str">
        <f t="shared" si="15"/>
        <v>VIII-L</v>
      </c>
      <c r="K476" s="287"/>
      <c r="L476" s="242"/>
      <c r="M476" s="242"/>
    </row>
    <row r="477" spans="1:13" s="13" customFormat="1" ht="18" customHeight="1" x14ac:dyDescent="0.3">
      <c r="A477" s="242"/>
      <c r="B477" s="234"/>
      <c r="C477" s="234"/>
      <c r="D477" s="242"/>
      <c r="E477" s="21">
        <v>33</v>
      </c>
      <c r="F477" s="22"/>
      <c r="G477" s="22"/>
      <c r="H477" s="23"/>
      <c r="I477" s="24"/>
      <c r="J477" s="277" t="str">
        <f t="shared" si="15"/>
        <v>VIII-L</v>
      </c>
      <c r="K477" s="287"/>
      <c r="L477" s="242"/>
      <c r="M477" s="242"/>
    </row>
    <row r="478" spans="1:13" s="13" customFormat="1" ht="18" customHeight="1" x14ac:dyDescent="0.3">
      <c r="A478" s="242"/>
      <c r="B478" s="234"/>
      <c r="C478" s="234"/>
      <c r="D478" s="242"/>
      <c r="E478" s="21">
        <v>34</v>
      </c>
      <c r="F478" s="22"/>
      <c r="G478" s="22"/>
      <c r="H478" s="23"/>
      <c r="I478" s="24"/>
      <c r="J478" s="277" t="str">
        <f t="shared" si="15"/>
        <v>VIII-L</v>
      </c>
      <c r="K478" s="287"/>
      <c r="L478" s="242">
        <v>6</v>
      </c>
      <c r="M478" s="242"/>
    </row>
    <row r="479" spans="1:13" s="13" customFormat="1" ht="18" customHeight="1" x14ac:dyDescent="0.3">
      <c r="A479" s="242"/>
      <c r="B479" s="242"/>
      <c r="C479" s="242"/>
      <c r="D479" s="242"/>
      <c r="E479" s="21">
        <v>35</v>
      </c>
      <c r="F479" s="22"/>
      <c r="G479" s="22"/>
      <c r="H479" s="23"/>
      <c r="I479" s="24"/>
      <c r="J479" s="277" t="str">
        <f t="shared" si="15"/>
        <v>VIII-L</v>
      </c>
      <c r="K479" s="287"/>
      <c r="L479" s="242"/>
      <c r="M479" s="242"/>
    </row>
    <row r="480" spans="1:13" s="13" customFormat="1" ht="18" customHeight="1" x14ac:dyDescent="0.3">
      <c r="A480" s="242"/>
      <c r="B480" s="288"/>
      <c r="C480" s="289"/>
      <c r="D480" s="242"/>
      <c r="E480" s="21">
        <v>36</v>
      </c>
      <c r="F480" s="22"/>
      <c r="G480" s="22"/>
      <c r="H480" s="23"/>
      <c r="I480" s="24"/>
      <c r="J480" s="277" t="str">
        <f t="shared" si="15"/>
        <v>VIII-L</v>
      </c>
      <c r="K480" s="287"/>
      <c r="L480" s="242"/>
      <c r="M480" s="242"/>
    </row>
    <row r="481" spans="1:13" s="13" customFormat="1" ht="18" customHeight="1" x14ac:dyDescent="0.3">
      <c r="A481" s="242"/>
      <c r="B481" s="234"/>
      <c r="C481" s="234"/>
      <c r="D481" s="242"/>
      <c r="E481" s="21">
        <v>37</v>
      </c>
      <c r="F481" s="22"/>
      <c r="G481" s="22"/>
      <c r="H481" s="23"/>
      <c r="I481" s="24"/>
      <c r="J481" s="277" t="str">
        <f t="shared" si="15"/>
        <v>VIII-L</v>
      </c>
      <c r="K481" s="287"/>
      <c r="L481" s="242"/>
      <c r="M481" s="242"/>
    </row>
    <row r="482" spans="1:13" s="13" customFormat="1" ht="18" customHeight="1" x14ac:dyDescent="0.3">
      <c r="A482" s="242"/>
      <c r="B482" s="234"/>
      <c r="C482" s="234"/>
      <c r="D482" s="242"/>
      <c r="E482" s="21">
        <v>38</v>
      </c>
      <c r="F482" s="22"/>
      <c r="G482" s="22"/>
      <c r="H482" s="23"/>
      <c r="I482" s="24"/>
      <c r="J482" s="277" t="str">
        <f t="shared" si="15"/>
        <v>VIII-L</v>
      </c>
      <c r="K482" s="287"/>
      <c r="L482" s="242">
        <v>6</v>
      </c>
      <c r="M482" s="242"/>
    </row>
    <row r="483" spans="1:13" s="13" customFormat="1" ht="18" customHeight="1" x14ac:dyDescent="0.3">
      <c r="A483" s="242"/>
      <c r="B483" s="234"/>
      <c r="C483" s="234"/>
      <c r="D483" s="242"/>
      <c r="E483" s="21">
        <v>39</v>
      </c>
      <c r="F483" s="22"/>
      <c r="G483" s="22"/>
      <c r="H483" s="23"/>
      <c r="I483" s="24"/>
      <c r="J483" s="277" t="str">
        <f t="shared" si="15"/>
        <v>VIII-L</v>
      </c>
      <c r="K483" s="287"/>
      <c r="L483" s="242"/>
      <c r="M483" s="242"/>
    </row>
    <row r="484" spans="1:13" s="13" customFormat="1" ht="18" customHeight="1" x14ac:dyDescent="0.3">
      <c r="A484" s="242"/>
      <c r="B484" s="234"/>
      <c r="C484" s="234"/>
      <c r="D484" s="242"/>
      <c r="E484" s="21">
        <v>40</v>
      </c>
      <c r="F484" s="22"/>
      <c r="G484" s="22"/>
      <c r="H484" s="23"/>
      <c r="I484" s="24"/>
      <c r="J484" s="277" t="str">
        <f t="shared" si="15"/>
        <v>VIII-L</v>
      </c>
      <c r="K484" s="287"/>
      <c r="L484" s="242"/>
      <c r="M484" s="242"/>
    </row>
    <row r="485" spans="1:13" s="13" customFormat="1" ht="18" customHeight="1" x14ac:dyDescent="0.3">
      <c r="A485" s="242"/>
      <c r="B485" s="242"/>
      <c r="C485" s="242"/>
      <c r="D485" s="242"/>
      <c r="E485" s="21">
        <v>1</v>
      </c>
      <c r="F485" s="22"/>
      <c r="G485" s="22"/>
      <c r="H485" s="23"/>
      <c r="I485" s="24"/>
      <c r="J485" s="277" t="str">
        <f>IF(C9=7,"VII",IF(C9=8,"VIII","IX"))&amp;"-"&amp;"M"</f>
        <v>VIII-M</v>
      </c>
      <c r="K485" s="287"/>
      <c r="L485" s="242"/>
      <c r="M485" s="242"/>
    </row>
    <row r="486" spans="1:13" s="13" customFormat="1" ht="18" customHeight="1" x14ac:dyDescent="0.3">
      <c r="A486" s="242"/>
      <c r="B486" s="242"/>
      <c r="C486" s="242"/>
      <c r="D486" s="242"/>
      <c r="E486" s="21">
        <v>2</v>
      </c>
      <c r="F486" s="22"/>
      <c r="G486" s="22"/>
      <c r="H486" s="23"/>
      <c r="I486" s="24"/>
      <c r="J486" s="277" t="str">
        <f>J485</f>
        <v>VIII-M</v>
      </c>
      <c r="K486" s="287"/>
      <c r="L486" s="242"/>
      <c r="M486" s="242"/>
    </row>
    <row r="487" spans="1:13" s="13" customFormat="1" ht="18" customHeight="1" x14ac:dyDescent="0.3">
      <c r="A487" s="242"/>
      <c r="B487" s="242"/>
      <c r="C487" s="242"/>
      <c r="D487" s="242"/>
      <c r="E487" s="21">
        <v>3</v>
      </c>
      <c r="F487" s="22"/>
      <c r="G487" s="22"/>
      <c r="H487" s="23"/>
      <c r="I487" s="24"/>
      <c r="J487" s="277" t="str">
        <f t="shared" ref="J487:J524" si="16">J486</f>
        <v>VIII-M</v>
      </c>
      <c r="K487" s="287"/>
      <c r="L487" s="242"/>
      <c r="M487" s="242"/>
    </row>
    <row r="488" spans="1:13" s="13" customFormat="1" ht="18" customHeight="1" x14ac:dyDescent="0.3">
      <c r="A488" s="242"/>
      <c r="B488" s="242"/>
      <c r="C488" s="242"/>
      <c r="D488" s="242"/>
      <c r="E488" s="21">
        <v>4</v>
      </c>
      <c r="F488" s="22"/>
      <c r="G488" s="22"/>
      <c r="H488" s="23"/>
      <c r="I488" s="24"/>
      <c r="J488" s="277" t="str">
        <f t="shared" si="16"/>
        <v>VIII-M</v>
      </c>
      <c r="K488" s="287"/>
      <c r="L488" s="242"/>
      <c r="M488" s="242"/>
    </row>
    <row r="489" spans="1:13" s="13" customFormat="1" ht="18" customHeight="1" x14ac:dyDescent="0.3">
      <c r="A489" s="242"/>
      <c r="B489" s="242"/>
      <c r="C489" s="242"/>
      <c r="D489" s="242"/>
      <c r="E489" s="21">
        <v>5</v>
      </c>
      <c r="F489" s="22"/>
      <c r="G489" s="22"/>
      <c r="H489" s="23"/>
      <c r="I489" s="24"/>
      <c r="J489" s="277" t="str">
        <f t="shared" si="16"/>
        <v>VIII-M</v>
      </c>
      <c r="K489" s="287"/>
      <c r="L489" s="242"/>
      <c r="M489" s="242"/>
    </row>
    <row r="490" spans="1:13" s="13" customFormat="1" ht="18" customHeight="1" x14ac:dyDescent="0.3">
      <c r="A490" s="242"/>
      <c r="B490" s="242"/>
      <c r="C490" s="242"/>
      <c r="D490" s="242"/>
      <c r="E490" s="21">
        <v>6</v>
      </c>
      <c r="F490" s="22"/>
      <c r="G490" s="22"/>
      <c r="H490" s="23"/>
      <c r="I490" s="24"/>
      <c r="J490" s="277" t="str">
        <f t="shared" si="16"/>
        <v>VIII-M</v>
      </c>
      <c r="K490" s="287"/>
      <c r="L490" s="242"/>
      <c r="M490" s="242"/>
    </row>
    <row r="491" spans="1:13" s="13" customFormat="1" ht="18" customHeight="1" x14ac:dyDescent="0.3">
      <c r="A491" s="242"/>
      <c r="B491" s="242"/>
      <c r="C491" s="242"/>
      <c r="D491" s="242"/>
      <c r="E491" s="21">
        <v>7</v>
      </c>
      <c r="F491" s="22"/>
      <c r="G491" s="22"/>
      <c r="H491" s="23"/>
      <c r="I491" s="24"/>
      <c r="J491" s="277" t="str">
        <f t="shared" si="16"/>
        <v>VIII-M</v>
      </c>
      <c r="K491" s="287"/>
      <c r="L491" s="242"/>
      <c r="M491" s="242"/>
    </row>
    <row r="492" spans="1:13" s="13" customFormat="1" ht="18" customHeight="1" x14ac:dyDescent="0.3">
      <c r="A492" s="242"/>
      <c r="B492" s="242"/>
      <c r="C492" s="242"/>
      <c r="D492" s="242"/>
      <c r="E492" s="21">
        <v>8</v>
      </c>
      <c r="F492" s="22"/>
      <c r="G492" s="22"/>
      <c r="H492" s="23"/>
      <c r="I492" s="24"/>
      <c r="J492" s="277" t="str">
        <f t="shared" si="16"/>
        <v>VIII-M</v>
      </c>
      <c r="K492" s="287"/>
      <c r="L492" s="242"/>
      <c r="M492" s="242"/>
    </row>
    <row r="493" spans="1:13" s="13" customFormat="1" ht="18" customHeight="1" x14ac:dyDescent="0.3">
      <c r="A493" s="242"/>
      <c r="B493" s="242"/>
      <c r="C493" s="242"/>
      <c r="D493" s="242"/>
      <c r="E493" s="21">
        <v>9</v>
      </c>
      <c r="F493" s="22"/>
      <c r="G493" s="22"/>
      <c r="H493" s="23"/>
      <c r="I493" s="24"/>
      <c r="J493" s="277" t="str">
        <f t="shared" si="16"/>
        <v>VIII-M</v>
      </c>
      <c r="K493" s="287"/>
      <c r="L493" s="242"/>
      <c r="M493" s="242"/>
    </row>
    <row r="494" spans="1:13" s="13" customFormat="1" ht="18" customHeight="1" x14ac:dyDescent="0.3">
      <c r="A494" s="242"/>
      <c r="B494" s="242"/>
      <c r="C494" s="242"/>
      <c r="D494" s="242"/>
      <c r="E494" s="21">
        <v>10</v>
      </c>
      <c r="F494" s="22"/>
      <c r="G494" s="22"/>
      <c r="H494" s="23"/>
      <c r="I494" s="24"/>
      <c r="J494" s="277" t="str">
        <f t="shared" si="16"/>
        <v>VIII-M</v>
      </c>
      <c r="K494" s="287"/>
      <c r="L494" s="242"/>
      <c r="M494" s="242"/>
    </row>
    <row r="495" spans="1:13" s="13" customFormat="1" ht="18" customHeight="1" x14ac:dyDescent="0.3">
      <c r="A495" s="242"/>
      <c r="B495" s="242"/>
      <c r="C495" s="242"/>
      <c r="D495" s="242"/>
      <c r="E495" s="21">
        <v>11</v>
      </c>
      <c r="F495" s="22"/>
      <c r="G495" s="22"/>
      <c r="H495" s="23"/>
      <c r="I495" s="24"/>
      <c r="J495" s="277" t="str">
        <f t="shared" si="16"/>
        <v>VIII-M</v>
      </c>
      <c r="K495" s="287"/>
      <c r="L495" s="242"/>
      <c r="M495" s="242"/>
    </row>
    <row r="496" spans="1:13" s="13" customFormat="1" ht="18" customHeight="1" x14ac:dyDescent="0.3">
      <c r="A496" s="242"/>
      <c r="B496" s="242"/>
      <c r="C496" s="242"/>
      <c r="D496" s="242"/>
      <c r="E496" s="21">
        <v>12</v>
      </c>
      <c r="F496" s="22"/>
      <c r="G496" s="22"/>
      <c r="H496" s="23"/>
      <c r="I496" s="24"/>
      <c r="J496" s="277" t="str">
        <f t="shared" si="16"/>
        <v>VIII-M</v>
      </c>
      <c r="K496" s="287"/>
      <c r="L496" s="242"/>
      <c r="M496" s="242"/>
    </row>
    <row r="497" spans="1:13" s="13" customFormat="1" ht="18" customHeight="1" x14ac:dyDescent="0.3">
      <c r="A497" s="242"/>
      <c r="B497" s="242"/>
      <c r="C497" s="242"/>
      <c r="D497" s="242"/>
      <c r="E497" s="21">
        <v>13</v>
      </c>
      <c r="F497" s="22"/>
      <c r="G497" s="22"/>
      <c r="H497" s="23"/>
      <c r="I497" s="24"/>
      <c r="J497" s="277" t="str">
        <f t="shared" si="16"/>
        <v>VIII-M</v>
      </c>
      <c r="K497" s="287"/>
      <c r="L497" s="242"/>
      <c r="M497" s="242"/>
    </row>
    <row r="498" spans="1:13" s="13" customFormat="1" ht="18" customHeight="1" x14ac:dyDescent="0.3">
      <c r="A498" s="242"/>
      <c r="B498" s="242"/>
      <c r="C498" s="242"/>
      <c r="D498" s="242"/>
      <c r="E498" s="21">
        <v>14</v>
      </c>
      <c r="F498" s="22"/>
      <c r="G498" s="22"/>
      <c r="H498" s="23"/>
      <c r="I498" s="24"/>
      <c r="J498" s="277" t="str">
        <f t="shared" si="16"/>
        <v>VIII-M</v>
      </c>
      <c r="K498" s="287"/>
      <c r="L498" s="242"/>
      <c r="M498" s="242"/>
    </row>
    <row r="499" spans="1:13" s="13" customFormat="1" ht="18" customHeight="1" x14ac:dyDescent="0.3">
      <c r="A499" s="242"/>
      <c r="B499" s="242"/>
      <c r="C499" s="242"/>
      <c r="D499" s="242"/>
      <c r="E499" s="21">
        <v>15</v>
      </c>
      <c r="F499" s="22"/>
      <c r="G499" s="22"/>
      <c r="H499" s="23"/>
      <c r="I499" s="24"/>
      <c r="J499" s="277" t="str">
        <f t="shared" si="16"/>
        <v>VIII-M</v>
      </c>
      <c r="K499" s="287"/>
      <c r="L499" s="242"/>
      <c r="M499" s="242"/>
    </row>
    <row r="500" spans="1:13" s="13" customFormat="1" ht="18" customHeight="1" x14ac:dyDescent="0.3">
      <c r="A500" s="242"/>
      <c r="B500" s="242"/>
      <c r="C500" s="242"/>
      <c r="D500" s="242"/>
      <c r="E500" s="21">
        <v>16</v>
      </c>
      <c r="F500" s="22"/>
      <c r="G500" s="22"/>
      <c r="H500" s="23"/>
      <c r="I500" s="24"/>
      <c r="J500" s="277" t="str">
        <f t="shared" si="16"/>
        <v>VIII-M</v>
      </c>
      <c r="K500" s="287"/>
      <c r="L500" s="242"/>
      <c r="M500" s="242"/>
    </row>
    <row r="501" spans="1:13" s="13" customFormat="1" ht="18" customHeight="1" x14ac:dyDescent="0.3">
      <c r="A501" s="242"/>
      <c r="B501" s="242"/>
      <c r="C501" s="242"/>
      <c r="D501" s="242"/>
      <c r="E501" s="21">
        <v>17</v>
      </c>
      <c r="F501" s="22"/>
      <c r="G501" s="22"/>
      <c r="H501" s="23"/>
      <c r="I501" s="24"/>
      <c r="J501" s="277" t="str">
        <f t="shared" si="16"/>
        <v>VIII-M</v>
      </c>
      <c r="K501" s="287"/>
      <c r="L501" s="242"/>
      <c r="M501" s="242"/>
    </row>
    <row r="502" spans="1:13" s="13" customFormat="1" ht="18" customHeight="1" x14ac:dyDescent="0.3">
      <c r="A502" s="242"/>
      <c r="B502" s="242"/>
      <c r="C502" s="242"/>
      <c r="D502" s="242"/>
      <c r="E502" s="21">
        <v>18</v>
      </c>
      <c r="F502" s="22"/>
      <c r="G502" s="22"/>
      <c r="H502" s="23"/>
      <c r="I502" s="24"/>
      <c r="J502" s="277" t="str">
        <f t="shared" si="16"/>
        <v>VIII-M</v>
      </c>
      <c r="K502" s="287"/>
      <c r="L502" s="242"/>
      <c r="M502" s="242"/>
    </row>
    <row r="503" spans="1:13" s="13" customFormat="1" ht="18" customHeight="1" x14ac:dyDescent="0.3">
      <c r="A503" s="242"/>
      <c r="B503" s="242"/>
      <c r="C503" s="242"/>
      <c r="D503" s="242"/>
      <c r="E503" s="21">
        <v>19</v>
      </c>
      <c r="F503" s="22"/>
      <c r="G503" s="22"/>
      <c r="H503" s="23"/>
      <c r="I503" s="24"/>
      <c r="J503" s="277" t="str">
        <f t="shared" si="16"/>
        <v>VIII-M</v>
      </c>
      <c r="K503" s="287"/>
      <c r="L503" s="242"/>
      <c r="M503" s="242"/>
    </row>
    <row r="504" spans="1:13" s="13" customFormat="1" ht="18" customHeight="1" x14ac:dyDescent="0.3">
      <c r="A504" s="242"/>
      <c r="B504" s="242"/>
      <c r="C504" s="242"/>
      <c r="D504" s="242"/>
      <c r="E504" s="21">
        <v>20</v>
      </c>
      <c r="F504" s="22"/>
      <c r="G504" s="22"/>
      <c r="H504" s="23"/>
      <c r="I504" s="24"/>
      <c r="J504" s="277" t="str">
        <f t="shared" si="16"/>
        <v>VIII-M</v>
      </c>
      <c r="K504" s="287"/>
      <c r="L504" s="242"/>
      <c r="M504" s="242"/>
    </row>
    <row r="505" spans="1:13" s="13" customFormat="1" ht="18" customHeight="1" x14ac:dyDescent="0.3">
      <c r="A505" s="242"/>
      <c r="B505" s="242"/>
      <c r="C505" s="242"/>
      <c r="D505" s="242"/>
      <c r="E505" s="21">
        <v>21</v>
      </c>
      <c r="F505" s="22"/>
      <c r="G505" s="22"/>
      <c r="H505" s="23"/>
      <c r="I505" s="24"/>
      <c r="J505" s="277" t="str">
        <f t="shared" si="16"/>
        <v>VIII-M</v>
      </c>
      <c r="K505" s="287"/>
      <c r="L505" s="242"/>
      <c r="M505" s="242"/>
    </row>
    <row r="506" spans="1:13" s="13" customFormat="1" ht="18" customHeight="1" x14ac:dyDescent="0.3">
      <c r="A506" s="242"/>
      <c r="B506" s="242"/>
      <c r="C506" s="242"/>
      <c r="D506" s="242"/>
      <c r="E506" s="21">
        <v>22</v>
      </c>
      <c r="F506" s="22"/>
      <c r="G506" s="22"/>
      <c r="H506" s="23"/>
      <c r="I506" s="24"/>
      <c r="J506" s="277" t="str">
        <f t="shared" si="16"/>
        <v>VIII-M</v>
      </c>
      <c r="K506" s="287"/>
      <c r="L506" s="242"/>
      <c r="M506" s="242"/>
    </row>
    <row r="507" spans="1:13" s="13" customFormat="1" ht="18" customHeight="1" x14ac:dyDescent="0.3">
      <c r="A507" s="242"/>
      <c r="B507" s="242"/>
      <c r="C507" s="242"/>
      <c r="D507" s="242"/>
      <c r="E507" s="21">
        <v>23</v>
      </c>
      <c r="F507" s="22"/>
      <c r="G507" s="22"/>
      <c r="H507" s="23"/>
      <c r="I507" s="24"/>
      <c r="J507" s="277" t="str">
        <f t="shared" si="16"/>
        <v>VIII-M</v>
      </c>
      <c r="K507" s="287"/>
      <c r="L507" s="242"/>
      <c r="M507" s="242"/>
    </row>
    <row r="508" spans="1:13" s="13" customFormat="1" ht="18" customHeight="1" x14ac:dyDescent="0.3">
      <c r="A508" s="242"/>
      <c r="B508" s="242"/>
      <c r="C508" s="242"/>
      <c r="D508" s="242"/>
      <c r="E508" s="21">
        <v>24</v>
      </c>
      <c r="F508" s="22"/>
      <c r="G508" s="22"/>
      <c r="H508" s="23"/>
      <c r="I508" s="24"/>
      <c r="J508" s="277" t="str">
        <f t="shared" si="16"/>
        <v>VIII-M</v>
      </c>
      <c r="K508" s="287"/>
      <c r="L508" s="242"/>
      <c r="M508" s="242"/>
    </row>
    <row r="509" spans="1:13" s="13" customFormat="1" ht="18" customHeight="1" x14ac:dyDescent="0.3">
      <c r="A509" s="242"/>
      <c r="B509" s="242"/>
      <c r="C509" s="242"/>
      <c r="D509" s="242"/>
      <c r="E509" s="21">
        <v>25</v>
      </c>
      <c r="F509" s="22"/>
      <c r="G509" s="22"/>
      <c r="H509" s="23"/>
      <c r="I509" s="24"/>
      <c r="J509" s="277" t="str">
        <f t="shared" si="16"/>
        <v>VIII-M</v>
      </c>
      <c r="K509" s="287"/>
      <c r="L509" s="242"/>
      <c r="M509" s="242"/>
    </row>
    <row r="510" spans="1:13" s="13" customFormat="1" ht="18" customHeight="1" x14ac:dyDescent="0.3">
      <c r="A510" s="242"/>
      <c r="B510" s="242"/>
      <c r="C510" s="242"/>
      <c r="D510" s="242"/>
      <c r="E510" s="21">
        <v>26</v>
      </c>
      <c r="F510" s="22"/>
      <c r="G510" s="22"/>
      <c r="H510" s="23"/>
      <c r="I510" s="24"/>
      <c r="J510" s="277" t="str">
        <f t="shared" si="16"/>
        <v>VIII-M</v>
      </c>
      <c r="K510" s="287"/>
      <c r="L510" s="242"/>
      <c r="M510" s="242"/>
    </row>
    <row r="511" spans="1:13" s="13" customFormat="1" ht="18" customHeight="1" x14ac:dyDescent="0.3">
      <c r="A511" s="242"/>
      <c r="B511" s="242"/>
      <c r="C511" s="242"/>
      <c r="D511" s="242"/>
      <c r="E511" s="21">
        <v>27</v>
      </c>
      <c r="F511" s="22"/>
      <c r="G511" s="22"/>
      <c r="H511" s="23"/>
      <c r="I511" s="24"/>
      <c r="J511" s="277" t="str">
        <f t="shared" si="16"/>
        <v>VIII-M</v>
      </c>
      <c r="K511" s="287"/>
      <c r="L511" s="242"/>
      <c r="M511" s="242"/>
    </row>
    <row r="512" spans="1:13" s="13" customFormat="1" ht="18" customHeight="1" x14ac:dyDescent="0.3">
      <c r="A512" s="242"/>
      <c r="B512" s="242"/>
      <c r="C512" s="242"/>
      <c r="D512" s="242"/>
      <c r="E512" s="21">
        <v>28</v>
      </c>
      <c r="F512" s="22"/>
      <c r="G512" s="22"/>
      <c r="H512" s="23"/>
      <c r="I512" s="24"/>
      <c r="J512" s="277" t="str">
        <f t="shared" si="16"/>
        <v>VIII-M</v>
      </c>
      <c r="K512" s="287"/>
      <c r="L512" s="242"/>
      <c r="M512" s="242"/>
    </row>
    <row r="513" spans="1:13" s="13" customFormat="1" ht="18" customHeight="1" x14ac:dyDescent="0.3">
      <c r="A513" s="242"/>
      <c r="B513" s="242"/>
      <c r="C513" s="242"/>
      <c r="D513" s="242"/>
      <c r="E513" s="21">
        <v>29</v>
      </c>
      <c r="F513" s="22"/>
      <c r="G513" s="22"/>
      <c r="H513" s="23"/>
      <c r="I513" s="24"/>
      <c r="J513" s="277" t="str">
        <f t="shared" si="16"/>
        <v>VIII-M</v>
      </c>
      <c r="K513" s="287"/>
      <c r="L513" s="242"/>
      <c r="M513" s="242"/>
    </row>
    <row r="514" spans="1:13" s="13" customFormat="1" ht="18" customHeight="1" x14ac:dyDescent="0.3">
      <c r="A514" s="242"/>
      <c r="B514" s="242"/>
      <c r="C514" s="242"/>
      <c r="D514" s="242"/>
      <c r="E514" s="21">
        <v>30</v>
      </c>
      <c r="F514" s="22"/>
      <c r="G514" s="22"/>
      <c r="H514" s="23"/>
      <c r="I514" s="24"/>
      <c r="J514" s="277" t="str">
        <f t="shared" si="16"/>
        <v>VIII-M</v>
      </c>
      <c r="K514" s="287"/>
      <c r="L514" s="242"/>
      <c r="M514" s="242"/>
    </row>
    <row r="515" spans="1:13" s="13" customFormat="1" ht="18" customHeight="1" x14ac:dyDescent="0.3">
      <c r="A515" s="242"/>
      <c r="B515" s="242"/>
      <c r="C515" s="242"/>
      <c r="D515" s="242"/>
      <c r="E515" s="21">
        <v>31</v>
      </c>
      <c r="F515" s="22"/>
      <c r="G515" s="22"/>
      <c r="H515" s="23"/>
      <c r="I515" s="24"/>
      <c r="J515" s="277" t="str">
        <f t="shared" si="16"/>
        <v>VIII-M</v>
      </c>
      <c r="K515" s="287"/>
      <c r="L515" s="242"/>
      <c r="M515" s="242"/>
    </row>
    <row r="516" spans="1:13" s="13" customFormat="1" ht="18" customHeight="1" x14ac:dyDescent="0.3">
      <c r="A516" s="242"/>
      <c r="B516" s="288"/>
      <c r="C516" s="289"/>
      <c r="D516" s="242"/>
      <c r="E516" s="21">
        <v>32</v>
      </c>
      <c r="F516" s="22"/>
      <c r="G516" s="22"/>
      <c r="H516" s="23"/>
      <c r="I516" s="24"/>
      <c r="J516" s="277" t="str">
        <f t="shared" si="16"/>
        <v>VIII-M</v>
      </c>
      <c r="K516" s="287"/>
      <c r="L516" s="242"/>
      <c r="M516" s="242"/>
    </row>
    <row r="517" spans="1:13" s="13" customFormat="1" ht="18" customHeight="1" x14ac:dyDescent="0.3">
      <c r="A517" s="242"/>
      <c r="B517" s="234"/>
      <c r="C517" s="234"/>
      <c r="D517" s="242"/>
      <c r="E517" s="21">
        <v>33</v>
      </c>
      <c r="F517" s="22"/>
      <c r="G517" s="22"/>
      <c r="H517" s="23"/>
      <c r="I517" s="24"/>
      <c r="J517" s="277" t="str">
        <f t="shared" si="16"/>
        <v>VIII-M</v>
      </c>
      <c r="K517" s="287"/>
      <c r="L517" s="242"/>
      <c r="M517" s="242"/>
    </row>
    <row r="518" spans="1:13" s="13" customFormat="1" ht="18" customHeight="1" x14ac:dyDescent="0.3">
      <c r="A518" s="242"/>
      <c r="B518" s="234"/>
      <c r="C518" s="234"/>
      <c r="D518" s="242"/>
      <c r="E518" s="21">
        <v>34</v>
      </c>
      <c r="F518" s="22"/>
      <c r="G518" s="22"/>
      <c r="H518" s="23"/>
      <c r="I518" s="24"/>
      <c r="J518" s="277" t="str">
        <f t="shared" si="16"/>
        <v>VIII-M</v>
      </c>
      <c r="K518" s="287"/>
      <c r="L518" s="242">
        <v>6</v>
      </c>
      <c r="M518" s="242"/>
    </row>
    <row r="519" spans="1:13" s="13" customFormat="1" ht="18" customHeight="1" x14ac:dyDescent="0.3">
      <c r="A519" s="242"/>
      <c r="B519" s="242"/>
      <c r="C519" s="242"/>
      <c r="D519" s="242"/>
      <c r="E519" s="21">
        <v>35</v>
      </c>
      <c r="F519" s="22"/>
      <c r="G519" s="22"/>
      <c r="H519" s="23"/>
      <c r="I519" s="24"/>
      <c r="J519" s="277" t="str">
        <f t="shared" si="16"/>
        <v>VIII-M</v>
      </c>
      <c r="K519" s="287"/>
      <c r="L519" s="242"/>
      <c r="M519" s="242"/>
    </row>
    <row r="520" spans="1:13" s="13" customFormat="1" ht="18" customHeight="1" x14ac:dyDescent="0.3">
      <c r="A520" s="242"/>
      <c r="B520" s="288"/>
      <c r="C520" s="289"/>
      <c r="D520" s="242"/>
      <c r="E520" s="21">
        <v>36</v>
      </c>
      <c r="F520" s="22"/>
      <c r="G520" s="22"/>
      <c r="H520" s="23"/>
      <c r="I520" s="24"/>
      <c r="J520" s="277" t="str">
        <f t="shared" si="16"/>
        <v>VIII-M</v>
      </c>
      <c r="K520" s="287"/>
      <c r="L520" s="242"/>
      <c r="M520" s="242"/>
    </row>
    <row r="521" spans="1:13" s="13" customFormat="1" ht="18" customHeight="1" x14ac:dyDescent="0.3">
      <c r="A521" s="242"/>
      <c r="B521" s="234"/>
      <c r="C521" s="234"/>
      <c r="D521" s="242"/>
      <c r="E521" s="21">
        <v>37</v>
      </c>
      <c r="F521" s="22"/>
      <c r="G521" s="22"/>
      <c r="H521" s="23"/>
      <c r="I521" s="24"/>
      <c r="J521" s="277" t="str">
        <f t="shared" si="16"/>
        <v>VIII-M</v>
      </c>
      <c r="K521" s="287"/>
      <c r="L521" s="242"/>
      <c r="M521" s="242"/>
    </row>
    <row r="522" spans="1:13" s="13" customFormat="1" ht="18" customHeight="1" x14ac:dyDescent="0.3">
      <c r="A522" s="242"/>
      <c r="B522" s="234"/>
      <c r="C522" s="234"/>
      <c r="D522" s="242"/>
      <c r="E522" s="21">
        <v>38</v>
      </c>
      <c r="F522" s="22"/>
      <c r="G522" s="22"/>
      <c r="H522" s="23"/>
      <c r="I522" s="24"/>
      <c r="J522" s="277" t="str">
        <f t="shared" si="16"/>
        <v>VIII-M</v>
      </c>
      <c r="K522" s="287"/>
      <c r="L522" s="242">
        <v>6</v>
      </c>
      <c r="M522" s="242"/>
    </row>
    <row r="523" spans="1:13" s="13" customFormat="1" ht="18" customHeight="1" x14ac:dyDescent="0.3">
      <c r="A523" s="242"/>
      <c r="B523" s="234"/>
      <c r="C523" s="234"/>
      <c r="D523" s="242"/>
      <c r="E523" s="21">
        <v>39</v>
      </c>
      <c r="F523" s="22"/>
      <c r="G523" s="22"/>
      <c r="H523" s="23"/>
      <c r="I523" s="24"/>
      <c r="J523" s="277" t="str">
        <f t="shared" si="16"/>
        <v>VIII-M</v>
      </c>
      <c r="K523" s="287"/>
      <c r="L523" s="242"/>
      <c r="M523" s="242"/>
    </row>
    <row r="524" spans="1:13" s="13" customFormat="1" ht="18" customHeight="1" x14ac:dyDescent="0.3">
      <c r="A524" s="242"/>
      <c r="B524" s="234"/>
      <c r="C524" s="234"/>
      <c r="D524" s="242"/>
      <c r="E524" s="21">
        <v>40</v>
      </c>
      <c r="F524" s="22"/>
      <c r="G524" s="22"/>
      <c r="H524" s="23"/>
      <c r="I524" s="24"/>
      <c r="J524" s="277" t="str">
        <f t="shared" si="16"/>
        <v>VIII-M</v>
      </c>
      <c r="K524" s="287"/>
      <c r="L524" s="242"/>
      <c r="M524" s="242"/>
    </row>
    <row r="525" spans="1:13" ht="12" customHeight="1" x14ac:dyDescent="0.3">
      <c r="A525" s="242"/>
      <c r="B525" s="234"/>
      <c r="C525" s="234"/>
      <c r="D525" s="234"/>
      <c r="E525" s="290">
        <v>1</v>
      </c>
      <c r="F525" s="290">
        <v>2</v>
      </c>
      <c r="G525" s="290">
        <v>3</v>
      </c>
      <c r="H525" s="290">
        <v>4</v>
      </c>
      <c r="I525" s="290">
        <v>5</v>
      </c>
      <c r="J525" s="290">
        <v>6</v>
      </c>
      <c r="K525" s="234"/>
      <c r="L525" s="234"/>
      <c r="M525" s="234"/>
    </row>
    <row r="526" spans="1:13" ht="12" customHeight="1" x14ac:dyDescent="0.3">
      <c r="A526" s="234"/>
      <c r="B526" s="234"/>
      <c r="C526" s="234"/>
      <c r="D526" s="234"/>
      <c r="E526" s="234"/>
      <c r="F526" s="235"/>
      <c r="G526" s="235"/>
      <c r="H526" s="234"/>
      <c r="I526" s="235"/>
      <c r="J526" s="235"/>
      <c r="K526" s="234"/>
      <c r="L526" s="234"/>
      <c r="M526" s="234"/>
    </row>
    <row r="527" spans="1:13" ht="12" hidden="1" customHeight="1" x14ac:dyDescent="0.3">
      <c r="A527" s="234"/>
    </row>
  </sheetData>
  <sheetProtection selectLockedCells="1"/>
  <mergeCells count="5">
    <mergeCell ref="B2:C2"/>
    <mergeCell ref="B4:C4"/>
    <mergeCell ref="E3:J3"/>
    <mergeCell ref="E2:J2"/>
    <mergeCell ref="B1:J1"/>
  </mergeCells>
  <conditionalFormatting sqref="E286:G286 F287:G313 F315:I324 E287:E324 J286:J324 H286:H313 F314:H314 I286:I314 E325:J364 E485:J524 E5:J285">
    <cfRule type="expression" dxfId="354" priority="9">
      <formula>MOD($E5,2)=0</formula>
    </cfRule>
  </conditionalFormatting>
  <conditionalFormatting sqref="E445:J484">
    <cfRule type="expression" dxfId="353" priority="3">
      <formula>MOD($E445,2)=0</formula>
    </cfRule>
  </conditionalFormatting>
  <conditionalFormatting sqref="E405:J444">
    <cfRule type="expression" dxfId="352" priority="2">
      <formula>MOD($E405,2)=0</formula>
    </cfRule>
  </conditionalFormatting>
  <conditionalFormatting sqref="E365:J404">
    <cfRule type="expression" dxfId="351" priority="1">
      <formula>MOD($E365,2)=0</formula>
    </cfRule>
  </conditionalFormatting>
  <dataValidations count="4">
    <dataValidation type="list" allowBlank="1" showInputMessage="1" showErrorMessage="1" errorTitle="Petunjuk" error="Salah pengetikan" prompt="pilih" sqref="C10" xr:uid="{00000000-0002-0000-0100-000000000000}">
      <formula1>"1,2,3,4,5,6"</formula1>
    </dataValidation>
    <dataValidation type="list" allowBlank="1" showInputMessage="1" showErrorMessage="1" prompt="pilih" sqref="C9" xr:uid="{00000000-0002-0000-0100-000001000000}">
      <formula1>$B$24:$B$26</formula1>
    </dataValidation>
    <dataValidation type="list" allowBlank="1" showInputMessage="1" promptTitle="Pilih" prompt="Jika Mapel tdk ada bs di ketik manual" sqref="C6" xr:uid="{00000000-0002-0000-0100-000002000000}">
      <formula1>$C$24:$C$35</formula1>
    </dataValidation>
    <dataValidation allowBlank="1" showInputMessage="1" showErrorMessage="1" prompt="Input KKM" sqref="C12" xr:uid="{00000000-0002-0000-0100-000003000000}"/>
  </dataValidations>
  <pageMargins left="0.7" right="0.7" top="0.75" bottom="0.75" header="0.3" footer="0.3"/>
  <pageSetup paperSize="9"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S23"/>
  <sheetViews>
    <sheetView showGridLines="0" topLeftCell="A5" zoomScale="115" zoomScaleNormal="115" workbookViewId="0">
      <selection activeCell="D15" sqref="D15:D17"/>
    </sheetView>
  </sheetViews>
  <sheetFormatPr defaultColWidth="0" defaultRowHeight="0" customHeight="1" zeroHeight="1" x14ac:dyDescent="0.3"/>
  <cols>
    <col min="1" max="1" width="5.6640625" style="5" customWidth="1"/>
    <col min="2" max="2" width="2" style="5" customWidth="1"/>
    <col min="3" max="3" width="5.6640625" style="5" customWidth="1"/>
    <col min="4" max="4" width="16.33203125" style="5" customWidth="1"/>
    <col min="5" max="5" width="2" style="5" customWidth="1"/>
    <col min="6" max="19" width="0" style="5" hidden="1" customWidth="1"/>
    <col min="20" max="16384" width="9.109375" style="5" hidden="1"/>
  </cols>
  <sheetData>
    <row r="1" spans="1:5" ht="33" customHeight="1" x14ac:dyDescent="0.3">
      <c r="A1" s="446" t="str">
        <f>Data!C5</f>
        <v>SMP Islam Sunan Bejagung</v>
      </c>
      <c r="B1" s="446"/>
      <c r="C1" s="446"/>
      <c r="D1" s="446"/>
      <c r="E1" s="446"/>
    </row>
    <row r="2" spans="1:5" ht="20.100000000000001" customHeight="1" x14ac:dyDescent="0.3">
      <c r="A2" s="446"/>
      <c r="B2" s="446"/>
      <c r="C2" s="446"/>
      <c r="D2" s="446"/>
      <c r="E2" s="446"/>
    </row>
    <row r="3" spans="1:5" ht="20.100000000000001" customHeight="1" x14ac:dyDescent="0.3">
      <c r="A3" s="451" t="s">
        <v>110</v>
      </c>
      <c r="B3" s="452"/>
      <c r="C3" s="452"/>
      <c r="D3" s="453"/>
      <c r="E3" s="128"/>
    </row>
    <row r="4" spans="1:5" ht="20.100000000000001" customHeight="1" thickBot="1" x14ac:dyDescent="0.35">
      <c r="A4" s="450" t="s">
        <v>27</v>
      </c>
      <c r="B4" s="450"/>
      <c r="C4" s="450"/>
      <c r="D4" s="161" t="s">
        <v>20</v>
      </c>
      <c r="E4" s="128"/>
    </row>
    <row r="5" spans="1:5" ht="15.9" customHeight="1" x14ac:dyDescent="0.3">
      <c r="A5" s="163">
        <f>C6+1</f>
        <v>93</v>
      </c>
      <c r="B5" s="131" t="s">
        <v>5</v>
      </c>
      <c r="C5" s="169">
        <v>100</v>
      </c>
      <c r="D5" s="170" t="s">
        <v>6</v>
      </c>
      <c r="E5" s="129"/>
    </row>
    <row r="6" spans="1:5" ht="17.100000000000001" customHeight="1" x14ac:dyDescent="0.3">
      <c r="A6" s="164">
        <f>C7+1</f>
        <v>86</v>
      </c>
      <c r="B6" s="132" t="s">
        <v>5</v>
      </c>
      <c r="C6" s="167">
        <f>ROUNDDOWN(C7+(C5-A7)/3,0)</f>
        <v>92</v>
      </c>
      <c r="D6" s="172" t="s">
        <v>7</v>
      </c>
      <c r="E6" s="129"/>
    </row>
    <row r="7" spans="1:5" ht="17.100000000000001" customHeight="1" x14ac:dyDescent="0.3">
      <c r="A7" s="164">
        <f>D15</f>
        <v>78</v>
      </c>
      <c r="B7" s="132" t="s">
        <v>5</v>
      </c>
      <c r="C7" s="167">
        <f>ROUNDDOWN(A7+(C5-A7)/3,0)</f>
        <v>85</v>
      </c>
      <c r="D7" s="172" t="s">
        <v>8</v>
      </c>
      <c r="E7" s="130"/>
    </row>
    <row r="8" spans="1:5" ht="17.100000000000001" customHeight="1" x14ac:dyDescent="0.3">
      <c r="A8" s="164">
        <v>0</v>
      </c>
      <c r="B8" s="132" t="s">
        <v>5</v>
      </c>
      <c r="C8" s="171">
        <f>A7-1</f>
        <v>77</v>
      </c>
      <c r="D8" s="172" t="s">
        <v>9</v>
      </c>
      <c r="E8" s="129"/>
    </row>
    <row r="9" spans="1:5" ht="17.100000000000001" customHeight="1" x14ac:dyDescent="0.3">
      <c r="A9" s="454" t="s">
        <v>104</v>
      </c>
      <c r="B9" s="455"/>
      <c r="C9" s="455"/>
      <c r="D9" s="456"/>
      <c r="E9" s="127"/>
    </row>
    <row r="10" spans="1:5" ht="17.100000000000001" customHeight="1" x14ac:dyDescent="0.3">
      <c r="A10" s="449" t="s">
        <v>27</v>
      </c>
      <c r="B10" s="449"/>
      <c r="C10" s="449"/>
      <c r="D10" s="162" t="s">
        <v>20</v>
      </c>
      <c r="E10" s="128"/>
    </row>
    <row r="11" spans="1:5" ht="17.100000000000001" customHeight="1" x14ac:dyDescent="0.3">
      <c r="A11" s="163">
        <f>C12+1</f>
        <v>93</v>
      </c>
      <c r="B11" s="131" t="s">
        <v>5</v>
      </c>
      <c r="C11" s="165">
        <f>C5</f>
        <v>100</v>
      </c>
      <c r="D11" s="173" t="s">
        <v>28</v>
      </c>
      <c r="E11" s="128"/>
    </row>
    <row r="12" spans="1:5" ht="17.100000000000001" customHeight="1" x14ac:dyDescent="0.3">
      <c r="A12" s="164">
        <f>C13+1</f>
        <v>86</v>
      </c>
      <c r="B12" s="132" t="s">
        <v>5</v>
      </c>
      <c r="C12" s="167">
        <f>ROUNDDOWN(C13+(C11-A13)/3,0)</f>
        <v>92</v>
      </c>
      <c r="D12" s="174" t="s">
        <v>29</v>
      </c>
      <c r="E12" s="129"/>
    </row>
    <row r="13" spans="1:5" ht="17.100000000000001" customHeight="1" x14ac:dyDescent="0.3">
      <c r="A13" s="164">
        <f>D15</f>
        <v>78</v>
      </c>
      <c r="B13" s="132" t="s">
        <v>5</v>
      </c>
      <c r="C13" s="167">
        <f>ROUNDDOWN(A13+(C11-A13)/3,0)</f>
        <v>85</v>
      </c>
      <c r="D13" s="174" t="s">
        <v>30</v>
      </c>
      <c r="E13" s="129"/>
    </row>
    <row r="14" spans="1:5" ht="17.100000000000001" customHeight="1" x14ac:dyDescent="0.3">
      <c r="A14" s="164">
        <v>0</v>
      </c>
      <c r="B14" s="132" t="s">
        <v>5</v>
      </c>
      <c r="C14" s="166">
        <f>A13-1</f>
        <v>77</v>
      </c>
      <c r="D14" s="174" t="s">
        <v>31</v>
      </c>
      <c r="E14" s="130"/>
    </row>
    <row r="15" spans="1:5" ht="17.100000000000001" customHeight="1" x14ac:dyDescent="0.3">
      <c r="A15" s="447" t="s">
        <v>113</v>
      </c>
      <c r="B15" s="447"/>
      <c r="C15" s="447"/>
      <c r="D15" s="448">
        <f>Data!C12</f>
        <v>78</v>
      </c>
      <c r="E15" s="129"/>
    </row>
    <row r="16" spans="1:5" ht="15.9" customHeight="1" x14ac:dyDescent="0.3">
      <c r="A16" s="447"/>
      <c r="B16" s="447"/>
      <c r="C16" s="447"/>
      <c r="D16" s="448"/>
      <c r="E16" s="126"/>
    </row>
    <row r="17" spans="1:5" ht="15.9" customHeight="1" x14ac:dyDescent="0.3">
      <c r="A17" s="447"/>
      <c r="B17" s="447"/>
      <c r="C17" s="447"/>
      <c r="D17" s="448"/>
      <c r="E17" s="126"/>
    </row>
    <row r="18" spans="1:5" ht="16.5" hidden="1" customHeight="1" x14ac:dyDescent="0.3"/>
    <row r="19" spans="1:5" ht="16.5" hidden="1" customHeight="1" thickBot="1" x14ac:dyDescent="0.35">
      <c r="C19" s="85" t="e">
        <f>#REF!</f>
        <v>#REF!</v>
      </c>
      <c r="D19" s="86" t="e">
        <f>#REF!</f>
        <v>#REF!</v>
      </c>
    </row>
    <row r="20" spans="1:5" ht="16.5" hidden="1" customHeight="1" x14ac:dyDescent="0.3">
      <c r="C20" s="82" t="e">
        <f>#REF!</f>
        <v>#REF!</v>
      </c>
      <c r="D20" s="83" t="e">
        <f>#REF!</f>
        <v>#REF!</v>
      </c>
    </row>
    <row r="21" spans="1:5" ht="16.5" hidden="1" customHeight="1" x14ac:dyDescent="0.3">
      <c r="C21" s="82" t="e">
        <f>#REF!</f>
        <v>#REF!</v>
      </c>
      <c r="D21" s="83" t="e">
        <f>#REF!</f>
        <v>#REF!</v>
      </c>
    </row>
    <row r="22" spans="1:5" ht="16.5" hidden="1" customHeight="1" x14ac:dyDescent="0.3">
      <c r="C22" s="84" t="e">
        <f>#REF!</f>
        <v>#REF!</v>
      </c>
      <c r="D22" s="87" t="e">
        <f>#REF!</f>
        <v>#REF!</v>
      </c>
    </row>
    <row r="23" spans="1:5" ht="16.5" hidden="1" customHeight="1" thickBot="1" x14ac:dyDescent="0.35"/>
  </sheetData>
  <sheetProtection algorithmName="SHA-512" hashValue="wCN7CnPRrrlIEPVQblsAMdOMh3qcWAFKhKnyFjOWGpYckP+ioQbewmWwnF42WmeTk/bKuIxcNPJoggB44stv/w==" saltValue="e+yvmFaCk+dWIsKYiXUKEg==" spinCount="100000" sheet="1" objects="1" scenarios="1" selectLockedCells="1"/>
  <mergeCells count="7">
    <mergeCell ref="A1:E2"/>
    <mergeCell ref="A15:C17"/>
    <mergeCell ref="D15:D17"/>
    <mergeCell ref="A10:C10"/>
    <mergeCell ref="A4:C4"/>
    <mergeCell ref="A3:D3"/>
    <mergeCell ref="A9:D9"/>
  </mergeCells>
  <dataValidations count="1">
    <dataValidation allowBlank="1" showInputMessage="1" showErrorMessage="1" prompt="KKM" sqref="C12:C13 C6:C7" xr:uid="{00000000-0002-0000-0200-000000000000}"/>
  </dataValidations>
  <pageMargins left="0.28000000000000003" right="0.22" top="0.56999999999999995" bottom="0.74803149606299213" header="0.31496062992125984" footer="0.31496062992125984"/>
  <pageSetup paperSize="9" orientation="landscape" blackAndWhite="1"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tabColor rgb="FFFFC000"/>
  </sheetPr>
  <dimension ref="A1:CR374"/>
  <sheetViews>
    <sheetView showGridLines="0" topLeftCell="B1" workbookViewId="0">
      <pane xSplit="13" ySplit="9" topLeftCell="O365" activePane="bottomRight" state="frozen"/>
      <selection activeCell="I387" sqref="I387"/>
      <selection pane="topRight" activeCell="I387" sqref="I387"/>
      <selection pane="bottomLeft" activeCell="I387" sqref="I387"/>
      <selection pane="bottomRight" activeCell="E368" sqref="E368"/>
    </sheetView>
  </sheetViews>
  <sheetFormatPr defaultColWidth="0" defaultRowHeight="11.4" zeroHeight="1" x14ac:dyDescent="0.3"/>
  <cols>
    <col min="1" max="1" width="2.88671875" style="2" hidden="1" customWidth="1"/>
    <col min="2" max="2" width="5.109375" style="2" customWidth="1"/>
    <col min="3" max="3" width="3.88671875" style="2" customWidth="1"/>
    <col min="4" max="4" width="8.5546875" style="1" customWidth="1"/>
    <col min="5" max="5" width="23.109375" style="2" customWidth="1"/>
    <col min="6" max="6" width="3.109375" style="2" customWidth="1"/>
    <col min="7" max="7" width="10.6640625" style="1" customWidth="1"/>
    <col min="8" max="8" width="15.6640625" style="1" customWidth="1"/>
    <col min="9" max="14" width="5.109375" style="2" hidden="1" customWidth="1"/>
    <col min="15" max="15" width="40.6640625" style="2" customWidth="1"/>
    <col min="16" max="21" width="5.109375" style="2" hidden="1" customWidth="1"/>
    <col min="22" max="22" width="40.6640625" style="2" customWidth="1"/>
    <col min="23" max="23" width="5.6640625" style="2" customWidth="1"/>
    <col min="24" max="24" width="9.109375" style="2" customWidth="1"/>
    <col min="25" max="25" width="8.5546875" style="2" customWidth="1"/>
    <col min="26" max="27" width="6.6640625" style="2" hidden="1" customWidth="1"/>
    <col min="28" max="29" width="7.6640625" style="2" hidden="1" customWidth="1"/>
    <col min="30" max="30" width="9.109375" style="2" hidden="1" customWidth="1"/>
    <col min="31" max="96" width="5.6640625" style="2" hidden="1" customWidth="1"/>
    <col min="97" max="16384" width="9.109375" style="2" hidden="1"/>
  </cols>
  <sheetData>
    <row r="1" spans="2:29" ht="9" customHeight="1" x14ac:dyDescent="0.3">
      <c r="B1" s="217"/>
      <c r="C1" s="259"/>
      <c r="D1" s="259"/>
      <c r="E1" s="259"/>
      <c r="F1" s="259"/>
      <c r="G1" s="259"/>
      <c r="H1" s="259"/>
      <c r="I1" s="259"/>
      <c r="J1" s="259"/>
      <c r="K1" s="259"/>
      <c r="L1" s="259"/>
      <c r="M1" s="259"/>
      <c r="N1" s="259"/>
      <c r="O1" s="259"/>
      <c r="P1" s="259"/>
      <c r="Q1" s="259"/>
      <c r="R1" s="259"/>
      <c r="S1" s="259"/>
      <c r="T1" s="259"/>
      <c r="U1" s="259"/>
      <c r="V1" s="259"/>
      <c r="W1" s="217"/>
      <c r="X1" s="217"/>
      <c r="Y1" s="217"/>
    </row>
    <row r="2" spans="2:29" x14ac:dyDescent="0.3">
      <c r="B2" s="217"/>
      <c r="C2" s="217"/>
      <c r="D2" s="228"/>
      <c r="E2" s="217"/>
      <c r="F2" s="217"/>
      <c r="G2" s="228"/>
      <c r="H2" s="228"/>
      <c r="I2" s="217"/>
      <c r="J2" s="217"/>
      <c r="K2" s="217"/>
      <c r="L2" s="217"/>
      <c r="M2" s="217"/>
      <c r="N2" s="217"/>
      <c r="O2" s="217"/>
      <c r="P2" s="217"/>
      <c r="Q2" s="217"/>
      <c r="R2" s="217"/>
      <c r="S2" s="217"/>
      <c r="T2" s="217"/>
      <c r="U2" s="217"/>
      <c r="V2" s="217"/>
      <c r="W2" s="217"/>
      <c r="X2" s="217"/>
      <c r="Y2" s="217"/>
    </row>
    <row r="3" spans="2:29" s="59" customFormat="1" ht="16.8" x14ac:dyDescent="0.3">
      <c r="B3" s="227"/>
      <c r="C3" s="227"/>
      <c r="D3" s="229"/>
      <c r="E3" s="227"/>
      <c r="F3" s="227"/>
      <c r="G3" s="229"/>
      <c r="H3" s="229"/>
      <c r="I3" s="227"/>
      <c r="J3" s="227"/>
      <c r="K3" s="227"/>
      <c r="L3" s="227"/>
      <c r="M3" s="227"/>
      <c r="N3" s="227"/>
      <c r="O3" s="227"/>
      <c r="P3" s="227"/>
      <c r="Q3" s="227"/>
      <c r="R3" s="227"/>
      <c r="S3" s="227"/>
      <c r="T3" s="227"/>
      <c r="U3" s="227"/>
      <c r="V3" s="227"/>
      <c r="W3" s="227"/>
      <c r="X3" s="227"/>
      <c r="Y3" s="227"/>
    </row>
    <row r="4" spans="2:29" x14ac:dyDescent="0.3">
      <c r="B4" s="217"/>
      <c r="C4" s="217"/>
      <c r="D4" s="228"/>
      <c r="E4" s="217"/>
      <c r="F4" s="217"/>
      <c r="G4" s="228"/>
      <c r="H4" s="228"/>
      <c r="I4" s="217"/>
      <c r="J4" s="217"/>
      <c r="K4" s="217"/>
      <c r="L4" s="217"/>
      <c r="M4" s="217"/>
      <c r="N4" s="217"/>
      <c r="O4" s="217"/>
      <c r="P4" s="217"/>
      <c r="Q4" s="217"/>
      <c r="R4" s="217"/>
      <c r="S4" s="217"/>
      <c r="T4" s="217"/>
      <c r="U4" s="217"/>
      <c r="V4" s="217"/>
      <c r="W4" s="217"/>
      <c r="X4" s="217"/>
      <c r="Y4" s="217"/>
    </row>
    <row r="5" spans="2:29" ht="18" customHeight="1" x14ac:dyDescent="0.3">
      <c r="B5" s="217"/>
      <c r="C5" s="466" t="str">
        <f>"Kelas : "&amp;Data!C9</f>
        <v>Kelas : 8</v>
      </c>
      <c r="D5" s="467"/>
      <c r="E5" s="466" t="str">
        <f>"Smt. "&amp;Data!C10&amp;" / Th.Plj : "&amp;Data!C11</f>
        <v>Smt. 3 / Th.Plj : 2026/2027</v>
      </c>
      <c r="F5" s="467"/>
      <c r="G5" s="260"/>
      <c r="H5" s="261"/>
      <c r="I5" s="9"/>
      <c r="J5" s="9"/>
      <c r="K5" s="9"/>
      <c r="L5" s="9"/>
      <c r="M5" s="9"/>
      <c r="N5" s="119"/>
      <c r="O5" s="472" t="s">
        <v>91</v>
      </c>
      <c r="P5" s="122"/>
      <c r="Q5" s="123"/>
      <c r="R5" s="123"/>
      <c r="S5" s="123"/>
      <c r="T5" s="123"/>
      <c r="U5" s="125"/>
      <c r="V5" s="457" t="s">
        <v>92</v>
      </c>
      <c r="W5" s="217"/>
      <c r="X5" s="217"/>
      <c r="Y5" s="217"/>
    </row>
    <row r="6" spans="2:29" s="3" customFormat="1" ht="13.5" customHeight="1" x14ac:dyDescent="0.3">
      <c r="B6" s="233"/>
      <c r="C6" s="262"/>
      <c r="D6" s="262"/>
      <c r="E6" s="262"/>
      <c r="F6" s="262"/>
      <c r="G6" s="263"/>
      <c r="H6" s="263"/>
      <c r="I6" s="60"/>
      <c r="J6" s="60"/>
      <c r="K6" s="60"/>
      <c r="L6" s="60"/>
      <c r="M6" s="60"/>
      <c r="N6" s="60"/>
      <c r="O6" s="473"/>
      <c r="P6" s="124"/>
      <c r="Q6" s="124"/>
      <c r="R6" s="124"/>
      <c r="S6" s="124"/>
      <c r="T6" s="124"/>
      <c r="U6" s="124"/>
      <c r="V6" s="458"/>
      <c r="W6" s="233"/>
      <c r="X6" s="233"/>
      <c r="Y6" s="233"/>
    </row>
    <row r="7" spans="2:29" ht="12" customHeight="1" x14ac:dyDescent="0.3">
      <c r="B7" s="465" t="s">
        <v>128</v>
      </c>
      <c r="C7" s="475" t="s">
        <v>0</v>
      </c>
      <c r="D7" s="477" t="s">
        <v>1</v>
      </c>
      <c r="E7" s="477" t="s">
        <v>2</v>
      </c>
      <c r="F7" s="479" t="s">
        <v>18</v>
      </c>
      <c r="G7" s="468" t="s">
        <v>38</v>
      </c>
      <c r="H7" s="470" t="s">
        <v>90</v>
      </c>
      <c r="I7" s="42"/>
      <c r="J7" s="42"/>
      <c r="K7" s="42"/>
      <c r="L7" s="42"/>
      <c r="M7" s="42"/>
      <c r="N7" s="42"/>
      <c r="O7" s="473"/>
      <c r="P7" s="120"/>
      <c r="Q7" s="120"/>
      <c r="R7" s="120"/>
      <c r="S7" s="120"/>
      <c r="T7" s="120"/>
      <c r="U7" s="120"/>
      <c r="V7" s="458"/>
      <c r="W7" s="217"/>
      <c r="X7" s="217"/>
      <c r="Y7" s="217"/>
      <c r="Z7" s="460"/>
      <c r="AA7" s="460"/>
      <c r="AB7" s="135"/>
      <c r="AC7" s="1"/>
    </row>
    <row r="8" spans="2:29" ht="12" customHeight="1" thickBot="1" x14ac:dyDescent="0.35">
      <c r="B8" s="465"/>
      <c r="C8" s="476"/>
      <c r="D8" s="478"/>
      <c r="E8" s="478"/>
      <c r="F8" s="480"/>
      <c r="G8" s="469"/>
      <c r="H8" s="471"/>
      <c r="I8" s="69" t="s">
        <v>4</v>
      </c>
      <c r="J8" s="69" t="s">
        <v>3</v>
      </c>
      <c r="K8" s="462" t="s">
        <v>10</v>
      </c>
      <c r="L8" s="462"/>
      <c r="M8" s="463" t="s">
        <v>11</v>
      </c>
      <c r="N8" s="463"/>
      <c r="O8" s="474"/>
      <c r="P8" s="121" t="s">
        <v>4</v>
      </c>
      <c r="Q8" s="121" t="s">
        <v>3</v>
      </c>
      <c r="R8" s="464" t="s">
        <v>10</v>
      </c>
      <c r="S8" s="464"/>
      <c r="T8" s="464" t="s">
        <v>11</v>
      </c>
      <c r="U8" s="464"/>
      <c r="V8" s="459"/>
      <c r="W8" s="217"/>
      <c r="X8" s="217"/>
      <c r="Y8" s="217"/>
      <c r="Z8" s="461"/>
      <c r="AA8" s="461"/>
      <c r="AB8" s="136"/>
      <c r="AC8" s="1"/>
    </row>
    <row r="9" spans="2:29" ht="15" customHeight="1" x14ac:dyDescent="0.3">
      <c r="B9" s="217"/>
      <c r="C9" s="201"/>
      <c r="D9" s="254"/>
      <c r="E9" s="254"/>
      <c r="F9" s="203"/>
      <c r="G9" s="255"/>
      <c r="H9" s="256"/>
      <c r="I9" s="212"/>
      <c r="J9" s="212"/>
      <c r="K9" s="212"/>
      <c r="L9" s="212"/>
      <c r="M9" s="213"/>
      <c r="N9" s="213"/>
      <c r="O9" s="257"/>
      <c r="P9" s="258"/>
      <c r="Q9" s="258"/>
      <c r="R9" s="258"/>
      <c r="S9" s="258"/>
      <c r="T9" s="258"/>
      <c r="U9" s="258"/>
      <c r="V9" s="257"/>
      <c r="W9" s="217"/>
      <c r="X9" s="217"/>
      <c r="Y9" s="217"/>
      <c r="Z9" s="1"/>
      <c r="AA9" s="1"/>
      <c r="AB9" s="136"/>
      <c r="AC9" s="1"/>
    </row>
    <row r="10" spans="2:29" ht="24.9" customHeight="1" x14ac:dyDescent="0.3">
      <c r="B10" s="226" t="s">
        <v>28</v>
      </c>
      <c r="C10" s="50">
        <v>1</v>
      </c>
      <c r="D10" s="51" t="str">
        <f>IF(Data!F5="","",Data!F5)</f>
        <v>03503</v>
      </c>
      <c r="E10" s="91" t="str">
        <f>IF(Data!H5="","",Data!H5)</f>
        <v>Achmad Bachtiar Nasir</v>
      </c>
      <c r="F10" s="52" t="str">
        <f>IF(Data!I5="","",Data!I5)</f>
        <v>Laki-laki</v>
      </c>
      <c r="G10" s="108"/>
      <c r="H10" s="109"/>
      <c r="I10" s="117">
        <f>MAX(G10:H10)</f>
        <v>0</v>
      </c>
      <c r="J10" s="117">
        <f>MIN(G10:H10)</f>
        <v>0</v>
      </c>
      <c r="K10" s="117" t="e">
        <f>IF(I10&gt;#REF!,#REF!,IF(I10&gt;#REF!,#REF!,IF(I10&gt;#REF!,#REF!,#REF!)))</f>
        <v>#REF!</v>
      </c>
      <c r="L10" s="117" t="e">
        <f>IF(J10&gt;#REF!,#REF!,IF(J10&gt;#REF!,#REF!,IF(J10&gt;#REF!,#REF!,#REF!)))</f>
        <v>#REF!</v>
      </c>
      <c r="M10" s="117" t="e">
        <f>MATCH(I10,G10:H10,0)</f>
        <v>#N/A</v>
      </c>
      <c r="N10" s="118" t="e">
        <f>MATCH(J10,G10:H10,0)</f>
        <v>#N/A</v>
      </c>
      <c r="O10" s="112"/>
      <c r="P10" s="113"/>
      <c r="Q10" s="113"/>
      <c r="R10" s="114"/>
      <c r="S10" s="114"/>
      <c r="T10" s="115"/>
      <c r="U10" s="116"/>
      <c r="V10" s="112"/>
      <c r="W10" s="217"/>
      <c r="X10" s="217"/>
      <c r="Y10" s="217"/>
      <c r="Z10" s="1"/>
      <c r="AA10" s="1"/>
      <c r="AB10" s="12"/>
      <c r="AC10" s="12"/>
    </row>
    <row r="11" spans="2:29" ht="24.9" customHeight="1" x14ac:dyDescent="0.3">
      <c r="B11" s="226" t="s">
        <v>28</v>
      </c>
      <c r="C11" s="26">
        <f>IF(E11="","",C10+1)</f>
        <v>2</v>
      </c>
      <c r="D11" s="53" t="str">
        <f>IF(Data!F6="","",Data!F6)</f>
        <v>03505</v>
      </c>
      <c r="E11" s="92" t="str">
        <f>IF(Data!H6="","",Data!H6)</f>
        <v>Achmad Kadaffa Aprilio</v>
      </c>
      <c r="F11" s="54" t="str">
        <f>IF(Data!I6="","",Data!I6)</f>
        <v>Laki-laki</v>
      </c>
      <c r="G11" s="110"/>
      <c r="H11" s="111"/>
      <c r="I11" s="117">
        <f>MAX(G11:H11)</f>
        <v>0</v>
      </c>
      <c r="J11" s="117">
        <f>MIN(G11:H11)</f>
        <v>0</v>
      </c>
      <c r="K11" s="117" t="e">
        <f>IF(I11&gt;#REF!,#REF!,IF(I11&gt;#REF!,#REF!,IF(I11&gt;#REF!,#REF!,#REF!)))</f>
        <v>#REF!</v>
      </c>
      <c r="L11" s="117" t="e">
        <f>IF(J11&gt;#REF!,#REF!,IF(J11&gt;#REF!,#REF!,IF(J11&gt;#REF!,#REF!,#REF!)))</f>
        <v>#REF!</v>
      </c>
      <c r="M11" s="117" t="e">
        <f>MATCH(I11,G11:H11,0)</f>
        <v>#N/A</v>
      </c>
      <c r="N11" s="118" t="e">
        <f>MATCH(J11,G11:H11,0)</f>
        <v>#N/A</v>
      </c>
      <c r="O11" s="112"/>
      <c r="P11" s="115"/>
      <c r="Q11" s="115"/>
      <c r="R11" s="114"/>
      <c r="S11" s="114"/>
      <c r="T11" s="115"/>
      <c r="U11" s="116"/>
      <c r="V11" s="112"/>
      <c r="W11" s="217"/>
      <c r="X11" s="217"/>
      <c r="Y11" s="217"/>
      <c r="Z11" s="1"/>
      <c r="AA11" s="1"/>
      <c r="AB11" s="12"/>
      <c r="AC11" s="12"/>
    </row>
    <row r="12" spans="2:29" ht="24.9" customHeight="1" x14ac:dyDescent="0.3">
      <c r="B12" s="226" t="s">
        <v>28</v>
      </c>
      <c r="C12" s="26">
        <f t="shared" ref="C12" si="0">IF(E12="","",C11+1)</f>
        <v>3</v>
      </c>
      <c r="D12" s="53" t="str">
        <f>IF(Data!F7="","",Data!F7)</f>
        <v>03511</v>
      </c>
      <c r="E12" s="92" t="str">
        <f>IF(Data!H7="","",Data!H7)</f>
        <v>Ahmad Afkhar Syauqi Asy Syamil</v>
      </c>
      <c r="F12" s="54" t="str">
        <f>IF(Data!I7="","",Data!I7)</f>
        <v>Laki-laki</v>
      </c>
      <c r="G12" s="110"/>
      <c r="H12" s="111"/>
      <c r="I12" s="117"/>
      <c r="J12" s="117"/>
      <c r="K12" s="117"/>
      <c r="L12" s="117"/>
      <c r="M12" s="117"/>
      <c r="N12" s="118"/>
      <c r="O12" s="112"/>
      <c r="P12" s="115"/>
      <c r="Q12" s="115"/>
      <c r="R12" s="114"/>
      <c r="S12" s="114"/>
      <c r="T12" s="115"/>
      <c r="U12" s="116"/>
      <c r="V12" s="112"/>
      <c r="W12" s="217"/>
      <c r="X12" s="217"/>
      <c r="Y12" s="217"/>
      <c r="Z12" s="1"/>
      <c r="AA12" s="1"/>
      <c r="AB12" s="12"/>
      <c r="AC12" s="12"/>
    </row>
    <row r="13" spans="2:29" ht="24.9" customHeight="1" x14ac:dyDescent="0.3">
      <c r="B13" s="226" t="s">
        <v>28</v>
      </c>
      <c r="C13" s="26">
        <f t="shared" ref="C13:C76" si="1">IF(E13="","",C12+1)</f>
        <v>4</v>
      </c>
      <c r="D13" s="53" t="str">
        <f>IF(Data!F8="","",Data!F8)</f>
        <v>03516</v>
      </c>
      <c r="E13" s="92" t="str">
        <f>IF(Data!H8="","",Data!H8)</f>
        <v>Ahmad Fathan El Raihan Wafi</v>
      </c>
      <c r="F13" s="54" t="str">
        <f>IF(Data!I8="","",Data!I8)</f>
        <v>Laki-laki</v>
      </c>
      <c r="G13" s="110"/>
      <c r="H13" s="111"/>
      <c r="I13" s="117"/>
      <c r="J13" s="117"/>
      <c r="K13" s="117"/>
      <c r="L13" s="117"/>
      <c r="M13" s="117"/>
      <c r="N13" s="118"/>
      <c r="O13" s="112"/>
      <c r="P13" s="115"/>
      <c r="Q13" s="115"/>
      <c r="R13" s="114"/>
      <c r="S13" s="114"/>
      <c r="T13" s="115"/>
      <c r="U13" s="116"/>
      <c r="V13" s="112"/>
      <c r="W13" s="217"/>
      <c r="X13" s="217"/>
      <c r="Y13" s="217"/>
      <c r="Z13" s="1"/>
      <c r="AA13" s="1"/>
      <c r="AB13" s="12"/>
      <c r="AC13" s="12"/>
    </row>
    <row r="14" spans="2:29" ht="24.9" customHeight="1" x14ac:dyDescent="0.3">
      <c r="B14" s="226" t="s">
        <v>28</v>
      </c>
      <c r="C14" s="26">
        <f t="shared" si="1"/>
        <v>5</v>
      </c>
      <c r="D14" s="53" t="str">
        <f>IF(Data!F9="","",Data!F9)</f>
        <v>03517</v>
      </c>
      <c r="E14" s="92" t="str">
        <f>IF(Data!H9="","",Data!H9)</f>
        <v>Ahmad Firdaus Nurrohman Bayhaqiy</v>
      </c>
      <c r="F14" s="54" t="str">
        <f>IF(Data!I9="","",Data!I9)</f>
        <v>Laki-laki</v>
      </c>
      <c r="G14" s="110"/>
      <c r="H14" s="111"/>
      <c r="I14" s="117"/>
      <c r="J14" s="117"/>
      <c r="K14" s="117"/>
      <c r="L14" s="117"/>
      <c r="M14" s="117"/>
      <c r="N14" s="118"/>
      <c r="O14" s="112"/>
      <c r="P14" s="115"/>
      <c r="Q14" s="115"/>
      <c r="R14" s="114"/>
      <c r="S14" s="114"/>
      <c r="T14" s="115"/>
      <c r="U14" s="116"/>
      <c r="V14" s="112"/>
      <c r="W14" s="217"/>
      <c r="X14" s="217"/>
      <c r="Y14" s="217"/>
      <c r="Z14" s="1"/>
      <c r="AA14" s="1"/>
      <c r="AB14" s="12"/>
      <c r="AC14" s="12"/>
    </row>
    <row r="15" spans="2:29" ht="24.9" customHeight="1" x14ac:dyDescent="0.3">
      <c r="B15" s="226" t="s">
        <v>28</v>
      </c>
      <c r="C15" s="26">
        <f t="shared" si="1"/>
        <v>6</v>
      </c>
      <c r="D15" s="53" t="str">
        <f>IF(Data!F10="","",Data!F10)</f>
        <v>03518</v>
      </c>
      <c r="E15" s="92" t="str">
        <f>IF(Data!H10="","",Data!H10)</f>
        <v>Ahmad Haqqikul Fahmi</v>
      </c>
      <c r="F15" s="54" t="str">
        <f>IF(Data!I10="","",Data!I10)</f>
        <v>Laki-laki</v>
      </c>
      <c r="G15" s="110"/>
      <c r="H15" s="111"/>
      <c r="I15" s="117"/>
      <c r="J15" s="117"/>
      <c r="K15" s="117"/>
      <c r="L15" s="117"/>
      <c r="M15" s="117"/>
      <c r="N15" s="118"/>
      <c r="O15" s="112"/>
      <c r="P15" s="115"/>
      <c r="Q15" s="115"/>
      <c r="R15" s="114"/>
      <c r="S15" s="114"/>
      <c r="T15" s="115"/>
      <c r="U15" s="116"/>
      <c r="V15" s="112"/>
      <c r="W15" s="217"/>
      <c r="X15" s="217"/>
      <c r="Y15" s="217"/>
      <c r="Z15" s="1"/>
      <c r="AA15" s="1"/>
      <c r="AB15" s="12"/>
      <c r="AC15" s="12"/>
    </row>
    <row r="16" spans="2:29" ht="24.9" customHeight="1" x14ac:dyDescent="0.3">
      <c r="B16" s="226" t="s">
        <v>28</v>
      </c>
      <c r="C16" s="26">
        <f t="shared" si="1"/>
        <v>7</v>
      </c>
      <c r="D16" s="53" t="str">
        <f>IF(Data!F11="","",Data!F11)</f>
        <v>03519</v>
      </c>
      <c r="E16" s="92" t="str">
        <f>IF(Data!H11="","",Data!H11)</f>
        <v>Ahmad Ihsanul Fauzan</v>
      </c>
      <c r="F16" s="54" t="str">
        <f>IF(Data!I11="","",Data!I11)</f>
        <v>Laki-laki</v>
      </c>
      <c r="G16" s="110"/>
      <c r="H16" s="111"/>
      <c r="I16" s="117"/>
      <c r="J16" s="117"/>
      <c r="K16" s="117"/>
      <c r="L16" s="117"/>
      <c r="M16" s="117"/>
      <c r="N16" s="118"/>
      <c r="O16" s="112"/>
      <c r="P16" s="115"/>
      <c r="Q16" s="115"/>
      <c r="R16" s="114"/>
      <c r="S16" s="114"/>
      <c r="T16" s="115"/>
      <c r="U16" s="116"/>
      <c r="V16" s="112"/>
      <c r="W16" s="217"/>
      <c r="X16" s="217"/>
      <c r="Y16" s="217"/>
      <c r="Z16" s="1"/>
      <c r="AA16" s="1"/>
      <c r="AB16" s="12"/>
      <c r="AC16" s="12"/>
    </row>
    <row r="17" spans="2:29" ht="24.9" customHeight="1" x14ac:dyDescent="0.3">
      <c r="B17" s="226" t="s">
        <v>28</v>
      </c>
      <c r="C17" s="26">
        <f t="shared" si="1"/>
        <v>8</v>
      </c>
      <c r="D17" s="53" t="str">
        <f>IF(Data!F12="","",Data!F12)</f>
        <v>03525</v>
      </c>
      <c r="E17" s="92" t="str">
        <f>IF(Data!H12="","",Data!H12)</f>
        <v>Ahmad Rizky Rusdyanto</v>
      </c>
      <c r="F17" s="54" t="str">
        <f>IF(Data!I12="","",Data!I12)</f>
        <v>Laki-laki</v>
      </c>
      <c r="G17" s="110"/>
      <c r="H17" s="111"/>
      <c r="I17" s="117"/>
      <c r="J17" s="117"/>
      <c r="K17" s="117"/>
      <c r="L17" s="117"/>
      <c r="M17" s="117"/>
      <c r="N17" s="118"/>
      <c r="O17" s="112"/>
      <c r="P17" s="115"/>
      <c r="Q17" s="115"/>
      <c r="R17" s="114"/>
      <c r="S17" s="114"/>
      <c r="T17" s="115"/>
      <c r="U17" s="116"/>
      <c r="V17" s="112"/>
      <c r="W17" s="217"/>
      <c r="X17" s="217"/>
      <c r="Y17" s="217"/>
      <c r="Z17" s="1"/>
      <c r="AA17" s="1"/>
      <c r="AB17" s="12"/>
      <c r="AC17" s="12"/>
    </row>
    <row r="18" spans="2:29" ht="24.9" customHeight="1" x14ac:dyDescent="0.3">
      <c r="B18" s="226" t="s">
        <v>28</v>
      </c>
      <c r="C18" s="26">
        <f t="shared" si="1"/>
        <v>9</v>
      </c>
      <c r="D18" s="53" t="str">
        <f>IF(Data!F13="","",Data!F13)</f>
        <v>03533</v>
      </c>
      <c r="E18" s="92" t="str">
        <f>IF(Data!H13="","",Data!H13)</f>
        <v>Arya Daniswara</v>
      </c>
      <c r="F18" s="54" t="str">
        <f>IF(Data!I13="","",Data!I13)</f>
        <v>Laki-laki</v>
      </c>
      <c r="G18" s="110"/>
      <c r="H18" s="111"/>
      <c r="I18" s="117"/>
      <c r="J18" s="117"/>
      <c r="K18" s="117"/>
      <c r="L18" s="117"/>
      <c r="M18" s="117"/>
      <c r="N18" s="118"/>
      <c r="O18" s="112"/>
      <c r="P18" s="115"/>
      <c r="Q18" s="115"/>
      <c r="R18" s="114"/>
      <c r="S18" s="114"/>
      <c r="T18" s="115"/>
      <c r="U18" s="116"/>
      <c r="V18" s="112"/>
      <c r="W18" s="217"/>
      <c r="X18" s="217"/>
      <c r="Y18" s="217"/>
      <c r="Z18" s="1"/>
      <c r="AA18" s="1"/>
      <c r="AB18" s="12"/>
      <c r="AC18" s="12"/>
    </row>
    <row r="19" spans="2:29" ht="24.9" customHeight="1" x14ac:dyDescent="0.3">
      <c r="B19" s="226" t="s">
        <v>28</v>
      </c>
      <c r="C19" s="26">
        <f t="shared" si="1"/>
        <v>10</v>
      </c>
      <c r="D19" s="53" t="str">
        <f>IF(Data!F14="","",Data!F14)</f>
        <v>03536</v>
      </c>
      <c r="E19" s="92" t="str">
        <f>IF(Data!H14="","",Data!H14)</f>
        <v>Azzam Reyhan Arifin</v>
      </c>
      <c r="F19" s="54" t="str">
        <f>IF(Data!I14="","",Data!I14)</f>
        <v>Laki-laki</v>
      </c>
      <c r="G19" s="110"/>
      <c r="H19" s="111"/>
      <c r="I19" s="117"/>
      <c r="J19" s="117"/>
      <c r="K19" s="117"/>
      <c r="L19" s="117"/>
      <c r="M19" s="117"/>
      <c r="N19" s="118"/>
      <c r="O19" s="112"/>
      <c r="P19" s="115"/>
      <c r="Q19" s="115"/>
      <c r="R19" s="114"/>
      <c r="S19" s="114"/>
      <c r="T19" s="115"/>
      <c r="U19" s="116"/>
      <c r="V19" s="112"/>
      <c r="W19" s="217"/>
      <c r="X19" s="217"/>
      <c r="Y19" s="217"/>
      <c r="Z19" s="1"/>
      <c r="AA19" s="1"/>
      <c r="AB19" s="12"/>
      <c r="AC19" s="12"/>
    </row>
    <row r="20" spans="2:29" ht="24.9" customHeight="1" x14ac:dyDescent="0.3">
      <c r="B20" s="226" t="s">
        <v>28</v>
      </c>
      <c r="C20" s="26">
        <f t="shared" si="1"/>
        <v>11</v>
      </c>
      <c r="D20" s="53" t="str">
        <f>IF(Data!F15="","",Data!F15)</f>
        <v>03541</v>
      </c>
      <c r="E20" s="92" t="str">
        <f>IF(Data!H15="","",Data!H15)</f>
        <v>Elvico Fahri Dwi Ramadhan</v>
      </c>
      <c r="F20" s="54" t="str">
        <f>IF(Data!I15="","",Data!I15)</f>
        <v>Laki-laki</v>
      </c>
      <c r="G20" s="110"/>
      <c r="H20" s="111"/>
      <c r="I20" s="117"/>
      <c r="J20" s="117"/>
      <c r="K20" s="117"/>
      <c r="L20" s="117"/>
      <c r="M20" s="117"/>
      <c r="N20" s="118"/>
      <c r="O20" s="112"/>
      <c r="P20" s="115"/>
      <c r="Q20" s="115"/>
      <c r="R20" s="114"/>
      <c r="S20" s="114"/>
      <c r="T20" s="115"/>
      <c r="U20" s="116"/>
      <c r="V20" s="112"/>
      <c r="W20" s="217"/>
      <c r="X20" s="217"/>
      <c r="Y20" s="217"/>
      <c r="Z20" s="1"/>
      <c r="AA20" s="1"/>
      <c r="AB20" s="12"/>
      <c r="AC20" s="12"/>
    </row>
    <row r="21" spans="2:29" ht="24.9" customHeight="1" x14ac:dyDescent="0.3">
      <c r="B21" s="226" t="s">
        <v>28</v>
      </c>
      <c r="C21" s="26">
        <f t="shared" si="1"/>
        <v>12</v>
      </c>
      <c r="D21" s="53" t="str">
        <f>IF(Data!F16="","",Data!F16)</f>
        <v>03545</v>
      </c>
      <c r="E21" s="92" t="str">
        <f>IF(Data!H16="","",Data!H16)</f>
        <v>Gesang Dwi Permana</v>
      </c>
      <c r="F21" s="54" t="str">
        <f>IF(Data!I16="","",Data!I16)</f>
        <v>Laki-laki</v>
      </c>
      <c r="G21" s="110"/>
      <c r="H21" s="111"/>
      <c r="I21" s="117"/>
      <c r="J21" s="117"/>
      <c r="K21" s="117"/>
      <c r="L21" s="117"/>
      <c r="M21" s="117"/>
      <c r="N21" s="118"/>
      <c r="O21" s="112"/>
      <c r="P21" s="115"/>
      <c r="Q21" s="115"/>
      <c r="R21" s="114"/>
      <c r="S21" s="114"/>
      <c r="T21" s="115"/>
      <c r="U21" s="116"/>
      <c r="V21" s="112"/>
      <c r="W21" s="217"/>
      <c r="X21" s="217"/>
      <c r="Y21" s="217"/>
      <c r="Z21" s="1"/>
      <c r="AA21" s="1"/>
      <c r="AB21" s="12"/>
      <c r="AC21" s="12"/>
    </row>
    <row r="22" spans="2:29" ht="24.9" customHeight="1" x14ac:dyDescent="0.3">
      <c r="B22" s="226" t="s">
        <v>28</v>
      </c>
      <c r="C22" s="26">
        <f t="shared" si="1"/>
        <v>13</v>
      </c>
      <c r="D22" s="53" t="str">
        <f>IF(Data!F17="","",Data!F17)</f>
        <v>03550</v>
      </c>
      <c r="E22" s="92" t="str">
        <f>IF(Data!H17="","",Data!H17)</f>
        <v>Kafka Shafy Zafarani</v>
      </c>
      <c r="F22" s="54" t="str">
        <f>IF(Data!I17="","",Data!I17)</f>
        <v>Laki-laki</v>
      </c>
      <c r="G22" s="110"/>
      <c r="H22" s="111"/>
      <c r="I22" s="117"/>
      <c r="J22" s="117"/>
      <c r="K22" s="117"/>
      <c r="L22" s="117"/>
      <c r="M22" s="117"/>
      <c r="N22" s="118"/>
      <c r="O22" s="112"/>
      <c r="P22" s="115"/>
      <c r="Q22" s="115"/>
      <c r="R22" s="114"/>
      <c r="S22" s="114"/>
      <c r="T22" s="115"/>
      <c r="U22" s="116"/>
      <c r="V22" s="112"/>
      <c r="W22" s="217"/>
      <c r="X22" s="217"/>
      <c r="Y22" s="217"/>
      <c r="Z22" s="1"/>
      <c r="AA22" s="1"/>
      <c r="AB22" s="12"/>
      <c r="AC22" s="12"/>
    </row>
    <row r="23" spans="2:29" ht="24.9" customHeight="1" x14ac:dyDescent="0.3">
      <c r="B23" s="226" t="s">
        <v>28</v>
      </c>
      <c r="C23" s="26">
        <f t="shared" si="1"/>
        <v>14</v>
      </c>
      <c r="D23" s="53" t="str">
        <f>IF(Data!F18="","",Data!F18)</f>
        <v>03552</v>
      </c>
      <c r="E23" s="92" t="str">
        <f>IF(Data!H18="","",Data!H18)</f>
        <v>Laits Rosyid Al-Barr</v>
      </c>
      <c r="F23" s="54" t="str">
        <f>IF(Data!I18="","",Data!I18)</f>
        <v>Laki-laki</v>
      </c>
      <c r="G23" s="110"/>
      <c r="H23" s="111"/>
      <c r="I23" s="117"/>
      <c r="J23" s="117"/>
      <c r="K23" s="117"/>
      <c r="L23" s="117"/>
      <c r="M23" s="117"/>
      <c r="N23" s="118"/>
      <c r="O23" s="112"/>
      <c r="P23" s="115"/>
      <c r="Q23" s="115"/>
      <c r="R23" s="114"/>
      <c r="S23" s="114"/>
      <c r="T23" s="115"/>
      <c r="U23" s="116"/>
      <c r="V23" s="112"/>
      <c r="W23" s="217"/>
      <c r="X23" s="217"/>
      <c r="Y23" s="217"/>
      <c r="Z23" s="1"/>
      <c r="AA23" s="1"/>
      <c r="AB23" s="12"/>
      <c r="AC23" s="12"/>
    </row>
    <row r="24" spans="2:29" ht="24.9" customHeight="1" x14ac:dyDescent="0.3">
      <c r="B24" s="226" t="s">
        <v>28</v>
      </c>
      <c r="C24" s="26">
        <f t="shared" si="1"/>
        <v>15</v>
      </c>
      <c r="D24" s="53" t="str">
        <f>IF(Data!F19="","",Data!F19)</f>
        <v>03554</v>
      </c>
      <c r="E24" s="92" t="str">
        <f>IF(Data!H19="","",Data!H19)</f>
        <v>M Hanan Qomarudin</v>
      </c>
      <c r="F24" s="54" t="str">
        <f>IF(Data!I19="","",Data!I19)</f>
        <v>Laki-laki</v>
      </c>
      <c r="G24" s="110"/>
      <c r="H24" s="111"/>
      <c r="I24" s="117"/>
      <c r="J24" s="117"/>
      <c r="K24" s="117"/>
      <c r="L24" s="117"/>
      <c r="M24" s="117"/>
      <c r="N24" s="118"/>
      <c r="O24" s="112"/>
      <c r="P24" s="115"/>
      <c r="Q24" s="115"/>
      <c r="R24" s="114"/>
      <c r="S24" s="114"/>
      <c r="T24" s="115"/>
      <c r="U24" s="116"/>
      <c r="V24" s="112"/>
      <c r="W24" s="217"/>
      <c r="X24" s="217"/>
      <c r="Y24" s="217"/>
      <c r="Z24" s="1"/>
      <c r="AA24" s="1"/>
      <c r="AB24" s="12"/>
      <c r="AC24" s="12"/>
    </row>
    <row r="25" spans="2:29" ht="24.9" customHeight="1" x14ac:dyDescent="0.3">
      <c r="B25" s="226" t="s">
        <v>28</v>
      </c>
      <c r="C25" s="26">
        <f t="shared" si="1"/>
        <v>16</v>
      </c>
      <c r="D25" s="53" t="str">
        <f>IF(Data!F20="","",Data!F20)</f>
        <v>03559</v>
      </c>
      <c r="E25" s="92" t="str">
        <f>IF(Data!H20="","",Data!H20)</f>
        <v>Moch. Zafi An Nafi'</v>
      </c>
      <c r="F25" s="54" t="str">
        <f>IF(Data!I20="","",Data!I20)</f>
        <v>Laki-laki</v>
      </c>
      <c r="G25" s="110"/>
      <c r="H25" s="111"/>
      <c r="I25" s="117"/>
      <c r="J25" s="117"/>
      <c r="K25" s="117"/>
      <c r="L25" s="117"/>
      <c r="M25" s="117"/>
      <c r="N25" s="118"/>
      <c r="O25" s="112"/>
      <c r="P25" s="115"/>
      <c r="Q25" s="115"/>
      <c r="R25" s="114"/>
      <c r="S25" s="114"/>
      <c r="T25" s="115"/>
      <c r="U25" s="116"/>
      <c r="V25" s="112"/>
      <c r="W25" s="217"/>
      <c r="X25" s="217"/>
      <c r="Y25" s="217"/>
      <c r="Z25" s="1"/>
      <c r="AA25" s="1"/>
      <c r="AB25" s="12"/>
      <c r="AC25" s="12"/>
    </row>
    <row r="26" spans="2:29" ht="24.9" customHeight="1" x14ac:dyDescent="0.3">
      <c r="B26" s="226" t="s">
        <v>28</v>
      </c>
      <c r="C26" s="26">
        <f t="shared" si="1"/>
        <v>17</v>
      </c>
      <c r="D26" s="53" t="str">
        <f>IF(Data!F21="","",Data!F21)</f>
        <v>03561</v>
      </c>
      <c r="E26" s="92" t="str">
        <f>IF(Data!H21="","",Data!H21)</f>
        <v>Mohamad Afton Farizul Umam</v>
      </c>
      <c r="F26" s="54" t="str">
        <f>IF(Data!I21="","",Data!I21)</f>
        <v>Laki-laki</v>
      </c>
      <c r="G26" s="110"/>
      <c r="H26" s="111"/>
      <c r="I26" s="117"/>
      <c r="J26" s="117"/>
      <c r="K26" s="117"/>
      <c r="L26" s="117"/>
      <c r="M26" s="117"/>
      <c r="N26" s="118"/>
      <c r="O26" s="112"/>
      <c r="P26" s="115"/>
      <c r="Q26" s="115"/>
      <c r="R26" s="114"/>
      <c r="S26" s="114"/>
      <c r="T26" s="115"/>
      <c r="U26" s="116"/>
      <c r="V26" s="112"/>
      <c r="W26" s="217"/>
      <c r="X26" s="217"/>
      <c r="Y26" s="217"/>
      <c r="Z26" s="1"/>
      <c r="AA26" s="1"/>
      <c r="AB26" s="12"/>
      <c r="AC26" s="12"/>
    </row>
    <row r="27" spans="2:29" ht="24.9" customHeight="1" x14ac:dyDescent="0.3">
      <c r="B27" s="226" t="s">
        <v>28</v>
      </c>
      <c r="C27" s="26">
        <f t="shared" si="1"/>
        <v>18</v>
      </c>
      <c r="D27" s="53" t="str">
        <f>IF(Data!F22="","",Data!F22)</f>
        <v>03572</v>
      </c>
      <c r="E27" s="92" t="str">
        <f>IF(Data!H22="","",Data!H22)</f>
        <v>Muhammad Alif Al Faruq</v>
      </c>
      <c r="F27" s="54" t="str">
        <f>IF(Data!I22="","",Data!I22)</f>
        <v>Laki-laki</v>
      </c>
      <c r="G27" s="110"/>
      <c r="H27" s="111"/>
      <c r="I27" s="117"/>
      <c r="J27" s="117"/>
      <c r="K27" s="117"/>
      <c r="L27" s="117"/>
      <c r="M27" s="117"/>
      <c r="N27" s="118"/>
      <c r="O27" s="112"/>
      <c r="P27" s="115"/>
      <c r="Q27" s="115"/>
      <c r="R27" s="114"/>
      <c r="S27" s="114"/>
      <c r="T27" s="115"/>
      <c r="U27" s="116"/>
      <c r="V27" s="112"/>
      <c r="W27" s="217"/>
      <c r="X27" s="217"/>
      <c r="Y27" s="217"/>
      <c r="Z27" s="1"/>
      <c r="AA27" s="1"/>
      <c r="AB27" s="12"/>
      <c r="AC27" s="12"/>
    </row>
    <row r="28" spans="2:29" ht="24.9" customHeight="1" x14ac:dyDescent="0.3">
      <c r="B28" s="226" t="s">
        <v>28</v>
      </c>
      <c r="C28" s="26">
        <f t="shared" si="1"/>
        <v>19</v>
      </c>
      <c r="D28" s="53" t="str">
        <f>IF(Data!F23="","",Data!F23)</f>
        <v>03575</v>
      </c>
      <c r="E28" s="92" t="str">
        <f>IF(Data!H23="","",Data!H23)</f>
        <v>Muhammad Azka Afandi</v>
      </c>
      <c r="F28" s="54" t="str">
        <f>IF(Data!I23="","",Data!I23)</f>
        <v>Laki-laki</v>
      </c>
      <c r="G28" s="110"/>
      <c r="H28" s="111"/>
      <c r="I28" s="117"/>
      <c r="J28" s="117"/>
      <c r="K28" s="117"/>
      <c r="L28" s="117"/>
      <c r="M28" s="117"/>
      <c r="N28" s="118"/>
      <c r="O28" s="112"/>
      <c r="P28" s="115"/>
      <c r="Q28" s="115"/>
      <c r="R28" s="114"/>
      <c r="S28" s="114"/>
      <c r="T28" s="115"/>
      <c r="U28" s="116"/>
      <c r="V28" s="112"/>
      <c r="W28" s="217"/>
      <c r="X28" s="217"/>
      <c r="Y28" s="217"/>
      <c r="Z28" s="1"/>
      <c r="AA28" s="1"/>
      <c r="AB28" s="12"/>
      <c r="AC28" s="12"/>
    </row>
    <row r="29" spans="2:29" ht="24.9" customHeight="1" x14ac:dyDescent="0.3">
      <c r="B29" s="226" t="s">
        <v>28</v>
      </c>
      <c r="C29" s="26">
        <f t="shared" si="1"/>
        <v>20</v>
      </c>
      <c r="D29" s="53" t="str">
        <f>IF(Data!F24="","",Data!F24)</f>
        <v>03576</v>
      </c>
      <c r="E29" s="92" t="str">
        <f>IF(Data!H24="","",Data!H24)</f>
        <v>Muhammad Azzam Sholahuddin Askari</v>
      </c>
      <c r="F29" s="54" t="str">
        <f>IF(Data!I24="","",Data!I24)</f>
        <v>Laki-laki</v>
      </c>
      <c r="G29" s="110"/>
      <c r="H29" s="111"/>
      <c r="I29" s="117"/>
      <c r="J29" s="117"/>
      <c r="K29" s="117"/>
      <c r="L29" s="117"/>
      <c r="M29" s="117"/>
      <c r="N29" s="118"/>
      <c r="O29" s="112"/>
      <c r="P29" s="115"/>
      <c r="Q29" s="115"/>
      <c r="R29" s="114"/>
      <c r="S29" s="114"/>
      <c r="T29" s="115"/>
      <c r="U29" s="116"/>
      <c r="V29" s="112"/>
      <c r="W29" s="217"/>
      <c r="X29" s="217"/>
      <c r="Y29" s="217"/>
      <c r="Z29" s="1"/>
      <c r="AA29" s="1"/>
      <c r="AB29" s="12"/>
      <c r="AC29" s="12"/>
    </row>
    <row r="30" spans="2:29" ht="24.9" customHeight="1" x14ac:dyDescent="0.3">
      <c r="B30" s="226" t="s">
        <v>28</v>
      </c>
      <c r="C30" s="26">
        <f t="shared" si="1"/>
        <v>21</v>
      </c>
      <c r="D30" s="53" t="str">
        <f>IF(Data!F25="","",Data!F25)</f>
        <v>03578</v>
      </c>
      <c r="E30" s="92" t="str">
        <f>IF(Data!H25="","",Data!H25)</f>
        <v>Muhammad Dzaky Alif Al-Abiyu</v>
      </c>
      <c r="F30" s="54" t="str">
        <f>IF(Data!I25="","",Data!I25)</f>
        <v>Laki-laki</v>
      </c>
      <c r="G30" s="110"/>
      <c r="H30" s="111"/>
      <c r="I30" s="117"/>
      <c r="J30" s="117"/>
      <c r="K30" s="117"/>
      <c r="L30" s="117"/>
      <c r="M30" s="117"/>
      <c r="N30" s="118"/>
      <c r="O30" s="112"/>
      <c r="P30" s="115"/>
      <c r="Q30" s="115"/>
      <c r="R30" s="114"/>
      <c r="S30" s="114"/>
      <c r="T30" s="115"/>
      <c r="U30" s="116"/>
      <c r="V30" s="112"/>
      <c r="W30" s="217"/>
      <c r="X30" s="217"/>
      <c r="Y30" s="217"/>
      <c r="Z30" s="1"/>
      <c r="AA30" s="1"/>
      <c r="AB30" s="12"/>
      <c r="AC30" s="12"/>
    </row>
    <row r="31" spans="2:29" ht="24.9" customHeight="1" x14ac:dyDescent="0.3">
      <c r="B31" s="226" t="s">
        <v>28</v>
      </c>
      <c r="C31" s="26">
        <f t="shared" si="1"/>
        <v>22</v>
      </c>
      <c r="D31" s="53" t="str">
        <f>IF(Data!F26="","",Data!F26)</f>
        <v>03581</v>
      </c>
      <c r="E31" s="92" t="str">
        <f>IF(Data!H26="","",Data!H26)</f>
        <v>Muhammad Hubby Izzul Haq</v>
      </c>
      <c r="F31" s="54" t="str">
        <f>IF(Data!I26="","",Data!I26)</f>
        <v>Laki-laki</v>
      </c>
      <c r="G31" s="110"/>
      <c r="H31" s="111"/>
      <c r="I31" s="117"/>
      <c r="J31" s="117"/>
      <c r="K31" s="117"/>
      <c r="L31" s="117"/>
      <c r="M31" s="117"/>
      <c r="N31" s="118"/>
      <c r="O31" s="112"/>
      <c r="P31" s="115"/>
      <c r="Q31" s="115"/>
      <c r="R31" s="114"/>
      <c r="S31" s="114"/>
      <c r="T31" s="115"/>
      <c r="U31" s="116"/>
      <c r="V31" s="112"/>
      <c r="W31" s="217"/>
      <c r="X31" s="217"/>
      <c r="Y31" s="217"/>
      <c r="Z31" s="1"/>
      <c r="AA31" s="1"/>
      <c r="AB31" s="12"/>
      <c r="AC31" s="12"/>
    </row>
    <row r="32" spans="2:29" ht="24.9" customHeight="1" x14ac:dyDescent="0.3">
      <c r="B32" s="226" t="s">
        <v>28</v>
      </c>
      <c r="C32" s="26">
        <f t="shared" si="1"/>
        <v>23</v>
      </c>
      <c r="D32" s="53" t="str">
        <f>IF(Data!F27="","",Data!F27)</f>
        <v>03582</v>
      </c>
      <c r="E32" s="92" t="str">
        <f>IF(Data!H27="","",Data!H27)</f>
        <v>Muhammad Ibnu 'Athoillah Masykur</v>
      </c>
      <c r="F32" s="54" t="str">
        <f>IF(Data!I27="","",Data!I27)</f>
        <v>Laki-laki</v>
      </c>
      <c r="G32" s="110"/>
      <c r="H32" s="111"/>
      <c r="I32" s="117"/>
      <c r="J32" s="117"/>
      <c r="K32" s="117"/>
      <c r="L32" s="117"/>
      <c r="M32" s="117"/>
      <c r="N32" s="118"/>
      <c r="O32" s="112"/>
      <c r="P32" s="115"/>
      <c r="Q32" s="115"/>
      <c r="R32" s="114"/>
      <c r="S32" s="114"/>
      <c r="T32" s="115"/>
      <c r="U32" s="116"/>
      <c r="V32" s="112"/>
      <c r="W32" s="217"/>
      <c r="X32" s="217"/>
      <c r="Y32" s="217"/>
      <c r="Z32" s="1"/>
      <c r="AA32" s="1"/>
      <c r="AB32" s="12"/>
      <c r="AC32" s="12"/>
    </row>
    <row r="33" spans="2:29" ht="24.9" customHeight="1" x14ac:dyDescent="0.3">
      <c r="B33" s="226" t="s">
        <v>28</v>
      </c>
      <c r="C33" s="26">
        <f t="shared" si="1"/>
        <v>24</v>
      </c>
      <c r="D33" s="53" t="str">
        <f>IF(Data!F28="","",Data!F28)</f>
        <v>03584</v>
      </c>
      <c r="E33" s="92" t="str">
        <f>IF(Data!H28="","",Data!H28)</f>
        <v>Muhammad Iqbal Baha Rizki</v>
      </c>
      <c r="F33" s="54" t="str">
        <f>IF(Data!I28="","",Data!I28)</f>
        <v>Laki-laki</v>
      </c>
      <c r="G33" s="110"/>
      <c r="H33" s="111"/>
      <c r="I33" s="117"/>
      <c r="J33" s="117"/>
      <c r="K33" s="117"/>
      <c r="L33" s="117"/>
      <c r="M33" s="117"/>
      <c r="N33" s="118"/>
      <c r="O33" s="112"/>
      <c r="P33" s="115"/>
      <c r="Q33" s="115"/>
      <c r="R33" s="114"/>
      <c r="S33" s="114"/>
      <c r="T33" s="115"/>
      <c r="U33" s="116"/>
      <c r="V33" s="112"/>
      <c r="W33" s="217"/>
      <c r="X33" s="217"/>
      <c r="Y33" s="217"/>
      <c r="Z33" s="1"/>
      <c r="AA33" s="1"/>
      <c r="AB33" s="12"/>
      <c r="AC33" s="12"/>
    </row>
    <row r="34" spans="2:29" ht="24.9" customHeight="1" x14ac:dyDescent="0.3">
      <c r="B34" s="226" t="s">
        <v>28</v>
      </c>
      <c r="C34" s="26">
        <f t="shared" si="1"/>
        <v>25</v>
      </c>
      <c r="D34" s="53" t="str">
        <f>IF(Data!F29="","",Data!F29)</f>
        <v>03590</v>
      </c>
      <c r="E34" s="92" t="str">
        <f>IF(Data!H29="","",Data!H29)</f>
        <v>Muhammad Keysha Ahsin Nafsaka</v>
      </c>
      <c r="F34" s="54" t="str">
        <f>IF(Data!I29="","",Data!I29)</f>
        <v>Laki-laki</v>
      </c>
      <c r="G34" s="110"/>
      <c r="H34" s="111"/>
      <c r="I34" s="117"/>
      <c r="J34" s="117"/>
      <c r="K34" s="117"/>
      <c r="L34" s="117"/>
      <c r="M34" s="117"/>
      <c r="N34" s="118"/>
      <c r="O34" s="112"/>
      <c r="P34" s="115"/>
      <c r="Q34" s="115"/>
      <c r="R34" s="114"/>
      <c r="S34" s="114"/>
      <c r="T34" s="115"/>
      <c r="U34" s="116"/>
      <c r="V34" s="112"/>
      <c r="W34" s="217"/>
      <c r="X34" s="217"/>
      <c r="Y34" s="217"/>
      <c r="Z34" s="1"/>
      <c r="AA34" s="1"/>
      <c r="AB34" s="12"/>
      <c r="AC34" s="12"/>
    </row>
    <row r="35" spans="2:29" ht="24.9" customHeight="1" x14ac:dyDescent="0.3">
      <c r="B35" s="226" t="s">
        <v>28</v>
      </c>
      <c r="C35" s="26">
        <f t="shared" si="1"/>
        <v>26</v>
      </c>
      <c r="D35" s="53" t="str">
        <f>IF(Data!F30="","",Data!F30)</f>
        <v>03592</v>
      </c>
      <c r="E35" s="92" t="str">
        <f>IF(Data!H30="","",Data!H30)</f>
        <v>Muhammad Khozinatul Asrori</v>
      </c>
      <c r="F35" s="54" t="str">
        <f>IF(Data!I30="","",Data!I30)</f>
        <v>Laki-laki</v>
      </c>
      <c r="G35" s="110"/>
      <c r="H35" s="111"/>
      <c r="I35" s="117"/>
      <c r="J35" s="117"/>
      <c r="K35" s="117"/>
      <c r="L35" s="117"/>
      <c r="M35" s="117"/>
      <c r="N35" s="118"/>
      <c r="O35" s="112"/>
      <c r="P35" s="115"/>
      <c r="Q35" s="115"/>
      <c r="R35" s="114"/>
      <c r="S35" s="114"/>
      <c r="T35" s="115"/>
      <c r="U35" s="116"/>
      <c r="V35" s="112"/>
      <c r="W35" s="217"/>
      <c r="X35" s="217"/>
      <c r="Y35" s="217"/>
      <c r="Z35" s="1"/>
      <c r="AA35" s="1"/>
      <c r="AB35" s="12"/>
      <c r="AC35" s="12"/>
    </row>
    <row r="36" spans="2:29" ht="24.9" customHeight="1" x14ac:dyDescent="0.3">
      <c r="B36" s="226" t="s">
        <v>28</v>
      </c>
      <c r="C36" s="26">
        <f t="shared" si="1"/>
        <v>27</v>
      </c>
      <c r="D36" s="53" t="str">
        <f>IF(Data!F31="","",Data!F31)</f>
        <v>03593</v>
      </c>
      <c r="E36" s="92" t="str">
        <f>IF(Data!H31="","",Data!H31)</f>
        <v>Muhammad Ma'ruf Rizky</v>
      </c>
      <c r="F36" s="54" t="str">
        <f>IF(Data!I31="","",Data!I31)</f>
        <v>Laki-laki</v>
      </c>
      <c r="G36" s="110"/>
      <c r="H36" s="111"/>
      <c r="I36" s="117"/>
      <c r="J36" s="117"/>
      <c r="K36" s="117"/>
      <c r="L36" s="117"/>
      <c r="M36" s="117"/>
      <c r="N36" s="118"/>
      <c r="O36" s="112"/>
      <c r="P36" s="115"/>
      <c r="Q36" s="115"/>
      <c r="R36" s="114"/>
      <c r="S36" s="114"/>
      <c r="T36" s="115"/>
      <c r="U36" s="116"/>
      <c r="V36" s="112"/>
      <c r="W36" s="217"/>
      <c r="X36" s="217"/>
      <c r="Y36" s="217"/>
      <c r="Z36" s="1"/>
      <c r="AA36" s="1"/>
      <c r="AB36" s="12"/>
      <c r="AC36" s="12"/>
    </row>
    <row r="37" spans="2:29" ht="24.9" customHeight="1" x14ac:dyDescent="0.3">
      <c r="B37" s="226" t="s">
        <v>28</v>
      </c>
      <c r="C37" s="26">
        <f t="shared" si="1"/>
        <v>28</v>
      </c>
      <c r="D37" s="53" t="str">
        <f>IF(Data!F32="","",Data!F32)</f>
        <v>03604</v>
      </c>
      <c r="E37" s="92" t="str">
        <f>IF(Data!H32="","",Data!H32)</f>
        <v>Naufal Muqoddam Rafif</v>
      </c>
      <c r="F37" s="54" t="str">
        <f>IF(Data!I32="","",Data!I32)</f>
        <v>Laki-laki</v>
      </c>
      <c r="G37" s="110"/>
      <c r="H37" s="111"/>
      <c r="I37" s="117"/>
      <c r="J37" s="117"/>
      <c r="K37" s="117"/>
      <c r="L37" s="117"/>
      <c r="M37" s="117"/>
      <c r="N37" s="118"/>
      <c r="O37" s="112"/>
      <c r="P37" s="115"/>
      <c r="Q37" s="115"/>
      <c r="R37" s="114"/>
      <c r="S37" s="114"/>
      <c r="T37" s="115"/>
      <c r="U37" s="116"/>
      <c r="V37" s="112"/>
      <c r="W37" s="217"/>
      <c r="X37" s="217"/>
      <c r="Y37" s="217"/>
      <c r="Z37" s="1"/>
      <c r="AA37" s="1"/>
      <c r="AB37" s="12"/>
      <c r="AC37" s="12"/>
    </row>
    <row r="38" spans="2:29" ht="24.9" customHeight="1" x14ac:dyDescent="0.3">
      <c r="B38" s="226" t="s">
        <v>28</v>
      </c>
      <c r="C38" s="26">
        <f t="shared" si="1"/>
        <v>29</v>
      </c>
      <c r="D38" s="53" t="str">
        <f>IF(Data!F33="","",Data!F33)</f>
        <v>03607</v>
      </c>
      <c r="E38" s="92" t="str">
        <f>IF(Data!H33="","",Data!H33)</f>
        <v>Oziel Bagas Nugroho</v>
      </c>
      <c r="F38" s="54" t="str">
        <f>IF(Data!I33="","",Data!I33)</f>
        <v>Laki-laki</v>
      </c>
      <c r="G38" s="110"/>
      <c r="H38" s="111"/>
      <c r="I38" s="117"/>
      <c r="J38" s="117"/>
      <c r="K38" s="117"/>
      <c r="L38" s="117"/>
      <c r="M38" s="117"/>
      <c r="N38" s="118"/>
      <c r="O38" s="112"/>
      <c r="P38" s="115"/>
      <c r="Q38" s="115"/>
      <c r="R38" s="114"/>
      <c r="S38" s="114"/>
      <c r="T38" s="115"/>
      <c r="U38" s="116"/>
      <c r="V38" s="112"/>
      <c r="W38" s="217"/>
      <c r="X38" s="217"/>
      <c r="Y38" s="217"/>
      <c r="Z38" s="1"/>
      <c r="AA38" s="1"/>
      <c r="AB38" s="12"/>
      <c r="AC38" s="12"/>
    </row>
    <row r="39" spans="2:29" ht="24.9" customHeight="1" x14ac:dyDescent="0.3">
      <c r="B39" s="226" t="s">
        <v>28</v>
      </c>
      <c r="C39" s="26">
        <f t="shared" si="1"/>
        <v>30</v>
      </c>
      <c r="D39" s="53" t="str">
        <f>IF(Data!F34="","",Data!F34)</f>
        <v>03611</v>
      </c>
      <c r="E39" s="92" t="str">
        <f>IF(Data!H34="","",Data!H34)</f>
        <v>Rafka Ahmad Agus Prasetiyo</v>
      </c>
      <c r="F39" s="54" t="str">
        <f>IF(Data!I34="","",Data!I34)</f>
        <v>Laki-laki</v>
      </c>
      <c r="G39" s="110"/>
      <c r="H39" s="111"/>
      <c r="I39" s="117"/>
      <c r="J39" s="117"/>
      <c r="K39" s="117"/>
      <c r="L39" s="117"/>
      <c r="M39" s="117"/>
      <c r="N39" s="118"/>
      <c r="O39" s="112"/>
      <c r="P39" s="115"/>
      <c r="Q39" s="115"/>
      <c r="R39" s="114"/>
      <c r="S39" s="114"/>
      <c r="T39" s="115"/>
      <c r="U39" s="116"/>
      <c r="V39" s="112"/>
      <c r="W39" s="217"/>
      <c r="X39" s="217"/>
      <c r="Y39" s="217"/>
      <c r="Z39" s="1"/>
      <c r="AA39" s="1"/>
      <c r="AB39" s="12"/>
      <c r="AC39" s="12"/>
    </row>
    <row r="40" spans="2:29" ht="24.9" customHeight="1" x14ac:dyDescent="0.3">
      <c r="B40" s="226" t="s">
        <v>28</v>
      </c>
      <c r="C40" s="26">
        <f t="shared" si="1"/>
        <v>31</v>
      </c>
      <c r="D40" s="53" t="str">
        <f>IF(Data!F35="","",Data!F35)</f>
        <v>03614</v>
      </c>
      <c r="E40" s="92" t="str">
        <f>IF(Data!H35="","",Data!H35)</f>
        <v>Reyza Azka Kristiansyah</v>
      </c>
      <c r="F40" s="54" t="str">
        <f>IF(Data!I35="","",Data!I35)</f>
        <v>Laki-laki</v>
      </c>
      <c r="G40" s="110"/>
      <c r="H40" s="111"/>
      <c r="I40" s="117"/>
      <c r="J40" s="117"/>
      <c r="K40" s="117"/>
      <c r="L40" s="117"/>
      <c r="M40" s="117"/>
      <c r="N40" s="118"/>
      <c r="O40" s="112"/>
      <c r="P40" s="115"/>
      <c r="Q40" s="115"/>
      <c r="R40" s="114"/>
      <c r="S40" s="114"/>
      <c r="T40" s="115"/>
      <c r="U40" s="116"/>
      <c r="V40" s="112"/>
      <c r="W40" s="217"/>
      <c r="X40" s="217"/>
      <c r="Y40" s="217"/>
      <c r="Z40" s="1"/>
      <c r="AA40" s="1"/>
      <c r="AB40" s="12"/>
      <c r="AC40" s="12"/>
    </row>
    <row r="41" spans="2:29" ht="24.9" customHeight="1" x14ac:dyDescent="0.3">
      <c r="B41" s="226" t="s">
        <v>28</v>
      </c>
      <c r="C41" s="26">
        <f t="shared" si="1"/>
        <v>32</v>
      </c>
      <c r="D41" s="53" t="str">
        <f>IF(Data!F36="","",Data!F36)</f>
        <v>03623</v>
      </c>
      <c r="E41" s="92" t="str">
        <f>IF(Data!H36="","",Data!H36)</f>
        <v>Yazid Ali Rohmatulloh</v>
      </c>
      <c r="F41" s="54" t="str">
        <f>IF(Data!I36="","",Data!I36)</f>
        <v>Laki-laki</v>
      </c>
      <c r="G41" s="110"/>
      <c r="H41" s="111"/>
      <c r="I41" s="117"/>
      <c r="J41" s="117"/>
      <c r="K41" s="117"/>
      <c r="L41" s="117"/>
      <c r="M41" s="117"/>
      <c r="N41" s="118"/>
      <c r="O41" s="112"/>
      <c r="P41" s="115"/>
      <c r="Q41" s="115"/>
      <c r="R41" s="114"/>
      <c r="S41" s="114"/>
      <c r="T41" s="115"/>
      <c r="U41" s="116"/>
      <c r="V41" s="112"/>
      <c r="W41" s="217"/>
      <c r="X41" s="217"/>
      <c r="Y41" s="217"/>
      <c r="Z41" s="1"/>
      <c r="AA41" s="1"/>
      <c r="AB41" s="12"/>
      <c r="AC41" s="12"/>
    </row>
    <row r="42" spans="2:29" ht="24.9" customHeight="1" x14ac:dyDescent="0.3">
      <c r="B42" s="226" t="s">
        <v>28</v>
      </c>
      <c r="C42" s="26" t="str">
        <f t="shared" si="1"/>
        <v/>
      </c>
      <c r="D42" s="53" t="str">
        <f>IF(Data!F37="","",Data!F37)</f>
        <v/>
      </c>
      <c r="E42" s="92" t="str">
        <f>IF(Data!H37="","",Data!H37)</f>
        <v/>
      </c>
      <c r="F42" s="54" t="str">
        <f>IF(Data!I37="","",Data!I37)</f>
        <v/>
      </c>
      <c r="G42" s="110"/>
      <c r="H42" s="111"/>
      <c r="I42" s="117"/>
      <c r="J42" s="117"/>
      <c r="K42" s="117"/>
      <c r="L42" s="117"/>
      <c r="M42" s="117"/>
      <c r="N42" s="118"/>
      <c r="O42" s="112"/>
      <c r="P42" s="115"/>
      <c r="Q42" s="115"/>
      <c r="R42" s="114"/>
      <c r="S42" s="114"/>
      <c r="T42" s="115"/>
      <c r="U42" s="116"/>
      <c r="V42" s="112"/>
      <c r="W42" s="217"/>
      <c r="X42" s="217"/>
      <c r="Y42" s="217"/>
      <c r="Z42" s="1"/>
      <c r="AA42" s="1"/>
      <c r="AB42" s="12"/>
      <c r="AC42" s="12"/>
    </row>
    <row r="43" spans="2:29" ht="24.9" customHeight="1" x14ac:dyDescent="0.3">
      <c r="B43" s="226" t="s">
        <v>28</v>
      </c>
      <c r="C43" s="26" t="str">
        <f t="shared" si="1"/>
        <v/>
      </c>
      <c r="D43" s="53" t="str">
        <f>IF(Data!F38="","",Data!F38)</f>
        <v/>
      </c>
      <c r="E43" s="92" t="str">
        <f>IF(Data!H38="","",Data!H38)</f>
        <v/>
      </c>
      <c r="F43" s="54" t="str">
        <f>IF(Data!I38="","",Data!I38)</f>
        <v/>
      </c>
      <c r="G43" s="110"/>
      <c r="H43" s="111"/>
      <c r="I43" s="117"/>
      <c r="J43" s="117"/>
      <c r="K43" s="117"/>
      <c r="L43" s="117"/>
      <c r="M43" s="117"/>
      <c r="N43" s="118"/>
      <c r="O43" s="112"/>
      <c r="P43" s="115"/>
      <c r="Q43" s="115"/>
      <c r="R43" s="114"/>
      <c r="S43" s="114"/>
      <c r="T43" s="115"/>
      <c r="U43" s="116"/>
      <c r="V43" s="112"/>
      <c r="W43" s="217"/>
      <c r="X43" s="217"/>
      <c r="Y43" s="217"/>
      <c r="Z43" s="1"/>
      <c r="AA43" s="1"/>
      <c r="AB43" s="12"/>
      <c r="AC43" s="12"/>
    </row>
    <row r="44" spans="2:29" ht="24.9" customHeight="1" x14ac:dyDescent="0.3">
      <c r="B44" s="226" t="s">
        <v>28</v>
      </c>
      <c r="C44" s="26" t="str">
        <f t="shared" si="1"/>
        <v/>
      </c>
      <c r="D44" s="53" t="str">
        <f>IF(Data!F39="","",Data!F39)</f>
        <v/>
      </c>
      <c r="E44" s="92" t="str">
        <f>IF(Data!H39="","",Data!H39)</f>
        <v/>
      </c>
      <c r="F44" s="54" t="str">
        <f>IF(Data!I39="","",Data!I39)</f>
        <v/>
      </c>
      <c r="G44" s="110"/>
      <c r="H44" s="111"/>
      <c r="I44" s="117"/>
      <c r="J44" s="117"/>
      <c r="K44" s="117"/>
      <c r="L44" s="117"/>
      <c r="M44" s="117"/>
      <c r="N44" s="118"/>
      <c r="O44" s="112"/>
      <c r="P44" s="115"/>
      <c r="Q44" s="115"/>
      <c r="R44" s="114"/>
      <c r="S44" s="114"/>
      <c r="T44" s="115"/>
      <c r="U44" s="116"/>
      <c r="V44" s="112"/>
      <c r="W44" s="217"/>
      <c r="X44" s="217"/>
      <c r="Y44" s="217"/>
      <c r="Z44" s="1"/>
      <c r="AA44" s="1"/>
      <c r="AB44" s="12"/>
      <c r="AC44" s="12"/>
    </row>
    <row r="45" spans="2:29" ht="24.9" customHeight="1" x14ac:dyDescent="0.3">
      <c r="B45" s="226" t="s">
        <v>28</v>
      </c>
      <c r="C45" s="26" t="str">
        <f t="shared" si="1"/>
        <v/>
      </c>
      <c r="D45" s="53" t="str">
        <f>IF(Data!F40="","",Data!F40)</f>
        <v/>
      </c>
      <c r="E45" s="92" t="str">
        <f>IF(Data!H40="","",Data!H40)</f>
        <v/>
      </c>
      <c r="F45" s="54" t="str">
        <f>IF(Data!I40="","",Data!I40)</f>
        <v/>
      </c>
      <c r="G45" s="110"/>
      <c r="H45" s="111"/>
      <c r="I45" s="117"/>
      <c r="J45" s="117"/>
      <c r="K45" s="117"/>
      <c r="L45" s="117"/>
      <c r="M45" s="117"/>
      <c r="N45" s="118"/>
      <c r="O45" s="112"/>
      <c r="P45" s="115"/>
      <c r="Q45" s="115"/>
      <c r="R45" s="114"/>
      <c r="S45" s="114"/>
      <c r="T45" s="115"/>
      <c r="U45" s="116"/>
      <c r="V45" s="112"/>
      <c r="W45" s="217"/>
      <c r="X45" s="217"/>
      <c r="Y45" s="217"/>
      <c r="Z45" s="1"/>
      <c r="AA45" s="1"/>
      <c r="AB45" s="12"/>
      <c r="AC45" s="12"/>
    </row>
    <row r="46" spans="2:29" ht="24.9" customHeight="1" x14ac:dyDescent="0.3">
      <c r="B46" s="226" t="s">
        <v>29</v>
      </c>
      <c r="C46" s="26">
        <v>1</v>
      </c>
      <c r="D46" s="53" t="str">
        <f>IF(Data!F41="","",Data!F41)</f>
        <v/>
      </c>
      <c r="E46" s="92" t="str">
        <f>IF(Data!H41="","",Data!H41)</f>
        <v/>
      </c>
      <c r="F46" s="54" t="str">
        <f>IF(Data!I41="","",Data!I41)</f>
        <v/>
      </c>
      <c r="G46" s="110"/>
      <c r="H46" s="111"/>
      <c r="I46" s="117"/>
      <c r="J46" s="117"/>
      <c r="K46" s="117"/>
      <c r="L46" s="117"/>
      <c r="M46" s="117"/>
      <c r="N46" s="118"/>
      <c r="O46" s="112"/>
      <c r="P46" s="115"/>
      <c r="Q46" s="115"/>
      <c r="R46" s="114"/>
      <c r="S46" s="114"/>
      <c r="T46" s="115"/>
      <c r="U46" s="116"/>
      <c r="V46" s="112"/>
      <c r="W46" s="217"/>
      <c r="X46" s="217"/>
      <c r="Y46" s="217"/>
      <c r="Z46" s="1"/>
      <c r="AA46" s="1"/>
      <c r="AB46" s="12"/>
      <c r="AC46" s="12"/>
    </row>
    <row r="47" spans="2:29" ht="24.9" customHeight="1" x14ac:dyDescent="0.3">
      <c r="B47" s="226" t="s">
        <v>29</v>
      </c>
      <c r="C47" s="26" t="str">
        <f t="shared" si="1"/>
        <v/>
      </c>
      <c r="D47" s="53" t="str">
        <f>IF(Data!F42="","",Data!F42)</f>
        <v/>
      </c>
      <c r="E47" s="92" t="str">
        <f>IF(Data!H42="","",Data!H42)</f>
        <v/>
      </c>
      <c r="F47" s="54" t="str">
        <f>IF(Data!I42="","",Data!I42)</f>
        <v/>
      </c>
      <c r="G47" s="110"/>
      <c r="H47" s="111"/>
      <c r="I47" s="117"/>
      <c r="J47" s="117"/>
      <c r="K47" s="117"/>
      <c r="L47" s="117"/>
      <c r="M47" s="117"/>
      <c r="N47" s="118"/>
      <c r="O47" s="112"/>
      <c r="P47" s="115"/>
      <c r="Q47" s="115"/>
      <c r="R47" s="114"/>
      <c r="S47" s="114"/>
      <c r="T47" s="115"/>
      <c r="U47" s="116"/>
      <c r="V47" s="112"/>
      <c r="W47" s="217"/>
      <c r="X47" s="217"/>
      <c r="Y47" s="217"/>
      <c r="Z47" s="1"/>
      <c r="AA47" s="1"/>
      <c r="AB47" s="12"/>
      <c r="AC47" s="12"/>
    </row>
    <row r="48" spans="2:29" ht="24.9" customHeight="1" x14ac:dyDescent="0.3">
      <c r="B48" s="226" t="s">
        <v>29</v>
      </c>
      <c r="C48" s="26" t="str">
        <f t="shared" si="1"/>
        <v/>
      </c>
      <c r="D48" s="53" t="str">
        <f>IF(Data!F43="","",Data!F43)</f>
        <v/>
      </c>
      <c r="E48" s="92" t="str">
        <f>IF(Data!H43="","",Data!H43)</f>
        <v/>
      </c>
      <c r="F48" s="54" t="str">
        <f>IF(Data!I43="","",Data!I43)</f>
        <v/>
      </c>
      <c r="G48" s="110"/>
      <c r="H48" s="111"/>
      <c r="I48" s="117"/>
      <c r="J48" s="117"/>
      <c r="K48" s="117"/>
      <c r="L48" s="117"/>
      <c r="M48" s="117"/>
      <c r="N48" s="118"/>
      <c r="O48" s="112"/>
      <c r="P48" s="115"/>
      <c r="Q48" s="115"/>
      <c r="R48" s="114"/>
      <c r="S48" s="114"/>
      <c r="T48" s="115"/>
      <c r="U48" s="116"/>
      <c r="V48" s="112"/>
      <c r="W48" s="217"/>
      <c r="X48" s="217"/>
      <c r="Y48" s="217"/>
      <c r="Z48" s="1"/>
      <c r="AA48" s="1"/>
      <c r="AB48" s="12"/>
      <c r="AC48" s="12"/>
    </row>
    <row r="49" spans="2:29" ht="24.9" customHeight="1" x14ac:dyDescent="0.3">
      <c r="B49" s="226" t="s">
        <v>29</v>
      </c>
      <c r="C49" s="26" t="str">
        <f t="shared" si="1"/>
        <v/>
      </c>
      <c r="D49" s="53" t="str">
        <f>IF(Data!F44="","",Data!F44)</f>
        <v/>
      </c>
      <c r="E49" s="92" t="str">
        <f>IF(Data!H44="","",Data!H44)</f>
        <v/>
      </c>
      <c r="F49" s="54" t="str">
        <f>IF(Data!I44="","",Data!I44)</f>
        <v/>
      </c>
      <c r="G49" s="110"/>
      <c r="H49" s="111"/>
      <c r="I49" s="117"/>
      <c r="J49" s="117"/>
      <c r="K49" s="117"/>
      <c r="L49" s="117"/>
      <c r="M49" s="117"/>
      <c r="N49" s="118"/>
      <c r="O49" s="112"/>
      <c r="P49" s="115"/>
      <c r="Q49" s="115"/>
      <c r="R49" s="114"/>
      <c r="S49" s="114"/>
      <c r="T49" s="115"/>
      <c r="U49" s="116"/>
      <c r="V49" s="112"/>
      <c r="W49" s="217"/>
      <c r="X49" s="217"/>
      <c r="Y49" s="217"/>
      <c r="Z49" s="1"/>
      <c r="AA49" s="1"/>
      <c r="AB49" s="12"/>
      <c r="AC49" s="12"/>
    </row>
    <row r="50" spans="2:29" ht="24.9" customHeight="1" x14ac:dyDescent="0.3">
      <c r="B50" s="226" t="s">
        <v>29</v>
      </c>
      <c r="C50" s="26" t="e">
        <f t="shared" si="1"/>
        <v>#VALUE!</v>
      </c>
      <c r="D50" s="53" t="str">
        <f>IF(Data!F45="","",Data!F45)</f>
        <v>03501</v>
      </c>
      <c r="E50" s="92" t="str">
        <f>IF(Data!H45="","",Data!H45)</f>
        <v>Ach. Fajruddhuha Ramadhan</v>
      </c>
      <c r="F50" s="54" t="str">
        <f>IF(Data!I45="","",Data!I45)</f>
        <v>Laki-laki</v>
      </c>
      <c r="G50" s="110"/>
      <c r="H50" s="111"/>
      <c r="I50" s="117"/>
      <c r="J50" s="117"/>
      <c r="K50" s="117"/>
      <c r="L50" s="117"/>
      <c r="M50" s="117"/>
      <c r="N50" s="118"/>
      <c r="O50" s="112"/>
      <c r="P50" s="115"/>
      <c r="Q50" s="115"/>
      <c r="R50" s="114"/>
      <c r="S50" s="114"/>
      <c r="T50" s="115"/>
      <c r="U50" s="116"/>
      <c r="V50" s="112"/>
      <c r="W50" s="217"/>
      <c r="X50" s="217"/>
      <c r="Y50" s="217"/>
      <c r="Z50" s="1"/>
      <c r="AA50" s="1"/>
      <c r="AB50" s="12"/>
      <c r="AC50" s="12"/>
    </row>
    <row r="51" spans="2:29" ht="24.9" customHeight="1" x14ac:dyDescent="0.3">
      <c r="B51" s="226" t="s">
        <v>29</v>
      </c>
      <c r="C51" s="26" t="e">
        <f t="shared" si="1"/>
        <v>#VALUE!</v>
      </c>
      <c r="D51" s="53" t="str">
        <f>IF(Data!F46="","",Data!F46)</f>
        <v>03504</v>
      </c>
      <c r="E51" s="92" t="str">
        <f>IF(Data!H46="","",Data!H46)</f>
        <v>Achmad Fatkhur Rozi</v>
      </c>
      <c r="F51" s="54" t="str">
        <f>IF(Data!I46="","",Data!I46)</f>
        <v>Laki-laki</v>
      </c>
      <c r="G51" s="110"/>
      <c r="H51" s="111"/>
      <c r="I51" s="117"/>
      <c r="J51" s="117"/>
      <c r="K51" s="117"/>
      <c r="L51" s="117"/>
      <c r="M51" s="117"/>
      <c r="N51" s="118"/>
      <c r="O51" s="112"/>
      <c r="P51" s="115"/>
      <c r="Q51" s="115"/>
      <c r="R51" s="114"/>
      <c r="S51" s="114"/>
      <c r="T51" s="115"/>
      <c r="U51" s="116"/>
      <c r="V51" s="112"/>
      <c r="W51" s="217"/>
      <c r="X51" s="217"/>
      <c r="Y51" s="217"/>
      <c r="Z51" s="1"/>
      <c r="AA51" s="1"/>
      <c r="AB51" s="12"/>
      <c r="AC51" s="12"/>
    </row>
    <row r="52" spans="2:29" ht="24.9" customHeight="1" x14ac:dyDescent="0.3">
      <c r="B52" s="226" t="s">
        <v>29</v>
      </c>
      <c r="C52" s="26" t="e">
        <f t="shared" si="1"/>
        <v>#VALUE!</v>
      </c>
      <c r="D52" s="53" t="str">
        <f>IF(Data!F47="","",Data!F47)</f>
        <v>03507</v>
      </c>
      <c r="E52" s="92" t="str">
        <f>IF(Data!H47="","",Data!H47)</f>
        <v>Afwan Minan Rohman</v>
      </c>
      <c r="F52" s="54" t="str">
        <f>IF(Data!I47="","",Data!I47)</f>
        <v>Laki-laki</v>
      </c>
      <c r="G52" s="110"/>
      <c r="H52" s="111"/>
      <c r="I52" s="117"/>
      <c r="J52" s="117"/>
      <c r="K52" s="117"/>
      <c r="L52" s="117"/>
      <c r="M52" s="117"/>
      <c r="N52" s="118"/>
      <c r="O52" s="112"/>
      <c r="P52" s="115"/>
      <c r="Q52" s="115"/>
      <c r="R52" s="114"/>
      <c r="S52" s="114"/>
      <c r="T52" s="115"/>
      <c r="U52" s="116"/>
      <c r="V52" s="112"/>
      <c r="W52" s="217"/>
      <c r="X52" s="217"/>
      <c r="Y52" s="217"/>
      <c r="Z52" s="1"/>
      <c r="AA52" s="1"/>
      <c r="AB52" s="12"/>
      <c r="AC52" s="12"/>
    </row>
    <row r="53" spans="2:29" ht="24.9" customHeight="1" x14ac:dyDescent="0.3">
      <c r="B53" s="226" t="s">
        <v>29</v>
      </c>
      <c r="C53" s="26" t="e">
        <f t="shared" si="1"/>
        <v>#VALUE!</v>
      </c>
      <c r="D53" s="53" t="str">
        <f>IF(Data!F48="","",Data!F48)</f>
        <v>03508</v>
      </c>
      <c r="E53" s="92" t="str">
        <f>IF(Data!H48="","",Data!H48)</f>
        <v>Ahdaniel Jamil Fiddin</v>
      </c>
      <c r="F53" s="54" t="str">
        <f>IF(Data!I48="","",Data!I48)</f>
        <v>Laki-laki</v>
      </c>
      <c r="G53" s="110"/>
      <c r="H53" s="111"/>
      <c r="I53" s="117"/>
      <c r="J53" s="117"/>
      <c r="K53" s="117"/>
      <c r="L53" s="117"/>
      <c r="M53" s="117"/>
      <c r="N53" s="118"/>
      <c r="O53" s="112"/>
      <c r="P53" s="115"/>
      <c r="Q53" s="115"/>
      <c r="R53" s="114"/>
      <c r="S53" s="114"/>
      <c r="T53" s="115"/>
      <c r="U53" s="116"/>
      <c r="V53" s="112"/>
      <c r="W53" s="217"/>
      <c r="X53" s="217"/>
      <c r="Y53" s="217"/>
      <c r="Z53" s="1"/>
      <c r="AA53" s="1"/>
      <c r="AB53" s="12"/>
      <c r="AC53" s="12"/>
    </row>
    <row r="54" spans="2:29" ht="24.9" customHeight="1" x14ac:dyDescent="0.3">
      <c r="B54" s="226" t="s">
        <v>29</v>
      </c>
      <c r="C54" s="26" t="e">
        <f t="shared" si="1"/>
        <v>#VALUE!</v>
      </c>
      <c r="D54" s="53" t="str">
        <f>IF(Data!F49="","",Data!F49)</f>
        <v>03509</v>
      </c>
      <c r="E54" s="92" t="str">
        <f>IF(Data!H49="","",Data!H49)</f>
        <v>Ahmad Abiya Nur Na'im</v>
      </c>
      <c r="F54" s="54" t="str">
        <f>IF(Data!I49="","",Data!I49)</f>
        <v>Laki-laki</v>
      </c>
      <c r="G54" s="110"/>
      <c r="H54" s="111"/>
      <c r="I54" s="117"/>
      <c r="J54" s="117"/>
      <c r="K54" s="117"/>
      <c r="L54" s="117"/>
      <c r="M54" s="117"/>
      <c r="N54" s="118"/>
      <c r="O54" s="112"/>
      <c r="P54" s="115"/>
      <c r="Q54" s="115"/>
      <c r="R54" s="114"/>
      <c r="S54" s="114"/>
      <c r="T54" s="115"/>
      <c r="U54" s="116"/>
      <c r="V54" s="112"/>
      <c r="W54" s="217"/>
      <c r="X54" s="217"/>
      <c r="Y54" s="217"/>
      <c r="Z54" s="1"/>
      <c r="AA54" s="1"/>
      <c r="AB54" s="12"/>
      <c r="AC54" s="12"/>
    </row>
    <row r="55" spans="2:29" ht="24.9" customHeight="1" x14ac:dyDescent="0.3">
      <c r="B55" s="226" t="s">
        <v>29</v>
      </c>
      <c r="C55" s="26" t="e">
        <f t="shared" si="1"/>
        <v>#VALUE!</v>
      </c>
      <c r="D55" s="53" t="str">
        <f>IF(Data!F50="","",Data!F50)</f>
        <v>03520</v>
      </c>
      <c r="E55" s="92" t="str">
        <f>IF(Data!H50="","",Data!H50)</f>
        <v>Ahmad Iqbal Maulana</v>
      </c>
      <c r="F55" s="54" t="str">
        <f>IF(Data!I50="","",Data!I50)</f>
        <v>Laki-laki</v>
      </c>
      <c r="G55" s="110"/>
      <c r="H55" s="111"/>
      <c r="I55" s="117"/>
      <c r="J55" s="117"/>
      <c r="K55" s="117"/>
      <c r="L55" s="117"/>
      <c r="M55" s="117"/>
      <c r="N55" s="118"/>
      <c r="O55" s="112"/>
      <c r="P55" s="115"/>
      <c r="Q55" s="115"/>
      <c r="R55" s="114"/>
      <c r="S55" s="114"/>
      <c r="T55" s="115"/>
      <c r="U55" s="116"/>
      <c r="V55" s="112"/>
      <c r="W55" s="217"/>
      <c r="X55" s="217"/>
      <c r="Y55" s="217"/>
      <c r="Z55" s="1"/>
      <c r="AA55" s="1"/>
      <c r="AB55" s="12"/>
      <c r="AC55" s="12"/>
    </row>
    <row r="56" spans="2:29" ht="24.9" customHeight="1" x14ac:dyDescent="0.3">
      <c r="B56" s="226" t="s">
        <v>29</v>
      </c>
      <c r="C56" s="26" t="e">
        <f t="shared" si="1"/>
        <v>#VALUE!</v>
      </c>
      <c r="D56" s="53" t="str">
        <f>IF(Data!F51="","",Data!F51)</f>
        <v>03522</v>
      </c>
      <c r="E56" s="92" t="str">
        <f>IF(Data!H51="","",Data!H51)</f>
        <v>Ahmad Nafis An Nafi'</v>
      </c>
      <c r="F56" s="54" t="str">
        <f>IF(Data!I51="","",Data!I51)</f>
        <v>Laki-laki</v>
      </c>
      <c r="G56" s="110"/>
      <c r="H56" s="111"/>
      <c r="I56" s="117"/>
      <c r="J56" s="117"/>
      <c r="K56" s="117"/>
      <c r="L56" s="117"/>
      <c r="M56" s="117"/>
      <c r="N56" s="118"/>
      <c r="O56" s="112"/>
      <c r="P56" s="115"/>
      <c r="Q56" s="115"/>
      <c r="R56" s="114"/>
      <c r="S56" s="114"/>
      <c r="T56" s="115"/>
      <c r="U56" s="116"/>
      <c r="V56" s="112"/>
      <c r="W56" s="217"/>
      <c r="X56" s="217"/>
      <c r="Y56" s="217"/>
      <c r="Z56" s="1"/>
      <c r="AA56" s="1"/>
      <c r="AB56" s="12"/>
      <c r="AC56" s="12"/>
    </row>
    <row r="57" spans="2:29" ht="24.9" customHeight="1" x14ac:dyDescent="0.3">
      <c r="B57" s="226" t="s">
        <v>29</v>
      </c>
      <c r="C57" s="26" t="e">
        <f t="shared" si="1"/>
        <v>#VALUE!</v>
      </c>
      <c r="D57" s="53" t="str">
        <f>IF(Data!F52="","",Data!F52)</f>
        <v>03523</v>
      </c>
      <c r="E57" s="92" t="str">
        <f>IF(Data!H52="","",Data!H52)</f>
        <v>Ahmad Naufal Miftakhul Ulum</v>
      </c>
      <c r="F57" s="54" t="str">
        <f>IF(Data!I52="","",Data!I52)</f>
        <v>Laki-laki</v>
      </c>
      <c r="G57" s="110"/>
      <c r="H57" s="111"/>
      <c r="I57" s="117"/>
      <c r="J57" s="117"/>
      <c r="K57" s="117"/>
      <c r="L57" s="117"/>
      <c r="M57" s="117"/>
      <c r="N57" s="118"/>
      <c r="O57" s="112"/>
      <c r="P57" s="115"/>
      <c r="Q57" s="115"/>
      <c r="R57" s="114"/>
      <c r="S57" s="114"/>
      <c r="T57" s="115"/>
      <c r="U57" s="116"/>
      <c r="V57" s="112"/>
      <c r="W57" s="217"/>
      <c r="X57" s="217"/>
      <c r="Y57" s="217"/>
      <c r="Z57" s="1"/>
      <c r="AA57" s="1"/>
      <c r="AB57" s="12"/>
      <c r="AC57" s="12"/>
    </row>
    <row r="58" spans="2:29" ht="24.9" customHeight="1" x14ac:dyDescent="0.3">
      <c r="B58" s="226" t="s">
        <v>29</v>
      </c>
      <c r="C58" s="26" t="e">
        <f t="shared" si="1"/>
        <v>#VALUE!</v>
      </c>
      <c r="D58" s="53" t="str">
        <f>IF(Data!F53="","",Data!F53)</f>
        <v>03526</v>
      </c>
      <c r="E58" s="92" t="str">
        <f>IF(Data!H53="","",Data!H53)</f>
        <v>Ahmad Syauqi Mushoffa</v>
      </c>
      <c r="F58" s="54" t="str">
        <f>IF(Data!I53="","",Data!I53)</f>
        <v>Laki-laki</v>
      </c>
      <c r="G58" s="110"/>
      <c r="H58" s="111"/>
      <c r="I58" s="117"/>
      <c r="J58" s="117"/>
      <c r="K58" s="117"/>
      <c r="L58" s="117"/>
      <c r="M58" s="117"/>
      <c r="N58" s="118"/>
      <c r="O58" s="112"/>
      <c r="P58" s="115"/>
      <c r="Q58" s="115"/>
      <c r="R58" s="114"/>
      <c r="S58" s="114"/>
      <c r="T58" s="115"/>
      <c r="U58" s="116"/>
      <c r="V58" s="112"/>
      <c r="W58" s="217"/>
      <c r="X58" s="217"/>
      <c r="Y58" s="217"/>
      <c r="Z58" s="1"/>
      <c r="AA58" s="1"/>
      <c r="AB58" s="12"/>
      <c r="AC58" s="12"/>
    </row>
    <row r="59" spans="2:29" ht="24.9" customHeight="1" x14ac:dyDescent="0.3">
      <c r="B59" s="226" t="s">
        <v>29</v>
      </c>
      <c r="C59" s="26" t="e">
        <f t="shared" si="1"/>
        <v>#VALUE!</v>
      </c>
      <c r="D59" s="53" t="str">
        <f>IF(Data!F54="","",Data!F54)</f>
        <v>03531</v>
      </c>
      <c r="E59" s="92" t="str">
        <f>IF(Data!H54="","",Data!H54)</f>
        <v>Alvin Zakaria</v>
      </c>
      <c r="F59" s="54" t="str">
        <f>IF(Data!I54="","",Data!I54)</f>
        <v>Laki-laki</v>
      </c>
      <c r="G59" s="110"/>
      <c r="H59" s="111"/>
      <c r="I59" s="117"/>
      <c r="J59" s="117"/>
      <c r="K59" s="117"/>
      <c r="L59" s="117"/>
      <c r="M59" s="117"/>
      <c r="N59" s="118"/>
      <c r="O59" s="112"/>
      <c r="P59" s="115"/>
      <c r="Q59" s="115"/>
      <c r="R59" s="114"/>
      <c r="S59" s="114"/>
      <c r="T59" s="115"/>
      <c r="U59" s="116"/>
      <c r="V59" s="112"/>
      <c r="W59" s="217"/>
      <c r="X59" s="217"/>
      <c r="Y59" s="217"/>
      <c r="Z59" s="1"/>
      <c r="AA59" s="1"/>
      <c r="AB59" s="12"/>
      <c r="AC59" s="12"/>
    </row>
    <row r="60" spans="2:29" ht="24.9" customHeight="1" x14ac:dyDescent="0.3">
      <c r="B60" s="226" t="s">
        <v>29</v>
      </c>
      <c r="C60" s="26" t="e">
        <f t="shared" si="1"/>
        <v>#VALUE!</v>
      </c>
      <c r="D60" s="53" t="str">
        <f>IF(Data!F55="","",Data!F55)</f>
        <v>03534</v>
      </c>
      <c r="E60" s="92" t="str">
        <f>IF(Data!H55="","",Data!H55)</f>
        <v>Aufal Fadhol Al-Hariry</v>
      </c>
      <c r="F60" s="54" t="str">
        <f>IF(Data!I55="","",Data!I55)</f>
        <v>Laki-laki</v>
      </c>
      <c r="G60" s="110"/>
      <c r="H60" s="111"/>
      <c r="I60" s="117"/>
      <c r="J60" s="117"/>
      <c r="K60" s="117"/>
      <c r="L60" s="117"/>
      <c r="M60" s="117"/>
      <c r="N60" s="118"/>
      <c r="O60" s="112"/>
      <c r="P60" s="115"/>
      <c r="Q60" s="115"/>
      <c r="R60" s="114"/>
      <c r="S60" s="114"/>
      <c r="T60" s="115"/>
      <c r="U60" s="116"/>
      <c r="V60" s="112"/>
      <c r="W60" s="217"/>
      <c r="X60" s="217"/>
      <c r="Y60" s="217"/>
      <c r="Z60" s="1"/>
      <c r="AA60" s="1"/>
      <c r="AB60" s="12"/>
      <c r="AC60" s="12"/>
    </row>
    <row r="61" spans="2:29" ht="24.9" customHeight="1" x14ac:dyDescent="0.3">
      <c r="B61" s="226" t="s">
        <v>29</v>
      </c>
      <c r="C61" s="26" t="e">
        <f t="shared" si="1"/>
        <v>#VALUE!</v>
      </c>
      <c r="D61" s="53" t="str">
        <f>IF(Data!F56="","",Data!F56)</f>
        <v>03535</v>
      </c>
      <c r="E61" s="92" t="str">
        <f>IF(Data!H56="","",Data!H56)</f>
        <v>Azka Naufal Pratama</v>
      </c>
      <c r="F61" s="54" t="str">
        <f>IF(Data!I56="","",Data!I56)</f>
        <v>Laki-laki</v>
      </c>
      <c r="G61" s="110"/>
      <c r="H61" s="111"/>
      <c r="I61" s="117"/>
      <c r="J61" s="117"/>
      <c r="K61" s="117"/>
      <c r="L61" s="117"/>
      <c r="M61" s="117"/>
      <c r="N61" s="118"/>
      <c r="O61" s="112"/>
      <c r="P61" s="115"/>
      <c r="Q61" s="115"/>
      <c r="R61" s="114"/>
      <c r="S61" s="114"/>
      <c r="T61" s="115"/>
      <c r="U61" s="116"/>
      <c r="V61" s="112"/>
      <c r="W61" s="217"/>
      <c r="X61" s="217"/>
      <c r="Y61" s="217"/>
      <c r="Z61" s="1"/>
      <c r="AA61" s="1"/>
      <c r="AB61" s="12"/>
      <c r="AC61" s="12"/>
    </row>
    <row r="62" spans="2:29" ht="24.9" customHeight="1" x14ac:dyDescent="0.3">
      <c r="B62" s="226" t="s">
        <v>29</v>
      </c>
      <c r="C62" s="26" t="e">
        <f t="shared" si="1"/>
        <v>#VALUE!</v>
      </c>
      <c r="D62" s="53" t="str">
        <f>IF(Data!F57="","",Data!F57)</f>
        <v>03546</v>
      </c>
      <c r="E62" s="92" t="str">
        <f>IF(Data!H57="","",Data!H57)</f>
        <v>Ghyna Dzakiya Ucchaishthana</v>
      </c>
      <c r="F62" s="54" t="str">
        <f>IF(Data!I57="","",Data!I57)</f>
        <v>Laki-laki</v>
      </c>
      <c r="G62" s="110"/>
      <c r="H62" s="111"/>
      <c r="I62" s="117"/>
      <c r="J62" s="117"/>
      <c r="K62" s="117"/>
      <c r="L62" s="117"/>
      <c r="M62" s="117"/>
      <c r="N62" s="118"/>
      <c r="O62" s="112"/>
      <c r="P62" s="115"/>
      <c r="Q62" s="115"/>
      <c r="R62" s="114"/>
      <c r="S62" s="114"/>
      <c r="T62" s="115"/>
      <c r="U62" s="116"/>
      <c r="V62" s="112"/>
      <c r="W62" s="217"/>
      <c r="X62" s="217"/>
      <c r="Y62" s="217"/>
      <c r="Z62" s="1"/>
      <c r="AA62" s="1"/>
      <c r="AB62" s="12"/>
      <c r="AC62" s="12"/>
    </row>
    <row r="63" spans="2:29" ht="24.9" customHeight="1" x14ac:dyDescent="0.3">
      <c r="B63" s="226" t="s">
        <v>29</v>
      </c>
      <c r="C63" s="26" t="e">
        <f t="shared" si="1"/>
        <v>#VALUE!</v>
      </c>
      <c r="D63" s="53" t="str">
        <f>IF(Data!F58="","",Data!F58)</f>
        <v>03547</v>
      </c>
      <c r="E63" s="92" t="str">
        <f>IF(Data!H58="","",Data!H58)</f>
        <v>Gyo Ibnu Maskur</v>
      </c>
      <c r="F63" s="54" t="str">
        <f>IF(Data!I58="","",Data!I58)</f>
        <v>Laki-laki</v>
      </c>
      <c r="G63" s="110"/>
      <c r="H63" s="111"/>
      <c r="I63" s="117"/>
      <c r="J63" s="117"/>
      <c r="K63" s="117"/>
      <c r="L63" s="117"/>
      <c r="M63" s="117"/>
      <c r="N63" s="118"/>
      <c r="O63" s="112"/>
      <c r="P63" s="115"/>
      <c r="Q63" s="115"/>
      <c r="R63" s="114"/>
      <c r="S63" s="114"/>
      <c r="T63" s="115"/>
      <c r="U63" s="116"/>
      <c r="V63" s="112"/>
      <c r="W63" s="217"/>
      <c r="X63" s="217"/>
      <c r="Y63" s="217"/>
      <c r="Z63" s="1"/>
      <c r="AA63" s="1"/>
      <c r="AB63" s="12"/>
      <c r="AC63" s="12"/>
    </row>
    <row r="64" spans="2:29" ht="24.9" customHeight="1" x14ac:dyDescent="0.3">
      <c r="B64" s="226" t="s">
        <v>29</v>
      </c>
      <c r="C64" s="26" t="e">
        <f t="shared" si="1"/>
        <v>#VALUE!</v>
      </c>
      <c r="D64" s="53" t="str">
        <f>IF(Data!F59="","",Data!F59)</f>
        <v>03548</v>
      </c>
      <c r="E64" s="92" t="str">
        <f>IF(Data!H59="","",Data!H59)</f>
        <v>Hamizan Raihan Azka</v>
      </c>
      <c r="F64" s="54" t="str">
        <f>IF(Data!I59="","",Data!I59)</f>
        <v>Laki-laki</v>
      </c>
      <c r="G64" s="110"/>
      <c r="H64" s="111"/>
      <c r="I64" s="117"/>
      <c r="J64" s="117"/>
      <c r="K64" s="117"/>
      <c r="L64" s="117"/>
      <c r="M64" s="117"/>
      <c r="N64" s="118"/>
      <c r="O64" s="112"/>
      <c r="P64" s="115"/>
      <c r="Q64" s="115"/>
      <c r="R64" s="114"/>
      <c r="S64" s="114"/>
      <c r="T64" s="115"/>
      <c r="U64" s="116"/>
      <c r="V64" s="112"/>
      <c r="W64" s="217"/>
      <c r="X64" s="217"/>
      <c r="Y64" s="217"/>
      <c r="Z64" s="1"/>
      <c r="AA64" s="1"/>
      <c r="AB64" s="12"/>
      <c r="AC64" s="12"/>
    </row>
    <row r="65" spans="2:29" ht="24.9" customHeight="1" x14ac:dyDescent="0.3">
      <c r="B65" s="226" t="s">
        <v>29</v>
      </c>
      <c r="C65" s="26" t="e">
        <f t="shared" si="1"/>
        <v>#VALUE!</v>
      </c>
      <c r="D65" s="53" t="str">
        <f>IF(Data!F60="","",Data!F60)</f>
        <v>03549</v>
      </c>
      <c r="E65" s="92" t="str">
        <f>IF(Data!H60="","",Data!H60)</f>
        <v>Ja'Far Zainal Kafi Ma'Ruf</v>
      </c>
      <c r="F65" s="54" t="str">
        <f>IF(Data!I60="","",Data!I60)</f>
        <v>Laki-laki</v>
      </c>
      <c r="G65" s="110"/>
      <c r="H65" s="111"/>
      <c r="I65" s="117"/>
      <c r="J65" s="117"/>
      <c r="K65" s="117"/>
      <c r="L65" s="117"/>
      <c r="M65" s="117"/>
      <c r="N65" s="118"/>
      <c r="O65" s="112"/>
      <c r="P65" s="115"/>
      <c r="Q65" s="115"/>
      <c r="R65" s="114"/>
      <c r="S65" s="114"/>
      <c r="T65" s="115"/>
      <c r="U65" s="116"/>
      <c r="V65" s="112"/>
      <c r="W65" s="217"/>
      <c r="X65" s="217"/>
      <c r="Y65" s="217"/>
      <c r="Z65" s="1"/>
      <c r="AA65" s="1"/>
      <c r="AB65" s="12"/>
      <c r="AC65" s="12"/>
    </row>
    <row r="66" spans="2:29" ht="24.9" customHeight="1" x14ac:dyDescent="0.3">
      <c r="B66" s="226" t="s">
        <v>29</v>
      </c>
      <c r="C66" s="26" t="e">
        <f t="shared" si="1"/>
        <v>#VALUE!</v>
      </c>
      <c r="D66" s="53" t="str">
        <f>IF(Data!F61="","",Data!F61)</f>
        <v>03553</v>
      </c>
      <c r="E66" s="92" t="str">
        <f>IF(Data!H61="","",Data!H61)</f>
        <v>Luthfi Adhyaksa Tamam Ramadhan</v>
      </c>
      <c r="F66" s="54" t="str">
        <f>IF(Data!I61="","",Data!I61)</f>
        <v>Laki-laki</v>
      </c>
      <c r="G66" s="110"/>
      <c r="H66" s="111"/>
      <c r="I66" s="117"/>
      <c r="J66" s="117"/>
      <c r="K66" s="117"/>
      <c r="L66" s="117"/>
      <c r="M66" s="117"/>
      <c r="N66" s="118"/>
      <c r="O66" s="112"/>
      <c r="P66" s="115"/>
      <c r="Q66" s="115"/>
      <c r="R66" s="114"/>
      <c r="S66" s="114"/>
      <c r="T66" s="115"/>
      <c r="U66" s="116"/>
      <c r="V66" s="112"/>
      <c r="W66" s="217"/>
      <c r="X66" s="217"/>
      <c r="Y66" s="217"/>
      <c r="Z66" s="1"/>
      <c r="AA66" s="1"/>
      <c r="AB66" s="12"/>
      <c r="AC66" s="12"/>
    </row>
    <row r="67" spans="2:29" ht="24.9" customHeight="1" x14ac:dyDescent="0.3">
      <c r="B67" s="226" t="s">
        <v>29</v>
      </c>
      <c r="C67" s="26" t="e">
        <f t="shared" si="1"/>
        <v>#VALUE!</v>
      </c>
      <c r="D67" s="53" t="str">
        <f>IF(Data!F62="","",Data!F62)</f>
        <v>03556</v>
      </c>
      <c r="E67" s="92" t="str">
        <f>IF(Data!H62="","",Data!H62)</f>
        <v>M. Sa'id Abdullah</v>
      </c>
      <c r="F67" s="54" t="str">
        <f>IF(Data!I62="","",Data!I62)</f>
        <v>Laki-laki</v>
      </c>
      <c r="G67" s="110"/>
      <c r="H67" s="111"/>
      <c r="I67" s="117"/>
      <c r="J67" s="117"/>
      <c r="K67" s="117"/>
      <c r="L67" s="117"/>
      <c r="M67" s="117"/>
      <c r="N67" s="118"/>
      <c r="O67" s="112"/>
      <c r="P67" s="115"/>
      <c r="Q67" s="115"/>
      <c r="R67" s="114"/>
      <c r="S67" s="114"/>
      <c r="T67" s="115"/>
      <c r="U67" s="116"/>
      <c r="V67" s="112"/>
      <c r="W67" s="217"/>
      <c r="X67" s="217"/>
      <c r="Y67" s="217"/>
      <c r="Z67" s="1"/>
      <c r="AA67" s="1"/>
      <c r="AB67" s="12"/>
      <c r="AC67" s="12"/>
    </row>
    <row r="68" spans="2:29" ht="24.9" customHeight="1" x14ac:dyDescent="0.3">
      <c r="B68" s="226" t="s">
        <v>29</v>
      </c>
      <c r="C68" s="26" t="e">
        <f t="shared" si="1"/>
        <v>#VALUE!</v>
      </c>
      <c r="D68" s="53" t="str">
        <f>IF(Data!F63="","",Data!F63)</f>
        <v>03562</v>
      </c>
      <c r="E68" s="92" t="str">
        <f>IF(Data!H63="","",Data!H63)</f>
        <v>Mohamad Faiza Firjatulloh Azza</v>
      </c>
      <c r="F68" s="54" t="str">
        <f>IF(Data!I63="","",Data!I63)</f>
        <v>Laki-laki</v>
      </c>
      <c r="G68" s="110"/>
      <c r="H68" s="111"/>
      <c r="I68" s="117"/>
      <c r="J68" s="117"/>
      <c r="K68" s="117"/>
      <c r="L68" s="117"/>
      <c r="M68" s="117"/>
      <c r="N68" s="118"/>
      <c r="O68" s="112"/>
      <c r="P68" s="115"/>
      <c r="Q68" s="115"/>
      <c r="R68" s="114"/>
      <c r="S68" s="114"/>
      <c r="T68" s="115"/>
      <c r="U68" s="116"/>
      <c r="V68" s="112"/>
      <c r="W68" s="217"/>
      <c r="X68" s="217"/>
      <c r="Y68" s="217"/>
      <c r="Z68" s="1"/>
      <c r="AA68" s="1"/>
      <c r="AB68" s="12"/>
      <c r="AC68" s="12"/>
    </row>
    <row r="69" spans="2:29" ht="24.9" customHeight="1" x14ac:dyDescent="0.3">
      <c r="B69" s="226" t="s">
        <v>29</v>
      </c>
      <c r="C69" s="26" t="e">
        <f t="shared" si="1"/>
        <v>#VALUE!</v>
      </c>
      <c r="D69" s="53" t="str">
        <f>IF(Data!F64="","",Data!F64)</f>
        <v>03564</v>
      </c>
      <c r="E69" s="92" t="str">
        <f>IF(Data!H64="","",Data!H64)</f>
        <v>Mohammad Ammar Syihabuddin</v>
      </c>
      <c r="F69" s="54" t="str">
        <f>IF(Data!I64="","",Data!I64)</f>
        <v>Laki-laki</v>
      </c>
      <c r="G69" s="110"/>
      <c r="H69" s="111"/>
      <c r="I69" s="117"/>
      <c r="J69" s="117"/>
      <c r="K69" s="117"/>
      <c r="L69" s="117"/>
      <c r="M69" s="117"/>
      <c r="N69" s="118"/>
      <c r="O69" s="112"/>
      <c r="P69" s="115"/>
      <c r="Q69" s="115"/>
      <c r="R69" s="114"/>
      <c r="S69" s="114"/>
      <c r="T69" s="115"/>
      <c r="U69" s="116"/>
      <c r="V69" s="112"/>
      <c r="W69" s="217"/>
      <c r="X69" s="217"/>
      <c r="Y69" s="217"/>
      <c r="Z69" s="1"/>
      <c r="AA69" s="1"/>
      <c r="AB69" s="12"/>
      <c r="AC69" s="12"/>
    </row>
    <row r="70" spans="2:29" ht="24.9" customHeight="1" x14ac:dyDescent="0.3">
      <c r="B70" s="226" t="s">
        <v>29</v>
      </c>
      <c r="C70" s="26" t="e">
        <f t="shared" si="1"/>
        <v>#VALUE!</v>
      </c>
      <c r="D70" s="53" t="str">
        <f>IF(Data!F65="","",Data!F65)</f>
        <v>03570</v>
      </c>
      <c r="E70" s="92" t="str">
        <f>IF(Data!H65="","",Data!H65)</f>
        <v>Muhammad Adi Chandra Pratama</v>
      </c>
      <c r="F70" s="54" t="str">
        <f>IF(Data!I65="","",Data!I65)</f>
        <v>Laki-laki</v>
      </c>
      <c r="G70" s="110"/>
      <c r="H70" s="111"/>
      <c r="I70" s="117"/>
      <c r="J70" s="117"/>
      <c r="K70" s="117"/>
      <c r="L70" s="117"/>
      <c r="M70" s="117"/>
      <c r="N70" s="118"/>
      <c r="O70" s="112"/>
      <c r="P70" s="115"/>
      <c r="Q70" s="115"/>
      <c r="R70" s="114"/>
      <c r="S70" s="114"/>
      <c r="T70" s="115"/>
      <c r="U70" s="116"/>
      <c r="V70" s="112"/>
      <c r="W70" s="217"/>
      <c r="X70" s="217"/>
      <c r="Y70" s="217"/>
      <c r="Z70" s="1"/>
      <c r="AA70" s="1"/>
      <c r="AB70" s="12"/>
      <c r="AC70" s="12"/>
    </row>
    <row r="71" spans="2:29" ht="24.9" customHeight="1" x14ac:dyDescent="0.3">
      <c r="B71" s="226" t="s">
        <v>29</v>
      </c>
      <c r="C71" s="26" t="e">
        <f t="shared" si="1"/>
        <v>#VALUE!</v>
      </c>
      <c r="D71" s="53" t="str">
        <f>IF(Data!F66="","",Data!F66)</f>
        <v>03573</v>
      </c>
      <c r="E71" s="92" t="str">
        <f>IF(Data!H66="","",Data!H66)</f>
        <v>Muhammad Alif Rahman</v>
      </c>
      <c r="F71" s="54" t="str">
        <f>IF(Data!I66="","",Data!I66)</f>
        <v>Laki-laki</v>
      </c>
      <c r="G71" s="110"/>
      <c r="H71" s="111"/>
      <c r="I71" s="117"/>
      <c r="J71" s="117"/>
      <c r="K71" s="117"/>
      <c r="L71" s="117"/>
      <c r="M71" s="117"/>
      <c r="N71" s="118"/>
      <c r="O71" s="112"/>
      <c r="P71" s="115"/>
      <c r="Q71" s="115"/>
      <c r="R71" s="114"/>
      <c r="S71" s="114"/>
      <c r="T71" s="115"/>
      <c r="U71" s="116"/>
      <c r="V71" s="112"/>
      <c r="W71" s="217"/>
      <c r="X71" s="217"/>
      <c r="Y71" s="217"/>
      <c r="Z71" s="1"/>
      <c r="AA71" s="1"/>
      <c r="AB71" s="12"/>
      <c r="AC71" s="12"/>
    </row>
    <row r="72" spans="2:29" ht="24.9" customHeight="1" x14ac:dyDescent="0.3">
      <c r="B72" s="226" t="s">
        <v>29</v>
      </c>
      <c r="C72" s="26" t="e">
        <f t="shared" si="1"/>
        <v>#VALUE!</v>
      </c>
      <c r="D72" s="53" t="str">
        <f>IF(Data!F67="","",Data!F67)</f>
        <v>03579</v>
      </c>
      <c r="E72" s="92" t="str">
        <f>IF(Data!H67="","",Data!H67)</f>
        <v>Muhammad Fahri Setio Budi</v>
      </c>
      <c r="F72" s="54" t="str">
        <f>IF(Data!I67="","",Data!I67)</f>
        <v>Laki-laki</v>
      </c>
      <c r="G72" s="110"/>
      <c r="H72" s="111"/>
      <c r="I72" s="117"/>
      <c r="J72" s="117"/>
      <c r="K72" s="117"/>
      <c r="L72" s="117"/>
      <c r="M72" s="117"/>
      <c r="N72" s="118"/>
      <c r="O72" s="112"/>
      <c r="P72" s="115"/>
      <c r="Q72" s="115"/>
      <c r="R72" s="114"/>
      <c r="S72" s="114"/>
      <c r="T72" s="115"/>
      <c r="U72" s="116"/>
      <c r="V72" s="112"/>
      <c r="W72" s="217"/>
      <c r="X72" s="217"/>
      <c r="Y72" s="217"/>
      <c r="Z72" s="1"/>
      <c r="AA72" s="1"/>
      <c r="AB72" s="12"/>
      <c r="AC72" s="12"/>
    </row>
    <row r="73" spans="2:29" ht="24.9" customHeight="1" x14ac:dyDescent="0.3">
      <c r="B73" s="226" t="s">
        <v>29</v>
      </c>
      <c r="C73" s="26" t="e">
        <f t="shared" si="1"/>
        <v>#VALUE!</v>
      </c>
      <c r="D73" s="53" t="str">
        <f>IF(Data!F68="","",Data!F68)</f>
        <v>03580</v>
      </c>
      <c r="E73" s="92" t="str">
        <f>IF(Data!H68="","",Data!H68)</f>
        <v>Muhammad Fasil Raja</v>
      </c>
      <c r="F73" s="54" t="str">
        <f>IF(Data!I68="","",Data!I68)</f>
        <v>Laki-laki</v>
      </c>
      <c r="G73" s="110"/>
      <c r="H73" s="111"/>
      <c r="I73" s="117"/>
      <c r="J73" s="117"/>
      <c r="K73" s="117"/>
      <c r="L73" s="117"/>
      <c r="M73" s="117"/>
      <c r="N73" s="118"/>
      <c r="O73" s="112"/>
      <c r="P73" s="115"/>
      <c r="Q73" s="115"/>
      <c r="R73" s="114"/>
      <c r="S73" s="114"/>
      <c r="T73" s="115"/>
      <c r="U73" s="116"/>
      <c r="V73" s="112"/>
      <c r="W73" s="217"/>
      <c r="X73" s="217"/>
      <c r="Y73" s="217"/>
      <c r="Z73" s="1"/>
      <c r="AA73" s="1"/>
      <c r="AB73" s="12"/>
      <c r="AC73" s="12"/>
    </row>
    <row r="74" spans="2:29" ht="24.9" customHeight="1" x14ac:dyDescent="0.3">
      <c r="B74" s="226" t="s">
        <v>29</v>
      </c>
      <c r="C74" s="26" t="e">
        <f t="shared" si="1"/>
        <v>#VALUE!</v>
      </c>
      <c r="D74" s="53" t="str">
        <f>IF(Data!F69="","",Data!F69)</f>
        <v>03583</v>
      </c>
      <c r="E74" s="92" t="str">
        <f>IF(Data!H69="","",Data!H69)</f>
        <v>Muhammad Ilham Fahrizal</v>
      </c>
      <c r="F74" s="54" t="str">
        <f>IF(Data!I69="","",Data!I69)</f>
        <v>Laki-laki</v>
      </c>
      <c r="G74" s="110"/>
      <c r="H74" s="111"/>
      <c r="I74" s="117"/>
      <c r="J74" s="117"/>
      <c r="K74" s="117"/>
      <c r="L74" s="117"/>
      <c r="M74" s="117"/>
      <c r="N74" s="118"/>
      <c r="O74" s="112"/>
      <c r="P74" s="115"/>
      <c r="Q74" s="115"/>
      <c r="R74" s="114"/>
      <c r="S74" s="114"/>
      <c r="T74" s="115"/>
      <c r="U74" s="116"/>
      <c r="V74" s="112"/>
      <c r="W74" s="217"/>
      <c r="X74" s="217"/>
      <c r="Y74" s="217"/>
      <c r="Z74" s="1"/>
      <c r="AA74" s="1"/>
      <c r="AB74" s="12"/>
      <c r="AC74" s="12"/>
    </row>
    <row r="75" spans="2:29" ht="24.9" customHeight="1" x14ac:dyDescent="0.3">
      <c r="B75" s="226" t="s">
        <v>29</v>
      </c>
      <c r="C75" s="26" t="e">
        <f t="shared" si="1"/>
        <v>#VALUE!</v>
      </c>
      <c r="D75" s="53" t="str">
        <f>IF(Data!F70="","",Data!F70)</f>
        <v>03586</v>
      </c>
      <c r="E75" s="92" t="str">
        <f>IF(Data!H70="","",Data!H70)</f>
        <v>Muhammad Iqbal Habibi</v>
      </c>
      <c r="F75" s="54" t="str">
        <f>IF(Data!I70="","",Data!I70)</f>
        <v>Laki-laki</v>
      </c>
      <c r="G75" s="110"/>
      <c r="H75" s="111"/>
      <c r="I75" s="117"/>
      <c r="J75" s="117"/>
      <c r="K75" s="117"/>
      <c r="L75" s="117"/>
      <c r="M75" s="117"/>
      <c r="N75" s="118"/>
      <c r="O75" s="112"/>
      <c r="P75" s="115"/>
      <c r="Q75" s="115"/>
      <c r="R75" s="114"/>
      <c r="S75" s="114"/>
      <c r="T75" s="115"/>
      <c r="U75" s="116"/>
      <c r="V75" s="112"/>
      <c r="W75" s="217"/>
      <c r="X75" s="217"/>
      <c r="Y75" s="217"/>
      <c r="Z75" s="1"/>
      <c r="AA75" s="1"/>
      <c r="AB75" s="12"/>
      <c r="AC75" s="12"/>
    </row>
    <row r="76" spans="2:29" ht="24.9" customHeight="1" x14ac:dyDescent="0.3">
      <c r="B76" s="226" t="s">
        <v>29</v>
      </c>
      <c r="C76" s="26" t="e">
        <f t="shared" si="1"/>
        <v>#VALUE!</v>
      </c>
      <c r="D76" s="53" t="str">
        <f>IF(Data!F71="","",Data!F71)</f>
        <v>03599</v>
      </c>
      <c r="E76" s="92" t="str">
        <f>IF(Data!H71="","",Data!H71)</f>
        <v>Muhammad Raffandi</v>
      </c>
      <c r="F76" s="54" t="str">
        <f>IF(Data!I71="","",Data!I71)</f>
        <v>Laki-laki</v>
      </c>
      <c r="G76" s="110"/>
      <c r="H76" s="111"/>
      <c r="I76" s="117"/>
      <c r="J76" s="117"/>
      <c r="K76" s="117"/>
      <c r="L76" s="117"/>
      <c r="M76" s="117"/>
      <c r="N76" s="118"/>
      <c r="O76" s="112"/>
      <c r="P76" s="115"/>
      <c r="Q76" s="115"/>
      <c r="R76" s="114"/>
      <c r="S76" s="114"/>
      <c r="T76" s="115"/>
      <c r="U76" s="116"/>
      <c r="V76" s="112"/>
      <c r="W76" s="217"/>
      <c r="X76" s="217"/>
      <c r="Y76" s="217"/>
      <c r="Z76" s="1"/>
      <c r="AA76" s="1"/>
      <c r="AB76" s="12"/>
      <c r="AC76" s="12"/>
    </row>
    <row r="77" spans="2:29" ht="24.9" customHeight="1" x14ac:dyDescent="0.3">
      <c r="B77" s="226" t="s">
        <v>29</v>
      </c>
      <c r="C77" s="26" t="e">
        <f t="shared" ref="C77:C140" si="2">IF(E77="","",C76+1)</f>
        <v>#VALUE!</v>
      </c>
      <c r="D77" s="53" t="str">
        <f>IF(Data!F72="","",Data!F72)</f>
        <v>03609</v>
      </c>
      <c r="E77" s="92" t="str">
        <f>IF(Data!H72="","",Data!H72)</f>
        <v>Raffa Ar Rasyid</v>
      </c>
      <c r="F77" s="54" t="str">
        <f>IF(Data!I72="","",Data!I72)</f>
        <v>Laki-laki</v>
      </c>
      <c r="G77" s="110"/>
      <c r="H77" s="111"/>
      <c r="I77" s="117"/>
      <c r="J77" s="117"/>
      <c r="K77" s="117"/>
      <c r="L77" s="117"/>
      <c r="M77" s="117"/>
      <c r="N77" s="118"/>
      <c r="O77" s="112"/>
      <c r="P77" s="115"/>
      <c r="Q77" s="115"/>
      <c r="R77" s="114"/>
      <c r="S77" s="114"/>
      <c r="T77" s="115"/>
      <c r="U77" s="116"/>
      <c r="V77" s="112"/>
      <c r="W77" s="217"/>
      <c r="X77" s="217"/>
      <c r="Y77" s="217"/>
      <c r="Z77" s="1"/>
      <c r="AA77" s="1"/>
      <c r="AB77" s="12"/>
      <c r="AC77" s="12"/>
    </row>
    <row r="78" spans="2:29" ht="24.9" customHeight="1" x14ac:dyDescent="0.3">
      <c r="B78" s="226" t="s">
        <v>29</v>
      </c>
      <c r="C78" s="26" t="e">
        <f t="shared" si="2"/>
        <v>#VALUE!</v>
      </c>
      <c r="D78" s="53" t="str">
        <f>IF(Data!F73="","",Data!F73)</f>
        <v>03613</v>
      </c>
      <c r="E78" s="92" t="str">
        <f>IF(Data!H73="","",Data!H73)</f>
        <v>Rayyandra Arfa Keanu Bagaskara</v>
      </c>
      <c r="F78" s="54" t="str">
        <f>IF(Data!I73="","",Data!I73)</f>
        <v>Laki-laki</v>
      </c>
      <c r="G78" s="110"/>
      <c r="H78" s="111"/>
      <c r="I78" s="117"/>
      <c r="J78" s="117"/>
      <c r="K78" s="117"/>
      <c r="L78" s="117"/>
      <c r="M78" s="117"/>
      <c r="N78" s="118"/>
      <c r="O78" s="112"/>
      <c r="P78" s="115"/>
      <c r="Q78" s="115"/>
      <c r="R78" s="114"/>
      <c r="S78" s="114"/>
      <c r="T78" s="115"/>
      <c r="U78" s="116"/>
      <c r="V78" s="112"/>
      <c r="W78" s="217"/>
      <c r="X78" s="217"/>
      <c r="Y78" s="217"/>
      <c r="Z78" s="1"/>
      <c r="AA78" s="1"/>
      <c r="AB78" s="12"/>
      <c r="AC78" s="12"/>
    </row>
    <row r="79" spans="2:29" ht="24.9" customHeight="1" x14ac:dyDescent="0.3">
      <c r="B79" s="226" t="s">
        <v>29</v>
      </c>
      <c r="C79" s="26" t="e">
        <f t="shared" si="2"/>
        <v>#VALUE!</v>
      </c>
      <c r="D79" s="53" t="str">
        <f>IF(Data!F74="","",Data!F74)</f>
        <v>03616</v>
      </c>
      <c r="E79" s="92" t="str">
        <f>IF(Data!H74="","",Data!H74)</f>
        <v>Shofiyul Azka Mubarok</v>
      </c>
      <c r="F79" s="54" t="str">
        <f>IF(Data!I74="","",Data!I74)</f>
        <v>Laki-laki</v>
      </c>
      <c r="G79" s="110"/>
      <c r="H79" s="111"/>
      <c r="I79" s="117"/>
      <c r="J79" s="117"/>
      <c r="K79" s="117"/>
      <c r="L79" s="117"/>
      <c r="M79" s="117"/>
      <c r="N79" s="118"/>
      <c r="O79" s="112"/>
      <c r="P79" s="115"/>
      <c r="Q79" s="115"/>
      <c r="R79" s="114"/>
      <c r="S79" s="114"/>
      <c r="T79" s="115"/>
      <c r="U79" s="116"/>
      <c r="V79" s="112"/>
      <c r="W79" s="217"/>
      <c r="X79" s="217"/>
      <c r="Y79" s="217"/>
      <c r="Z79" s="1"/>
      <c r="AA79" s="1"/>
      <c r="AB79" s="12"/>
      <c r="AC79" s="12"/>
    </row>
    <row r="80" spans="2:29" ht="24.9" customHeight="1" x14ac:dyDescent="0.3">
      <c r="B80" s="226" t="s">
        <v>29</v>
      </c>
      <c r="C80" s="26" t="e">
        <f t="shared" si="2"/>
        <v>#VALUE!</v>
      </c>
      <c r="D80" s="53" t="str">
        <f>IF(Data!F75="","",Data!F75)</f>
        <v>03617</v>
      </c>
      <c r="E80" s="92" t="str">
        <f>IF(Data!H75="","",Data!H75)</f>
        <v>Syarifuddin Zhafran</v>
      </c>
      <c r="F80" s="54" t="str">
        <f>IF(Data!I75="","",Data!I75)</f>
        <v>Laki-laki</v>
      </c>
      <c r="G80" s="110"/>
      <c r="H80" s="111"/>
      <c r="I80" s="117"/>
      <c r="J80" s="117"/>
      <c r="K80" s="117"/>
      <c r="L80" s="117"/>
      <c r="M80" s="117"/>
      <c r="N80" s="118"/>
      <c r="O80" s="112"/>
      <c r="P80" s="115"/>
      <c r="Q80" s="115"/>
      <c r="R80" s="114"/>
      <c r="S80" s="114"/>
      <c r="T80" s="115"/>
      <c r="U80" s="116"/>
      <c r="V80" s="112"/>
      <c r="W80" s="217"/>
      <c r="X80" s="217"/>
      <c r="Y80" s="217"/>
      <c r="Z80" s="1"/>
      <c r="AA80" s="1"/>
      <c r="AB80" s="12"/>
      <c r="AC80" s="12"/>
    </row>
    <row r="81" spans="2:29" ht="24.9" customHeight="1" x14ac:dyDescent="0.3">
      <c r="B81" s="226" t="s">
        <v>29</v>
      </c>
      <c r="C81" s="26" t="e">
        <f t="shared" si="2"/>
        <v>#VALUE!</v>
      </c>
      <c r="D81" s="53" t="str">
        <f>IF(Data!F76="","",Data!F76)</f>
        <v>03624</v>
      </c>
      <c r="E81" s="92" t="str">
        <f>IF(Data!H76="","",Data!H76)</f>
        <v>Yusril Mirza Farendra</v>
      </c>
      <c r="F81" s="54" t="str">
        <f>IF(Data!I76="","",Data!I76)</f>
        <v>Laki-laki</v>
      </c>
      <c r="G81" s="110"/>
      <c r="H81" s="111"/>
      <c r="I81" s="117"/>
      <c r="J81" s="117"/>
      <c r="K81" s="117"/>
      <c r="L81" s="117"/>
      <c r="M81" s="117"/>
      <c r="N81" s="118"/>
      <c r="O81" s="112"/>
      <c r="P81" s="115"/>
      <c r="Q81" s="115"/>
      <c r="R81" s="114"/>
      <c r="S81" s="114"/>
      <c r="T81" s="115"/>
      <c r="U81" s="116"/>
      <c r="V81" s="112"/>
      <c r="W81" s="217"/>
      <c r="X81" s="217"/>
      <c r="Y81" s="217"/>
      <c r="Z81" s="1"/>
      <c r="AA81" s="1"/>
      <c r="AB81" s="12"/>
      <c r="AC81" s="12"/>
    </row>
    <row r="82" spans="2:29" ht="24.9" customHeight="1" x14ac:dyDescent="0.3">
      <c r="B82" s="226" t="s">
        <v>30</v>
      </c>
      <c r="C82" s="26">
        <v>1</v>
      </c>
      <c r="D82" s="53" t="str">
        <f>IF(Data!F77="","",Data!F77)</f>
        <v>03626</v>
      </c>
      <c r="E82" s="92" t="str">
        <f>IF(Data!H77="","",Data!H77)</f>
        <v>Zulmi Fajar Habibie</v>
      </c>
      <c r="F82" s="54" t="str">
        <f>IF(Data!I77="","",Data!I77)</f>
        <v>Laki-laki</v>
      </c>
      <c r="G82" s="110"/>
      <c r="H82" s="111"/>
      <c r="I82" s="117"/>
      <c r="J82" s="117"/>
      <c r="K82" s="117"/>
      <c r="L82" s="117"/>
      <c r="M82" s="117"/>
      <c r="N82" s="118"/>
      <c r="O82" s="112"/>
      <c r="P82" s="115"/>
      <c r="Q82" s="115"/>
      <c r="R82" s="114"/>
      <c r="S82" s="114"/>
      <c r="T82" s="115"/>
      <c r="U82" s="116"/>
      <c r="V82" s="112"/>
      <c r="W82" s="217"/>
      <c r="X82" s="217"/>
      <c r="Y82" s="217"/>
      <c r="Z82" s="1"/>
      <c r="AA82" s="1"/>
      <c r="AB82" s="12"/>
      <c r="AC82" s="12"/>
    </row>
    <row r="83" spans="2:29" ht="24.9" customHeight="1" x14ac:dyDescent="0.3">
      <c r="B83" s="226" t="s">
        <v>30</v>
      </c>
      <c r="C83" s="26">
        <f t="shared" si="2"/>
        <v>2</v>
      </c>
      <c r="D83" s="53" t="str">
        <f>IF(Data!F78="","",Data!F78)</f>
        <v>03755</v>
      </c>
      <c r="E83" s="92" t="str">
        <f>IF(Data!H78="","",Data!H78)</f>
        <v>Wafiq Azwar Abbasy</v>
      </c>
      <c r="F83" s="54" t="str">
        <f>IF(Data!I78="","",Data!I78)</f>
        <v>Laki-laki</v>
      </c>
      <c r="G83" s="110"/>
      <c r="H83" s="111"/>
      <c r="I83" s="117"/>
      <c r="J83" s="117"/>
      <c r="K83" s="117"/>
      <c r="L83" s="117"/>
      <c r="M83" s="117"/>
      <c r="N83" s="118"/>
      <c r="O83" s="112"/>
      <c r="P83" s="115"/>
      <c r="Q83" s="115"/>
      <c r="R83" s="114"/>
      <c r="S83" s="114"/>
      <c r="T83" s="115"/>
      <c r="U83" s="116"/>
      <c r="V83" s="112"/>
      <c r="W83" s="217"/>
      <c r="X83" s="217"/>
      <c r="Y83" s="217"/>
      <c r="Z83" s="1"/>
      <c r="AA83" s="1"/>
      <c r="AB83" s="12"/>
      <c r="AC83" s="12"/>
    </row>
    <row r="84" spans="2:29" ht="24.9" customHeight="1" x14ac:dyDescent="0.3">
      <c r="B84" s="226" t="s">
        <v>30</v>
      </c>
      <c r="C84" s="26" t="str">
        <f t="shared" si="2"/>
        <v/>
      </c>
      <c r="D84" s="53" t="str">
        <f>IF(Data!F79="","",Data!F79)</f>
        <v/>
      </c>
      <c r="E84" s="92" t="str">
        <f>IF(Data!H79="","",Data!H79)</f>
        <v/>
      </c>
      <c r="F84" s="54" t="str">
        <f>IF(Data!I79="","",Data!I79)</f>
        <v/>
      </c>
      <c r="G84" s="110"/>
      <c r="H84" s="111"/>
      <c r="I84" s="117"/>
      <c r="J84" s="117"/>
      <c r="K84" s="117"/>
      <c r="L84" s="117"/>
      <c r="M84" s="117"/>
      <c r="N84" s="118"/>
      <c r="O84" s="112"/>
      <c r="P84" s="115"/>
      <c r="Q84" s="115"/>
      <c r="R84" s="114"/>
      <c r="S84" s="114"/>
      <c r="T84" s="115"/>
      <c r="U84" s="116"/>
      <c r="V84" s="112"/>
      <c r="W84" s="217"/>
      <c r="X84" s="217"/>
      <c r="Y84" s="217"/>
      <c r="Z84" s="1"/>
      <c r="AA84" s="1"/>
      <c r="AB84" s="12"/>
      <c r="AC84" s="12"/>
    </row>
    <row r="85" spans="2:29" ht="24.9" customHeight="1" x14ac:dyDescent="0.3">
      <c r="B85" s="226" t="s">
        <v>30</v>
      </c>
      <c r="C85" s="26" t="str">
        <f t="shared" si="2"/>
        <v/>
      </c>
      <c r="D85" s="53" t="str">
        <f>IF(Data!F80="","",Data!F80)</f>
        <v/>
      </c>
      <c r="E85" s="92" t="str">
        <f>IF(Data!H80="","",Data!H80)</f>
        <v/>
      </c>
      <c r="F85" s="54" t="str">
        <f>IF(Data!I80="","",Data!I80)</f>
        <v/>
      </c>
      <c r="G85" s="110"/>
      <c r="H85" s="111"/>
      <c r="I85" s="117"/>
      <c r="J85" s="117"/>
      <c r="K85" s="117"/>
      <c r="L85" s="117"/>
      <c r="M85" s="117"/>
      <c r="N85" s="118"/>
      <c r="O85" s="112"/>
      <c r="P85" s="115"/>
      <c r="Q85" s="115"/>
      <c r="R85" s="114"/>
      <c r="S85" s="114"/>
      <c r="T85" s="115"/>
      <c r="U85" s="116"/>
      <c r="V85" s="112"/>
      <c r="W85" s="217"/>
      <c r="X85" s="217"/>
      <c r="Y85" s="217"/>
      <c r="Z85" s="1"/>
      <c r="AA85" s="1"/>
      <c r="AB85" s="12"/>
      <c r="AC85" s="12"/>
    </row>
    <row r="86" spans="2:29" ht="24.9" customHeight="1" x14ac:dyDescent="0.3">
      <c r="B86" s="226" t="s">
        <v>30</v>
      </c>
      <c r="C86" s="26" t="str">
        <f t="shared" si="2"/>
        <v/>
      </c>
      <c r="D86" s="53" t="str">
        <f>IF(Data!F81="","",Data!F81)</f>
        <v/>
      </c>
      <c r="E86" s="92" t="str">
        <f>IF(Data!H81="","",Data!H81)</f>
        <v/>
      </c>
      <c r="F86" s="54" t="str">
        <f>IF(Data!I81="","",Data!I81)</f>
        <v/>
      </c>
      <c r="G86" s="110"/>
      <c r="H86" s="111"/>
      <c r="I86" s="117"/>
      <c r="J86" s="117"/>
      <c r="K86" s="117"/>
      <c r="L86" s="117"/>
      <c r="M86" s="117"/>
      <c r="N86" s="118"/>
      <c r="O86" s="112"/>
      <c r="P86" s="115"/>
      <c r="Q86" s="115"/>
      <c r="R86" s="114"/>
      <c r="S86" s="114"/>
      <c r="T86" s="115"/>
      <c r="U86" s="116"/>
      <c r="V86" s="112"/>
      <c r="W86" s="217"/>
      <c r="X86" s="217"/>
      <c r="Y86" s="217"/>
      <c r="Z86" s="1"/>
      <c r="AA86" s="1"/>
      <c r="AB86" s="12"/>
      <c r="AC86" s="12"/>
    </row>
    <row r="87" spans="2:29" ht="24.9" customHeight="1" x14ac:dyDescent="0.3">
      <c r="B87" s="226" t="s">
        <v>30</v>
      </c>
      <c r="C87" s="26" t="str">
        <f t="shared" si="2"/>
        <v/>
      </c>
      <c r="D87" s="53" t="str">
        <f>IF(Data!F82="","",Data!F82)</f>
        <v/>
      </c>
      <c r="E87" s="92" t="str">
        <f>IF(Data!H82="","",Data!H82)</f>
        <v/>
      </c>
      <c r="F87" s="54" t="str">
        <f>IF(Data!I82="","",Data!I82)</f>
        <v/>
      </c>
      <c r="G87" s="110"/>
      <c r="H87" s="111"/>
      <c r="I87" s="117"/>
      <c r="J87" s="117"/>
      <c r="K87" s="117"/>
      <c r="L87" s="117"/>
      <c r="M87" s="117"/>
      <c r="N87" s="118"/>
      <c r="O87" s="112"/>
      <c r="P87" s="115"/>
      <c r="Q87" s="115"/>
      <c r="R87" s="114"/>
      <c r="S87" s="114"/>
      <c r="T87" s="115"/>
      <c r="U87" s="116"/>
      <c r="V87" s="112"/>
      <c r="W87" s="217"/>
      <c r="X87" s="217"/>
      <c r="Y87" s="217"/>
      <c r="Z87" s="1"/>
      <c r="AA87" s="1"/>
      <c r="AB87" s="12"/>
      <c r="AC87" s="12"/>
    </row>
    <row r="88" spans="2:29" ht="24.9" customHeight="1" x14ac:dyDescent="0.3">
      <c r="B88" s="226" t="s">
        <v>30</v>
      </c>
      <c r="C88" s="26" t="str">
        <f t="shared" si="2"/>
        <v/>
      </c>
      <c r="D88" s="53" t="str">
        <f>IF(Data!F83="","",Data!F83)</f>
        <v/>
      </c>
      <c r="E88" s="92" t="str">
        <f>IF(Data!H83="","",Data!H83)</f>
        <v/>
      </c>
      <c r="F88" s="54" t="str">
        <f>IF(Data!I83="","",Data!I83)</f>
        <v/>
      </c>
      <c r="G88" s="110"/>
      <c r="H88" s="111"/>
      <c r="I88" s="117"/>
      <c r="J88" s="117"/>
      <c r="K88" s="117"/>
      <c r="L88" s="117"/>
      <c r="M88" s="117"/>
      <c r="N88" s="118"/>
      <c r="O88" s="112"/>
      <c r="P88" s="115"/>
      <c r="Q88" s="115"/>
      <c r="R88" s="114"/>
      <c r="S88" s="114"/>
      <c r="T88" s="115"/>
      <c r="U88" s="116"/>
      <c r="V88" s="112"/>
      <c r="W88" s="217"/>
      <c r="X88" s="217"/>
      <c r="Y88" s="217"/>
      <c r="Z88" s="1"/>
      <c r="AA88" s="1"/>
      <c r="AB88" s="12"/>
      <c r="AC88" s="12"/>
    </row>
    <row r="89" spans="2:29" ht="24.9" customHeight="1" x14ac:dyDescent="0.3">
      <c r="B89" s="226" t="s">
        <v>30</v>
      </c>
      <c r="C89" s="26" t="str">
        <f t="shared" si="2"/>
        <v/>
      </c>
      <c r="D89" s="53" t="str">
        <f>IF(Data!F84="","",Data!F84)</f>
        <v/>
      </c>
      <c r="E89" s="92" t="str">
        <f>IF(Data!H84="","",Data!H84)</f>
        <v/>
      </c>
      <c r="F89" s="54" t="str">
        <f>IF(Data!I84="","",Data!I84)</f>
        <v/>
      </c>
      <c r="G89" s="110"/>
      <c r="H89" s="111"/>
      <c r="I89" s="117"/>
      <c r="J89" s="117"/>
      <c r="K89" s="117"/>
      <c r="L89" s="117"/>
      <c r="M89" s="117"/>
      <c r="N89" s="118"/>
      <c r="O89" s="112"/>
      <c r="P89" s="115"/>
      <c r="Q89" s="115"/>
      <c r="R89" s="114"/>
      <c r="S89" s="114"/>
      <c r="T89" s="115"/>
      <c r="U89" s="116"/>
      <c r="V89" s="112"/>
      <c r="W89" s="217"/>
      <c r="X89" s="217"/>
      <c r="Y89" s="217"/>
      <c r="Z89" s="1"/>
      <c r="AA89" s="1"/>
      <c r="AB89" s="12"/>
      <c r="AC89" s="12"/>
    </row>
    <row r="90" spans="2:29" ht="24.9" customHeight="1" x14ac:dyDescent="0.3">
      <c r="B90" s="226" t="s">
        <v>30</v>
      </c>
      <c r="C90" s="26" t="e">
        <f t="shared" si="2"/>
        <v>#VALUE!</v>
      </c>
      <c r="D90" s="53" t="str">
        <f>IF(Data!F85="","",Data!F85)</f>
        <v>03510</v>
      </c>
      <c r="E90" s="92" t="str">
        <f>IF(Data!H85="","",Data!H85)</f>
        <v>Ahmad Affan Abqory</v>
      </c>
      <c r="F90" s="54" t="str">
        <f>IF(Data!I85="","",Data!I85)</f>
        <v>Laki-laki</v>
      </c>
      <c r="G90" s="110"/>
      <c r="H90" s="111"/>
      <c r="I90" s="117"/>
      <c r="J90" s="117"/>
      <c r="K90" s="117"/>
      <c r="L90" s="117"/>
      <c r="M90" s="117"/>
      <c r="N90" s="118"/>
      <c r="O90" s="112"/>
      <c r="P90" s="115"/>
      <c r="Q90" s="115"/>
      <c r="R90" s="114"/>
      <c r="S90" s="114"/>
      <c r="T90" s="115"/>
      <c r="U90" s="116"/>
      <c r="V90" s="112"/>
      <c r="W90" s="217"/>
      <c r="X90" s="217"/>
      <c r="Y90" s="217"/>
      <c r="Z90" s="1"/>
      <c r="AA90" s="1"/>
      <c r="AB90" s="12"/>
      <c r="AC90" s="12"/>
    </row>
    <row r="91" spans="2:29" ht="24.9" customHeight="1" x14ac:dyDescent="0.3">
      <c r="B91" s="226" t="s">
        <v>30</v>
      </c>
      <c r="C91" s="26" t="e">
        <f t="shared" si="2"/>
        <v>#VALUE!</v>
      </c>
      <c r="D91" s="53" t="str">
        <f>IF(Data!F86="","",Data!F86)</f>
        <v>03514</v>
      </c>
      <c r="E91" s="92" t="str">
        <f>IF(Data!H86="","",Data!H86)</f>
        <v>Ahmad Alwi Abdul Azis</v>
      </c>
      <c r="F91" s="54" t="str">
        <f>IF(Data!I86="","",Data!I86)</f>
        <v>Laki-laki</v>
      </c>
      <c r="G91" s="110"/>
      <c r="H91" s="111"/>
      <c r="I91" s="117"/>
      <c r="J91" s="117"/>
      <c r="K91" s="117"/>
      <c r="L91" s="117"/>
      <c r="M91" s="117"/>
      <c r="N91" s="118"/>
      <c r="O91" s="112"/>
      <c r="P91" s="115"/>
      <c r="Q91" s="115"/>
      <c r="R91" s="114"/>
      <c r="S91" s="114"/>
      <c r="T91" s="115"/>
      <c r="U91" s="116"/>
      <c r="V91" s="112"/>
      <c r="W91" s="217"/>
      <c r="X91" s="217"/>
      <c r="Y91" s="217"/>
      <c r="Z91" s="1"/>
      <c r="AA91" s="1"/>
      <c r="AB91" s="12"/>
      <c r="AC91" s="12"/>
    </row>
    <row r="92" spans="2:29" ht="24.9" customHeight="1" x14ac:dyDescent="0.3">
      <c r="B92" s="226" t="s">
        <v>30</v>
      </c>
      <c r="C92" s="26" t="e">
        <f t="shared" si="2"/>
        <v>#VALUE!</v>
      </c>
      <c r="D92" s="53" t="str">
        <f>IF(Data!F87="","",Data!F87)</f>
        <v>03515</v>
      </c>
      <c r="E92" s="92" t="str">
        <f>IF(Data!H87="","",Data!H87)</f>
        <v>Ahmad Daris Ziham Almuqsith</v>
      </c>
      <c r="F92" s="54" t="str">
        <f>IF(Data!I87="","",Data!I87)</f>
        <v>Laki-laki</v>
      </c>
      <c r="G92" s="110"/>
      <c r="H92" s="111"/>
      <c r="I92" s="117"/>
      <c r="J92" s="117"/>
      <c r="K92" s="117"/>
      <c r="L92" s="117"/>
      <c r="M92" s="117"/>
      <c r="N92" s="118"/>
      <c r="O92" s="112"/>
      <c r="P92" s="115"/>
      <c r="Q92" s="115"/>
      <c r="R92" s="114"/>
      <c r="S92" s="114"/>
      <c r="T92" s="115"/>
      <c r="U92" s="116"/>
      <c r="V92" s="112"/>
      <c r="W92" s="217"/>
      <c r="X92" s="217"/>
      <c r="Y92" s="217"/>
      <c r="Z92" s="1"/>
      <c r="AA92" s="1"/>
      <c r="AB92" s="12"/>
      <c r="AC92" s="12"/>
    </row>
    <row r="93" spans="2:29" ht="24.9" customHeight="1" x14ac:dyDescent="0.3">
      <c r="B93" s="226" t="s">
        <v>30</v>
      </c>
      <c r="C93" s="26" t="e">
        <f t="shared" si="2"/>
        <v>#VALUE!</v>
      </c>
      <c r="D93" s="53" t="str">
        <f>IF(Data!F88="","",Data!F88)</f>
        <v>03521</v>
      </c>
      <c r="E93" s="92" t="str">
        <f>IF(Data!H88="","",Data!H88)</f>
        <v>Ahmad Julian Pasha Ramadhan</v>
      </c>
      <c r="F93" s="54" t="str">
        <f>IF(Data!I88="","",Data!I88)</f>
        <v>Laki-laki</v>
      </c>
      <c r="G93" s="110"/>
      <c r="H93" s="111"/>
      <c r="I93" s="117"/>
      <c r="J93" s="117"/>
      <c r="K93" s="117"/>
      <c r="L93" s="117"/>
      <c r="M93" s="117"/>
      <c r="N93" s="118"/>
      <c r="O93" s="112"/>
      <c r="P93" s="115"/>
      <c r="Q93" s="115"/>
      <c r="R93" s="114"/>
      <c r="S93" s="114"/>
      <c r="T93" s="115"/>
      <c r="U93" s="116"/>
      <c r="V93" s="112"/>
      <c r="W93" s="217"/>
      <c r="X93" s="217"/>
      <c r="Y93" s="217"/>
      <c r="Z93" s="1"/>
      <c r="AA93" s="1"/>
      <c r="AB93" s="12"/>
      <c r="AC93" s="12"/>
    </row>
    <row r="94" spans="2:29" ht="24.9" customHeight="1" x14ac:dyDescent="0.3">
      <c r="B94" s="226" t="s">
        <v>30</v>
      </c>
      <c r="C94" s="26" t="e">
        <f t="shared" si="2"/>
        <v>#VALUE!</v>
      </c>
      <c r="D94" s="53" t="str">
        <f>IF(Data!F89="","",Data!F89)</f>
        <v>03524</v>
      </c>
      <c r="E94" s="92" t="str">
        <f>IF(Data!H89="","",Data!H89)</f>
        <v>Ahmad Ridwan Alghoni</v>
      </c>
      <c r="F94" s="54" t="str">
        <f>IF(Data!I89="","",Data!I89)</f>
        <v>Laki-laki</v>
      </c>
      <c r="G94" s="110"/>
      <c r="H94" s="111"/>
      <c r="I94" s="117"/>
      <c r="J94" s="117"/>
      <c r="K94" s="117"/>
      <c r="L94" s="117"/>
      <c r="M94" s="117"/>
      <c r="N94" s="118"/>
      <c r="O94" s="112"/>
      <c r="P94" s="115"/>
      <c r="Q94" s="115"/>
      <c r="R94" s="114"/>
      <c r="S94" s="114"/>
      <c r="T94" s="115"/>
      <c r="U94" s="116"/>
      <c r="V94" s="112"/>
      <c r="W94" s="217"/>
      <c r="X94" s="217"/>
      <c r="Y94" s="217"/>
      <c r="Z94" s="1"/>
      <c r="AA94" s="1"/>
      <c r="AB94" s="12"/>
      <c r="AC94" s="12"/>
    </row>
    <row r="95" spans="2:29" ht="24.9" customHeight="1" x14ac:dyDescent="0.3">
      <c r="B95" s="226" t="s">
        <v>30</v>
      </c>
      <c r="C95" s="26" t="e">
        <f t="shared" si="2"/>
        <v>#VALUE!</v>
      </c>
      <c r="D95" s="53" t="str">
        <f>IF(Data!F90="","",Data!F90)</f>
        <v>03527</v>
      </c>
      <c r="E95" s="92" t="str">
        <f>IF(Data!H90="","",Data!H90)</f>
        <v>Airlangga Azzumar Bachtyar</v>
      </c>
      <c r="F95" s="54" t="str">
        <f>IF(Data!I90="","",Data!I90)</f>
        <v>Laki-laki</v>
      </c>
      <c r="G95" s="110"/>
      <c r="H95" s="111"/>
      <c r="I95" s="117"/>
      <c r="J95" s="117"/>
      <c r="K95" s="117"/>
      <c r="L95" s="117"/>
      <c r="M95" s="117"/>
      <c r="N95" s="118"/>
      <c r="O95" s="112"/>
      <c r="P95" s="115"/>
      <c r="Q95" s="115"/>
      <c r="R95" s="114"/>
      <c r="S95" s="114"/>
      <c r="T95" s="115"/>
      <c r="U95" s="116"/>
      <c r="V95" s="112"/>
      <c r="W95" s="217"/>
      <c r="X95" s="217"/>
      <c r="Y95" s="217"/>
      <c r="Z95" s="1"/>
      <c r="AA95" s="1"/>
      <c r="AB95" s="12"/>
      <c r="AC95" s="12"/>
    </row>
    <row r="96" spans="2:29" ht="24.9" customHeight="1" x14ac:dyDescent="0.3">
      <c r="B96" s="226" t="s">
        <v>30</v>
      </c>
      <c r="C96" s="26" t="e">
        <f t="shared" si="2"/>
        <v>#VALUE!</v>
      </c>
      <c r="D96" s="53" t="str">
        <f>IF(Data!F91="","",Data!F91)</f>
        <v>03528</v>
      </c>
      <c r="E96" s="92" t="str">
        <f>IF(Data!H91="","",Data!H91)</f>
        <v>Alizzal Danish Aditya Yoga Pratama</v>
      </c>
      <c r="F96" s="54" t="str">
        <f>IF(Data!I91="","",Data!I91)</f>
        <v>Laki-laki</v>
      </c>
      <c r="G96" s="110"/>
      <c r="H96" s="111"/>
      <c r="I96" s="117"/>
      <c r="J96" s="117"/>
      <c r="K96" s="117"/>
      <c r="L96" s="117"/>
      <c r="M96" s="117"/>
      <c r="N96" s="118"/>
      <c r="O96" s="112"/>
      <c r="P96" s="115"/>
      <c r="Q96" s="115"/>
      <c r="R96" s="114"/>
      <c r="S96" s="114"/>
      <c r="T96" s="115"/>
      <c r="U96" s="116"/>
      <c r="V96" s="112"/>
      <c r="W96" s="217"/>
      <c r="X96" s="217"/>
      <c r="Y96" s="217"/>
      <c r="Z96" s="1"/>
      <c r="AA96" s="1"/>
      <c r="AB96" s="12"/>
      <c r="AC96" s="12"/>
    </row>
    <row r="97" spans="2:29" ht="24.9" customHeight="1" x14ac:dyDescent="0.3">
      <c r="B97" s="226" t="s">
        <v>30</v>
      </c>
      <c r="C97" s="26" t="e">
        <f t="shared" si="2"/>
        <v>#VALUE!</v>
      </c>
      <c r="D97" s="53" t="str">
        <f>IF(Data!F92="","",Data!F92)</f>
        <v>03530</v>
      </c>
      <c r="E97" s="92" t="str">
        <f>IF(Data!H92="","",Data!H92)</f>
        <v>Alvian Rizki Auellio</v>
      </c>
      <c r="F97" s="54" t="str">
        <f>IF(Data!I92="","",Data!I92)</f>
        <v>Laki-laki</v>
      </c>
      <c r="G97" s="110"/>
      <c r="H97" s="111"/>
      <c r="I97" s="117"/>
      <c r="J97" s="117"/>
      <c r="K97" s="117"/>
      <c r="L97" s="117"/>
      <c r="M97" s="117"/>
      <c r="N97" s="118"/>
      <c r="O97" s="112"/>
      <c r="P97" s="115"/>
      <c r="Q97" s="115"/>
      <c r="R97" s="114"/>
      <c r="S97" s="114"/>
      <c r="T97" s="115"/>
      <c r="U97" s="116"/>
      <c r="V97" s="112"/>
      <c r="W97" s="217"/>
      <c r="X97" s="217"/>
      <c r="Y97" s="217"/>
      <c r="Z97" s="1"/>
      <c r="AA97" s="1"/>
      <c r="AB97" s="12"/>
      <c r="AC97" s="12"/>
    </row>
    <row r="98" spans="2:29" ht="24.9" customHeight="1" x14ac:dyDescent="0.3">
      <c r="B98" s="226" t="s">
        <v>30</v>
      </c>
      <c r="C98" s="26" t="e">
        <f t="shared" si="2"/>
        <v>#VALUE!</v>
      </c>
      <c r="D98" s="53" t="str">
        <f>IF(Data!F93="","",Data!F93)</f>
        <v>03532</v>
      </c>
      <c r="E98" s="92" t="str">
        <f>IF(Data!H93="","",Data!H93)</f>
        <v>Ananda Noval Dwi Syahputra</v>
      </c>
      <c r="F98" s="54" t="str">
        <f>IF(Data!I93="","",Data!I93)</f>
        <v>Laki-laki</v>
      </c>
      <c r="G98" s="110"/>
      <c r="H98" s="111"/>
      <c r="I98" s="117"/>
      <c r="J98" s="117"/>
      <c r="K98" s="117"/>
      <c r="L98" s="117"/>
      <c r="M98" s="117"/>
      <c r="N98" s="118"/>
      <c r="O98" s="112"/>
      <c r="P98" s="115"/>
      <c r="Q98" s="115"/>
      <c r="R98" s="114"/>
      <c r="S98" s="114"/>
      <c r="T98" s="115"/>
      <c r="U98" s="116"/>
      <c r="V98" s="112"/>
      <c r="W98" s="217"/>
      <c r="X98" s="217"/>
      <c r="Y98" s="217"/>
      <c r="Z98" s="1"/>
      <c r="AA98" s="1"/>
      <c r="AB98" s="12"/>
      <c r="AC98" s="12"/>
    </row>
    <row r="99" spans="2:29" ht="24.9" customHeight="1" x14ac:dyDescent="0.3">
      <c r="B99" s="226" t="s">
        <v>30</v>
      </c>
      <c r="C99" s="26" t="e">
        <f t="shared" si="2"/>
        <v>#VALUE!</v>
      </c>
      <c r="D99" s="53" t="str">
        <f>IF(Data!F94="","",Data!F94)</f>
        <v>03540</v>
      </c>
      <c r="E99" s="92" t="str">
        <f>IF(Data!H94="","",Data!H94)</f>
        <v>Dwi Bayu Rahardjo</v>
      </c>
      <c r="F99" s="54" t="str">
        <f>IF(Data!I94="","",Data!I94)</f>
        <v>Laki-laki</v>
      </c>
      <c r="G99" s="110"/>
      <c r="H99" s="111"/>
      <c r="I99" s="117"/>
      <c r="J99" s="117"/>
      <c r="K99" s="117"/>
      <c r="L99" s="117"/>
      <c r="M99" s="117"/>
      <c r="N99" s="118"/>
      <c r="O99" s="112"/>
      <c r="P99" s="115"/>
      <c r="Q99" s="115"/>
      <c r="R99" s="114"/>
      <c r="S99" s="114"/>
      <c r="T99" s="115"/>
      <c r="U99" s="116"/>
      <c r="V99" s="112"/>
      <c r="W99" s="217"/>
      <c r="X99" s="217"/>
      <c r="Y99" s="217"/>
      <c r="Z99" s="1"/>
      <c r="AA99" s="1"/>
      <c r="AB99" s="12"/>
      <c r="AC99" s="12"/>
    </row>
    <row r="100" spans="2:29" ht="24.9" customHeight="1" x14ac:dyDescent="0.3">
      <c r="B100" s="226" t="s">
        <v>30</v>
      </c>
      <c r="C100" s="26" t="e">
        <f t="shared" si="2"/>
        <v>#VALUE!</v>
      </c>
      <c r="D100" s="53" t="str">
        <f>IF(Data!F95="","",Data!F95)</f>
        <v>03543</v>
      </c>
      <c r="E100" s="92" t="str">
        <f>IF(Data!H95="","",Data!H95)</f>
        <v>Fajar Setyawan</v>
      </c>
      <c r="F100" s="54" t="str">
        <f>IF(Data!I95="","",Data!I95)</f>
        <v>Laki-laki</v>
      </c>
      <c r="G100" s="110"/>
      <c r="H100" s="111"/>
      <c r="I100" s="117"/>
      <c r="J100" s="117"/>
      <c r="K100" s="117"/>
      <c r="L100" s="117"/>
      <c r="M100" s="117"/>
      <c r="N100" s="118"/>
      <c r="O100" s="112"/>
      <c r="P100" s="115"/>
      <c r="Q100" s="115"/>
      <c r="R100" s="114"/>
      <c r="S100" s="114"/>
      <c r="T100" s="115"/>
      <c r="U100" s="116"/>
      <c r="V100" s="112"/>
      <c r="W100" s="217"/>
      <c r="X100" s="217"/>
      <c r="Y100" s="217"/>
      <c r="Z100" s="1"/>
      <c r="AA100" s="1"/>
      <c r="AB100" s="12"/>
      <c r="AC100" s="12"/>
    </row>
    <row r="101" spans="2:29" ht="24.9" customHeight="1" x14ac:dyDescent="0.3">
      <c r="B101" s="226" t="s">
        <v>30</v>
      </c>
      <c r="C101" s="26" t="e">
        <f t="shared" si="2"/>
        <v>#VALUE!</v>
      </c>
      <c r="D101" s="53" t="str">
        <f>IF(Data!F96="","",Data!F96)</f>
        <v>03544</v>
      </c>
      <c r="E101" s="92" t="str">
        <f>IF(Data!H96="","",Data!H96)</f>
        <v>Farizky Bagus Ady Pratama</v>
      </c>
      <c r="F101" s="54" t="str">
        <f>IF(Data!I96="","",Data!I96)</f>
        <v>Laki-laki</v>
      </c>
      <c r="G101" s="110"/>
      <c r="H101" s="111"/>
      <c r="I101" s="117"/>
      <c r="J101" s="117"/>
      <c r="K101" s="117"/>
      <c r="L101" s="117"/>
      <c r="M101" s="117"/>
      <c r="N101" s="118"/>
      <c r="O101" s="112"/>
      <c r="P101" s="115"/>
      <c r="Q101" s="115"/>
      <c r="R101" s="114"/>
      <c r="S101" s="114"/>
      <c r="T101" s="115"/>
      <c r="U101" s="116"/>
      <c r="V101" s="112"/>
      <c r="W101" s="217"/>
      <c r="X101" s="217"/>
      <c r="Y101" s="217"/>
      <c r="Z101" s="1"/>
      <c r="AA101" s="1"/>
      <c r="AB101" s="12"/>
      <c r="AC101" s="12"/>
    </row>
    <row r="102" spans="2:29" ht="24.9" customHeight="1" x14ac:dyDescent="0.3">
      <c r="B102" s="226" t="s">
        <v>30</v>
      </c>
      <c r="C102" s="26" t="e">
        <f t="shared" si="2"/>
        <v>#VALUE!</v>
      </c>
      <c r="D102" s="53" t="str">
        <f>IF(Data!F97="","",Data!F97)</f>
        <v>03555</v>
      </c>
      <c r="E102" s="92" t="str">
        <f>IF(Data!H97="","",Data!H97)</f>
        <v>M. Fito Wahyu Julianto</v>
      </c>
      <c r="F102" s="54" t="str">
        <f>IF(Data!I97="","",Data!I97)</f>
        <v>Laki-laki</v>
      </c>
      <c r="G102" s="110"/>
      <c r="H102" s="111"/>
      <c r="I102" s="117"/>
      <c r="J102" s="117"/>
      <c r="K102" s="117"/>
      <c r="L102" s="117"/>
      <c r="M102" s="117"/>
      <c r="N102" s="118"/>
      <c r="O102" s="112"/>
      <c r="P102" s="115"/>
      <c r="Q102" s="115"/>
      <c r="R102" s="114"/>
      <c r="S102" s="114"/>
      <c r="T102" s="115"/>
      <c r="U102" s="116"/>
      <c r="V102" s="112"/>
      <c r="W102" s="217"/>
      <c r="X102" s="217"/>
      <c r="Y102" s="217"/>
      <c r="Z102" s="1"/>
      <c r="AA102" s="1"/>
      <c r="AB102" s="12"/>
      <c r="AC102" s="12"/>
    </row>
    <row r="103" spans="2:29" ht="24.9" customHeight="1" x14ac:dyDescent="0.3">
      <c r="B103" s="226" t="s">
        <v>30</v>
      </c>
      <c r="C103" s="26" t="e">
        <f t="shared" si="2"/>
        <v>#VALUE!</v>
      </c>
      <c r="D103" s="53" t="str">
        <f>IF(Data!F98="","",Data!F98)</f>
        <v>03557</v>
      </c>
      <c r="E103" s="92" t="str">
        <f>IF(Data!H98="","",Data!H98)</f>
        <v>M. Zafiir Faza Ihsan</v>
      </c>
      <c r="F103" s="54" t="str">
        <f>IF(Data!I98="","",Data!I98)</f>
        <v>Laki-laki</v>
      </c>
      <c r="G103" s="110"/>
      <c r="H103" s="111"/>
      <c r="I103" s="117"/>
      <c r="J103" s="117"/>
      <c r="K103" s="117"/>
      <c r="L103" s="117"/>
      <c r="M103" s="117"/>
      <c r="N103" s="118"/>
      <c r="O103" s="112"/>
      <c r="P103" s="115"/>
      <c r="Q103" s="115"/>
      <c r="R103" s="114"/>
      <c r="S103" s="114"/>
      <c r="T103" s="115"/>
      <c r="U103" s="116"/>
      <c r="V103" s="112"/>
      <c r="W103" s="217"/>
      <c r="X103" s="217"/>
      <c r="Y103" s="217"/>
      <c r="Z103" s="1"/>
      <c r="AA103" s="1"/>
      <c r="AB103" s="12"/>
      <c r="AC103" s="12"/>
    </row>
    <row r="104" spans="2:29" ht="24.9" customHeight="1" x14ac:dyDescent="0.3">
      <c r="B104" s="226" t="s">
        <v>30</v>
      </c>
      <c r="C104" s="26" t="e">
        <f t="shared" si="2"/>
        <v>#VALUE!</v>
      </c>
      <c r="D104" s="53" t="str">
        <f>IF(Data!F99="","",Data!F99)</f>
        <v>03560</v>
      </c>
      <c r="E104" s="92" t="str">
        <f>IF(Data!H99="","",Data!H99)</f>
        <v>Moh. Luthfi Riza Pratama</v>
      </c>
      <c r="F104" s="54" t="str">
        <f>IF(Data!I99="","",Data!I99)</f>
        <v>Laki-laki</v>
      </c>
      <c r="G104" s="110"/>
      <c r="H104" s="111"/>
      <c r="I104" s="117"/>
      <c r="J104" s="117"/>
      <c r="K104" s="117"/>
      <c r="L104" s="117"/>
      <c r="M104" s="117"/>
      <c r="N104" s="118"/>
      <c r="O104" s="112"/>
      <c r="P104" s="115"/>
      <c r="Q104" s="115"/>
      <c r="R104" s="114"/>
      <c r="S104" s="114"/>
      <c r="T104" s="115"/>
      <c r="U104" s="116"/>
      <c r="V104" s="112"/>
      <c r="W104" s="217"/>
      <c r="X104" s="217"/>
      <c r="Y104" s="217"/>
      <c r="Z104" s="1"/>
      <c r="AA104" s="1"/>
      <c r="AB104" s="12"/>
      <c r="AC104" s="12"/>
    </row>
    <row r="105" spans="2:29" ht="24.9" customHeight="1" x14ac:dyDescent="0.3">
      <c r="B105" s="226" t="s">
        <v>30</v>
      </c>
      <c r="C105" s="26" t="e">
        <f t="shared" si="2"/>
        <v>#VALUE!</v>
      </c>
      <c r="D105" s="53" t="str">
        <f>IF(Data!F100="","",Data!F100)</f>
        <v>03563</v>
      </c>
      <c r="E105" s="92" t="str">
        <f>IF(Data!H100="","",Data!H100)</f>
        <v>Mohammad Agus Rouf</v>
      </c>
      <c r="F105" s="54" t="str">
        <f>IF(Data!I100="","",Data!I100)</f>
        <v>Laki-laki</v>
      </c>
      <c r="G105" s="110"/>
      <c r="H105" s="111"/>
      <c r="I105" s="117"/>
      <c r="J105" s="117"/>
      <c r="K105" s="117"/>
      <c r="L105" s="117"/>
      <c r="M105" s="117"/>
      <c r="N105" s="118"/>
      <c r="O105" s="112"/>
      <c r="P105" s="115"/>
      <c r="Q105" s="115"/>
      <c r="R105" s="114"/>
      <c r="S105" s="114"/>
      <c r="T105" s="115"/>
      <c r="U105" s="116"/>
      <c r="V105" s="112"/>
      <c r="W105" s="217"/>
      <c r="X105" s="217"/>
      <c r="Y105" s="217"/>
      <c r="Z105" s="1"/>
      <c r="AA105" s="1"/>
      <c r="AB105" s="12"/>
      <c r="AC105" s="12"/>
    </row>
    <row r="106" spans="2:29" ht="24.9" customHeight="1" x14ac:dyDescent="0.3">
      <c r="B106" s="226" t="s">
        <v>30</v>
      </c>
      <c r="C106" s="26" t="e">
        <f t="shared" si="2"/>
        <v>#VALUE!</v>
      </c>
      <c r="D106" s="53" t="str">
        <f>IF(Data!F101="","",Data!F101)</f>
        <v>03566</v>
      </c>
      <c r="E106" s="92" t="str">
        <f>IF(Data!H101="","",Data!H101)</f>
        <v>Mohammad Iqbal Nurfahmi</v>
      </c>
      <c r="F106" s="54" t="str">
        <f>IF(Data!I101="","",Data!I101)</f>
        <v>Laki-laki</v>
      </c>
      <c r="G106" s="110"/>
      <c r="H106" s="111"/>
      <c r="I106" s="117"/>
      <c r="J106" s="117"/>
      <c r="K106" s="117"/>
      <c r="L106" s="117"/>
      <c r="M106" s="117"/>
      <c r="N106" s="118"/>
      <c r="O106" s="112"/>
      <c r="P106" s="115"/>
      <c r="Q106" s="115"/>
      <c r="R106" s="114"/>
      <c r="S106" s="114"/>
      <c r="T106" s="115"/>
      <c r="U106" s="116"/>
      <c r="V106" s="112"/>
      <c r="W106" s="217"/>
      <c r="X106" s="217"/>
      <c r="Y106" s="217"/>
      <c r="Z106" s="1"/>
      <c r="AA106" s="1"/>
      <c r="AB106" s="12"/>
      <c r="AC106" s="12"/>
    </row>
    <row r="107" spans="2:29" ht="24.9" customHeight="1" x14ac:dyDescent="0.3">
      <c r="B107" s="226" t="s">
        <v>30</v>
      </c>
      <c r="C107" s="26" t="e">
        <f t="shared" si="2"/>
        <v>#VALUE!</v>
      </c>
      <c r="D107" s="53" t="str">
        <f>IF(Data!F102="","",Data!F102)</f>
        <v>03567</v>
      </c>
      <c r="E107" s="92" t="str">
        <f>IF(Data!H102="","",Data!H102)</f>
        <v>Mohammad Nuril Ilmi Al Hasan</v>
      </c>
      <c r="F107" s="54" t="str">
        <f>IF(Data!I102="","",Data!I102)</f>
        <v>Laki-laki</v>
      </c>
      <c r="G107" s="110"/>
      <c r="H107" s="111"/>
      <c r="I107" s="117"/>
      <c r="J107" s="117"/>
      <c r="K107" s="117"/>
      <c r="L107" s="117"/>
      <c r="M107" s="117"/>
      <c r="N107" s="118"/>
      <c r="O107" s="112"/>
      <c r="P107" s="115"/>
      <c r="Q107" s="115"/>
      <c r="R107" s="114"/>
      <c r="S107" s="114"/>
      <c r="T107" s="115"/>
      <c r="U107" s="116"/>
      <c r="V107" s="112"/>
      <c r="W107" s="217"/>
      <c r="X107" s="217"/>
      <c r="Y107" s="217"/>
      <c r="Z107" s="1"/>
      <c r="AA107" s="1"/>
      <c r="AB107" s="12"/>
      <c r="AC107" s="12"/>
    </row>
    <row r="108" spans="2:29" ht="24.9" customHeight="1" x14ac:dyDescent="0.3">
      <c r="B108" s="226" t="s">
        <v>30</v>
      </c>
      <c r="C108" s="26" t="e">
        <f t="shared" si="2"/>
        <v>#VALUE!</v>
      </c>
      <c r="D108" s="53" t="str">
        <f>IF(Data!F103="","",Data!F103)</f>
        <v>03569</v>
      </c>
      <c r="E108" s="92" t="str">
        <f>IF(Data!H103="","",Data!H103)</f>
        <v>Muhamad Saylendra Firguna</v>
      </c>
      <c r="F108" s="54" t="str">
        <f>IF(Data!I103="","",Data!I103)</f>
        <v>Laki-laki</v>
      </c>
      <c r="G108" s="110"/>
      <c r="H108" s="111"/>
      <c r="I108" s="117"/>
      <c r="J108" s="117"/>
      <c r="K108" s="117"/>
      <c r="L108" s="117"/>
      <c r="M108" s="117"/>
      <c r="N108" s="118"/>
      <c r="O108" s="112"/>
      <c r="P108" s="115"/>
      <c r="Q108" s="115"/>
      <c r="R108" s="114"/>
      <c r="S108" s="114"/>
      <c r="T108" s="115"/>
      <c r="U108" s="116"/>
      <c r="V108" s="112"/>
      <c r="W108" s="217"/>
      <c r="X108" s="217"/>
      <c r="Y108" s="217"/>
      <c r="Z108" s="1"/>
      <c r="AA108" s="1"/>
      <c r="AB108" s="12"/>
      <c r="AC108" s="12"/>
    </row>
    <row r="109" spans="2:29" ht="24.9" customHeight="1" x14ac:dyDescent="0.3">
      <c r="B109" s="226" t="s">
        <v>30</v>
      </c>
      <c r="C109" s="26" t="e">
        <f t="shared" si="2"/>
        <v>#VALUE!</v>
      </c>
      <c r="D109" s="53" t="str">
        <f>IF(Data!F104="","",Data!F104)</f>
        <v>03571</v>
      </c>
      <c r="E109" s="92" t="str">
        <f>IF(Data!H104="","",Data!H104)</f>
        <v>Muhammad Ahla Adibul Ihsan</v>
      </c>
      <c r="F109" s="54" t="str">
        <f>IF(Data!I104="","",Data!I104)</f>
        <v>Laki-laki</v>
      </c>
      <c r="G109" s="110"/>
      <c r="H109" s="111"/>
      <c r="I109" s="117"/>
      <c r="J109" s="117"/>
      <c r="K109" s="117"/>
      <c r="L109" s="117"/>
      <c r="M109" s="117"/>
      <c r="N109" s="118"/>
      <c r="O109" s="112"/>
      <c r="P109" s="115"/>
      <c r="Q109" s="115"/>
      <c r="R109" s="114"/>
      <c r="S109" s="114"/>
      <c r="T109" s="115"/>
      <c r="U109" s="116"/>
      <c r="V109" s="112"/>
      <c r="W109" s="217"/>
      <c r="X109" s="217"/>
      <c r="Y109" s="217"/>
      <c r="Z109" s="1"/>
      <c r="AA109" s="1"/>
      <c r="AB109" s="12"/>
      <c r="AC109" s="12"/>
    </row>
    <row r="110" spans="2:29" ht="24.9" customHeight="1" x14ac:dyDescent="0.3">
      <c r="B110" s="226" t="s">
        <v>30</v>
      </c>
      <c r="C110" s="26" t="e">
        <f t="shared" si="2"/>
        <v>#VALUE!</v>
      </c>
      <c r="D110" s="53" t="str">
        <f>IF(Data!F105="","",Data!F105)</f>
        <v>03585</v>
      </c>
      <c r="E110" s="92" t="str">
        <f>IF(Data!H105="","",Data!H105)</f>
        <v>Muhammad Iqbal Choir</v>
      </c>
      <c r="F110" s="54" t="str">
        <f>IF(Data!I105="","",Data!I105)</f>
        <v>Laki-laki</v>
      </c>
      <c r="G110" s="110"/>
      <c r="H110" s="111"/>
      <c r="I110" s="117"/>
      <c r="J110" s="117"/>
      <c r="K110" s="117"/>
      <c r="L110" s="117"/>
      <c r="M110" s="117"/>
      <c r="N110" s="118"/>
      <c r="O110" s="112"/>
      <c r="P110" s="115"/>
      <c r="Q110" s="115"/>
      <c r="R110" s="114"/>
      <c r="S110" s="114"/>
      <c r="T110" s="115"/>
      <c r="U110" s="116"/>
      <c r="V110" s="112"/>
      <c r="W110" s="217"/>
      <c r="X110" s="217"/>
      <c r="Y110" s="217"/>
      <c r="Z110" s="1"/>
      <c r="AA110" s="1"/>
      <c r="AB110" s="12"/>
      <c r="AC110" s="12"/>
    </row>
    <row r="111" spans="2:29" ht="24.9" customHeight="1" x14ac:dyDescent="0.3">
      <c r="B111" s="226" t="s">
        <v>30</v>
      </c>
      <c r="C111" s="26" t="e">
        <f t="shared" si="2"/>
        <v>#VALUE!</v>
      </c>
      <c r="D111" s="53" t="str">
        <f>IF(Data!F106="","",Data!F106)</f>
        <v>03589</v>
      </c>
      <c r="E111" s="92" t="str">
        <f>IF(Data!H106="","",Data!H106)</f>
        <v>Muhammad Kafi Azzamy</v>
      </c>
      <c r="F111" s="54" t="str">
        <f>IF(Data!I106="","",Data!I106)</f>
        <v>Laki-laki</v>
      </c>
      <c r="G111" s="110"/>
      <c r="H111" s="111"/>
      <c r="I111" s="117"/>
      <c r="J111" s="117"/>
      <c r="K111" s="117"/>
      <c r="L111" s="117"/>
      <c r="M111" s="117"/>
      <c r="N111" s="118"/>
      <c r="O111" s="112"/>
      <c r="P111" s="115"/>
      <c r="Q111" s="115"/>
      <c r="R111" s="114"/>
      <c r="S111" s="114"/>
      <c r="T111" s="115"/>
      <c r="U111" s="116"/>
      <c r="V111" s="112"/>
      <c r="W111" s="217"/>
      <c r="X111" s="217"/>
      <c r="Y111" s="217"/>
      <c r="Z111" s="1"/>
      <c r="AA111" s="1"/>
      <c r="AB111" s="12"/>
      <c r="AC111" s="12"/>
    </row>
    <row r="112" spans="2:29" ht="24.9" customHeight="1" x14ac:dyDescent="0.3">
      <c r="B112" s="226" t="s">
        <v>30</v>
      </c>
      <c r="C112" s="26" t="e">
        <f t="shared" si="2"/>
        <v>#VALUE!</v>
      </c>
      <c r="D112" s="53" t="str">
        <f>IF(Data!F107="","",Data!F107)</f>
        <v>03595</v>
      </c>
      <c r="E112" s="92" t="str">
        <f>IF(Data!H107="","",Data!H107)</f>
        <v>Muhammad Nizam Irwanto</v>
      </c>
      <c r="F112" s="54" t="str">
        <f>IF(Data!I107="","",Data!I107)</f>
        <v>Laki-laki</v>
      </c>
      <c r="G112" s="110"/>
      <c r="H112" s="111"/>
      <c r="I112" s="117"/>
      <c r="J112" s="117"/>
      <c r="K112" s="117"/>
      <c r="L112" s="117"/>
      <c r="M112" s="117"/>
      <c r="N112" s="118"/>
      <c r="O112" s="112"/>
      <c r="P112" s="115"/>
      <c r="Q112" s="115"/>
      <c r="R112" s="114"/>
      <c r="S112" s="114"/>
      <c r="T112" s="115"/>
      <c r="U112" s="116"/>
      <c r="V112" s="112"/>
      <c r="W112" s="217"/>
      <c r="X112" s="217"/>
      <c r="Y112" s="217"/>
      <c r="Z112" s="1"/>
      <c r="AA112" s="1"/>
      <c r="AB112" s="12"/>
      <c r="AC112" s="12"/>
    </row>
    <row r="113" spans="2:29" ht="24.9" customHeight="1" x14ac:dyDescent="0.3">
      <c r="B113" s="226" t="s">
        <v>30</v>
      </c>
      <c r="C113" s="26" t="e">
        <f t="shared" si="2"/>
        <v>#VALUE!</v>
      </c>
      <c r="D113" s="53" t="str">
        <f>IF(Data!F108="","",Data!F108)</f>
        <v>03596</v>
      </c>
      <c r="E113" s="92" t="str">
        <f>IF(Data!H108="","",Data!H108)</f>
        <v>Muhammad Nur Fadhil</v>
      </c>
      <c r="F113" s="54" t="str">
        <f>IF(Data!I108="","",Data!I108)</f>
        <v>Laki-laki</v>
      </c>
      <c r="G113" s="110"/>
      <c r="H113" s="111"/>
      <c r="I113" s="117"/>
      <c r="J113" s="117"/>
      <c r="K113" s="117"/>
      <c r="L113" s="117"/>
      <c r="M113" s="117"/>
      <c r="N113" s="118"/>
      <c r="O113" s="112"/>
      <c r="P113" s="115"/>
      <c r="Q113" s="115"/>
      <c r="R113" s="114"/>
      <c r="S113" s="114"/>
      <c r="T113" s="115"/>
      <c r="U113" s="116"/>
      <c r="V113" s="112"/>
      <c r="W113" s="217"/>
      <c r="X113" s="217"/>
      <c r="Y113" s="217"/>
      <c r="Z113" s="1"/>
      <c r="AA113" s="1"/>
      <c r="AB113" s="12"/>
      <c r="AC113" s="12"/>
    </row>
    <row r="114" spans="2:29" ht="24.9" customHeight="1" x14ac:dyDescent="0.3">
      <c r="B114" s="226" t="s">
        <v>30</v>
      </c>
      <c r="C114" s="26" t="e">
        <f t="shared" si="2"/>
        <v>#VALUE!</v>
      </c>
      <c r="D114" s="53" t="str">
        <f>IF(Data!F109="","",Data!F109)</f>
        <v>03597</v>
      </c>
      <c r="E114" s="92" t="str">
        <f>IF(Data!H109="","",Data!H109)</f>
        <v>Muhammad Nur Huda</v>
      </c>
      <c r="F114" s="54" t="str">
        <f>IF(Data!I109="","",Data!I109)</f>
        <v>Laki-laki</v>
      </c>
      <c r="G114" s="110"/>
      <c r="H114" s="111"/>
      <c r="I114" s="117"/>
      <c r="J114" s="117"/>
      <c r="K114" s="117"/>
      <c r="L114" s="117"/>
      <c r="M114" s="117"/>
      <c r="N114" s="118"/>
      <c r="O114" s="112"/>
      <c r="P114" s="115"/>
      <c r="Q114" s="115"/>
      <c r="R114" s="114"/>
      <c r="S114" s="114"/>
      <c r="T114" s="115"/>
      <c r="U114" s="116"/>
      <c r="V114" s="112"/>
      <c r="W114" s="217"/>
      <c r="X114" s="217"/>
      <c r="Y114" s="217"/>
      <c r="Z114" s="1"/>
      <c r="AA114" s="1"/>
      <c r="AB114" s="12"/>
      <c r="AC114" s="12"/>
    </row>
    <row r="115" spans="2:29" ht="24.9" customHeight="1" x14ac:dyDescent="0.3">
      <c r="B115" s="226" t="s">
        <v>30</v>
      </c>
      <c r="C115" s="26" t="e">
        <f t="shared" si="2"/>
        <v>#VALUE!</v>
      </c>
      <c r="D115" s="53" t="str">
        <f>IF(Data!F110="","",Data!F110)</f>
        <v>03598</v>
      </c>
      <c r="E115" s="92" t="str">
        <f>IF(Data!H110="","",Data!H110)</f>
        <v>Muhammad Nuril Zulfiansyah</v>
      </c>
      <c r="F115" s="54" t="str">
        <f>IF(Data!I110="","",Data!I110)</f>
        <v>Laki-laki</v>
      </c>
      <c r="G115" s="110"/>
      <c r="H115" s="111"/>
      <c r="I115" s="117"/>
      <c r="J115" s="117"/>
      <c r="K115" s="117"/>
      <c r="L115" s="117"/>
      <c r="M115" s="117"/>
      <c r="N115" s="118"/>
      <c r="O115" s="112"/>
      <c r="P115" s="115"/>
      <c r="Q115" s="115"/>
      <c r="R115" s="114"/>
      <c r="S115" s="114"/>
      <c r="T115" s="115"/>
      <c r="U115" s="116"/>
      <c r="V115" s="112"/>
      <c r="W115" s="217"/>
      <c r="X115" s="217"/>
      <c r="Y115" s="217"/>
      <c r="Z115" s="1"/>
      <c r="AA115" s="1"/>
      <c r="AB115" s="12"/>
      <c r="AC115" s="12"/>
    </row>
    <row r="116" spans="2:29" ht="24.9" customHeight="1" x14ac:dyDescent="0.3">
      <c r="B116" s="226" t="s">
        <v>30</v>
      </c>
      <c r="C116" s="26" t="e">
        <f t="shared" si="2"/>
        <v>#VALUE!</v>
      </c>
      <c r="D116" s="53" t="str">
        <f>IF(Data!F111="","",Data!F111)</f>
        <v>03603</v>
      </c>
      <c r="E116" s="92" t="str">
        <f>IF(Data!H111="","",Data!H111)</f>
        <v>Nafil Wildan Aqil Abqory</v>
      </c>
      <c r="F116" s="54" t="str">
        <f>IF(Data!I111="","",Data!I111)</f>
        <v>Laki-laki</v>
      </c>
      <c r="G116" s="110"/>
      <c r="H116" s="111"/>
      <c r="I116" s="117"/>
      <c r="J116" s="117"/>
      <c r="K116" s="117"/>
      <c r="L116" s="117"/>
      <c r="M116" s="117"/>
      <c r="N116" s="118"/>
      <c r="O116" s="112"/>
      <c r="P116" s="115"/>
      <c r="Q116" s="115"/>
      <c r="R116" s="114"/>
      <c r="S116" s="114"/>
      <c r="T116" s="115"/>
      <c r="U116" s="116"/>
      <c r="V116" s="112"/>
      <c r="W116" s="217"/>
      <c r="X116" s="217"/>
      <c r="Y116" s="217"/>
      <c r="Z116" s="1"/>
      <c r="AA116" s="1"/>
      <c r="AB116" s="12"/>
      <c r="AC116" s="12"/>
    </row>
    <row r="117" spans="2:29" ht="24.9" customHeight="1" x14ac:dyDescent="0.3">
      <c r="B117" s="226" t="s">
        <v>30</v>
      </c>
      <c r="C117" s="26" t="e">
        <f t="shared" si="2"/>
        <v>#VALUE!</v>
      </c>
      <c r="D117" s="53" t="str">
        <f>IF(Data!F112="","",Data!F112)</f>
        <v>03605</v>
      </c>
      <c r="E117" s="92" t="str">
        <f>IF(Data!H112="","",Data!H112)</f>
        <v>Nizam Zulfikar Oktafian Yudhiyanto</v>
      </c>
      <c r="F117" s="54" t="str">
        <f>IF(Data!I112="","",Data!I112)</f>
        <v>Laki-laki</v>
      </c>
      <c r="G117" s="110"/>
      <c r="H117" s="111"/>
      <c r="I117" s="117"/>
      <c r="J117" s="117"/>
      <c r="K117" s="117"/>
      <c r="L117" s="117"/>
      <c r="M117" s="117"/>
      <c r="N117" s="118"/>
      <c r="O117" s="112"/>
      <c r="P117" s="115"/>
      <c r="Q117" s="115"/>
      <c r="R117" s="114"/>
      <c r="S117" s="114"/>
      <c r="T117" s="115"/>
      <c r="U117" s="116"/>
      <c r="V117" s="112"/>
      <c r="W117" s="217"/>
      <c r="X117" s="217"/>
      <c r="Y117" s="217"/>
      <c r="Z117" s="1"/>
      <c r="AA117" s="1"/>
      <c r="AB117" s="12"/>
      <c r="AC117" s="12"/>
    </row>
    <row r="118" spans="2:29" ht="24.9" customHeight="1" x14ac:dyDescent="0.3">
      <c r="B118" s="226" t="s">
        <v>31</v>
      </c>
      <c r="C118" s="26">
        <v>1</v>
      </c>
      <c r="D118" s="53" t="str">
        <f>IF(Data!F113="","",Data!F113)</f>
        <v>03608</v>
      </c>
      <c r="E118" s="92" t="str">
        <f>IF(Data!H113="","",Data!H113)</f>
        <v>Rafa Saputra</v>
      </c>
      <c r="F118" s="54" t="str">
        <f>IF(Data!I113="","",Data!I113)</f>
        <v>Laki-laki</v>
      </c>
      <c r="G118" s="110"/>
      <c r="H118" s="111"/>
      <c r="I118" s="117"/>
      <c r="J118" s="117"/>
      <c r="K118" s="117"/>
      <c r="L118" s="117"/>
      <c r="M118" s="117"/>
      <c r="N118" s="118"/>
      <c r="O118" s="112"/>
      <c r="P118" s="115"/>
      <c r="Q118" s="115"/>
      <c r="R118" s="114"/>
      <c r="S118" s="114"/>
      <c r="T118" s="115"/>
      <c r="U118" s="116"/>
      <c r="V118" s="112"/>
      <c r="W118" s="217"/>
      <c r="X118" s="217"/>
      <c r="Y118" s="217"/>
      <c r="Z118" s="1"/>
      <c r="AA118" s="1"/>
      <c r="AB118" s="12"/>
      <c r="AC118" s="12"/>
    </row>
    <row r="119" spans="2:29" ht="24.9" customHeight="1" x14ac:dyDescent="0.3">
      <c r="B119" s="226" t="s">
        <v>31</v>
      </c>
      <c r="C119" s="26">
        <f t="shared" si="2"/>
        <v>2</v>
      </c>
      <c r="D119" s="53" t="str">
        <f>IF(Data!F114="","",Data!F114)</f>
        <v>03610</v>
      </c>
      <c r="E119" s="92" t="str">
        <f>IF(Data!H114="","",Data!H114)</f>
        <v>Raffael Bintang Rohman</v>
      </c>
      <c r="F119" s="54" t="str">
        <f>IF(Data!I114="","",Data!I114)</f>
        <v>Laki-laki</v>
      </c>
      <c r="G119" s="110"/>
      <c r="H119" s="111"/>
      <c r="I119" s="117"/>
      <c r="J119" s="117"/>
      <c r="K119" s="117"/>
      <c r="L119" s="117"/>
      <c r="M119" s="117"/>
      <c r="N119" s="118"/>
      <c r="O119" s="112"/>
      <c r="P119" s="115"/>
      <c r="Q119" s="115"/>
      <c r="R119" s="114"/>
      <c r="S119" s="114"/>
      <c r="T119" s="115"/>
      <c r="U119" s="116"/>
      <c r="V119" s="112"/>
      <c r="W119" s="217"/>
      <c r="X119" s="217"/>
      <c r="Y119" s="217"/>
      <c r="Z119" s="1"/>
      <c r="AA119" s="1"/>
      <c r="AB119" s="12"/>
      <c r="AC119" s="12"/>
    </row>
    <row r="120" spans="2:29" ht="24.9" customHeight="1" x14ac:dyDescent="0.3">
      <c r="B120" s="226" t="s">
        <v>31</v>
      </c>
      <c r="C120" s="26">
        <f t="shared" si="2"/>
        <v>3</v>
      </c>
      <c r="D120" s="53" t="str">
        <f>IF(Data!F115="","",Data!F115)</f>
        <v>03612</v>
      </c>
      <c r="E120" s="92" t="str">
        <f>IF(Data!H115="","",Data!H115)</f>
        <v>Raihan Khoirul Jamal</v>
      </c>
      <c r="F120" s="54" t="str">
        <f>IF(Data!I115="","",Data!I115)</f>
        <v>Laki-laki</v>
      </c>
      <c r="G120" s="110"/>
      <c r="H120" s="111"/>
      <c r="I120" s="117"/>
      <c r="J120" s="117"/>
      <c r="K120" s="117"/>
      <c r="L120" s="117"/>
      <c r="M120" s="117"/>
      <c r="N120" s="118"/>
      <c r="O120" s="112"/>
      <c r="P120" s="115"/>
      <c r="Q120" s="115"/>
      <c r="R120" s="114"/>
      <c r="S120" s="114"/>
      <c r="T120" s="115"/>
      <c r="U120" s="116"/>
      <c r="V120" s="112"/>
      <c r="W120" s="217"/>
      <c r="X120" s="217"/>
      <c r="Y120" s="217"/>
      <c r="Z120" s="1"/>
      <c r="AA120" s="1"/>
      <c r="AB120" s="12"/>
      <c r="AC120" s="12"/>
    </row>
    <row r="121" spans="2:29" ht="24.9" customHeight="1" x14ac:dyDescent="0.3">
      <c r="B121" s="226" t="s">
        <v>31</v>
      </c>
      <c r="C121" s="26">
        <f t="shared" si="2"/>
        <v>4</v>
      </c>
      <c r="D121" s="53" t="str">
        <f>IF(Data!F116="","",Data!F116)</f>
        <v>03619</v>
      </c>
      <c r="E121" s="92" t="str">
        <f>IF(Data!H116="","",Data!H116)</f>
        <v>Tomy Ardiansyah</v>
      </c>
      <c r="F121" s="54" t="str">
        <f>IF(Data!I116="","",Data!I116)</f>
        <v>Laki-laki</v>
      </c>
      <c r="G121" s="110"/>
      <c r="H121" s="111"/>
      <c r="I121" s="117"/>
      <c r="J121" s="117"/>
      <c r="K121" s="117"/>
      <c r="L121" s="117"/>
      <c r="M121" s="117"/>
      <c r="N121" s="118"/>
      <c r="O121" s="112"/>
      <c r="P121" s="115"/>
      <c r="Q121" s="115"/>
      <c r="R121" s="114"/>
      <c r="S121" s="114"/>
      <c r="T121" s="115"/>
      <c r="U121" s="116"/>
      <c r="V121" s="112"/>
      <c r="W121" s="217"/>
      <c r="X121" s="217"/>
      <c r="Y121" s="217"/>
      <c r="Z121" s="1"/>
      <c r="AA121" s="1"/>
      <c r="AB121" s="12"/>
      <c r="AC121" s="12"/>
    </row>
    <row r="122" spans="2:29" ht="24.9" customHeight="1" x14ac:dyDescent="0.3">
      <c r="B122" s="226" t="s">
        <v>31</v>
      </c>
      <c r="C122" s="26">
        <f t="shared" si="2"/>
        <v>5</v>
      </c>
      <c r="D122" s="53" t="str">
        <f>IF(Data!F117="","",Data!F117)</f>
        <v>03754</v>
      </c>
      <c r="E122" s="92" t="str">
        <f>IF(Data!H117="","",Data!H117)</f>
        <v>Muhammad Kavin</v>
      </c>
      <c r="F122" s="54" t="str">
        <f>IF(Data!I117="","",Data!I117)</f>
        <v>Laki-laki</v>
      </c>
      <c r="G122" s="110"/>
      <c r="H122" s="111"/>
      <c r="I122" s="117"/>
      <c r="J122" s="117"/>
      <c r="K122" s="117"/>
      <c r="L122" s="117"/>
      <c r="M122" s="117"/>
      <c r="N122" s="118"/>
      <c r="O122" s="112"/>
      <c r="P122" s="115"/>
      <c r="Q122" s="115"/>
      <c r="R122" s="114"/>
      <c r="S122" s="114"/>
      <c r="T122" s="115"/>
      <c r="U122" s="116"/>
      <c r="V122" s="112"/>
      <c r="W122" s="217"/>
      <c r="X122" s="217"/>
      <c r="Y122" s="217"/>
      <c r="Z122" s="1"/>
      <c r="AA122" s="1"/>
      <c r="AB122" s="12"/>
      <c r="AC122" s="12"/>
    </row>
    <row r="123" spans="2:29" ht="24.9" customHeight="1" x14ac:dyDescent="0.3">
      <c r="B123" s="226" t="s">
        <v>31</v>
      </c>
      <c r="C123" s="26" t="str">
        <f t="shared" si="2"/>
        <v/>
      </c>
      <c r="D123" s="53" t="str">
        <f>IF(Data!F118="","",Data!F118)</f>
        <v/>
      </c>
      <c r="E123" s="92" t="str">
        <f>IF(Data!H118="","",Data!H118)</f>
        <v/>
      </c>
      <c r="F123" s="54" t="str">
        <f>IF(Data!I118="","",Data!I118)</f>
        <v/>
      </c>
      <c r="G123" s="110"/>
      <c r="H123" s="111"/>
      <c r="I123" s="117"/>
      <c r="J123" s="117"/>
      <c r="K123" s="117"/>
      <c r="L123" s="117"/>
      <c r="M123" s="117"/>
      <c r="N123" s="118"/>
      <c r="O123" s="112"/>
      <c r="P123" s="115"/>
      <c r="Q123" s="115"/>
      <c r="R123" s="114"/>
      <c r="S123" s="114"/>
      <c r="T123" s="115"/>
      <c r="U123" s="116"/>
      <c r="V123" s="112"/>
      <c r="W123" s="217"/>
      <c r="X123" s="217"/>
      <c r="Y123" s="217"/>
      <c r="Z123" s="1"/>
      <c r="AA123" s="1"/>
      <c r="AB123" s="12"/>
      <c r="AC123" s="12"/>
    </row>
    <row r="124" spans="2:29" ht="24.9" customHeight="1" x14ac:dyDescent="0.3">
      <c r="B124" s="226" t="s">
        <v>31</v>
      </c>
      <c r="C124" s="26" t="str">
        <f t="shared" si="2"/>
        <v/>
      </c>
      <c r="D124" s="53" t="str">
        <f>IF(Data!F119="","",Data!F119)</f>
        <v/>
      </c>
      <c r="E124" s="92" t="str">
        <f>IF(Data!H119="","",Data!H119)</f>
        <v/>
      </c>
      <c r="F124" s="54" t="str">
        <f>IF(Data!I119="","",Data!I119)</f>
        <v/>
      </c>
      <c r="G124" s="110"/>
      <c r="H124" s="111"/>
      <c r="I124" s="117"/>
      <c r="J124" s="117"/>
      <c r="K124" s="117"/>
      <c r="L124" s="117"/>
      <c r="M124" s="117"/>
      <c r="N124" s="118"/>
      <c r="O124" s="112"/>
      <c r="P124" s="115"/>
      <c r="Q124" s="115"/>
      <c r="R124" s="114"/>
      <c r="S124" s="114"/>
      <c r="T124" s="115"/>
      <c r="U124" s="116"/>
      <c r="V124" s="112"/>
      <c r="W124" s="217"/>
      <c r="X124" s="217"/>
      <c r="Y124" s="217"/>
      <c r="Z124" s="1"/>
      <c r="AA124" s="1"/>
      <c r="AB124" s="12"/>
      <c r="AC124" s="12"/>
    </row>
    <row r="125" spans="2:29" ht="24.9" customHeight="1" x14ac:dyDescent="0.3">
      <c r="B125" s="226" t="s">
        <v>31</v>
      </c>
      <c r="C125" s="26" t="str">
        <f t="shared" si="2"/>
        <v/>
      </c>
      <c r="D125" s="53" t="str">
        <f>IF(Data!F120="","",Data!F120)</f>
        <v/>
      </c>
      <c r="E125" s="92" t="str">
        <f>IF(Data!H120="","",Data!H120)</f>
        <v/>
      </c>
      <c r="F125" s="54" t="str">
        <f>IF(Data!I120="","",Data!I120)</f>
        <v/>
      </c>
      <c r="G125" s="110"/>
      <c r="H125" s="111"/>
      <c r="I125" s="117"/>
      <c r="J125" s="117"/>
      <c r="K125" s="117"/>
      <c r="L125" s="117"/>
      <c r="M125" s="117"/>
      <c r="N125" s="118"/>
      <c r="O125" s="112"/>
      <c r="P125" s="115"/>
      <c r="Q125" s="115"/>
      <c r="R125" s="114"/>
      <c r="S125" s="114"/>
      <c r="T125" s="115"/>
      <c r="U125" s="116"/>
      <c r="V125" s="112"/>
      <c r="W125" s="217"/>
      <c r="X125" s="217"/>
      <c r="Y125" s="217"/>
      <c r="Z125" s="1"/>
      <c r="AA125" s="1"/>
      <c r="AB125" s="12"/>
      <c r="AC125" s="12"/>
    </row>
    <row r="126" spans="2:29" ht="24.9" customHeight="1" x14ac:dyDescent="0.3">
      <c r="B126" s="226" t="s">
        <v>31</v>
      </c>
      <c r="C126" s="26" t="str">
        <f t="shared" si="2"/>
        <v/>
      </c>
      <c r="D126" s="53" t="str">
        <f>IF(Data!F121="","",Data!F121)</f>
        <v/>
      </c>
      <c r="E126" s="92" t="str">
        <f>IF(Data!H121="","",Data!H121)</f>
        <v/>
      </c>
      <c r="F126" s="54" t="str">
        <f>IF(Data!I121="","",Data!I121)</f>
        <v/>
      </c>
      <c r="G126" s="110"/>
      <c r="H126" s="111"/>
      <c r="I126" s="117"/>
      <c r="J126" s="117"/>
      <c r="K126" s="117"/>
      <c r="L126" s="117"/>
      <c r="M126" s="117"/>
      <c r="N126" s="118"/>
      <c r="O126" s="112"/>
      <c r="P126" s="115"/>
      <c r="Q126" s="115"/>
      <c r="R126" s="114"/>
      <c r="S126" s="114"/>
      <c r="T126" s="115"/>
      <c r="U126" s="116"/>
      <c r="V126" s="112"/>
      <c r="W126" s="217"/>
      <c r="X126" s="217"/>
      <c r="Y126" s="217"/>
      <c r="Z126" s="1"/>
      <c r="AA126" s="1"/>
      <c r="AB126" s="12"/>
      <c r="AC126" s="12"/>
    </row>
    <row r="127" spans="2:29" ht="24.9" customHeight="1" x14ac:dyDescent="0.3">
      <c r="B127" s="226" t="s">
        <v>31</v>
      </c>
      <c r="C127" s="26" t="str">
        <f t="shared" si="2"/>
        <v/>
      </c>
      <c r="D127" s="53" t="str">
        <f>IF(Data!F122="","",Data!F122)</f>
        <v/>
      </c>
      <c r="E127" s="92" t="str">
        <f>IF(Data!H122="","",Data!H122)</f>
        <v/>
      </c>
      <c r="F127" s="54" t="str">
        <f>IF(Data!I122="","",Data!I122)</f>
        <v/>
      </c>
      <c r="G127" s="110"/>
      <c r="H127" s="111"/>
      <c r="I127" s="117"/>
      <c r="J127" s="117"/>
      <c r="K127" s="117"/>
      <c r="L127" s="117"/>
      <c r="M127" s="117"/>
      <c r="N127" s="118"/>
      <c r="O127" s="112"/>
      <c r="P127" s="115"/>
      <c r="Q127" s="115"/>
      <c r="R127" s="114"/>
      <c r="S127" s="114"/>
      <c r="T127" s="115"/>
      <c r="U127" s="116"/>
      <c r="V127" s="112"/>
      <c r="W127" s="217"/>
      <c r="X127" s="217"/>
      <c r="Y127" s="217"/>
      <c r="Z127" s="1"/>
      <c r="AA127" s="1"/>
      <c r="AB127" s="12"/>
      <c r="AC127" s="12"/>
    </row>
    <row r="128" spans="2:29" ht="24.9" customHeight="1" x14ac:dyDescent="0.3">
      <c r="B128" s="226" t="s">
        <v>31</v>
      </c>
      <c r="C128" s="26" t="str">
        <f t="shared" si="2"/>
        <v/>
      </c>
      <c r="D128" s="53" t="str">
        <f>IF(Data!F123="","",Data!F123)</f>
        <v/>
      </c>
      <c r="E128" s="92" t="str">
        <f>IF(Data!H123="","",Data!H123)</f>
        <v/>
      </c>
      <c r="F128" s="54" t="str">
        <f>IF(Data!I123="","",Data!I123)</f>
        <v/>
      </c>
      <c r="G128" s="110"/>
      <c r="H128" s="111"/>
      <c r="I128" s="117"/>
      <c r="J128" s="117"/>
      <c r="K128" s="117"/>
      <c r="L128" s="117"/>
      <c r="M128" s="117"/>
      <c r="N128" s="118"/>
      <c r="O128" s="112"/>
      <c r="P128" s="115"/>
      <c r="Q128" s="115"/>
      <c r="R128" s="114"/>
      <c r="S128" s="114"/>
      <c r="T128" s="115"/>
      <c r="U128" s="116"/>
      <c r="V128" s="112"/>
      <c r="W128" s="217"/>
      <c r="X128" s="217"/>
      <c r="Y128" s="217"/>
      <c r="Z128" s="1"/>
      <c r="AA128" s="1"/>
      <c r="AB128" s="12"/>
      <c r="AC128" s="12"/>
    </row>
    <row r="129" spans="2:29" ht="24.9" customHeight="1" x14ac:dyDescent="0.3">
      <c r="B129" s="226" t="s">
        <v>31</v>
      </c>
      <c r="C129" s="26" t="str">
        <f t="shared" si="2"/>
        <v/>
      </c>
      <c r="D129" s="53" t="str">
        <f>IF(Data!F124="","",Data!F124)</f>
        <v/>
      </c>
      <c r="E129" s="92" t="str">
        <f>IF(Data!H124="","",Data!H124)</f>
        <v/>
      </c>
      <c r="F129" s="54" t="str">
        <f>IF(Data!I124="","",Data!I124)</f>
        <v/>
      </c>
      <c r="G129" s="110"/>
      <c r="H129" s="111"/>
      <c r="I129" s="117"/>
      <c r="J129" s="117"/>
      <c r="K129" s="117"/>
      <c r="L129" s="117"/>
      <c r="M129" s="117"/>
      <c r="N129" s="118"/>
      <c r="O129" s="112"/>
      <c r="P129" s="115"/>
      <c r="Q129" s="115"/>
      <c r="R129" s="114"/>
      <c r="S129" s="114"/>
      <c r="T129" s="115"/>
      <c r="U129" s="116"/>
      <c r="V129" s="112"/>
      <c r="W129" s="217"/>
      <c r="X129" s="217"/>
      <c r="Y129" s="217"/>
      <c r="Z129" s="1"/>
      <c r="AA129" s="1"/>
      <c r="AB129" s="12"/>
      <c r="AC129" s="12"/>
    </row>
    <row r="130" spans="2:29" ht="24.9" customHeight="1" x14ac:dyDescent="0.3">
      <c r="B130" s="226" t="s">
        <v>31</v>
      </c>
      <c r="C130" s="26" t="e">
        <f t="shared" si="2"/>
        <v>#VALUE!</v>
      </c>
      <c r="D130" s="53" t="str">
        <f>IF(Data!F125="","",Data!F125)</f>
        <v>03639</v>
      </c>
      <c r="E130" s="92" t="str">
        <f>IF(Data!H125="","",Data!H125)</f>
        <v>Arini Nur Rahmania Sa'idah</v>
      </c>
      <c r="F130" s="54" t="str">
        <f>IF(Data!I125="","",Data!I125)</f>
        <v>Perempuan</v>
      </c>
      <c r="G130" s="110"/>
      <c r="H130" s="111"/>
      <c r="I130" s="117"/>
      <c r="J130" s="117"/>
      <c r="K130" s="117"/>
      <c r="L130" s="117"/>
      <c r="M130" s="117"/>
      <c r="N130" s="118"/>
      <c r="O130" s="112"/>
      <c r="P130" s="115"/>
      <c r="Q130" s="115"/>
      <c r="R130" s="114"/>
      <c r="S130" s="114"/>
      <c r="T130" s="115"/>
      <c r="U130" s="116"/>
      <c r="V130" s="112"/>
      <c r="W130" s="217"/>
      <c r="X130" s="217"/>
      <c r="Y130" s="217"/>
      <c r="Z130" s="1"/>
      <c r="AA130" s="1"/>
      <c r="AB130" s="12"/>
      <c r="AC130" s="12"/>
    </row>
    <row r="131" spans="2:29" ht="24.9" customHeight="1" x14ac:dyDescent="0.3">
      <c r="B131" s="226" t="s">
        <v>31</v>
      </c>
      <c r="C131" s="26" t="e">
        <f t="shared" si="2"/>
        <v>#VALUE!</v>
      </c>
      <c r="D131" s="53" t="str">
        <f>IF(Data!F126="","",Data!F126)</f>
        <v>03644</v>
      </c>
      <c r="E131" s="92" t="str">
        <f>IF(Data!H126="","",Data!H126)</f>
        <v>Auliya Hanin Syarifah</v>
      </c>
      <c r="F131" s="54" t="str">
        <f>IF(Data!I126="","",Data!I126)</f>
        <v>Perempuan</v>
      </c>
      <c r="G131" s="110"/>
      <c r="H131" s="111"/>
      <c r="I131" s="117"/>
      <c r="J131" s="117"/>
      <c r="K131" s="117"/>
      <c r="L131" s="117"/>
      <c r="M131" s="117"/>
      <c r="N131" s="118"/>
      <c r="O131" s="112"/>
      <c r="P131" s="115"/>
      <c r="Q131" s="115"/>
      <c r="R131" s="114"/>
      <c r="S131" s="114"/>
      <c r="T131" s="115"/>
      <c r="U131" s="116"/>
      <c r="V131" s="112"/>
      <c r="W131" s="217"/>
      <c r="X131" s="217"/>
      <c r="Y131" s="217"/>
      <c r="Z131" s="1"/>
      <c r="AA131" s="1"/>
      <c r="AB131" s="12"/>
      <c r="AC131" s="12"/>
    </row>
    <row r="132" spans="2:29" ht="24.9" customHeight="1" x14ac:dyDescent="0.3">
      <c r="B132" s="226" t="s">
        <v>31</v>
      </c>
      <c r="C132" s="26" t="e">
        <f t="shared" si="2"/>
        <v>#VALUE!</v>
      </c>
      <c r="D132" s="53" t="str">
        <f>IF(Data!F127="","",Data!F127)</f>
        <v>03646</v>
      </c>
      <c r="E132" s="92" t="str">
        <f>IF(Data!H127="","",Data!H127)</f>
        <v>Azmi Anna Althafunnisa'</v>
      </c>
      <c r="F132" s="54" t="str">
        <f>IF(Data!I127="","",Data!I127)</f>
        <v>Perempuan</v>
      </c>
      <c r="G132" s="110"/>
      <c r="H132" s="111"/>
      <c r="I132" s="117"/>
      <c r="J132" s="117"/>
      <c r="K132" s="117"/>
      <c r="L132" s="117"/>
      <c r="M132" s="117"/>
      <c r="N132" s="118"/>
      <c r="O132" s="112"/>
      <c r="P132" s="115"/>
      <c r="Q132" s="115"/>
      <c r="R132" s="114"/>
      <c r="S132" s="114"/>
      <c r="T132" s="115"/>
      <c r="U132" s="116"/>
      <c r="V132" s="112"/>
      <c r="W132" s="217"/>
      <c r="X132" s="217"/>
      <c r="Y132" s="217"/>
      <c r="Z132" s="1"/>
      <c r="AA132" s="1"/>
      <c r="AB132" s="12"/>
      <c r="AC132" s="12"/>
    </row>
    <row r="133" spans="2:29" ht="24.9" customHeight="1" x14ac:dyDescent="0.3">
      <c r="B133" s="226" t="s">
        <v>31</v>
      </c>
      <c r="C133" s="26" t="e">
        <f t="shared" si="2"/>
        <v>#VALUE!</v>
      </c>
      <c r="D133" s="53" t="str">
        <f>IF(Data!F128="","",Data!F128)</f>
        <v>03647</v>
      </c>
      <c r="E133" s="92" t="str">
        <f>IF(Data!H128="","",Data!H128)</f>
        <v>Azzahro Nur Maulida</v>
      </c>
      <c r="F133" s="54" t="str">
        <f>IF(Data!I128="","",Data!I128)</f>
        <v>Perempuan</v>
      </c>
      <c r="G133" s="110"/>
      <c r="H133" s="111"/>
      <c r="I133" s="117"/>
      <c r="J133" s="117"/>
      <c r="K133" s="117"/>
      <c r="L133" s="117"/>
      <c r="M133" s="117"/>
      <c r="N133" s="118"/>
      <c r="O133" s="112"/>
      <c r="P133" s="115"/>
      <c r="Q133" s="115"/>
      <c r="R133" s="114"/>
      <c r="S133" s="114"/>
      <c r="T133" s="115"/>
      <c r="U133" s="116"/>
      <c r="V133" s="112"/>
      <c r="W133" s="217"/>
      <c r="X133" s="217"/>
      <c r="Y133" s="217"/>
      <c r="Z133" s="1"/>
      <c r="AA133" s="1"/>
      <c r="AB133" s="12"/>
      <c r="AC133" s="12"/>
    </row>
    <row r="134" spans="2:29" ht="24.9" customHeight="1" x14ac:dyDescent="0.3">
      <c r="B134" s="226" t="s">
        <v>31</v>
      </c>
      <c r="C134" s="26" t="e">
        <f t="shared" si="2"/>
        <v>#VALUE!</v>
      </c>
      <c r="D134" s="53" t="str">
        <f>IF(Data!F129="","",Data!F129)</f>
        <v>03648</v>
      </c>
      <c r="E134" s="92" t="str">
        <f>IF(Data!H129="","",Data!H129)</f>
        <v>Azzura Reyna Arifina</v>
      </c>
      <c r="F134" s="54" t="str">
        <f>IF(Data!I129="","",Data!I129)</f>
        <v>Perempuan</v>
      </c>
      <c r="G134" s="110"/>
      <c r="H134" s="111"/>
      <c r="I134" s="117"/>
      <c r="J134" s="117"/>
      <c r="K134" s="117"/>
      <c r="L134" s="117"/>
      <c r="M134" s="117"/>
      <c r="N134" s="118"/>
      <c r="O134" s="112"/>
      <c r="P134" s="115"/>
      <c r="Q134" s="115"/>
      <c r="R134" s="114"/>
      <c r="S134" s="114"/>
      <c r="T134" s="115"/>
      <c r="U134" s="116"/>
      <c r="V134" s="112"/>
      <c r="W134" s="217"/>
      <c r="X134" s="217"/>
      <c r="Y134" s="217"/>
      <c r="Z134" s="1"/>
      <c r="AA134" s="1"/>
      <c r="AB134" s="12"/>
      <c r="AC134" s="12"/>
    </row>
    <row r="135" spans="2:29" ht="24.9" customHeight="1" x14ac:dyDescent="0.3">
      <c r="B135" s="226" t="s">
        <v>31</v>
      </c>
      <c r="C135" s="26" t="e">
        <f t="shared" si="2"/>
        <v>#VALUE!</v>
      </c>
      <c r="D135" s="53" t="str">
        <f>IF(Data!F130="","",Data!F130)</f>
        <v>03649</v>
      </c>
      <c r="E135" s="92" t="str">
        <f>IF(Data!H130="","",Data!H130)</f>
        <v>Belvania Valeri Alayya</v>
      </c>
      <c r="F135" s="54" t="str">
        <f>IF(Data!I130="","",Data!I130)</f>
        <v>Perempuan</v>
      </c>
      <c r="G135" s="110"/>
      <c r="H135" s="111"/>
      <c r="I135" s="117"/>
      <c r="J135" s="117"/>
      <c r="K135" s="117"/>
      <c r="L135" s="117"/>
      <c r="M135" s="117"/>
      <c r="N135" s="118"/>
      <c r="O135" s="112"/>
      <c r="P135" s="115"/>
      <c r="Q135" s="115"/>
      <c r="R135" s="114"/>
      <c r="S135" s="114"/>
      <c r="T135" s="115"/>
      <c r="U135" s="116"/>
      <c r="V135" s="112"/>
      <c r="W135" s="217"/>
      <c r="X135" s="217"/>
      <c r="Y135" s="217"/>
      <c r="Z135" s="1"/>
      <c r="AA135" s="1"/>
      <c r="AB135" s="12"/>
      <c r="AC135" s="12"/>
    </row>
    <row r="136" spans="2:29" ht="24.9" customHeight="1" x14ac:dyDescent="0.3">
      <c r="B136" s="226" t="s">
        <v>31</v>
      </c>
      <c r="C136" s="26" t="e">
        <f t="shared" si="2"/>
        <v>#VALUE!</v>
      </c>
      <c r="D136" s="53" t="str">
        <f>IF(Data!F131="","",Data!F131)</f>
        <v>03650</v>
      </c>
      <c r="E136" s="92" t="str">
        <f>IF(Data!H131="","",Data!H131)</f>
        <v>Cahya Salsabila Putri</v>
      </c>
      <c r="F136" s="54" t="str">
        <f>IF(Data!I131="","",Data!I131)</f>
        <v>Perempuan</v>
      </c>
      <c r="G136" s="110"/>
      <c r="H136" s="111"/>
      <c r="I136" s="117"/>
      <c r="J136" s="117"/>
      <c r="K136" s="117"/>
      <c r="L136" s="117"/>
      <c r="M136" s="117"/>
      <c r="N136" s="118"/>
      <c r="O136" s="112"/>
      <c r="P136" s="115"/>
      <c r="Q136" s="115"/>
      <c r="R136" s="114"/>
      <c r="S136" s="114"/>
      <c r="T136" s="115"/>
      <c r="U136" s="116"/>
      <c r="V136" s="112"/>
      <c r="W136" s="217"/>
      <c r="X136" s="217"/>
      <c r="Y136" s="217"/>
      <c r="Z136" s="1"/>
      <c r="AA136" s="1"/>
      <c r="AB136" s="12"/>
      <c r="AC136" s="12"/>
    </row>
    <row r="137" spans="2:29" ht="24.9" customHeight="1" x14ac:dyDescent="0.3">
      <c r="B137" s="226" t="s">
        <v>31</v>
      </c>
      <c r="C137" s="26" t="e">
        <f t="shared" si="2"/>
        <v>#VALUE!</v>
      </c>
      <c r="D137" s="53" t="str">
        <f>IF(Data!F132="","",Data!F132)</f>
        <v>03653</v>
      </c>
      <c r="E137" s="92" t="str">
        <f>IF(Data!H132="","",Data!H132)</f>
        <v>Cinta Agustina Ramadhani</v>
      </c>
      <c r="F137" s="54" t="str">
        <f>IF(Data!I132="","",Data!I132)</f>
        <v>Perempuan</v>
      </c>
      <c r="G137" s="110"/>
      <c r="H137" s="111"/>
      <c r="I137" s="117"/>
      <c r="J137" s="117"/>
      <c r="K137" s="117"/>
      <c r="L137" s="117"/>
      <c r="M137" s="117"/>
      <c r="N137" s="118"/>
      <c r="O137" s="112"/>
      <c r="P137" s="115"/>
      <c r="Q137" s="115"/>
      <c r="R137" s="114"/>
      <c r="S137" s="114"/>
      <c r="T137" s="115"/>
      <c r="U137" s="116"/>
      <c r="V137" s="112"/>
      <c r="W137" s="217"/>
      <c r="X137" s="217"/>
      <c r="Y137" s="217"/>
      <c r="Z137" s="1"/>
      <c r="AA137" s="1"/>
      <c r="AB137" s="12"/>
      <c r="AC137" s="12"/>
    </row>
    <row r="138" spans="2:29" ht="24.9" customHeight="1" x14ac:dyDescent="0.3">
      <c r="B138" s="226" t="s">
        <v>31</v>
      </c>
      <c r="C138" s="26" t="e">
        <f t="shared" si="2"/>
        <v>#VALUE!</v>
      </c>
      <c r="D138" s="53" t="str">
        <f>IF(Data!F133="","",Data!F133)</f>
        <v>03654</v>
      </c>
      <c r="E138" s="92" t="str">
        <f>IF(Data!H133="","",Data!H133)</f>
        <v>Cinta Laetishya Azzahra</v>
      </c>
      <c r="F138" s="54" t="str">
        <f>IF(Data!I133="","",Data!I133)</f>
        <v>Perempuan</v>
      </c>
      <c r="G138" s="110"/>
      <c r="H138" s="111"/>
      <c r="I138" s="117"/>
      <c r="J138" s="117"/>
      <c r="K138" s="117"/>
      <c r="L138" s="117"/>
      <c r="M138" s="117"/>
      <c r="N138" s="118"/>
      <c r="O138" s="112"/>
      <c r="P138" s="115"/>
      <c r="Q138" s="115"/>
      <c r="R138" s="114"/>
      <c r="S138" s="114"/>
      <c r="T138" s="115"/>
      <c r="U138" s="116"/>
      <c r="V138" s="112"/>
      <c r="W138" s="217"/>
      <c r="X138" s="217"/>
      <c r="Y138" s="217"/>
      <c r="Z138" s="1"/>
      <c r="AA138" s="1"/>
      <c r="AB138" s="12"/>
      <c r="AC138" s="12"/>
    </row>
    <row r="139" spans="2:29" ht="24.9" customHeight="1" x14ac:dyDescent="0.3">
      <c r="B139" s="226" t="s">
        <v>31</v>
      </c>
      <c r="C139" s="26" t="e">
        <f t="shared" si="2"/>
        <v>#VALUE!</v>
      </c>
      <c r="D139" s="53" t="str">
        <f>IF(Data!F134="","",Data!F134)</f>
        <v>03661</v>
      </c>
      <c r="E139" s="92" t="str">
        <f>IF(Data!H134="","",Data!H134)</f>
        <v>Dian Fatiha Najwa</v>
      </c>
      <c r="F139" s="54" t="str">
        <f>IF(Data!I134="","",Data!I134)</f>
        <v>Perempuan</v>
      </c>
      <c r="G139" s="110"/>
      <c r="H139" s="111"/>
      <c r="I139" s="117"/>
      <c r="J139" s="117"/>
      <c r="K139" s="117"/>
      <c r="L139" s="117"/>
      <c r="M139" s="117"/>
      <c r="N139" s="118"/>
      <c r="O139" s="112"/>
      <c r="P139" s="115"/>
      <c r="Q139" s="115"/>
      <c r="R139" s="114"/>
      <c r="S139" s="114"/>
      <c r="T139" s="115"/>
      <c r="U139" s="116"/>
      <c r="V139" s="112"/>
      <c r="W139" s="217"/>
      <c r="X139" s="217"/>
      <c r="Y139" s="217"/>
      <c r="Z139" s="1"/>
      <c r="AA139" s="1"/>
      <c r="AB139" s="12"/>
      <c r="AC139" s="12"/>
    </row>
    <row r="140" spans="2:29" ht="24.9" customHeight="1" x14ac:dyDescent="0.3">
      <c r="B140" s="226" t="s">
        <v>31</v>
      </c>
      <c r="C140" s="26" t="e">
        <f t="shared" si="2"/>
        <v>#VALUE!</v>
      </c>
      <c r="D140" s="53" t="str">
        <f>IF(Data!F135="","",Data!F135)</f>
        <v>03664</v>
      </c>
      <c r="E140" s="92" t="str">
        <f>IF(Data!H135="","",Data!H135)</f>
        <v>Diva Azka Adlina</v>
      </c>
      <c r="F140" s="54" t="str">
        <f>IF(Data!I135="","",Data!I135)</f>
        <v>Perempuan</v>
      </c>
      <c r="G140" s="110"/>
      <c r="H140" s="111"/>
      <c r="I140" s="117"/>
      <c r="J140" s="117"/>
      <c r="K140" s="117"/>
      <c r="L140" s="117"/>
      <c r="M140" s="117"/>
      <c r="N140" s="118"/>
      <c r="O140" s="112"/>
      <c r="P140" s="115"/>
      <c r="Q140" s="115"/>
      <c r="R140" s="114"/>
      <c r="S140" s="114"/>
      <c r="T140" s="115"/>
      <c r="U140" s="116"/>
      <c r="V140" s="112"/>
      <c r="W140" s="217"/>
      <c r="X140" s="217"/>
      <c r="Y140" s="217"/>
      <c r="Z140" s="1"/>
      <c r="AA140" s="1"/>
      <c r="AB140" s="12"/>
      <c r="AC140" s="12"/>
    </row>
    <row r="141" spans="2:29" ht="24.9" customHeight="1" x14ac:dyDescent="0.3">
      <c r="B141" s="226" t="s">
        <v>31</v>
      </c>
      <c r="C141" s="26" t="e">
        <f t="shared" ref="C141:C204" si="3">IF(E141="","",C140+1)</f>
        <v>#VALUE!</v>
      </c>
      <c r="D141" s="53" t="str">
        <f>IF(Data!F136="","",Data!F136)</f>
        <v>03670</v>
      </c>
      <c r="E141" s="92" t="str">
        <f>IF(Data!H136="","",Data!H136)</f>
        <v>Filzania Zaidatus Zafira Difta</v>
      </c>
      <c r="F141" s="54" t="str">
        <f>IF(Data!I136="","",Data!I136)</f>
        <v>Perempuan</v>
      </c>
      <c r="G141" s="110"/>
      <c r="H141" s="111"/>
      <c r="I141" s="117"/>
      <c r="J141" s="117"/>
      <c r="K141" s="117"/>
      <c r="L141" s="117"/>
      <c r="M141" s="117"/>
      <c r="N141" s="118"/>
      <c r="O141" s="112"/>
      <c r="P141" s="115"/>
      <c r="Q141" s="115"/>
      <c r="R141" s="114"/>
      <c r="S141" s="114"/>
      <c r="T141" s="115"/>
      <c r="U141" s="116"/>
      <c r="V141" s="112"/>
      <c r="W141" s="217"/>
      <c r="X141" s="217"/>
      <c r="Y141" s="217"/>
      <c r="Z141" s="1"/>
      <c r="AA141" s="1"/>
      <c r="AB141" s="12"/>
      <c r="AC141" s="12"/>
    </row>
    <row r="142" spans="2:29" ht="24.9" customHeight="1" x14ac:dyDescent="0.3">
      <c r="B142" s="226" t="s">
        <v>31</v>
      </c>
      <c r="C142" s="26" t="e">
        <f t="shared" si="3"/>
        <v>#VALUE!</v>
      </c>
      <c r="D142" s="53" t="str">
        <f>IF(Data!F137="","",Data!F137)</f>
        <v>03676</v>
      </c>
      <c r="E142" s="92" t="str">
        <f>IF(Data!H137="","",Data!H137)</f>
        <v>Inaya Fajria Sany</v>
      </c>
      <c r="F142" s="54" t="str">
        <f>IF(Data!I137="","",Data!I137)</f>
        <v>Perempuan</v>
      </c>
      <c r="G142" s="110"/>
      <c r="H142" s="111"/>
      <c r="I142" s="117"/>
      <c r="J142" s="117"/>
      <c r="K142" s="117"/>
      <c r="L142" s="117"/>
      <c r="M142" s="117"/>
      <c r="N142" s="118"/>
      <c r="O142" s="112"/>
      <c r="P142" s="115"/>
      <c r="Q142" s="115"/>
      <c r="R142" s="114"/>
      <c r="S142" s="114"/>
      <c r="T142" s="115"/>
      <c r="U142" s="116"/>
      <c r="V142" s="112"/>
      <c r="W142" s="217"/>
      <c r="X142" s="217"/>
      <c r="Y142" s="217"/>
      <c r="Z142" s="1"/>
      <c r="AA142" s="1"/>
      <c r="AB142" s="12"/>
      <c r="AC142" s="12"/>
    </row>
    <row r="143" spans="2:29" ht="24.9" customHeight="1" x14ac:dyDescent="0.3">
      <c r="B143" s="226" t="s">
        <v>31</v>
      </c>
      <c r="C143" s="26" t="e">
        <f t="shared" si="3"/>
        <v>#VALUE!</v>
      </c>
      <c r="D143" s="53" t="str">
        <f>IF(Data!F138="","",Data!F138)</f>
        <v>03677</v>
      </c>
      <c r="E143" s="92" t="str">
        <f>IF(Data!H138="","",Data!H138)</f>
        <v>Intan Nur Aini</v>
      </c>
      <c r="F143" s="54" t="str">
        <f>IF(Data!I138="","",Data!I138)</f>
        <v>Perempuan</v>
      </c>
      <c r="G143" s="110"/>
      <c r="H143" s="111"/>
      <c r="I143" s="117"/>
      <c r="J143" s="117"/>
      <c r="K143" s="117"/>
      <c r="L143" s="117"/>
      <c r="M143" s="117"/>
      <c r="N143" s="118"/>
      <c r="O143" s="112"/>
      <c r="P143" s="115"/>
      <c r="Q143" s="115"/>
      <c r="R143" s="114"/>
      <c r="S143" s="114"/>
      <c r="T143" s="115"/>
      <c r="U143" s="116"/>
      <c r="V143" s="112"/>
      <c r="W143" s="217"/>
      <c r="X143" s="217"/>
      <c r="Y143" s="217"/>
      <c r="Z143" s="1"/>
      <c r="AA143" s="1"/>
      <c r="AB143" s="12"/>
      <c r="AC143" s="12"/>
    </row>
    <row r="144" spans="2:29" ht="24.9" customHeight="1" x14ac:dyDescent="0.3">
      <c r="B144" s="226" t="s">
        <v>31</v>
      </c>
      <c r="C144" s="26" t="e">
        <f t="shared" si="3"/>
        <v>#VALUE!</v>
      </c>
      <c r="D144" s="53" t="str">
        <f>IF(Data!F139="","",Data!F139)</f>
        <v>03678</v>
      </c>
      <c r="E144" s="92" t="str">
        <f>IF(Data!H139="","",Data!H139)</f>
        <v>Irsana Ro'fatul Ula</v>
      </c>
      <c r="F144" s="54" t="str">
        <f>IF(Data!I139="","",Data!I139)</f>
        <v>Perempuan</v>
      </c>
      <c r="G144" s="110"/>
      <c r="H144" s="111"/>
      <c r="I144" s="117"/>
      <c r="J144" s="117"/>
      <c r="K144" s="117"/>
      <c r="L144" s="117"/>
      <c r="M144" s="117"/>
      <c r="N144" s="118"/>
      <c r="O144" s="112"/>
      <c r="P144" s="115"/>
      <c r="Q144" s="115"/>
      <c r="R144" s="114"/>
      <c r="S144" s="114"/>
      <c r="T144" s="115"/>
      <c r="U144" s="116"/>
      <c r="V144" s="112"/>
      <c r="W144" s="217"/>
      <c r="X144" s="217"/>
      <c r="Y144" s="217"/>
      <c r="Z144" s="1"/>
      <c r="AA144" s="1"/>
      <c r="AB144" s="12"/>
      <c r="AC144" s="12"/>
    </row>
    <row r="145" spans="2:29" ht="24.9" customHeight="1" x14ac:dyDescent="0.3">
      <c r="B145" s="226" t="s">
        <v>31</v>
      </c>
      <c r="C145" s="26" t="e">
        <f t="shared" si="3"/>
        <v>#VALUE!</v>
      </c>
      <c r="D145" s="53" t="str">
        <f>IF(Data!F140="","",Data!F140)</f>
        <v>03680</v>
      </c>
      <c r="E145" s="92" t="str">
        <f>IF(Data!H140="","",Data!H140)</f>
        <v>Julia Ramadhani</v>
      </c>
      <c r="F145" s="54" t="str">
        <f>IF(Data!I140="","",Data!I140)</f>
        <v>Perempuan</v>
      </c>
      <c r="G145" s="110"/>
      <c r="H145" s="111"/>
      <c r="I145" s="117"/>
      <c r="J145" s="117"/>
      <c r="K145" s="117"/>
      <c r="L145" s="117"/>
      <c r="M145" s="117"/>
      <c r="N145" s="118"/>
      <c r="O145" s="112"/>
      <c r="P145" s="115"/>
      <c r="Q145" s="115"/>
      <c r="R145" s="114"/>
      <c r="S145" s="114"/>
      <c r="T145" s="115"/>
      <c r="U145" s="116"/>
      <c r="V145" s="112"/>
      <c r="W145" s="217"/>
      <c r="X145" s="217"/>
      <c r="Y145" s="217"/>
      <c r="Z145" s="1"/>
      <c r="AA145" s="1"/>
      <c r="AB145" s="12"/>
      <c r="AC145" s="12"/>
    </row>
    <row r="146" spans="2:29" ht="24.9" customHeight="1" x14ac:dyDescent="0.3">
      <c r="B146" s="226" t="s">
        <v>31</v>
      </c>
      <c r="C146" s="26" t="e">
        <f t="shared" si="3"/>
        <v>#VALUE!</v>
      </c>
      <c r="D146" s="53" t="str">
        <f>IF(Data!F141="","",Data!F141)</f>
        <v>03688</v>
      </c>
      <c r="E146" s="92" t="str">
        <f>IF(Data!H141="","",Data!H141)</f>
        <v>Laila A'imatul Musyayadah</v>
      </c>
      <c r="F146" s="54" t="str">
        <f>IF(Data!I141="","",Data!I141)</f>
        <v>Perempuan</v>
      </c>
      <c r="G146" s="110"/>
      <c r="H146" s="111"/>
      <c r="I146" s="117"/>
      <c r="J146" s="117"/>
      <c r="K146" s="117"/>
      <c r="L146" s="117"/>
      <c r="M146" s="117"/>
      <c r="N146" s="118"/>
      <c r="O146" s="112"/>
      <c r="P146" s="115"/>
      <c r="Q146" s="115"/>
      <c r="R146" s="114"/>
      <c r="S146" s="114"/>
      <c r="T146" s="115"/>
      <c r="U146" s="116"/>
      <c r="V146" s="112"/>
      <c r="W146" s="217"/>
      <c r="X146" s="217"/>
      <c r="Y146" s="217"/>
      <c r="Z146" s="1"/>
      <c r="AA146" s="1"/>
      <c r="AB146" s="12"/>
      <c r="AC146" s="12"/>
    </row>
    <row r="147" spans="2:29" ht="24.9" customHeight="1" x14ac:dyDescent="0.3">
      <c r="B147" s="226" t="s">
        <v>31</v>
      </c>
      <c r="C147" s="26" t="e">
        <f t="shared" si="3"/>
        <v>#VALUE!</v>
      </c>
      <c r="D147" s="53" t="str">
        <f>IF(Data!F142="","",Data!F142)</f>
        <v>03691</v>
      </c>
      <c r="E147" s="92" t="str">
        <f>IF(Data!H142="","",Data!H142)</f>
        <v>Maulida Aqilatul Fitria</v>
      </c>
      <c r="F147" s="54" t="str">
        <f>IF(Data!I142="","",Data!I142)</f>
        <v>Perempuan</v>
      </c>
      <c r="G147" s="110"/>
      <c r="H147" s="111"/>
      <c r="I147" s="117"/>
      <c r="J147" s="117"/>
      <c r="K147" s="117"/>
      <c r="L147" s="117"/>
      <c r="M147" s="117"/>
      <c r="N147" s="118"/>
      <c r="O147" s="112"/>
      <c r="P147" s="115"/>
      <c r="Q147" s="115"/>
      <c r="R147" s="114"/>
      <c r="S147" s="114"/>
      <c r="T147" s="115"/>
      <c r="U147" s="116"/>
      <c r="V147" s="112"/>
      <c r="W147" s="217"/>
      <c r="X147" s="217"/>
      <c r="Y147" s="217"/>
      <c r="Z147" s="1"/>
      <c r="AA147" s="1"/>
      <c r="AB147" s="12"/>
      <c r="AC147" s="12"/>
    </row>
    <row r="148" spans="2:29" ht="24.9" customHeight="1" x14ac:dyDescent="0.3">
      <c r="B148" s="226" t="s">
        <v>31</v>
      </c>
      <c r="C148" s="26" t="e">
        <f t="shared" si="3"/>
        <v>#VALUE!</v>
      </c>
      <c r="D148" s="53" t="str">
        <f>IF(Data!F143="","",Data!F143)</f>
        <v>03694</v>
      </c>
      <c r="E148" s="92" t="str">
        <f>IF(Data!H143="","",Data!H143)</f>
        <v>Miftah Maesaroh Melisa Cahyani</v>
      </c>
      <c r="F148" s="54" t="str">
        <f>IF(Data!I143="","",Data!I143)</f>
        <v>Perempuan</v>
      </c>
      <c r="G148" s="110"/>
      <c r="H148" s="111"/>
      <c r="I148" s="117"/>
      <c r="J148" s="117"/>
      <c r="K148" s="117"/>
      <c r="L148" s="117"/>
      <c r="M148" s="117"/>
      <c r="N148" s="118"/>
      <c r="O148" s="112"/>
      <c r="P148" s="115"/>
      <c r="Q148" s="115"/>
      <c r="R148" s="114"/>
      <c r="S148" s="114"/>
      <c r="T148" s="115"/>
      <c r="U148" s="116"/>
      <c r="V148" s="112"/>
      <c r="W148" s="217"/>
      <c r="X148" s="217"/>
      <c r="Y148" s="217"/>
      <c r="Z148" s="1"/>
      <c r="AA148" s="1"/>
      <c r="AB148" s="12"/>
      <c r="AC148" s="12"/>
    </row>
    <row r="149" spans="2:29" ht="24.9" customHeight="1" x14ac:dyDescent="0.3">
      <c r="B149" s="226" t="s">
        <v>31</v>
      </c>
      <c r="C149" s="26" t="e">
        <f t="shared" si="3"/>
        <v>#VALUE!</v>
      </c>
      <c r="D149" s="53" t="str">
        <f>IF(Data!F144="","",Data!F144)</f>
        <v>03695</v>
      </c>
      <c r="E149" s="92" t="str">
        <f>IF(Data!H144="","",Data!H144)</f>
        <v>Mir'atun Nadhiroh</v>
      </c>
      <c r="F149" s="54" t="str">
        <f>IF(Data!I144="","",Data!I144)</f>
        <v>Perempuan</v>
      </c>
      <c r="G149" s="110"/>
      <c r="H149" s="111"/>
      <c r="I149" s="117"/>
      <c r="J149" s="117"/>
      <c r="K149" s="117"/>
      <c r="L149" s="117"/>
      <c r="M149" s="117"/>
      <c r="N149" s="118"/>
      <c r="O149" s="112"/>
      <c r="P149" s="115"/>
      <c r="Q149" s="115"/>
      <c r="R149" s="114"/>
      <c r="S149" s="114"/>
      <c r="T149" s="115"/>
      <c r="U149" s="116"/>
      <c r="V149" s="112"/>
      <c r="W149" s="217"/>
      <c r="X149" s="217"/>
      <c r="Y149" s="217"/>
      <c r="Z149" s="1"/>
      <c r="AA149" s="1"/>
      <c r="AB149" s="12"/>
      <c r="AC149" s="12"/>
    </row>
    <row r="150" spans="2:29" ht="24.9" customHeight="1" x14ac:dyDescent="0.3">
      <c r="B150" s="226" t="s">
        <v>31</v>
      </c>
      <c r="C150" s="26" t="e">
        <f t="shared" si="3"/>
        <v>#VALUE!</v>
      </c>
      <c r="D150" s="53" t="str">
        <f>IF(Data!F145="","",Data!F145)</f>
        <v>03698</v>
      </c>
      <c r="E150" s="92" t="str">
        <f>IF(Data!H145="","",Data!H145)</f>
        <v>Muna Mujahidah</v>
      </c>
      <c r="F150" s="54" t="str">
        <f>IF(Data!I145="","",Data!I145)</f>
        <v>Perempuan</v>
      </c>
      <c r="G150" s="110"/>
      <c r="H150" s="111"/>
      <c r="I150" s="117"/>
      <c r="J150" s="117"/>
      <c r="K150" s="117"/>
      <c r="L150" s="117"/>
      <c r="M150" s="117"/>
      <c r="N150" s="118"/>
      <c r="O150" s="112"/>
      <c r="P150" s="115"/>
      <c r="Q150" s="115"/>
      <c r="R150" s="114"/>
      <c r="S150" s="114"/>
      <c r="T150" s="115"/>
      <c r="U150" s="116"/>
      <c r="V150" s="112"/>
      <c r="W150" s="217"/>
      <c r="X150" s="217"/>
      <c r="Y150" s="217"/>
      <c r="Z150" s="1"/>
      <c r="AA150" s="1"/>
      <c r="AB150" s="12"/>
      <c r="AC150" s="12"/>
    </row>
    <row r="151" spans="2:29" ht="24.9" customHeight="1" x14ac:dyDescent="0.3">
      <c r="B151" s="226" t="s">
        <v>31</v>
      </c>
      <c r="C151" s="26" t="e">
        <f t="shared" si="3"/>
        <v>#VALUE!</v>
      </c>
      <c r="D151" s="53" t="str">
        <f>IF(Data!F146="","",Data!F146)</f>
        <v>03702</v>
      </c>
      <c r="E151" s="92" t="str">
        <f>IF(Data!H146="","",Data!H146)</f>
        <v>Naila Mutammimah</v>
      </c>
      <c r="F151" s="54" t="str">
        <f>IF(Data!I146="","",Data!I146)</f>
        <v>Perempuan</v>
      </c>
      <c r="G151" s="110"/>
      <c r="H151" s="111"/>
      <c r="I151" s="117"/>
      <c r="J151" s="117"/>
      <c r="K151" s="117"/>
      <c r="L151" s="117"/>
      <c r="M151" s="117"/>
      <c r="N151" s="118"/>
      <c r="O151" s="112"/>
      <c r="P151" s="115"/>
      <c r="Q151" s="115"/>
      <c r="R151" s="114"/>
      <c r="S151" s="114"/>
      <c r="T151" s="115"/>
      <c r="U151" s="116"/>
      <c r="V151" s="112"/>
      <c r="W151" s="217"/>
      <c r="X151" s="217"/>
      <c r="Y151" s="217"/>
      <c r="Z151" s="1"/>
      <c r="AA151" s="1"/>
      <c r="AB151" s="12"/>
      <c r="AC151" s="12"/>
    </row>
    <row r="152" spans="2:29" ht="24.9" customHeight="1" x14ac:dyDescent="0.3">
      <c r="B152" s="226" t="s">
        <v>31</v>
      </c>
      <c r="C152" s="26" t="e">
        <f t="shared" si="3"/>
        <v>#VALUE!</v>
      </c>
      <c r="D152" s="53" t="str">
        <f>IF(Data!F147="","",Data!F147)</f>
        <v>03710</v>
      </c>
      <c r="E152" s="92" t="str">
        <f>IF(Data!H147="","",Data!H147)</f>
        <v>Nazhumi Arifa Faridatul Fauziah</v>
      </c>
      <c r="F152" s="54" t="str">
        <f>IF(Data!I147="","",Data!I147)</f>
        <v>Perempuan</v>
      </c>
      <c r="G152" s="110"/>
      <c r="H152" s="111"/>
      <c r="I152" s="117"/>
      <c r="J152" s="117"/>
      <c r="K152" s="117"/>
      <c r="L152" s="117"/>
      <c r="M152" s="117"/>
      <c r="N152" s="118"/>
      <c r="O152" s="112"/>
      <c r="P152" s="115"/>
      <c r="Q152" s="115"/>
      <c r="R152" s="114"/>
      <c r="S152" s="114"/>
      <c r="T152" s="115"/>
      <c r="U152" s="116"/>
      <c r="V152" s="112"/>
      <c r="W152" s="217"/>
      <c r="X152" s="217"/>
      <c r="Y152" s="217"/>
      <c r="Z152" s="1"/>
      <c r="AA152" s="1"/>
      <c r="AB152" s="12"/>
      <c r="AC152" s="12"/>
    </row>
    <row r="153" spans="2:29" ht="24.9" customHeight="1" x14ac:dyDescent="0.3">
      <c r="B153" s="226" t="s">
        <v>31</v>
      </c>
      <c r="C153" s="26" t="e">
        <f t="shared" si="3"/>
        <v>#VALUE!</v>
      </c>
      <c r="D153" s="53" t="str">
        <f>IF(Data!F148="","",Data!F148)</f>
        <v>03714</v>
      </c>
      <c r="E153" s="92" t="str">
        <f>IF(Data!H148="","",Data!H148)</f>
        <v>Nurin Najwa Baiti Azzahra</v>
      </c>
      <c r="F153" s="54" t="str">
        <f>IF(Data!I148="","",Data!I148)</f>
        <v>Perempuan</v>
      </c>
      <c r="G153" s="110"/>
      <c r="H153" s="111"/>
      <c r="I153" s="117"/>
      <c r="J153" s="117"/>
      <c r="K153" s="117"/>
      <c r="L153" s="117"/>
      <c r="M153" s="117"/>
      <c r="N153" s="118"/>
      <c r="O153" s="112"/>
      <c r="P153" s="115"/>
      <c r="Q153" s="115"/>
      <c r="R153" s="114"/>
      <c r="S153" s="114"/>
      <c r="T153" s="115"/>
      <c r="U153" s="116"/>
      <c r="V153" s="112"/>
      <c r="W153" s="217"/>
      <c r="X153" s="217"/>
      <c r="Y153" s="217"/>
      <c r="Z153" s="1"/>
      <c r="AA153" s="1"/>
      <c r="AB153" s="12"/>
      <c r="AC153" s="12"/>
    </row>
    <row r="154" spans="2:29" ht="24.9" customHeight="1" x14ac:dyDescent="0.3">
      <c r="B154" s="226" t="s">
        <v>123</v>
      </c>
      <c r="C154" s="26">
        <v>1</v>
      </c>
      <c r="D154" s="53" t="str">
        <f>IF(Data!F149="","",Data!F149)</f>
        <v>03716</v>
      </c>
      <c r="E154" s="92" t="str">
        <f>IF(Data!H149="","",Data!H149)</f>
        <v>Queen Bianca Wiyono</v>
      </c>
      <c r="F154" s="54" t="str">
        <f>IF(Data!I149="","",Data!I149)</f>
        <v>Perempuan</v>
      </c>
      <c r="G154" s="110"/>
      <c r="H154" s="111"/>
      <c r="I154" s="117"/>
      <c r="J154" s="117"/>
      <c r="K154" s="117"/>
      <c r="L154" s="117"/>
      <c r="M154" s="117"/>
      <c r="N154" s="118"/>
      <c r="O154" s="112"/>
      <c r="P154" s="115"/>
      <c r="Q154" s="115"/>
      <c r="R154" s="114"/>
      <c r="S154" s="114"/>
      <c r="T154" s="115"/>
      <c r="U154" s="116"/>
      <c r="V154" s="112"/>
      <c r="W154" s="217"/>
      <c r="X154" s="217"/>
      <c r="Y154" s="217"/>
      <c r="Z154" s="1"/>
      <c r="AA154" s="1"/>
      <c r="AB154" s="12"/>
      <c r="AC154" s="12"/>
    </row>
    <row r="155" spans="2:29" ht="24.9" customHeight="1" x14ac:dyDescent="0.3">
      <c r="B155" s="226" t="s">
        <v>123</v>
      </c>
      <c r="C155" s="26">
        <f t="shared" si="3"/>
        <v>2</v>
      </c>
      <c r="D155" s="53" t="str">
        <f>IF(Data!F150="","",Data!F150)</f>
        <v>03719</v>
      </c>
      <c r="E155" s="92" t="str">
        <f>IF(Data!H150="","",Data!H150)</f>
        <v>Safinatun Najwa Zahrana Khoir</v>
      </c>
      <c r="F155" s="54" t="str">
        <f>IF(Data!I150="","",Data!I150)</f>
        <v>Perempuan</v>
      </c>
      <c r="G155" s="110"/>
      <c r="H155" s="111"/>
      <c r="I155" s="117"/>
      <c r="J155" s="117"/>
      <c r="K155" s="117"/>
      <c r="L155" s="117"/>
      <c r="M155" s="117"/>
      <c r="N155" s="118"/>
      <c r="O155" s="112"/>
      <c r="P155" s="115"/>
      <c r="Q155" s="115"/>
      <c r="R155" s="114"/>
      <c r="S155" s="114"/>
      <c r="T155" s="115"/>
      <c r="U155" s="116"/>
      <c r="V155" s="112"/>
      <c r="W155" s="217"/>
      <c r="X155" s="217"/>
      <c r="Y155" s="217"/>
      <c r="Z155" s="1"/>
      <c r="AA155" s="1"/>
      <c r="AB155" s="12"/>
      <c r="AC155" s="12"/>
    </row>
    <row r="156" spans="2:29" ht="24.9" customHeight="1" x14ac:dyDescent="0.3">
      <c r="B156" s="226" t="s">
        <v>123</v>
      </c>
      <c r="C156" s="26">
        <f t="shared" si="3"/>
        <v>3</v>
      </c>
      <c r="D156" s="53" t="str">
        <f>IF(Data!F151="","",Data!F151)</f>
        <v>03721</v>
      </c>
      <c r="E156" s="92" t="str">
        <f>IF(Data!H151="","",Data!H151)</f>
        <v>Sanniyyah Aqilah</v>
      </c>
      <c r="F156" s="54" t="str">
        <f>IF(Data!I151="","",Data!I151)</f>
        <v>Perempuan</v>
      </c>
      <c r="G156" s="110"/>
      <c r="H156" s="111"/>
      <c r="I156" s="117"/>
      <c r="J156" s="117"/>
      <c r="K156" s="117"/>
      <c r="L156" s="117"/>
      <c r="M156" s="117"/>
      <c r="N156" s="118"/>
      <c r="O156" s="112"/>
      <c r="P156" s="115"/>
      <c r="Q156" s="115"/>
      <c r="R156" s="114"/>
      <c r="S156" s="114"/>
      <c r="T156" s="115"/>
      <c r="U156" s="116"/>
      <c r="V156" s="112"/>
      <c r="W156" s="217"/>
      <c r="X156" s="217"/>
      <c r="Y156" s="217"/>
      <c r="Z156" s="1"/>
      <c r="AA156" s="1"/>
      <c r="AB156" s="12"/>
      <c r="AC156" s="12"/>
    </row>
    <row r="157" spans="2:29" ht="24.9" customHeight="1" x14ac:dyDescent="0.3">
      <c r="B157" s="226" t="s">
        <v>123</v>
      </c>
      <c r="C157" s="26">
        <f t="shared" si="3"/>
        <v>4</v>
      </c>
      <c r="D157" s="53" t="str">
        <f>IF(Data!F152="","",Data!F152)</f>
        <v>03725</v>
      </c>
      <c r="E157" s="92" t="str">
        <f>IF(Data!H152="","",Data!H152)</f>
        <v>Shafya Pramesti Putri Hanifa</v>
      </c>
      <c r="F157" s="54" t="str">
        <f>IF(Data!I152="","",Data!I152)</f>
        <v>Perempuan</v>
      </c>
      <c r="G157" s="110"/>
      <c r="H157" s="111"/>
      <c r="I157" s="117"/>
      <c r="J157" s="117"/>
      <c r="K157" s="117"/>
      <c r="L157" s="117"/>
      <c r="M157" s="117"/>
      <c r="N157" s="118"/>
      <c r="O157" s="112"/>
      <c r="P157" s="115"/>
      <c r="Q157" s="115"/>
      <c r="R157" s="114"/>
      <c r="S157" s="114"/>
      <c r="T157" s="115"/>
      <c r="U157" s="116"/>
      <c r="V157" s="112"/>
      <c r="W157" s="217"/>
      <c r="X157" s="217"/>
      <c r="Y157" s="217"/>
      <c r="Z157" s="1"/>
      <c r="AA157" s="1"/>
      <c r="AB157" s="12"/>
      <c r="AC157" s="12"/>
    </row>
    <row r="158" spans="2:29" ht="24.9" customHeight="1" x14ac:dyDescent="0.3">
      <c r="B158" s="226" t="s">
        <v>123</v>
      </c>
      <c r="C158" s="26">
        <f t="shared" si="3"/>
        <v>5</v>
      </c>
      <c r="D158" s="53" t="str">
        <f>IF(Data!F153="","",Data!F153)</f>
        <v>03730</v>
      </c>
      <c r="E158" s="92" t="str">
        <f>IF(Data!H153="","",Data!H153)</f>
        <v>Sofia Dhia Afra Amelia</v>
      </c>
      <c r="F158" s="54" t="str">
        <f>IF(Data!I153="","",Data!I153)</f>
        <v>Perempuan</v>
      </c>
      <c r="G158" s="110"/>
      <c r="H158" s="111"/>
      <c r="I158" s="117"/>
      <c r="J158" s="117"/>
      <c r="K158" s="117"/>
      <c r="L158" s="117"/>
      <c r="M158" s="117"/>
      <c r="N158" s="118"/>
      <c r="O158" s="112"/>
      <c r="P158" s="115"/>
      <c r="Q158" s="115"/>
      <c r="R158" s="114"/>
      <c r="S158" s="114"/>
      <c r="T158" s="115"/>
      <c r="U158" s="116"/>
      <c r="V158" s="112"/>
      <c r="W158" s="217"/>
      <c r="X158" s="217"/>
      <c r="Y158" s="217"/>
      <c r="Z158" s="1"/>
      <c r="AA158" s="1"/>
      <c r="AB158" s="12"/>
      <c r="AC158" s="12"/>
    </row>
    <row r="159" spans="2:29" ht="24.9" customHeight="1" x14ac:dyDescent="0.3">
      <c r="B159" s="226" t="s">
        <v>123</v>
      </c>
      <c r="C159" s="26">
        <f t="shared" si="3"/>
        <v>6</v>
      </c>
      <c r="D159" s="53" t="str">
        <f>IF(Data!F154="","",Data!F154)</f>
        <v>03732</v>
      </c>
      <c r="E159" s="92" t="str">
        <f>IF(Data!H154="","",Data!H154)</f>
        <v>Syafa Zahrotu Sita Azzahra</v>
      </c>
      <c r="F159" s="54" t="str">
        <f>IF(Data!I154="","",Data!I154)</f>
        <v>Perempuan</v>
      </c>
      <c r="G159" s="110"/>
      <c r="H159" s="111"/>
      <c r="I159" s="117"/>
      <c r="J159" s="117"/>
      <c r="K159" s="117"/>
      <c r="L159" s="117"/>
      <c r="M159" s="117"/>
      <c r="N159" s="118"/>
      <c r="O159" s="112"/>
      <c r="P159" s="115"/>
      <c r="Q159" s="115"/>
      <c r="R159" s="114"/>
      <c r="S159" s="114"/>
      <c r="T159" s="115"/>
      <c r="U159" s="116"/>
      <c r="V159" s="112"/>
      <c r="W159" s="217"/>
      <c r="X159" s="217"/>
      <c r="Y159" s="217"/>
      <c r="Z159" s="1"/>
      <c r="AA159" s="1"/>
      <c r="AB159" s="12"/>
      <c r="AC159" s="12"/>
    </row>
    <row r="160" spans="2:29" ht="24.9" customHeight="1" x14ac:dyDescent="0.3">
      <c r="B160" s="226" t="s">
        <v>123</v>
      </c>
      <c r="C160" s="26">
        <f t="shared" si="3"/>
        <v>7</v>
      </c>
      <c r="D160" s="53" t="str">
        <f>IF(Data!F155="","",Data!F155)</f>
        <v>03735</v>
      </c>
      <c r="E160" s="92" t="str">
        <f>IF(Data!H155="","",Data!H155)</f>
        <v>Syifaatar Rohmah</v>
      </c>
      <c r="F160" s="54" t="str">
        <f>IF(Data!I155="","",Data!I155)</f>
        <v>Perempuan</v>
      </c>
      <c r="G160" s="110"/>
      <c r="H160" s="111"/>
      <c r="I160" s="117"/>
      <c r="J160" s="117"/>
      <c r="K160" s="117"/>
      <c r="L160" s="117"/>
      <c r="M160" s="117"/>
      <c r="N160" s="118"/>
      <c r="O160" s="112"/>
      <c r="P160" s="115"/>
      <c r="Q160" s="115"/>
      <c r="R160" s="114"/>
      <c r="S160" s="114"/>
      <c r="T160" s="115"/>
      <c r="U160" s="116"/>
      <c r="V160" s="112"/>
      <c r="W160" s="217"/>
      <c r="X160" s="217"/>
      <c r="Y160" s="217"/>
      <c r="Z160" s="1"/>
      <c r="AA160" s="1"/>
      <c r="AB160" s="12"/>
      <c r="AC160" s="12"/>
    </row>
    <row r="161" spans="2:29" ht="24.9" customHeight="1" x14ac:dyDescent="0.3">
      <c r="B161" s="226" t="s">
        <v>123</v>
      </c>
      <c r="C161" s="26">
        <f t="shared" si="3"/>
        <v>8</v>
      </c>
      <c r="D161" s="53" t="str">
        <f>IF(Data!F156="","",Data!F156)</f>
        <v>03744</v>
      </c>
      <c r="E161" s="92" t="str">
        <f>IF(Data!H156="","",Data!H156)</f>
        <v>Zahra Nur Anifa</v>
      </c>
      <c r="F161" s="54" t="str">
        <f>IF(Data!I156="","",Data!I156)</f>
        <v>Perempuan</v>
      </c>
      <c r="G161" s="110"/>
      <c r="H161" s="111"/>
      <c r="I161" s="117"/>
      <c r="J161" s="117"/>
      <c r="K161" s="117"/>
      <c r="L161" s="117"/>
      <c r="M161" s="117"/>
      <c r="N161" s="118"/>
      <c r="O161" s="112"/>
      <c r="P161" s="115"/>
      <c r="Q161" s="115"/>
      <c r="R161" s="114"/>
      <c r="S161" s="114"/>
      <c r="T161" s="115"/>
      <c r="U161" s="116"/>
      <c r="V161" s="112"/>
      <c r="W161" s="217"/>
      <c r="X161" s="217"/>
      <c r="Y161" s="217"/>
      <c r="Z161" s="1"/>
      <c r="AA161" s="1"/>
      <c r="AB161" s="12"/>
      <c r="AC161" s="12"/>
    </row>
    <row r="162" spans="2:29" ht="24.9" customHeight="1" x14ac:dyDescent="0.3">
      <c r="B162" s="226" t="s">
        <v>123</v>
      </c>
      <c r="C162" s="26">
        <f t="shared" si="3"/>
        <v>9</v>
      </c>
      <c r="D162" s="53" t="str">
        <f>IF(Data!F157="","",Data!F157)</f>
        <v>03745</v>
      </c>
      <c r="E162" s="92" t="str">
        <f>IF(Data!H157="","",Data!H157)</f>
        <v>Zahro Aliyatul Khusna</v>
      </c>
      <c r="F162" s="54" t="str">
        <f>IF(Data!I157="","",Data!I157)</f>
        <v>Perempuan</v>
      </c>
      <c r="G162" s="110"/>
      <c r="H162" s="111"/>
      <c r="I162" s="117"/>
      <c r="J162" s="117"/>
      <c r="K162" s="117"/>
      <c r="L162" s="117"/>
      <c r="M162" s="117"/>
      <c r="N162" s="118"/>
      <c r="O162" s="112"/>
      <c r="P162" s="115"/>
      <c r="Q162" s="115"/>
      <c r="R162" s="114"/>
      <c r="S162" s="114"/>
      <c r="T162" s="115"/>
      <c r="U162" s="116"/>
      <c r="V162" s="112"/>
      <c r="W162" s="217"/>
      <c r="X162" s="217"/>
      <c r="Y162" s="217"/>
      <c r="Z162" s="1"/>
      <c r="AA162" s="1"/>
      <c r="AB162" s="12"/>
      <c r="AC162" s="12"/>
    </row>
    <row r="163" spans="2:29" ht="24.9" customHeight="1" x14ac:dyDescent="0.3">
      <c r="B163" s="226" t="s">
        <v>123</v>
      </c>
      <c r="C163" s="26">
        <f t="shared" si="3"/>
        <v>10</v>
      </c>
      <c r="D163" s="53" t="str">
        <f>IF(Data!F158="","",Data!F158)</f>
        <v>03746</v>
      </c>
      <c r="E163" s="92" t="str">
        <f>IF(Data!H158="","",Data!H158)</f>
        <v>Zahrotul Ilmada Chifa</v>
      </c>
      <c r="F163" s="54" t="str">
        <f>IF(Data!I158="","",Data!I158)</f>
        <v>Perempuan</v>
      </c>
      <c r="G163" s="110"/>
      <c r="H163" s="111"/>
      <c r="I163" s="117"/>
      <c r="J163" s="117"/>
      <c r="K163" s="117"/>
      <c r="L163" s="117"/>
      <c r="M163" s="117"/>
      <c r="N163" s="118"/>
      <c r="O163" s="112"/>
      <c r="P163" s="115"/>
      <c r="Q163" s="115"/>
      <c r="R163" s="114"/>
      <c r="S163" s="114"/>
      <c r="T163" s="115"/>
      <c r="U163" s="116"/>
      <c r="V163" s="112"/>
      <c r="W163" s="217"/>
      <c r="X163" s="217"/>
      <c r="Y163" s="217"/>
      <c r="Z163" s="1"/>
      <c r="AA163" s="1"/>
      <c r="AB163" s="12"/>
      <c r="AC163" s="12"/>
    </row>
    <row r="164" spans="2:29" ht="24.9" customHeight="1" x14ac:dyDescent="0.3">
      <c r="B164" s="226" t="s">
        <v>123</v>
      </c>
      <c r="C164" s="26">
        <f t="shared" si="3"/>
        <v>11</v>
      </c>
      <c r="D164" s="53" t="str">
        <f>IF(Data!F159="","",Data!F159)</f>
        <v>03751</v>
      </c>
      <c r="E164" s="92" t="str">
        <f>IF(Data!H159="","",Data!H159)</f>
        <v>Zivana Raisa Yasmin</v>
      </c>
      <c r="F164" s="54" t="str">
        <f>IF(Data!I159="","",Data!I159)</f>
        <v>Perempuan</v>
      </c>
      <c r="G164" s="110"/>
      <c r="H164" s="111"/>
      <c r="I164" s="117"/>
      <c r="J164" s="117"/>
      <c r="K164" s="117"/>
      <c r="L164" s="117"/>
      <c r="M164" s="117"/>
      <c r="N164" s="118"/>
      <c r="O164" s="112"/>
      <c r="P164" s="115"/>
      <c r="Q164" s="115"/>
      <c r="R164" s="114"/>
      <c r="S164" s="114"/>
      <c r="T164" s="115"/>
      <c r="U164" s="116"/>
      <c r="V164" s="112"/>
      <c r="W164" s="217"/>
      <c r="X164" s="217"/>
      <c r="Y164" s="217"/>
      <c r="Z164" s="1"/>
      <c r="AA164" s="1"/>
      <c r="AB164" s="12"/>
      <c r="AC164" s="12"/>
    </row>
    <row r="165" spans="2:29" ht="24.9" customHeight="1" x14ac:dyDescent="0.3">
      <c r="B165" s="226" t="s">
        <v>123</v>
      </c>
      <c r="C165" s="26" t="str">
        <f t="shared" si="3"/>
        <v/>
      </c>
      <c r="D165" s="53" t="str">
        <f>IF(Data!F160="","",Data!F160)</f>
        <v/>
      </c>
      <c r="E165" s="92" t="str">
        <f>IF(Data!H160="","",Data!H160)</f>
        <v/>
      </c>
      <c r="F165" s="54" t="str">
        <f>IF(Data!I160="","",Data!I160)</f>
        <v/>
      </c>
      <c r="G165" s="110"/>
      <c r="H165" s="111"/>
      <c r="I165" s="117"/>
      <c r="J165" s="117"/>
      <c r="K165" s="117"/>
      <c r="L165" s="117"/>
      <c r="M165" s="117"/>
      <c r="N165" s="118"/>
      <c r="O165" s="112"/>
      <c r="P165" s="115"/>
      <c r="Q165" s="115"/>
      <c r="R165" s="114"/>
      <c r="S165" s="114"/>
      <c r="T165" s="115"/>
      <c r="U165" s="116"/>
      <c r="V165" s="112"/>
      <c r="W165" s="217"/>
      <c r="X165" s="217"/>
      <c r="Y165" s="217"/>
      <c r="Z165" s="1"/>
      <c r="AA165" s="1"/>
      <c r="AB165" s="12"/>
      <c r="AC165" s="12"/>
    </row>
    <row r="166" spans="2:29" ht="24.9" customHeight="1" x14ac:dyDescent="0.3">
      <c r="B166" s="226" t="s">
        <v>123</v>
      </c>
      <c r="C166" s="26" t="str">
        <f t="shared" si="3"/>
        <v/>
      </c>
      <c r="D166" s="53" t="str">
        <f>IF(Data!F161="","",Data!F161)</f>
        <v/>
      </c>
      <c r="E166" s="92" t="str">
        <f>IF(Data!H161="","",Data!H161)</f>
        <v/>
      </c>
      <c r="F166" s="54" t="str">
        <f>IF(Data!I161="","",Data!I161)</f>
        <v/>
      </c>
      <c r="G166" s="110"/>
      <c r="H166" s="111"/>
      <c r="I166" s="117"/>
      <c r="J166" s="117"/>
      <c r="K166" s="117"/>
      <c r="L166" s="117"/>
      <c r="M166" s="117"/>
      <c r="N166" s="118"/>
      <c r="O166" s="112"/>
      <c r="P166" s="115"/>
      <c r="Q166" s="115"/>
      <c r="R166" s="114"/>
      <c r="S166" s="114"/>
      <c r="T166" s="115"/>
      <c r="U166" s="116"/>
      <c r="V166" s="112"/>
      <c r="W166" s="217"/>
      <c r="X166" s="217"/>
      <c r="Y166" s="217"/>
      <c r="Z166" s="1"/>
      <c r="AA166" s="1"/>
      <c r="AB166" s="12"/>
      <c r="AC166" s="12"/>
    </row>
    <row r="167" spans="2:29" ht="24.9" customHeight="1" x14ac:dyDescent="0.3">
      <c r="B167" s="226" t="s">
        <v>123</v>
      </c>
      <c r="C167" s="26" t="str">
        <f t="shared" si="3"/>
        <v/>
      </c>
      <c r="D167" s="53" t="str">
        <f>IF(Data!F162="","",Data!F162)</f>
        <v/>
      </c>
      <c r="E167" s="92" t="str">
        <f>IF(Data!H162="","",Data!H162)</f>
        <v/>
      </c>
      <c r="F167" s="54" t="str">
        <f>IF(Data!I162="","",Data!I162)</f>
        <v/>
      </c>
      <c r="G167" s="110"/>
      <c r="H167" s="111"/>
      <c r="I167" s="117"/>
      <c r="J167" s="117"/>
      <c r="K167" s="117"/>
      <c r="L167" s="117"/>
      <c r="M167" s="117"/>
      <c r="N167" s="118"/>
      <c r="O167" s="112"/>
      <c r="P167" s="115"/>
      <c r="Q167" s="115"/>
      <c r="R167" s="114"/>
      <c r="S167" s="114"/>
      <c r="T167" s="115"/>
      <c r="U167" s="116"/>
      <c r="V167" s="112"/>
      <c r="W167" s="217"/>
      <c r="X167" s="217"/>
      <c r="Y167" s="217"/>
      <c r="Z167" s="1"/>
      <c r="AA167" s="1"/>
      <c r="AB167" s="12"/>
      <c r="AC167" s="12"/>
    </row>
    <row r="168" spans="2:29" ht="24.9" customHeight="1" x14ac:dyDescent="0.3">
      <c r="B168" s="226" t="s">
        <v>123</v>
      </c>
      <c r="C168" s="26" t="str">
        <f t="shared" si="3"/>
        <v/>
      </c>
      <c r="D168" s="53" t="str">
        <f>IF(Data!F163="","",Data!F163)</f>
        <v/>
      </c>
      <c r="E168" s="92" t="str">
        <f>IF(Data!H163="","",Data!H163)</f>
        <v/>
      </c>
      <c r="F168" s="54" t="str">
        <f>IF(Data!I163="","",Data!I163)</f>
        <v/>
      </c>
      <c r="G168" s="110"/>
      <c r="H168" s="111"/>
      <c r="I168" s="117"/>
      <c r="J168" s="117"/>
      <c r="K168" s="117"/>
      <c r="L168" s="117"/>
      <c r="M168" s="117"/>
      <c r="N168" s="118"/>
      <c r="O168" s="112"/>
      <c r="P168" s="115"/>
      <c r="Q168" s="115"/>
      <c r="R168" s="114"/>
      <c r="S168" s="114"/>
      <c r="T168" s="115"/>
      <c r="U168" s="116"/>
      <c r="V168" s="112"/>
      <c r="W168" s="217"/>
      <c r="X168" s="217"/>
      <c r="Y168" s="217"/>
      <c r="Z168" s="1"/>
      <c r="AA168" s="1"/>
      <c r="AB168" s="12"/>
      <c r="AC168" s="12"/>
    </row>
    <row r="169" spans="2:29" ht="24.9" customHeight="1" x14ac:dyDescent="0.3">
      <c r="B169" s="226" t="s">
        <v>123</v>
      </c>
      <c r="C169" s="26" t="str">
        <f t="shared" si="3"/>
        <v/>
      </c>
      <c r="D169" s="53" t="str">
        <f>IF(Data!F164="","",Data!F164)</f>
        <v/>
      </c>
      <c r="E169" s="92" t="str">
        <f>IF(Data!H164="","",Data!H164)</f>
        <v/>
      </c>
      <c r="F169" s="54" t="str">
        <f>IF(Data!I164="","",Data!I164)</f>
        <v/>
      </c>
      <c r="G169" s="110"/>
      <c r="H169" s="111"/>
      <c r="I169" s="117"/>
      <c r="J169" s="117"/>
      <c r="K169" s="117"/>
      <c r="L169" s="117"/>
      <c r="M169" s="117"/>
      <c r="N169" s="118"/>
      <c r="O169" s="112"/>
      <c r="P169" s="115"/>
      <c r="Q169" s="115"/>
      <c r="R169" s="114"/>
      <c r="S169" s="114"/>
      <c r="T169" s="115"/>
      <c r="U169" s="116"/>
      <c r="V169" s="112"/>
      <c r="W169" s="217"/>
      <c r="X169" s="217"/>
      <c r="Y169" s="217"/>
      <c r="Z169" s="1"/>
      <c r="AA169" s="1"/>
      <c r="AB169" s="12"/>
      <c r="AC169" s="12"/>
    </row>
    <row r="170" spans="2:29" ht="24.9" customHeight="1" x14ac:dyDescent="0.3">
      <c r="B170" s="226" t="s">
        <v>123</v>
      </c>
      <c r="C170" s="26" t="e">
        <f t="shared" si="3"/>
        <v>#VALUE!</v>
      </c>
      <c r="D170" s="53" t="str">
        <f>IF(Data!F165="","",Data!F165)</f>
        <v>03629</v>
      </c>
      <c r="E170" s="92" t="str">
        <f>IF(Data!H165="","",Data!H165)</f>
        <v>Afika Putri Aprilia Anjani</v>
      </c>
      <c r="F170" s="54" t="str">
        <f>IF(Data!I165="","",Data!I165)</f>
        <v>Perempuan</v>
      </c>
      <c r="G170" s="110"/>
      <c r="H170" s="111"/>
      <c r="I170" s="117"/>
      <c r="J170" s="117"/>
      <c r="K170" s="117"/>
      <c r="L170" s="117"/>
      <c r="M170" s="117"/>
      <c r="N170" s="118"/>
      <c r="O170" s="112"/>
      <c r="P170" s="115"/>
      <c r="Q170" s="115"/>
      <c r="R170" s="114"/>
      <c r="S170" s="114"/>
      <c r="T170" s="115"/>
      <c r="U170" s="116"/>
      <c r="V170" s="112"/>
      <c r="W170" s="217"/>
      <c r="X170" s="217"/>
      <c r="Y170" s="217"/>
      <c r="Z170" s="1"/>
      <c r="AA170" s="1"/>
      <c r="AB170" s="12"/>
      <c r="AC170" s="12"/>
    </row>
    <row r="171" spans="2:29" ht="24.9" customHeight="1" x14ac:dyDescent="0.3">
      <c r="B171" s="226" t="s">
        <v>123</v>
      </c>
      <c r="C171" s="26" t="e">
        <f t="shared" si="3"/>
        <v>#VALUE!</v>
      </c>
      <c r="D171" s="53" t="str">
        <f>IF(Data!F166="","",Data!F166)</f>
        <v>03633</v>
      </c>
      <c r="E171" s="92" t="str">
        <f>IF(Data!H166="","",Data!H166)</f>
        <v>Anindya Naura Ashnafil Tazkiyah</v>
      </c>
      <c r="F171" s="54" t="str">
        <f>IF(Data!I166="","",Data!I166)</f>
        <v>Perempuan</v>
      </c>
      <c r="G171" s="110"/>
      <c r="H171" s="111"/>
      <c r="I171" s="117"/>
      <c r="J171" s="117"/>
      <c r="K171" s="117"/>
      <c r="L171" s="117"/>
      <c r="M171" s="117"/>
      <c r="N171" s="118"/>
      <c r="O171" s="112"/>
      <c r="P171" s="115"/>
      <c r="Q171" s="115"/>
      <c r="R171" s="114"/>
      <c r="S171" s="114"/>
      <c r="T171" s="115"/>
      <c r="U171" s="116"/>
      <c r="V171" s="112"/>
      <c r="W171" s="217"/>
      <c r="X171" s="217"/>
      <c r="Y171" s="217"/>
      <c r="Z171" s="1"/>
      <c r="AA171" s="1"/>
      <c r="AB171" s="12"/>
      <c r="AC171" s="12"/>
    </row>
    <row r="172" spans="2:29" ht="24.9" customHeight="1" x14ac:dyDescent="0.3">
      <c r="B172" s="226" t="s">
        <v>123</v>
      </c>
      <c r="C172" s="26" t="e">
        <f t="shared" si="3"/>
        <v>#VALUE!</v>
      </c>
      <c r="D172" s="53" t="str">
        <f>IF(Data!F167="","",Data!F167)</f>
        <v>03635</v>
      </c>
      <c r="E172" s="92" t="str">
        <f>IF(Data!H167="","",Data!H167)</f>
        <v>Aprilia Zaskya Putri Inara</v>
      </c>
      <c r="F172" s="54" t="str">
        <f>IF(Data!I167="","",Data!I167)</f>
        <v>Perempuan</v>
      </c>
      <c r="G172" s="110"/>
      <c r="H172" s="111"/>
      <c r="I172" s="117"/>
      <c r="J172" s="117"/>
      <c r="K172" s="117"/>
      <c r="L172" s="117"/>
      <c r="M172" s="117"/>
      <c r="N172" s="118"/>
      <c r="O172" s="112"/>
      <c r="P172" s="115"/>
      <c r="Q172" s="115"/>
      <c r="R172" s="114"/>
      <c r="S172" s="114"/>
      <c r="T172" s="115"/>
      <c r="U172" s="116"/>
      <c r="V172" s="112"/>
      <c r="W172" s="217"/>
      <c r="X172" s="217"/>
      <c r="Y172" s="217"/>
      <c r="Z172" s="1"/>
      <c r="AA172" s="1"/>
      <c r="AB172" s="12"/>
      <c r="AC172" s="12"/>
    </row>
    <row r="173" spans="2:29" ht="24.9" customHeight="1" x14ac:dyDescent="0.3">
      <c r="B173" s="226" t="s">
        <v>123</v>
      </c>
      <c r="C173" s="26" t="e">
        <f t="shared" si="3"/>
        <v>#VALUE!</v>
      </c>
      <c r="D173" s="53" t="str">
        <f>IF(Data!F168="","",Data!F168)</f>
        <v>03636</v>
      </c>
      <c r="E173" s="92" t="str">
        <f>IF(Data!H168="","",Data!H168)</f>
        <v>Aqila Syauqina Hidayati</v>
      </c>
      <c r="F173" s="54" t="str">
        <f>IF(Data!I168="","",Data!I168)</f>
        <v>Perempuan</v>
      </c>
      <c r="G173" s="110"/>
      <c r="H173" s="111"/>
      <c r="I173" s="117"/>
      <c r="J173" s="117"/>
      <c r="K173" s="117"/>
      <c r="L173" s="117"/>
      <c r="M173" s="117"/>
      <c r="N173" s="118"/>
      <c r="O173" s="112"/>
      <c r="P173" s="115"/>
      <c r="Q173" s="115"/>
      <c r="R173" s="114"/>
      <c r="S173" s="114"/>
      <c r="T173" s="115"/>
      <c r="U173" s="116"/>
      <c r="V173" s="112"/>
      <c r="W173" s="217"/>
      <c r="X173" s="217"/>
      <c r="Y173" s="217"/>
      <c r="Z173" s="1"/>
      <c r="AA173" s="1"/>
      <c r="AB173" s="12"/>
      <c r="AC173" s="12"/>
    </row>
    <row r="174" spans="2:29" ht="24.9" customHeight="1" x14ac:dyDescent="0.3">
      <c r="B174" s="226" t="s">
        <v>123</v>
      </c>
      <c r="C174" s="26" t="e">
        <f t="shared" si="3"/>
        <v>#VALUE!</v>
      </c>
      <c r="D174" s="53" t="str">
        <f>IF(Data!F169="","",Data!F169)</f>
        <v>03641</v>
      </c>
      <c r="E174" s="92" t="str">
        <f>IF(Data!H169="","",Data!H169)</f>
        <v>Atma Listya Atho'illah</v>
      </c>
      <c r="F174" s="54" t="str">
        <f>IF(Data!I169="","",Data!I169)</f>
        <v>Perempuan</v>
      </c>
      <c r="G174" s="110"/>
      <c r="H174" s="111"/>
      <c r="I174" s="117"/>
      <c r="J174" s="117"/>
      <c r="K174" s="117"/>
      <c r="L174" s="117"/>
      <c r="M174" s="117"/>
      <c r="N174" s="118"/>
      <c r="O174" s="112"/>
      <c r="P174" s="115"/>
      <c r="Q174" s="115"/>
      <c r="R174" s="114"/>
      <c r="S174" s="114"/>
      <c r="T174" s="115"/>
      <c r="U174" s="116"/>
      <c r="V174" s="112"/>
      <c r="W174" s="217"/>
      <c r="X174" s="217"/>
      <c r="Y174" s="217"/>
      <c r="Z174" s="1"/>
      <c r="AA174" s="1"/>
      <c r="AB174" s="12"/>
      <c r="AC174" s="12"/>
    </row>
    <row r="175" spans="2:29" ht="24.9" customHeight="1" x14ac:dyDescent="0.3">
      <c r="B175" s="226" t="s">
        <v>123</v>
      </c>
      <c r="C175" s="26" t="e">
        <f t="shared" si="3"/>
        <v>#VALUE!</v>
      </c>
      <c r="D175" s="53" t="str">
        <f>IF(Data!F170="","",Data!F170)</f>
        <v>03642</v>
      </c>
      <c r="E175" s="92" t="str">
        <f>IF(Data!H170="","",Data!H170)</f>
        <v>Aulia Az-Zahra Ramadhani</v>
      </c>
      <c r="F175" s="54" t="str">
        <f>IF(Data!I170="","",Data!I170)</f>
        <v>Perempuan</v>
      </c>
      <c r="G175" s="110"/>
      <c r="H175" s="111"/>
      <c r="I175" s="117"/>
      <c r="J175" s="117"/>
      <c r="K175" s="117"/>
      <c r="L175" s="117"/>
      <c r="M175" s="117"/>
      <c r="N175" s="118"/>
      <c r="O175" s="112"/>
      <c r="P175" s="115"/>
      <c r="Q175" s="115"/>
      <c r="R175" s="114"/>
      <c r="S175" s="114"/>
      <c r="T175" s="115"/>
      <c r="U175" s="116"/>
      <c r="V175" s="112"/>
      <c r="W175" s="217"/>
      <c r="X175" s="217"/>
      <c r="Y175" s="217"/>
      <c r="Z175" s="1"/>
      <c r="AA175" s="1"/>
      <c r="AB175" s="12"/>
      <c r="AC175" s="12"/>
    </row>
    <row r="176" spans="2:29" ht="24.9" customHeight="1" x14ac:dyDescent="0.3">
      <c r="B176" s="226" t="s">
        <v>123</v>
      </c>
      <c r="C176" s="26" t="e">
        <f t="shared" si="3"/>
        <v>#VALUE!</v>
      </c>
      <c r="D176" s="53" t="str">
        <f>IF(Data!F171="","",Data!F171)</f>
        <v>03656</v>
      </c>
      <c r="E176" s="92" t="str">
        <f>IF(Data!H171="","",Data!H171)</f>
        <v>Deva Renata Diyantika Putri</v>
      </c>
      <c r="F176" s="54" t="str">
        <f>IF(Data!I171="","",Data!I171)</f>
        <v>Perempuan</v>
      </c>
      <c r="G176" s="110"/>
      <c r="H176" s="111"/>
      <c r="I176" s="117"/>
      <c r="J176" s="117"/>
      <c r="K176" s="117"/>
      <c r="L176" s="117"/>
      <c r="M176" s="117"/>
      <c r="N176" s="118"/>
      <c r="O176" s="112"/>
      <c r="P176" s="115"/>
      <c r="Q176" s="115"/>
      <c r="R176" s="114"/>
      <c r="S176" s="114"/>
      <c r="T176" s="115"/>
      <c r="U176" s="116"/>
      <c r="V176" s="112"/>
      <c r="W176" s="217"/>
      <c r="X176" s="217"/>
      <c r="Y176" s="217"/>
      <c r="Z176" s="1"/>
      <c r="AA176" s="1"/>
      <c r="AB176" s="12"/>
      <c r="AC176" s="12"/>
    </row>
    <row r="177" spans="2:29" ht="24.9" customHeight="1" x14ac:dyDescent="0.3">
      <c r="B177" s="226" t="s">
        <v>123</v>
      </c>
      <c r="C177" s="26" t="e">
        <f t="shared" si="3"/>
        <v>#VALUE!</v>
      </c>
      <c r="D177" s="53" t="str">
        <f>IF(Data!F172="","",Data!F172)</f>
        <v>03657</v>
      </c>
      <c r="E177" s="92" t="str">
        <f>IF(Data!H172="","",Data!H172)</f>
        <v>Devira Widariani Putri</v>
      </c>
      <c r="F177" s="54" t="str">
        <f>IF(Data!I172="","",Data!I172)</f>
        <v>Perempuan</v>
      </c>
      <c r="G177" s="110"/>
      <c r="H177" s="111"/>
      <c r="I177" s="117"/>
      <c r="J177" s="117"/>
      <c r="K177" s="117"/>
      <c r="L177" s="117"/>
      <c r="M177" s="117"/>
      <c r="N177" s="118"/>
      <c r="O177" s="112"/>
      <c r="P177" s="115"/>
      <c r="Q177" s="115"/>
      <c r="R177" s="114"/>
      <c r="S177" s="114"/>
      <c r="T177" s="115"/>
      <c r="U177" s="116"/>
      <c r="V177" s="112"/>
      <c r="W177" s="217"/>
      <c r="X177" s="217"/>
      <c r="Y177" s="217"/>
      <c r="Z177" s="1"/>
      <c r="AA177" s="1"/>
      <c r="AB177" s="12"/>
      <c r="AC177" s="12"/>
    </row>
    <row r="178" spans="2:29" ht="24.9" customHeight="1" x14ac:dyDescent="0.3">
      <c r="B178" s="226" t="s">
        <v>123</v>
      </c>
      <c r="C178" s="26" t="e">
        <f t="shared" si="3"/>
        <v>#VALUE!</v>
      </c>
      <c r="D178" s="53" t="str">
        <f>IF(Data!F173="","",Data!F173)</f>
        <v>03659</v>
      </c>
      <c r="E178" s="92" t="str">
        <f>IF(Data!H173="","",Data!H173)</f>
        <v>Dhenova Hafiza Khaira Lubna</v>
      </c>
      <c r="F178" s="54" t="str">
        <f>IF(Data!I173="","",Data!I173)</f>
        <v>Perempuan</v>
      </c>
      <c r="G178" s="110"/>
      <c r="H178" s="111"/>
      <c r="I178" s="117"/>
      <c r="J178" s="117"/>
      <c r="K178" s="117"/>
      <c r="L178" s="117"/>
      <c r="M178" s="117"/>
      <c r="N178" s="118"/>
      <c r="O178" s="112"/>
      <c r="P178" s="115"/>
      <c r="Q178" s="115"/>
      <c r="R178" s="114"/>
      <c r="S178" s="114"/>
      <c r="T178" s="115"/>
      <c r="U178" s="116"/>
      <c r="V178" s="112"/>
      <c r="W178" s="217"/>
      <c r="X178" s="217"/>
      <c r="Y178" s="217"/>
      <c r="Z178" s="1"/>
      <c r="AA178" s="1"/>
      <c r="AB178" s="12"/>
      <c r="AC178" s="12"/>
    </row>
    <row r="179" spans="2:29" ht="24.9" customHeight="1" x14ac:dyDescent="0.3">
      <c r="B179" s="226" t="s">
        <v>123</v>
      </c>
      <c r="C179" s="26" t="e">
        <f t="shared" si="3"/>
        <v>#VALUE!</v>
      </c>
      <c r="D179" s="53" t="str">
        <f>IF(Data!F174="","",Data!F174)</f>
        <v>03660</v>
      </c>
      <c r="E179" s="92" t="str">
        <f>IF(Data!H174="","",Data!H174)</f>
        <v>Diah Putri Dwi Lestari</v>
      </c>
      <c r="F179" s="54" t="str">
        <f>IF(Data!I174="","",Data!I174)</f>
        <v>Perempuan</v>
      </c>
      <c r="G179" s="110"/>
      <c r="H179" s="111"/>
      <c r="I179" s="117"/>
      <c r="J179" s="117"/>
      <c r="K179" s="117"/>
      <c r="L179" s="117"/>
      <c r="M179" s="117"/>
      <c r="N179" s="118"/>
      <c r="O179" s="112"/>
      <c r="P179" s="115"/>
      <c r="Q179" s="115"/>
      <c r="R179" s="114"/>
      <c r="S179" s="114"/>
      <c r="T179" s="115"/>
      <c r="U179" s="116"/>
      <c r="V179" s="112"/>
      <c r="W179" s="217"/>
      <c r="X179" s="217"/>
      <c r="Y179" s="217"/>
      <c r="Z179" s="1"/>
      <c r="AA179" s="1"/>
      <c r="AB179" s="12"/>
      <c r="AC179" s="12"/>
    </row>
    <row r="180" spans="2:29" ht="24.9" customHeight="1" x14ac:dyDescent="0.3">
      <c r="B180" s="226" t="s">
        <v>123</v>
      </c>
      <c r="C180" s="26" t="e">
        <f t="shared" si="3"/>
        <v>#VALUE!</v>
      </c>
      <c r="D180" s="53" t="str">
        <f>IF(Data!F175="","",Data!F175)</f>
        <v>03666</v>
      </c>
      <c r="E180" s="92" t="str">
        <f>IF(Data!H175="","",Data!H175)</f>
        <v>Ernita Izzatunnisa Musdalifa</v>
      </c>
      <c r="F180" s="54" t="str">
        <f>IF(Data!I175="","",Data!I175)</f>
        <v>Perempuan</v>
      </c>
      <c r="G180" s="110"/>
      <c r="H180" s="111"/>
      <c r="I180" s="117"/>
      <c r="J180" s="117"/>
      <c r="K180" s="117"/>
      <c r="L180" s="117"/>
      <c r="M180" s="117"/>
      <c r="N180" s="118"/>
      <c r="O180" s="112"/>
      <c r="P180" s="115"/>
      <c r="Q180" s="115"/>
      <c r="R180" s="114"/>
      <c r="S180" s="114"/>
      <c r="T180" s="115"/>
      <c r="U180" s="116"/>
      <c r="V180" s="112"/>
      <c r="W180" s="217"/>
      <c r="X180" s="217"/>
      <c r="Y180" s="217"/>
      <c r="Z180" s="1"/>
      <c r="AA180" s="1"/>
      <c r="AB180" s="12"/>
      <c r="AC180" s="12"/>
    </row>
    <row r="181" spans="2:29" ht="24.9" customHeight="1" x14ac:dyDescent="0.3">
      <c r="B181" s="226" t="s">
        <v>123</v>
      </c>
      <c r="C181" s="26" t="e">
        <f t="shared" si="3"/>
        <v>#VALUE!</v>
      </c>
      <c r="D181" s="53" t="str">
        <f>IF(Data!F176="","",Data!F176)</f>
        <v>03667</v>
      </c>
      <c r="E181" s="92" t="str">
        <f>IF(Data!H176="","",Data!H176)</f>
        <v>Erza Naila</v>
      </c>
      <c r="F181" s="54" t="str">
        <f>IF(Data!I176="","",Data!I176)</f>
        <v>Perempuan</v>
      </c>
      <c r="G181" s="110"/>
      <c r="H181" s="111"/>
      <c r="I181" s="117"/>
      <c r="J181" s="117"/>
      <c r="K181" s="117"/>
      <c r="L181" s="117"/>
      <c r="M181" s="117"/>
      <c r="N181" s="118"/>
      <c r="O181" s="112"/>
      <c r="P181" s="115"/>
      <c r="Q181" s="115"/>
      <c r="R181" s="114"/>
      <c r="S181" s="114"/>
      <c r="T181" s="115"/>
      <c r="U181" s="116"/>
      <c r="V181" s="112"/>
      <c r="W181" s="217"/>
      <c r="X181" s="217"/>
      <c r="Y181" s="217"/>
      <c r="Z181" s="1"/>
      <c r="AA181" s="1"/>
      <c r="AB181" s="12"/>
      <c r="AC181" s="12"/>
    </row>
    <row r="182" spans="2:29" ht="24.9" customHeight="1" x14ac:dyDescent="0.3">
      <c r="B182" s="226" t="s">
        <v>123</v>
      </c>
      <c r="C182" s="26" t="e">
        <f t="shared" si="3"/>
        <v>#VALUE!</v>
      </c>
      <c r="D182" s="53" t="str">
        <f>IF(Data!F177="","",Data!F177)</f>
        <v>03668</v>
      </c>
      <c r="E182" s="92" t="str">
        <f>IF(Data!H177="","",Data!H177)</f>
        <v>Faridatul Maulida</v>
      </c>
      <c r="F182" s="54" t="str">
        <f>IF(Data!I177="","",Data!I177)</f>
        <v>Perempuan</v>
      </c>
      <c r="G182" s="110"/>
      <c r="H182" s="111"/>
      <c r="I182" s="117"/>
      <c r="J182" s="117"/>
      <c r="K182" s="117"/>
      <c r="L182" s="117"/>
      <c r="M182" s="117"/>
      <c r="N182" s="118"/>
      <c r="O182" s="112"/>
      <c r="P182" s="115"/>
      <c r="Q182" s="115"/>
      <c r="R182" s="114"/>
      <c r="S182" s="114"/>
      <c r="T182" s="115"/>
      <c r="U182" s="116"/>
      <c r="V182" s="112"/>
      <c r="W182" s="217"/>
      <c r="X182" s="217"/>
      <c r="Y182" s="217"/>
      <c r="Z182" s="1"/>
      <c r="AA182" s="1"/>
      <c r="AB182" s="12"/>
      <c r="AC182" s="12"/>
    </row>
    <row r="183" spans="2:29" ht="24.9" customHeight="1" x14ac:dyDescent="0.3">
      <c r="B183" s="226" t="s">
        <v>123</v>
      </c>
      <c r="C183" s="26" t="e">
        <f t="shared" si="3"/>
        <v>#VALUE!</v>
      </c>
      <c r="D183" s="53" t="str">
        <f>IF(Data!F178="","",Data!F178)</f>
        <v>03671</v>
      </c>
      <c r="E183" s="92" t="str">
        <f>IF(Data!H178="","",Data!H178)</f>
        <v>Hafiza Azmil Khoiriya</v>
      </c>
      <c r="F183" s="54" t="str">
        <f>IF(Data!I178="","",Data!I178)</f>
        <v>Perempuan</v>
      </c>
      <c r="G183" s="110"/>
      <c r="H183" s="111"/>
      <c r="I183" s="117"/>
      <c r="J183" s="117"/>
      <c r="K183" s="117"/>
      <c r="L183" s="117"/>
      <c r="M183" s="117"/>
      <c r="N183" s="118"/>
      <c r="O183" s="112"/>
      <c r="P183" s="115"/>
      <c r="Q183" s="115"/>
      <c r="R183" s="114"/>
      <c r="S183" s="114"/>
      <c r="T183" s="115"/>
      <c r="U183" s="116"/>
      <c r="V183" s="112"/>
      <c r="W183" s="217"/>
      <c r="X183" s="217"/>
      <c r="Y183" s="217"/>
      <c r="Z183" s="1"/>
      <c r="AA183" s="1"/>
      <c r="AB183" s="12"/>
      <c r="AC183" s="12"/>
    </row>
    <row r="184" spans="2:29" ht="24.9" customHeight="1" x14ac:dyDescent="0.3">
      <c r="B184" s="226" t="s">
        <v>123</v>
      </c>
      <c r="C184" s="26" t="e">
        <f t="shared" si="3"/>
        <v>#VALUE!</v>
      </c>
      <c r="D184" s="53" t="str">
        <f>IF(Data!F179="","",Data!F179)</f>
        <v>03672</v>
      </c>
      <c r="E184" s="92" t="str">
        <f>IF(Data!H179="","",Data!H179)</f>
        <v>Hamidatun Nafisa</v>
      </c>
      <c r="F184" s="54" t="str">
        <f>IF(Data!I179="","",Data!I179)</f>
        <v>Perempuan</v>
      </c>
      <c r="G184" s="110"/>
      <c r="H184" s="111"/>
      <c r="I184" s="117"/>
      <c r="J184" s="117"/>
      <c r="K184" s="117"/>
      <c r="L184" s="117"/>
      <c r="M184" s="117"/>
      <c r="N184" s="118"/>
      <c r="O184" s="112"/>
      <c r="P184" s="115"/>
      <c r="Q184" s="115"/>
      <c r="R184" s="114"/>
      <c r="S184" s="114"/>
      <c r="T184" s="115"/>
      <c r="U184" s="116"/>
      <c r="V184" s="112"/>
      <c r="W184" s="217"/>
      <c r="X184" s="217"/>
      <c r="Y184" s="217"/>
      <c r="Z184" s="1"/>
      <c r="AA184" s="1"/>
      <c r="AB184" s="12"/>
      <c r="AC184" s="12"/>
    </row>
    <row r="185" spans="2:29" ht="24.9" customHeight="1" x14ac:dyDescent="0.3">
      <c r="B185" s="226" t="s">
        <v>123</v>
      </c>
      <c r="C185" s="26" t="e">
        <f t="shared" si="3"/>
        <v>#VALUE!</v>
      </c>
      <c r="D185" s="53" t="str">
        <f>IF(Data!F180="","",Data!F180)</f>
        <v>03675</v>
      </c>
      <c r="E185" s="92" t="str">
        <f>IF(Data!H180="","",Data!H180)</f>
        <v>Ilma Khoirotun Ni'mah</v>
      </c>
      <c r="F185" s="54" t="str">
        <f>IF(Data!I180="","",Data!I180)</f>
        <v>Perempuan</v>
      </c>
      <c r="G185" s="110"/>
      <c r="H185" s="111"/>
      <c r="I185" s="117"/>
      <c r="J185" s="117"/>
      <c r="K185" s="117"/>
      <c r="L185" s="117"/>
      <c r="M185" s="117"/>
      <c r="N185" s="118"/>
      <c r="O185" s="112"/>
      <c r="P185" s="115"/>
      <c r="Q185" s="115"/>
      <c r="R185" s="114"/>
      <c r="S185" s="114"/>
      <c r="T185" s="115"/>
      <c r="U185" s="116"/>
      <c r="V185" s="112"/>
      <c r="W185" s="217"/>
      <c r="X185" s="217"/>
      <c r="Y185" s="217"/>
      <c r="Z185" s="1"/>
      <c r="AA185" s="1"/>
      <c r="AB185" s="12"/>
      <c r="AC185" s="12"/>
    </row>
    <row r="186" spans="2:29" ht="24.9" customHeight="1" x14ac:dyDescent="0.3">
      <c r="B186" s="226" t="s">
        <v>123</v>
      </c>
      <c r="C186" s="26" t="e">
        <f t="shared" si="3"/>
        <v>#VALUE!</v>
      </c>
      <c r="D186" s="53" t="str">
        <f>IF(Data!F181="","",Data!F181)</f>
        <v>03681</v>
      </c>
      <c r="E186" s="92" t="str">
        <f>IF(Data!H181="","",Data!H181)</f>
        <v>Kartika Ayu Nur Wahid</v>
      </c>
      <c r="F186" s="54" t="str">
        <f>IF(Data!I181="","",Data!I181)</f>
        <v>Perempuan</v>
      </c>
      <c r="G186" s="110"/>
      <c r="H186" s="111"/>
      <c r="I186" s="117"/>
      <c r="J186" s="117"/>
      <c r="K186" s="117"/>
      <c r="L186" s="117"/>
      <c r="M186" s="117"/>
      <c r="N186" s="118"/>
      <c r="O186" s="112"/>
      <c r="P186" s="115"/>
      <c r="Q186" s="115"/>
      <c r="R186" s="114"/>
      <c r="S186" s="114"/>
      <c r="T186" s="115"/>
      <c r="U186" s="116"/>
      <c r="V186" s="112"/>
      <c r="W186" s="217"/>
      <c r="X186" s="217"/>
      <c r="Y186" s="217"/>
      <c r="Z186" s="1"/>
      <c r="AA186" s="1"/>
      <c r="AB186" s="12"/>
      <c r="AC186" s="12"/>
    </row>
    <row r="187" spans="2:29" ht="24.9" customHeight="1" x14ac:dyDescent="0.3">
      <c r="B187" s="226" t="s">
        <v>123</v>
      </c>
      <c r="C187" s="26" t="e">
        <f t="shared" si="3"/>
        <v>#VALUE!</v>
      </c>
      <c r="D187" s="53" t="str">
        <f>IF(Data!F182="","",Data!F182)</f>
        <v>03683</v>
      </c>
      <c r="E187" s="92" t="str">
        <f>IF(Data!H182="","",Data!H182)</f>
        <v>Khaira Nadzifatuz Zahra</v>
      </c>
      <c r="F187" s="54" t="str">
        <f>IF(Data!I182="","",Data!I182)</f>
        <v>Perempuan</v>
      </c>
      <c r="G187" s="110"/>
      <c r="H187" s="111"/>
      <c r="I187" s="117"/>
      <c r="J187" s="117"/>
      <c r="K187" s="117"/>
      <c r="L187" s="117"/>
      <c r="M187" s="117"/>
      <c r="N187" s="118"/>
      <c r="O187" s="112"/>
      <c r="P187" s="115"/>
      <c r="Q187" s="115"/>
      <c r="R187" s="114"/>
      <c r="S187" s="114"/>
      <c r="T187" s="115"/>
      <c r="U187" s="116"/>
      <c r="V187" s="112"/>
      <c r="W187" s="217"/>
      <c r="X187" s="217"/>
      <c r="Y187" s="217"/>
      <c r="Z187" s="1"/>
      <c r="AA187" s="1"/>
      <c r="AB187" s="12"/>
      <c r="AC187" s="12"/>
    </row>
    <row r="188" spans="2:29" ht="24.9" customHeight="1" x14ac:dyDescent="0.3">
      <c r="B188" s="226" t="s">
        <v>123</v>
      </c>
      <c r="C188" s="26" t="e">
        <f t="shared" si="3"/>
        <v>#VALUE!</v>
      </c>
      <c r="D188" s="53" t="str">
        <f>IF(Data!F183="","",Data!F183)</f>
        <v>03687</v>
      </c>
      <c r="E188" s="92" t="str">
        <f>IF(Data!H183="","",Data!H183)</f>
        <v>Kholishtama Humairo' Putrinabilah</v>
      </c>
      <c r="F188" s="54" t="str">
        <f>IF(Data!I183="","",Data!I183)</f>
        <v>Perempuan</v>
      </c>
      <c r="G188" s="110"/>
      <c r="H188" s="111"/>
      <c r="I188" s="117"/>
      <c r="J188" s="117"/>
      <c r="K188" s="117"/>
      <c r="L188" s="117"/>
      <c r="M188" s="117"/>
      <c r="N188" s="118"/>
      <c r="O188" s="112"/>
      <c r="P188" s="115"/>
      <c r="Q188" s="115"/>
      <c r="R188" s="114"/>
      <c r="S188" s="114"/>
      <c r="T188" s="115"/>
      <c r="U188" s="116"/>
      <c r="V188" s="112"/>
      <c r="W188" s="217"/>
      <c r="X188" s="217"/>
      <c r="Y188" s="217"/>
      <c r="Z188" s="1"/>
      <c r="AA188" s="1"/>
      <c r="AB188" s="12"/>
      <c r="AC188" s="12"/>
    </row>
    <row r="189" spans="2:29" ht="24.9" customHeight="1" x14ac:dyDescent="0.3">
      <c r="B189" s="226" t="s">
        <v>123</v>
      </c>
      <c r="C189" s="26" t="e">
        <f t="shared" si="3"/>
        <v>#VALUE!</v>
      </c>
      <c r="D189" s="53" t="str">
        <f>IF(Data!F184="","",Data!F184)</f>
        <v>03690</v>
      </c>
      <c r="E189" s="92" t="str">
        <f>IF(Data!H184="","",Data!H184)</f>
        <v>Listy Andinia Aulia Fitri</v>
      </c>
      <c r="F189" s="54" t="str">
        <f>IF(Data!I184="","",Data!I184)</f>
        <v>Perempuan</v>
      </c>
      <c r="G189" s="110"/>
      <c r="H189" s="111"/>
      <c r="I189" s="117"/>
      <c r="J189" s="117"/>
      <c r="K189" s="117"/>
      <c r="L189" s="117"/>
      <c r="M189" s="117"/>
      <c r="N189" s="118"/>
      <c r="O189" s="112"/>
      <c r="P189" s="115"/>
      <c r="Q189" s="115"/>
      <c r="R189" s="114"/>
      <c r="S189" s="114"/>
      <c r="T189" s="115"/>
      <c r="U189" s="116"/>
      <c r="V189" s="112"/>
      <c r="W189" s="217"/>
      <c r="X189" s="217"/>
      <c r="Y189" s="217"/>
      <c r="Z189" s="1"/>
      <c r="AA189" s="1"/>
      <c r="AB189" s="12"/>
      <c r="AC189" s="12"/>
    </row>
    <row r="190" spans="2:29" ht="24.9" customHeight="1" x14ac:dyDescent="0.3">
      <c r="B190" s="226" t="s">
        <v>124</v>
      </c>
      <c r="C190" s="26">
        <v>1</v>
      </c>
      <c r="D190" s="53" t="str">
        <f>IF(Data!F185="","",Data!F185)</f>
        <v>03696</v>
      </c>
      <c r="E190" s="92" t="str">
        <f>IF(Data!H185="","",Data!H185)</f>
        <v>Mufaazatul Imroah</v>
      </c>
      <c r="F190" s="54" t="str">
        <f>IF(Data!I185="","",Data!I185)</f>
        <v>Perempuan</v>
      </c>
      <c r="G190" s="110"/>
      <c r="H190" s="111"/>
      <c r="I190" s="117"/>
      <c r="J190" s="117"/>
      <c r="K190" s="117"/>
      <c r="L190" s="117"/>
      <c r="M190" s="117"/>
      <c r="N190" s="118"/>
      <c r="O190" s="112"/>
      <c r="P190" s="115"/>
      <c r="Q190" s="115"/>
      <c r="R190" s="114"/>
      <c r="S190" s="114"/>
      <c r="T190" s="115"/>
      <c r="U190" s="116"/>
      <c r="V190" s="112"/>
      <c r="W190" s="217"/>
      <c r="X190" s="217"/>
      <c r="Y190" s="217"/>
      <c r="Z190" s="1"/>
      <c r="AA190" s="1"/>
      <c r="AB190" s="12"/>
      <c r="AC190" s="12"/>
    </row>
    <row r="191" spans="2:29" ht="24.9" customHeight="1" x14ac:dyDescent="0.3">
      <c r="B191" s="226" t="s">
        <v>124</v>
      </c>
      <c r="C191" s="26">
        <f t="shared" si="3"/>
        <v>2</v>
      </c>
      <c r="D191" s="53" t="str">
        <f>IF(Data!F186="","",Data!F186)</f>
        <v>03699</v>
      </c>
      <c r="E191" s="92" t="str">
        <f>IF(Data!H186="","",Data!H186)</f>
        <v>Nabila Diya Putri Anindya</v>
      </c>
      <c r="F191" s="54" t="str">
        <f>IF(Data!I186="","",Data!I186)</f>
        <v>Perempuan</v>
      </c>
      <c r="G191" s="110"/>
      <c r="H191" s="111"/>
      <c r="I191" s="117"/>
      <c r="J191" s="117"/>
      <c r="K191" s="117"/>
      <c r="L191" s="117"/>
      <c r="M191" s="117"/>
      <c r="N191" s="118"/>
      <c r="O191" s="112"/>
      <c r="P191" s="115"/>
      <c r="Q191" s="115"/>
      <c r="R191" s="114"/>
      <c r="S191" s="114"/>
      <c r="T191" s="115"/>
      <c r="U191" s="116"/>
      <c r="V191" s="112"/>
      <c r="W191" s="217"/>
      <c r="X191" s="217"/>
      <c r="Y191" s="217"/>
      <c r="Z191" s="1"/>
      <c r="AA191" s="1"/>
      <c r="AB191" s="12"/>
      <c r="AC191" s="12"/>
    </row>
    <row r="192" spans="2:29" ht="24.9" customHeight="1" x14ac:dyDescent="0.3">
      <c r="B192" s="226" t="s">
        <v>124</v>
      </c>
      <c r="C192" s="26">
        <f t="shared" si="3"/>
        <v>3</v>
      </c>
      <c r="D192" s="53" t="str">
        <f>IF(Data!F187="","",Data!F187)</f>
        <v>03705</v>
      </c>
      <c r="E192" s="92" t="str">
        <f>IF(Data!H187="","",Data!H187)</f>
        <v>Nakeysha Ardya Putri</v>
      </c>
      <c r="F192" s="54" t="str">
        <f>IF(Data!I187="","",Data!I187)</f>
        <v>Perempuan</v>
      </c>
      <c r="G192" s="110"/>
      <c r="H192" s="111"/>
      <c r="I192" s="117"/>
      <c r="J192" s="117"/>
      <c r="K192" s="117"/>
      <c r="L192" s="117"/>
      <c r="M192" s="117"/>
      <c r="N192" s="118"/>
      <c r="O192" s="112"/>
      <c r="P192" s="115"/>
      <c r="Q192" s="115"/>
      <c r="R192" s="114"/>
      <c r="S192" s="114"/>
      <c r="T192" s="115"/>
      <c r="U192" s="116"/>
      <c r="V192" s="112"/>
      <c r="W192" s="217"/>
      <c r="X192" s="217"/>
      <c r="Y192" s="217"/>
      <c r="Z192" s="1"/>
      <c r="AA192" s="1"/>
      <c r="AB192" s="12"/>
      <c r="AC192" s="12"/>
    </row>
    <row r="193" spans="2:29" ht="24.9" customHeight="1" x14ac:dyDescent="0.3">
      <c r="B193" s="226" t="s">
        <v>124</v>
      </c>
      <c r="C193" s="26">
        <f t="shared" si="3"/>
        <v>4</v>
      </c>
      <c r="D193" s="53" t="str">
        <f>IF(Data!F188="","",Data!F188)</f>
        <v>03707</v>
      </c>
      <c r="E193" s="92" t="str">
        <f>IF(Data!H188="","",Data!H188)</f>
        <v>Naura Fitriani Salsabilah</v>
      </c>
      <c r="F193" s="54" t="str">
        <f>IF(Data!I188="","",Data!I188)</f>
        <v>Perempuan</v>
      </c>
      <c r="G193" s="110"/>
      <c r="H193" s="111"/>
      <c r="I193" s="117"/>
      <c r="J193" s="117"/>
      <c r="K193" s="117"/>
      <c r="L193" s="117"/>
      <c r="M193" s="117"/>
      <c r="N193" s="118"/>
      <c r="O193" s="112"/>
      <c r="P193" s="115"/>
      <c r="Q193" s="115"/>
      <c r="R193" s="114"/>
      <c r="S193" s="114"/>
      <c r="T193" s="115"/>
      <c r="U193" s="116"/>
      <c r="V193" s="112"/>
      <c r="W193" s="217"/>
      <c r="X193" s="217"/>
      <c r="Y193" s="217"/>
      <c r="Z193" s="1"/>
      <c r="AA193" s="1"/>
      <c r="AB193" s="12"/>
      <c r="AC193" s="12"/>
    </row>
    <row r="194" spans="2:29" ht="24.9" customHeight="1" x14ac:dyDescent="0.3">
      <c r="B194" s="226" t="s">
        <v>124</v>
      </c>
      <c r="C194" s="26">
        <f t="shared" si="3"/>
        <v>5</v>
      </c>
      <c r="D194" s="53" t="str">
        <f>IF(Data!F189="","",Data!F189)</f>
        <v>03708</v>
      </c>
      <c r="E194" s="92" t="str">
        <f>IF(Data!H189="","",Data!H189)</f>
        <v>Naura Hasna Annida</v>
      </c>
      <c r="F194" s="54" t="str">
        <f>IF(Data!I189="","",Data!I189)</f>
        <v>Perempuan</v>
      </c>
      <c r="G194" s="110"/>
      <c r="H194" s="111"/>
      <c r="I194" s="117"/>
      <c r="J194" s="117"/>
      <c r="K194" s="117"/>
      <c r="L194" s="117"/>
      <c r="M194" s="117"/>
      <c r="N194" s="118"/>
      <c r="O194" s="112"/>
      <c r="P194" s="115"/>
      <c r="Q194" s="115"/>
      <c r="R194" s="114"/>
      <c r="S194" s="114"/>
      <c r="T194" s="115"/>
      <c r="U194" s="116"/>
      <c r="V194" s="112"/>
      <c r="W194" s="217"/>
      <c r="X194" s="217"/>
      <c r="Y194" s="217"/>
      <c r="Z194" s="1"/>
      <c r="AA194" s="1"/>
      <c r="AB194" s="12"/>
      <c r="AC194" s="12"/>
    </row>
    <row r="195" spans="2:29" ht="24.9" customHeight="1" x14ac:dyDescent="0.3">
      <c r="B195" s="226" t="s">
        <v>124</v>
      </c>
      <c r="C195" s="26">
        <f t="shared" si="3"/>
        <v>6</v>
      </c>
      <c r="D195" s="53" t="str">
        <f>IF(Data!F190="","",Data!F190)</f>
        <v>03709</v>
      </c>
      <c r="E195" s="92" t="str">
        <f>IF(Data!H190="","",Data!H190)</f>
        <v>Naylla Putri Nur Aeny</v>
      </c>
      <c r="F195" s="54" t="str">
        <f>IF(Data!I190="","",Data!I190)</f>
        <v>Perempuan</v>
      </c>
      <c r="G195" s="110"/>
      <c r="H195" s="111"/>
      <c r="I195" s="117"/>
      <c r="J195" s="117"/>
      <c r="K195" s="117"/>
      <c r="L195" s="117"/>
      <c r="M195" s="117"/>
      <c r="N195" s="118"/>
      <c r="O195" s="112"/>
      <c r="P195" s="115"/>
      <c r="Q195" s="115"/>
      <c r="R195" s="114"/>
      <c r="S195" s="114"/>
      <c r="T195" s="115"/>
      <c r="U195" s="116"/>
      <c r="V195" s="112"/>
      <c r="W195" s="217"/>
      <c r="X195" s="217"/>
      <c r="Y195" s="217"/>
      <c r="Z195" s="1"/>
      <c r="AA195" s="1"/>
      <c r="AB195" s="12"/>
      <c r="AC195" s="12"/>
    </row>
    <row r="196" spans="2:29" ht="24.9" customHeight="1" x14ac:dyDescent="0.3">
      <c r="B196" s="226" t="s">
        <v>124</v>
      </c>
      <c r="C196" s="26">
        <f t="shared" si="3"/>
        <v>7</v>
      </c>
      <c r="D196" s="53" t="str">
        <f>IF(Data!F191="","",Data!F191)</f>
        <v>03731</v>
      </c>
      <c r="E196" s="92" t="str">
        <f>IF(Data!H191="","",Data!H191)</f>
        <v>Sofiyatun Khasanah</v>
      </c>
      <c r="F196" s="54" t="str">
        <f>IF(Data!I191="","",Data!I191)</f>
        <v>Perempuan</v>
      </c>
      <c r="G196" s="110"/>
      <c r="H196" s="111"/>
      <c r="I196" s="117"/>
      <c r="J196" s="117"/>
      <c r="K196" s="117"/>
      <c r="L196" s="117"/>
      <c r="M196" s="117"/>
      <c r="N196" s="118"/>
      <c r="O196" s="112"/>
      <c r="P196" s="115"/>
      <c r="Q196" s="115"/>
      <c r="R196" s="114"/>
      <c r="S196" s="114"/>
      <c r="T196" s="115"/>
      <c r="U196" s="116"/>
      <c r="V196" s="112"/>
      <c r="W196" s="217"/>
      <c r="X196" s="217"/>
      <c r="Y196" s="217"/>
      <c r="Z196" s="1"/>
      <c r="AA196" s="1"/>
      <c r="AB196" s="12"/>
      <c r="AC196" s="12"/>
    </row>
    <row r="197" spans="2:29" ht="24.9" customHeight="1" x14ac:dyDescent="0.3">
      <c r="B197" s="226" t="s">
        <v>124</v>
      </c>
      <c r="C197" s="26">
        <f t="shared" si="3"/>
        <v>8</v>
      </c>
      <c r="D197" s="53" t="str">
        <f>IF(Data!F192="","",Data!F192)</f>
        <v>03737</v>
      </c>
      <c r="E197" s="92" t="str">
        <f>IF(Data!H192="","",Data!H192)</f>
        <v>Vandalea Aisyah Nuril Illiyin</v>
      </c>
      <c r="F197" s="54" t="str">
        <f>IF(Data!I192="","",Data!I192)</f>
        <v>Perempuan</v>
      </c>
      <c r="G197" s="110"/>
      <c r="H197" s="111"/>
      <c r="I197" s="117"/>
      <c r="J197" s="117"/>
      <c r="K197" s="117"/>
      <c r="L197" s="117"/>
      <c r="M197" s="117"/>
      <c r="N197" s="118"/>
      <c r="O197" s="112"/>
      <c r="P197" s="115"/>
      <c r="Q197" s="115"/>
      <c r="R197" s="114"/>
      <c r="S197" s="114"/>
      <c r="T197" s="115"/>
      <c r="U197" s="116"/>
      <c r="V197" s="112"/>
      <c r="W197" s="217"/>
      <c r="X197" s="217"/>
      <c r="Y197" s="217"/>
      <c r="Z197" s="1"/>
      <c r="AA197" s="1"/>
      <c r="AB197" s="12"/>
      <c r="AC197" s="12"/>
    </row>
    <row r="198" spans="2:29" ht="24.9" customHeight="1" x14ac:dyDescent="0.3">
      <c r="B198" s="226" t="s">
        <v>124</v>
      </c>
      <c r="C198" s="26">
        <f t="shared" si="3"/>
        <v>9</v>
      </c>
      <c r="D198" s="53" t="str">
        <f>IF(Data!F193="","",Data!F193)</f>
        <v>03738</v>
      </c>
      <c r="E198" s="92" t="str">
        <f>IF(Data!H193="","",Data!H193)</f>
        <v>Vivi Putri Amanda</v>
      </c>
      <c r="F198" s="54" t="str">
        <f>IF(Data!I193="","",Data!I193)</f>
        <v>Perempuan</v>
      </c>
      <c r="G198" s="110"/>
      <c r="H198" s="111"/>
      <c r="I198" s="117"/>
      <c r="J198" s="117"/>
      <c r="K198" s="117"/>
      <c r="L198" s="117"/>
      <c r="M198" s="117"/>
      <c r="N198" s="118"/>
      <c r="O198" s="112"/>
      <c r="P198" s="115"/>
      <c r="Q198" s="115"/>
      <c r="R198" s="114"/>
      <c r="S198" s="114"/>
      <c r="T198" s="115"/>
      <c r="U198" s="116"/>
      <c r="V198" s="112"/>
      <c r="W198" s="217"/>
      <c r="X198" s="217"/>
      <c r="Y198" s="217"/>
      <c r="Z198" s="1"/>
      <c r="AA198" s="1"/>
      <c r="AB198" s="12"/>
      <c r="AC198" s="12"/>
    </row>
    <row r="199" spans="2:29" ht="24.9" customHeight="1" x14ac:dyDescent="0.3">
      <c r="B199" s="226" t="s">
        <v>124</v>
      </c>
      <c r="C199" s="26">
        <f t="shared" si="3"/>
        <v>10</v>
      </c>
      <c r="D199" s="53" t="str">
        <f>IF(Data!F194="","",Data!F194)</f>
        <v>03741</v>
      </c>
      <c r="E199" s="92" t="str">
        <f>IF(Data!H194="","",Data!H194)</f>
        <v>Wulan Sevian Febianty</v>
      </c>
      <c r="F199" s="54" t="str">
        <f>IF(Data!I194="","",Data!I194)</f>
        <v>Perempuan</v>
      </c>
      <c r="G199" s="110"/>
      <c r="H199" s="111"/>
      <c r="I199" s="117"/>
      <c r="J199" s="117"/>
      <c r="K199" s="117"/>
      <c r="L199" s="117"/>
      <c r="M199" s="117"/>
      <c r="N199" s="118"/>
      <c r="O199" s="112"/>
      <c r="P199" s="115"/>
      <c r="Q199" s="115"/>
      <c r="R199" s="114"/>
      <c r="S199" s="114"/>
      <c r="T199" s="115"/>
      <c r="U199" s="116"/>
      <c r="V199" s="112"/>
      <c r="W199" s="217"/>
      <c r="X199" s="217"/>
      <c r="Y199" s="217"/>
      <c r="Z199" s="1"/>
      <c r="AA199" s="1"/>
      <c r="AB199" s="12"/>
      <c r="AC199" s="12"/>
    </row>
    <row r="200" spans="2:29" ht="24.9" customHeight="1" x14ac:dyDescent="0.3">
      <c r="B200" s="226" t="s">
        <v>124</v>
      </c>
      <c r="C200" s="26">
        <f t="shared" si="3"/>
        <v>11</v>
      </c>
      <c r="D200" s="53" t="str">
        <f>IF(Data!F195="","",Data!F195)</f>
        <v>03743</v>
      </c>
      <c r="E200" s="92" t="str">
        <f>IF(Data!H195="","",Data!H195)</f>
        <v>Yulistia Tsania Salma</v>
      </c>
      <c r="F200" s="54" t="str">
        <f>IF(Data!I195="","",Data!I195)</f>
        <v>Perempuan</v>
      </c>
      <c r="G200" s="110"/>
      <c r="H200" s="111"/>
      <c r="I200" s="117"/>
      <c r="J200" s="117"/>
      <c r="K200" s="117"/>
      <c r="L200" s="117"/>
      <c r="M200" s="117"/>
      <c r="N200" s="118"/>
      <c r="O200" s="112"/>
      <c r="P200" s="115"/>
      <c r="Q200" s="115"/>
      <c r="R200" s="114"/>
      <c r="S200" s="114"/>
      <c r="T200" s="115"/>
      <c r="U200" s="116"/>
      <c r="V200" s="112"/>
      <c r="W200" s="217"/>
      <c r="X200" s="217"/>
      <c r="Y200" s="217"/>
      <c r="Z200" s="1"/>
      <c r="AA200" s="1"/>
      <c r="AB200" s="12"/>
      <c r="AC200" s="12"/>
    </row>
    <row r="201" spans="2:29" ht="24.9" customHeight="1" x14ac:dyDescent="0.3">
      <c r="B201" s="226" t="s">
        <v>124</v>
      </c>
      <c r="C201" s="26" t="str">
        <f t="shared" si="3"/>
        <v/>
      </c>
      <c r="D201" s="53" t="str">
        <f>IF(Data!F196="","",Data!F196)</f>
        <v/>
      </c>
      <c r="E201" s="92" t="str">
        <f>IF(Data!H196="","",Data!H196)</f>
        <v/>
      </c>
      <c r="F201" s="54" t="str">
        <f>IF(Data!I196="","",Data!I196)</f>
        <v/>
      </c>
      <c r="G201" s="110"/>
      <c r="H201" s="111"/>
      <c r="I201" s="117"/>
      <c r="J201" s="117"/>
      <c r="K201" s="117"/>
      <c r="L201" s="117"/>
      <c r="M201" s="117"/>
      <c r="N201" s="118"/>
      <c r="O201" s="112"/>
      <c r="P201" s="115"/>
      <c r="Q201" s="115"/>
      <c r="R201" s="114"/>
      <c r="S201" s="114"/>
      <c r="T201" s="115"/>
      <c r="U201" s="116"/>
      <c r="V201" s="112"/>
      <c r="W201" s="217"/>
      <c r="X201" s="217"/>
      <c r="Y201" s="217"/>
      <c r="Z201" s="1"/>
      <c r="AA201" s="1"/>
      <c r="AB201" s="12"/>
      <c r="AC201" s="12"/>
    </row>
    <row r="202" spans="2:29" ht="24.9" customHeight="1" x14ac:dyDescent="0.3">
      <c r="B202" s="226" t="s">
        <v>124</v>
      </c>
      <c r="C202" s="26" t="str">
        <f t="shared" si="3"/>
        <v/>
      </c>
      <c r="D202" s="53" t="str">
        <f>IF(Data!F197="","",Data!F197)</f>
        <v/>
      </c>
      <c r="E202" s="92" t="str">
        <f>IF(Data!H197="","",Data!H197)</f>
        <v/>
      </c>
      <c r="F202" s="54" t="str">
        <f>IF(Data!I197="","",Data!I197)</f>
        <v/>
      </c>
      <c r="G202" s="110"/>
      <c r="H202" s="111"/>
      <c r="I202" s="117"/>
      <c r="J202" s="117"/>
      <c r="K202" s="117"/>
      <c r="L202" s="117"/>
      <c r="M202" s="117"/>
      <c r="N202" s="118"/>
      <c r="O202" s="112"/>
      <c r="P202" s="115"/>
      <c r="Q202" s="115"/>
      <c r="R202" s="114"/>
      <c r="S202" s="114"/>
      <c r="T202" s="115"/>
      <c r="U202" s="116"/>
      <c r="V202" s="112"/>
      <c r="W202" s="217"/>
      <c r="X202" s="217"/>
      <c r="Y202" s="217"/>
      <c r="Z202" s="1"/>
      <c r="AA202" s="1"/>
      <c r="AB202" s="12"/>
      <c r="AC202" s="12"/>
    </row>
    <row r="203" spans="2:29" ht="24.9" customHeight="1" x14ac:dyDescent="0.3">
      <c r="B203" s="226" t="s">
        <v>124</v>
      </c>
      <c r="C203" s="26" t="str">
        <f t="shared" si="3"/>
        <v/>
      </c>
      <c r="D203" s="53" t="str">
        <f>IF(Data!F198="","",Data!F198)</f>
        <v/>
      </c>
      <c r="E203" s="92" t="str">
        <f>IF(Data!H198="","",Data!H198)</f>
        <v/>
      </c>
      <c r="F203" s="54" t="str">
        <f>IF(Data!I198="","",Data!I198)</f>
        <v/>
      </c>
      <c r="G203" s="110"/>
      <c r="H203" s="111"/>
      <c r="I203" s="117"/>
      <c r="J203" s="117"/>
      <c r="K203" s="117"/>
      <c r="L203" s="117"/>
      <c r="M203" s="117"/>
      <c r="N203" s="118"/>
      <c r="O203" s="112"/>
      <c r="P203" s="115"/>
      <c r="Q203" s="115"/>
      <c r="R203" s="114"/>
      <c r="S203" s="114"/>
      <c r="T203" s="115"/>
      <c r="U203" s="116"/>
      <c r="V203" s="112"/>
      <c r="W203" s="217"/>
      <c r="X203" s="217"/>
      <c r="Y203" s="217"/>
      <c r="Z203" s="1"/>
      <c r="AA203" s="1"/>
      <c r="AB203" s="12"/>
      <c r="AC203" s="12"/>
    </row>
    <row r="204" spans="2:29" ht="24.9" customHeight="1" x14ac:dyDescent="0.3">
      <c r="B204" s="226" t="s">
        <v>124</v>
      </c>
      <c r="C204" s="26" t="str">
        <f t="shared" si="3"/>
        <v/>
      </c>
      <c r="D204" s="53" t="str">
        <f>IF(Data!F199="","",Data!F199)</f>
        <v/>
      </c>
      <c r="E204" s="92" t="str">
        <f>IF(Data!H199="","",Data!H199)</f>
        <v/>
      </c>
      <c r="F204" s="54" t="str">
        <f>IF(Data!I199="","",Data!I199)</f>
        <v/>
      </c>
      <c r="G204" s="110"/>
      <c r="H204" s="111"/>
      <c r="I204" s="117"/>
      <c r="J204" s="117"/>
      <c r="K204" s="117"/>
      <c r="L204" s="117"/>
      <c r="M204" s="117"/>
      <c r="N204" s="118"/>
      <c r="O204" s="112"/>
      <c r="P204" s="115"/>
      <c r="Q204" s="115"/>
      <c r="R204" s="114"/>
      <c r="S204" s="114"/>
      <c r="T204" s="115"/>
      <c r="U204" s="116"/>
      <c r="V204" s="112"/>
      <c r="W204" s="217"/>
      <c r="X204" s="217"/>
      <c r="Y204" s="217"/>
      <c r="Z204" s="1"/>
      <c r="AA204" s="1"/>
      <c r="AB204" s="12"/>
      <c r="AC204" s="12"/>
    </row>
    <row r="205" spans="2:29" ht="24.9" customHeight="1" x14ac:dyDescent="0.3">
      <c r="B205" s="226" t="s">
        <v>124</v>
      </c>
      <c r="C205" s="26" t="str">
        <f t="shared" ref="C205:C268" si="4">IF(E205="","",C204+1)</f>
        <v/>
      </c>
      <c r="D205" s="53" t="str">
        <f>IF(Data!F200="","",Data!F200)</f>
        <v/>
      </c>
      <c r="E205" s="92" t="str">
        <f>IF(Data!H200="","",Data!H200)</f>
        <v/>
      </c>
      <c r="F205" s="54" t="str">
        <f>IF(Data!I200="","",Data!I200)</f>
        <v/>
      </c>
      <c r="G205" s="110"/>
      <c r="H205" s="111"/>
      <c r="I205" s="117"/>
      <c r="J205" s="117"/>
      <c r="K205" s="117"/>
      <c r="L205" s="117"/>
      <c r="M205" s="117"/>
      <c r="N205" s="118"/>
      <c r="O205" s="112"/>
      <c r="P205" s="115"/>
      <c r="Q205" s="115"/>
      <c r="R205" s="114"/>
      <c r="S205" s="114"/>
      <c r="T205" s="115"/>
      <c r="U205" s="116"/>
      <c r="V205" s="112"/>
      <c r="W205" s="217"/>
      <c r="X205" s="217"/>
      <c r="Y205" s="217"/>
      <c r="Z205" s="1"/>
      <c r="AA205" s="1"/>
      <c r="AB205" s="12"/>
      <c r="AC205" s="12"/>
    </row>
    <row r="206" spans="2:29" ht="24.9" customHeight="1" x14ac:dyDescent="0.3">
      <c r="B206" s="226" t="s">
        <v>124</v>
      </c>
      <c r="C206" s="26" t="str">
        <f t="shared" si="4"/>
        <v/>
      </c>
      <c r="D206" s="53" t="str">
        <f>IF(Data!F201="","",Data!F201)</f>
        <v/>
      </c>
      <c r="E206" s="92" t="str">
        <f>IF(Data!H201="","",Data!H201)</f>
        <v/>
      </c>
      <c r="F206" s="54" t="str">
        <f>IF(Data!I201="","",Data!I201)</f>
        <v/>
      </c>
      <c r="G206" s="110"/>
      <c r="H206" s="111"/>
      <c r="I206" s="117"/>
      <c r="J206" s="117"/>
      <c r="K206" s="117"/>
      <c r="L206" s="117"/>
      <c r="M206" s="117"/>
      <c r="N206" s="118"/>
      <c r="O206" s="112"/>
      <c r="P206" s="115"/>
      <c r="Q206" s="115"/>
      <c r="R206" s="114"/>
      <c r="S206" s="114"/>
      <c r="T206" s="115"/>
      <c r="U206" s="116"/>
      <c r="V206" s="112"/>
      <c r="W206" s="217"/>
      <c r="X206" s="217"/>
      <c r="Y206" s="217"/>
      <c r="Z206" s="1"/>
      <c r="AA206" s="1"/>
      <c r="AB206" s="12"/>
      <c r="AC206" s="12"/>
    </row>
    <row r="207" spans="2:29" ht="24.9" customHeight="1" x14ac:dyDescent="0.3">
      <c r="B207" s="226" t="s">
        <v>124</v>
      </c>
      <c r="C207" s="26" t="str">
        <f t="shared" si="4"/>
        <v/>
      </c>
      <c r="D207" s="53" t="str">
        <f>IF(Data!F202="","",Data!F202)</f>
        <v/>
      </c>
      <c r="E207" s="92" t="str">
        <f>IF(Data!H202="","",Data!H202)</f>
        <v/>
      </c>
      <c r="F207" s="54" t="str">
        <f>IF(Data!I202="","",Data!I202)</f>
        <v/>
      </c>
      <c r="G207" s="110"/>
      <c r="H207" s="111"/>
      <c r="I207" s="117"/>
      <c r="J207" s="117"/>
      <c r="K207" s="117"/>
      <c r="L207" s="117"/>
      <c r="M207" s="117"/>
      <c r="N207" s="118"/>
      <c r="O207" s="112"/>
      <c r="P207" s="115"/>
      <c r="Q207" s="115"/>
      <c r="R207" s="114"/>
      <c r="S207" s="114"/>
      <c r="T207" s="115"/>
      <c r="U207" s="116"/>
      <c r="V207" s="112"/>
      <c r="W207" s="217"/>
      <c r="X207" s="217"/>
      <c r="Y207" s="217"/>
      <c r="Z207" s="1"/>
      <c r="AA207" s="1"/>
      <c r="AB207" s="12"/>
      <c r="AC207" s="12"/>
    </row>
    <row r="208" spans="2:29" ht="24.9" customHeight="1" x14ac:dyDescent="0.3">
      <c r="B208" s="226" t="s">
        <v>124</v>
      </c>
      <c r="C208" s="26" t="str">
        <f t="shared" si="4"/>
        <v/>
      </c>
      <c r="D208" s="53" t="str">
        <f>IF(Data!F203="","",Data!F203)</f>
        <v/>
      </c>
      <c r="E208" s="92" t="str">
        <f>IF(Data!H203="","",Data!H203)</f>
        <v/>
      </c>
      <c r="F208" s="54" t="str">
        <f>IF(Data!I203="","",Data!I203)</f>
        <v/>
      </c>
      <c r="G208" s="110"/>
      <c r="H208" s="111"/>
      <c r="I208" s="117"/>
      <c r="J208" s="117"/>
      <c r="K208" s="117"/>
      <c r="L208" s="117"/>
      <c r="M208" s="117"/>
      <c r="N208" s="118"/>
      <c r="O208" s="112"/>
      <c r="P208" s="115"/>
      <c r="Q208" s="115"/>
      <c r="R208" s="114"/>
      <c r="S208" s="114"/>
      <c r="T208" s="115"/>
      <c r="U208" s="116"/>
      <c r="V208" s="112"/>
      <c r="W208" s="217"/>
      <c r="X208" s="217"/>
      <c r="Y208" s="217"/>
      <c r="Z208" s="1"/>
      <c r="AA208" s="1"/>
      <c r="AB208" s="12"/>
      <c r="AC208" s="12"/>
    </row>
    <row r="209" spans="2:29" ht="24.9" customHeight="1" x14ac:dyDescent="0.3">
      <c r="B209" s="226" t="s">
        <v>124</v>
      </c>
      <c r="C209" s="26" t="str">
        <f t="shared" si="4"/>
        <v/>
      </c>
      <c r="D209" s="53" t="str">
        <f>IF(Data!F204="","",Data!F204)</f>
        <v/>
      </c>
      <c r="E209" s="92" t="str">
        <f>IF(Data!H204="","",Data!H204)</f>
        <v/>
      </c>
      <c r="F209" s="54" t="str">
        <f>IF(Data!I204="","",Data!I204)</f>
        <v/>
      </c>
      <c r="G209" s="110"/>
      <c r="H209" s="111"/>
      <c r="I209" s="117"/>
      <c r="J209" s="117"/>
      <c r="K209" s="117"/>
      <c r="L209" s="117"/>
      <c r="M209" s="117"/>
      <c r="N209" s="118"/>
      <c r="O209" s="112"/>
      <c r="P209" s="115"/>
      <c r="Q209" s="115"/>
      <c r="R209" s="114"/>
      <c r="S209" s="114"/>
      <c r="T209" s="115"/>
      <c r="U209" s="116"/>
      <c r="V209" s="112"/>
      <c r="W209" s="217"/>
      <c r="X209" s="217"/>
      <c r="Y209" s="217"/>
      <c r="Z209" s="1"/>
      <c r="AA209" s="1"/>
      <c r="AB209" s="12"/>
      <c r="AC209" s="12"/>
    </row>
    <row r="210" spans="2:29" ht="24.9" customHeight="1" x14ac:dyDescent="0.3">
      <c r="B210" s="226" t="s">
        <v>124</v>
      </c>
      <c r="C210" s="26" t="e">
        <f t="shared" si="4"/>
        <v>#VALUE!</v>
      </c>
      <c r="D210" s="53" t="str">
        <f>IF(Data!F205="","",Data!F205)</f>
        <v>03627</v>
      </c>
      <c r="E210" s="92" t="str">
        <f>IF(Data!H205="","",Data!H205)</f>
        <v>Afica Az-Zahra Kalila Bilqis</v>
      </c>
      <c r="F210" s="54" t="str">
        <f>IF(Data!I205="","",Data!I205)</f>
        <v>Perempuan</v>
      </c>
      <c r="G210" s="110"/>
      <c r="H210" s="111"/>
      <c r="I210" s="117"/>
      <c r="J210" s="117"/>
      <c r="K210" s="117"/>
      <c r="L210" s="117"/>
      <c r="M210" s="117"/>
      <c r="N210" s="118"/>
      <c r="O210" s="112"/>
      <c r="P210" s="115"/>
      <c r="Q210" s="115"/>
      <c r="R210" s="114"/>
      <c r="S210" s="114"/>
      <c r="T210" s="115"/>
      <c r="U210" s="116"/>
      <c r="V210" s="112"/>
      <c r="W210" s="217"/>
      <c r="X210" s="217"/>
      <c r="Y210" s="217"/>
      <c r="Z210" s="1"/>
      <c r="AA210" s="1"/>
      <c r="AB210" s="12"/>
      <c r="AC210" s="12"/>
    </row>
    <row r="211" spans="2:29" ht="24.9" customHeight="1" x14ac:dyDescent="0.3">
      <c r="B211" s="226" t="s">
        <v>124</v>
      </c>
      <c r="C211" s="26" t="e">
        <f t="shared" si="4"/>
        <v>#VALUE!</v>
      </c>
      <c r="D211" s="53" t="str">
        <f>IF(Data!F206="","",Data!F206)</f>
        <v>03628</v>
      </c>
      <c r="E211" s="92" t="str">
        <f>IF(Data!H206="","",Data!H206)</f>
        <v>Afika Cahaya Anggraini</v>
      </c>
      <c r="F211" s="54" t="str">
        <f>IF(Data!I206="","",Data!I206)</f>
        <v>Perempuan</v>
      </c>
      <c r="G211" s="110"/>
      <c r="H211" s="111"/>
      <c r="I211" s="117"/>
      <c r="J211" s="117"/>
      <c r="K211" s="117"/>
      <c r="L211" s="117"/>
      <c r="M211" s="117"/>
      <c r="N211" s="118"/>
      <c r="O211" s="112"/>
      <c r="P211" s="115"/>
      <c r="Q211" s="115"/>
      <c r="R211" s="114"/>
      <c r="S211" s="114"/>
      <c r="T211" s="115"/>
      <c r="U211" s="116"/>
      <c r="V211" s="112"/>
      <c r="W211" s="217"/>
      <c r="X211" s="217"/>
      <c r="Y211" s="217"/>
      <c r="Z211" s="1"/>
      <c r="AA211" s="1"/>
      <c r="AB211" s="12"/>
      <c r="AC211" s="12"/>
    </row>
    <row r="212" spans="2:29" ht="24.9" customHeight="1" x14ac:dyDescent="0.3">
      <c r="B212" s="226" t="s">
        <v>124</v>
      </c>
      <c r="C212" s="26" t="e">
        <f t="shared" si="4"/>
        <v>#VALUE!</v>
      </c>
      <c r="D212" s="53" t="str">
        <f>IF(Data!F207="","",Data!F207)</f>
        <v>03631</v>
      </c>
      <c r="E212" s="92" t="str">
        <f>IF(Data!H207="","",Data!H207)</f>
        <v>Amanda Kurnia Nur Afifah</v>
      </c>
      <c r="F212" s="54" t="str">
        <f>IF(Data!I207="","",Data!I207)</f>
        <v>Perempuan</v>
      </c>
      <c r="G212" s="110"/>
      <c r="H212" s="111"/>
      <c r="I212" s="117"/>
      <c r="J212" s="117"/>
      <c r="K212" s="117"/>
      <c r="L212" s="117"/>
      <c r="M212" s="117"/>
      <c r="N212" s="118"/>
      <c r="O212" s="112"/>
      <c r="P212" s="115"/>
      <c r="Q212" s="115"/>
      <c r="R212" s="114"/>
      <c r="S212" s="114"/>
      <c r="T212" s="115"/>
      <c r="U212" s="116"/>
      <c r="V212" s="112"/>
      <c r="W212" s="217"/>
      <c r="X212" s="217"/>
      <c r="Y212" s="217"/>
      <c r="Z212" s="1"/>
      <c r="AA212" s="1"/>
      <c r="AB212" s="12"/>
      <c r="AC212" s="12"/>
    </row>
    <row r="213" spans="2:29" ht="24.9" customHeight="1" x14ac:dyDescent="0.3">
      <c r="B213" s="226" t="s">
        <v>124</v>
      </c>
      <c r="C213" s="26" t="e">
        <f t="shared" si="4"/>
        <v>#VALUE!</v>
      </c>
      <c r="D213" s="53" t="str">
        <f>IF(Data!F208="","",Data!F208)</f>
        <v>03634</v>
      </c>
      <c r="E213" s="92" t="str">
        <f>IF(Data!H208="","",Data!H208)</f>
        <v>Anna Ollivia</v>
      </c>
      <c r="F213" s="54" t="str">
        <f>IF(Data!I208="","",Data!I208)</f>
        <v>Perempuan</v>
      </c>
      <c r="G213" s="110"/>
      <c r="H213" s="111"/>
      <c r="I213" s="117"/>
      <c r="J213" s="117"/>
      <c r="K213" s="117"/>
      <c r="L213" s="117"/>
      <c r="M213" s="117"/>
      <c r="N213" s="118"/>
      <c r="O213" s="112"/>
      <c r="P213" s="115"/>
      <c r="Q213" s="115"/>
      <c r="R213" s="114"/>
      <c r="S213" s="114"/>
      <c r="T213" s="115"/>
      <c r="U213" s="116"/>
      <c r="V213" s="112"/>
      <c r="W213" s="217"/>
      <c r="X213" s="217"/>
      <c r="Y213" s="217"/>
      <c r="Z213" s="1"/>
      <c r="AA213" s="1"/>
      <c r="AB213" s="12"/>
      <c r="AC213" s="12"/>
    </row>
    <row r="214" spans="2:29" ht="24.9" customHeight="1" x14ac:dyDescent="0.3">
      <c r="B214" s="226" t="s">
        <v>124</v>
      </c>
      <c r="C214" s="26" t="e">
        <f t="shared" si="4"/>
        <v>#VALUE!</v>
      </c>
      <c r="D214" s="53" t="str">
        <f>IF(Data!F209="","",Data!F209)</f>
        <v>03637</v>
      </c>
      <c r="E214" s="92" t="str">
        <f>IF(Data!H209="","",Data!H209)</f>
        <v>Aqilatus Syahiro</v>
      </c>
      <c r="F214" s="54" t="str">
        <f>IF(Data!I209="","",Data!I209)</f>
        <v>Perempuan</v>
      </c>
      <c r="G214" s="110"/>
      <c r="H214" s="111"/>
      <c r="I214" s="117"/>
      <c r="J214" s="117"/>
      <c r="K214" s="117"/>
      <c r="L214" s="117"/>
      <c r="M214" s="117"/>
      <c r="N214" s="118"/>
      <c r="O214" s="112"/>
      <c r="P214" s="115"/>
      <c r="Q214" s="115"/>
      <c r="R214" s="114"/>
      <c r="S214" s="114"/>
      <c r="T214" s="115"/>
      <c r="U214" s="116"/>
      <c r="V214" s="112"/>
      <c r="W214" s="217"/>
      <c r="X214" s="217"/>
      <c r="Y214" s="217"/>
      <c r="Z214" s="1"/>
      <c r="AA214" s="1"/>
      <c r="AB214" s="12"/>
      <c r="AC214" s="12"/>
    </row>
    <row r="215" spans="2:29" ht="24.9" customHeight="1" x14ac:dyDescent="0.3">
      <c r="B215" s="226" t="s">
        <v>124</v>
      </c>
      <c r="C215" s="26" t="e">
        <f t="shared" si="4"/>
        <v>#VALUE!</v>
      </c>
      <c r="D215" s="53" t="str">
        <f>IF(Data!F210="","",Data!F210)</f>
        <v>03638</v>
      </c>
      <c r="E215" s="92" t="str">
        <f>IF(Data!H210="","",Data!H210)</f>
        <v>Ardian Pramesti Regita Cahyani</v>
      </c>
      <c r="F215" s="54" t="str">
        <f>IF(Data!I210="","",Data!I210)</f>
        <v>Perempuan</v>
      </c>
      <c r="G215" s="110"/>
      <c r="H215" s="111"/>
      <c r="I215" s="117"/>
      <c r="J215" s="117"/>
      <c r="K215" s="117"/>
      <c r="L215" s="117"/>
      <c r="M215" s="117"/>
      <c r="N215" s="118"/>
      <c r="O215" s="112"/>
      <c r="P215" s="115"/>
      <c r="Q215" s="115"/>
      <c r="R215" s="114"/>
      <c r="S215" s="114"/>
      <c r="T215" s="115"/>
      <c r="U215" s="116"/>
      <c r="V215" s="112"/>
      <c r="W215" s="217"/>
      <c r="X215" s="217"/>
      <c r="Y215" s="217"/>
      <c r="Z215" s="1"/>
      <c r="AA215" s="1"/>
      <c r="AB215" s="12"/>
      <c r="AC215" s="12"/>
    </row>
    <row r="216" spans="2:29" ht="24.9" customHeight="1" x14ac:dyDescent="0.3">
      <c r="B216" s="226" t="s">
        <v>124</v>
      </c>
      <c r="C216" s="26" t="e">
        <f t="shared" si="4"/>
        <v>#VALUE!</v>
      </c>
      <c r="D216" s="53" t="str">
        <f>IF(Data!F211="","",Data!F211)</f>
        <v>03652</v>
      </c>
      <c r="E216" s="92" t="str">
        <f>IF(Data!H211="","",Data!H211)</f>
        <v>Chika Ramadhani Nur Khomariyah</v>
      </c>
      <c r="F216" s="54" t="str">
        <f>IF(Data!I211="","",Data!I211)</f>
        <v>Perempuan</v>
      </c>
      <c r="G216" s="110"/>
      <c r="H216" s="111"/>
      <c r="I216" s="117"/>
      <c r="J216" s="117"/>
      <c r="K216" s="117"/>
      <c r="L216" s="117"/>
      <c r="M216" s="117"/>
      <c r="N216" s="118"/>
      <c r="O216" s="112"/>
      <c r="P216" s="115"/>
      <c r="Q216" s="115"/>
      <c r="R216" s="114"/>
      <c r="S216" s="114"/>
      <c r="T216" s="115"/>
      <c r="U216" s="116"/>
      <c r="V216" s="112"/>
      <c r="W216" s="217"/>
      <c r="X216" s="217"/>
      <c r="Y216" s="217"/>
      <c r="Z216" s="1"/>
      <c r="AA216" s="1"/>
      <c r="AB216" s="12"/>
      <c r="AC216" s="12"/>
    </row>
    <row r="217" spans="2:29" ht="24.9" customHeight="1" x14ac:dyDescent="0.3">
      <c r="B217" s="226" t="s">
        <v>124</v>
      </c>
      <c r="C217" s="26" t="e">
        <f t="shared" si="4"/>
        <v>#VALUE!</v>
      </c>
      <c r="D217" s="53" t="str">
        <f>IF(Data!F212="","",Data!F212)</f>
        <v>03665</v>
      </c>
      <c r="E217" s="92" t="str">
        <f>IF(Data!H212="","",Data!H212)</f>
        <v>Dwi Astutik</v>
      </c>
      <c r="F217" s="54" t="str">
        <f>IF(Data!I212="","",Data!I212)</f>
        <v>Perempuan</v>
      </c>
      <c r="G217" s="110"/>
      <c r="H217" s="111"/>
      <c r="I217" s="117"/>
      <c r="J217" s="117"/>
      <c r="K217" s="117"/>
      <c r="L217" s="117"/>
      <c r="M217" s="117"/>
      <c r="N217" s="118"/>
      <c r="O217" s="112"/>
      <c r="P217" s="115"/>
      <c r="Q217" s="115"/>
      <c r="R217" s="114"/>
      <c r="S217" s="114"/>
      <c r="T217" s="115"/>
      <c r="U217" s="116"/>
      <c r="V217" s="112"/>
      <c r="W217" s="217"/>
      <c r="X217" s="217"/>
      <c r="Y217" s="217"/>
      <c r="Z217" s="1"/>
      <c r="AA217" s="1"/>
      <c r="AB217" s="12"/>
      <c r="AC217" s="12"/>
    </row>
    <row r="218" spans="2:29" ht="24.9" customHeight="1" x14ac:dyDescent="0.3">
      <c r="B218" s="226" t="s">
        <v>124</v>
      </c>
      <c r="C218" s="26" t="e">
        <f t="shared" si="4"/>
        <v>#VALUE!</v>
      </c>
      <c r="D218" s="53" t="str">
        <f>IF(Data!F213="","",Data!F213)</f>
        <v>03669</v>
      </c>
      <c r="E218" s="92" t="str">
        <f>IF(Data!H213="","",Data!H213)</f>
        <v>Fatimatuz Zahro Fina Ramadani</v>
      </c>
      <c r="F218" s="54" t="str">
        <f>IF(Data!I213="","",Data!I213)</f>
        <v>Perempuan</v>
      </c>
      <c r="G218" s="110"/>
      <c r="H218" s="111"/>
      <c r="I218" s="117"/>
      <c r="J218" s="117"/>
      <c r="K218" s="117"/>
      <c r="L218" s="117"/>
      <c r="M218" s="117"/>
      <c r="N218" s="118"/>
      <c r="O218" s="112"/>
      <c r="P218" s="115"/>
      <c r="Q218" s="115"/>
      <c r="R218" s="114"/>
      <c r="S218" s="114"/>
      <c r="T218" s="115"/>
      <c r="U218" s="116"/>
      <c r="V218" s="112"/>
      <c r="W218" s="217"/>
      <c r="X218" s="217"/>
      <c r="Y218" s="217"/>
      <c r="Z218" s="1"/>
      <c r="AA218" s="1"/>
      <c r="AB218" s="12"/>
      <c r="AC218" s="12"/>
    </row>
    <row r="219" spans="2:29" ht="24.9" customHeight="1" x14ac:dyDescent="0.3">
      <c r="B219" s="226" t="s">
        <v>124</v>
      </c>
      <c r="C219" s="26" t="e">
        <f t="shared" si="4"/>
        <v>#VALUE!</v>
      </c>
      <c r="D219" s="53" t="str">
        <f>IF(Data!F214="","",Data!F214)</f>
        <v>03674</v>
      </c>
      <c r="E219" s="92" t="str">
        <f>IF(Data!H214="","",Data!H214)</f>
        <v>Hikmatul Aulya</v>
      </c>
      <c r="F219" s="54" t="str">
        <f>IF(Data!I214="","",Data!I214)</f>
        <v>Perempuan</v>
      </c>
      <c r="G219" s="110"/>
      <c r="H219" s="111"/>
      <c r="I219" s="117"/>
      <c r="J219" s="117"/>
      <c r="K219" s="117"/>
      <c r="L219" s="117"/>
      <c r="M219" s="117"/>
      <c r="N219" s="118"/>
      <c r="O219" s="112"/>
      <c r="P219" s="115"/>
      <c r="Q219" s="115"/>
      <c r="R219" s="114"/>
      <c r="S219" s="114"/>
      <c r="T219" s="115"/>
      <c r="U219" s="116"/>
      <c r="V219" s="112"/>
      <c r="W219" s="217"/>
      <c r="X219" s="217"/>
      <c r="Y219" s="217"/>
      <c r="Z219" s="1"/>
      <c r="AA219" s="1"/>
      <c r="AB219" s="12"/>
      <c r="AC219" s="12"/>
    </row>
    <row r="220" spans="2:29" ht="24.9" customHeight="1" x14ac:dyDescent="0.3">
      <c r="B220" s="226" t="s">
        <v>124</v>
      </c>
      <c r="C220" s="26" t="e">
        <f t="shared" si="4"/>
        <v>#VALUE!</v>
      </c>
      <c r="D220" s="53" t="str">
        <f>IF(Data!F215="","",Data!F215)</f>
        <v>03682</v>
      </c>
      <c r="E220" s="92" t="str">
        <f>IF(Data!H215="","",Data!H215)</f>
        <v>Kenes Zenobia Rahmawan</v>
      </c>
      <c r="F220" s="54" t="str">
        <f>IF(Data!I215="","",Data!I215)</f>
        <v>Perempuan</v>
      </c>
      <c r="G220" s="110"/>
      <c r="H220" s="111"/>
      <c r="I220" s="117"/>
      <c r="J220" s="117"/>
      <c r="K220" s="117"/>
      <c r="L220" s="117"/>
      <c r="M220" s="117"/>
      <c r="N220" s="118"/>
      <c r="O220" s="112"/>
      <c r="P220" s="115"/>
      <c r="Q220" s="115"/>
      <c r="R220" s="114"/>
      <c r="S220" s="114"/>
      <c r="T220" s="115"/>
      <c r="U220" s="116"/>
      <c r="V220" s="112"/>
      <c r="W220" s="217"/>
      <c r="X220" s="217"/>
      <c r="Y220" s="217"/>
      <c r="Z220" s="1"/>
      <c r="AA220" s="1"/>
      <c r="AB220" s="12"/>
      <c r="AC220" s="12"/>
    </row>
    <row r="221" spans="2:29" ht="24.9" customHeight="1" x14ac:dyDescent="0.3">
      <c r="B221" s="226" t="s">
        <v>124</v>
      </c>
      <c r="C221" s="26" t="e">
        <f t="shared" si="4"/>
        <v>#VALUE!</v>
      </c>
      <c r="D221" s="53" t="str">
        <f>IF(Data!F216="","",Data!F216)</f>
        <v>03684</v>
      </c>
      <c r="E221" s="92" t="str">
        <f>IF(Data!H216="","",Data!H216)</f>
        <v>Kheina Nadia Rahmania</v>
      </c>
      <c r="F221" s="54" t="str">
        <f>IF(Data!I216="","",Data!I216)</f>
        <v>Perempuan</v>
      </c>
      <c r="G221" s="110"/>
      <c r="H221" s="111"/>
      <c r="I221" s="117"/>
      <c r="J221" s="117"/>
      <c r="K221" s="117"/>
      <c r="L221" s="117"/>
      <c r="M221" s="117"/>
      <c r="N221" s="118"/>
      <c r="O221" s="112"/>
      <c r="P221" s="115"/>
      <c r="Q221" s="115"/>
      <c r="R221" s="114"/>
      <c r="S221" s="114"/>
      <c r="T221" s="115"/>
      <c r="U221" s="116"/>
      <c r="V221" s="112"/>
      <c r="W221" s="217"/>
      <c r="X221" s="217"/>
      <c r="Y221" s="217"/>
      <c r="Z221" s="1"/>
      <c r="AA221" s="1"/>
      <c r="AB221" s="12"/>
      <c r="AC221" s="12"/>
    </row>
    <row r="222" spans="2:29" ht="24.9" customHeight="1" x14ac:dyDescent="0.3">
      <c r="B222" s="226" t="s">
        <v>124</v>
      </c>
      <c r="C222" s="26" t="e">
        <f t="shared" si="4"/>
        <v>#VALUE!</v>
      </c>
      <c r="D222" s="53" t="str">
        <f>IF(Data!F217="","",Data!F217)</f>
        <v>03686</v>
      </c>
      <c r="E222" s="92" t="str">
        <f>IF(Data!H217="","",Data!H217)</f>
        <v>Kholishotul Mahmudah</v>
      </c>
      <c r="F222" s="54" t="str">
        <f>IF(Data!I217="","",Data!I217)</f>
        <v>Perempuan</v>
      </c>
      <c r="G222" s="110"/>
      <c r="H222" s="111"/>
      <c r="I222" s="117"/>
      <c r="J222" s="117"/>
      <c r="K222" s="117"/>
      <c r="L222" s="117"/>
      <c r="M222" s="117"/>
      <c r="N222" s="118"/>
      <c r="O222" s="112"/>
      <c r="P222" s="115"/>
      <c r="Q222" s="115"/>
      <c r="R222" s="114"/>
      <c r="S222" s="114"/>
      <c r="T222" s="115"/>
      <c r="U222" s="116"/>
      <c r="V222" s="112"/>
      <c r="W222" s="217"/>
      <c r="X222" s="217"/>
      <c r="Y222" s="217"/>
      <c r="Z222" s="1"/>
      <c r="AA222" s="1"/>
      <c r="AB222" s="12"/>
      <c r="AC222" s="12"/>
    </row>
    <row r="223" spans="2:29" ht="24.9" customHeight="1" x14ac:dyDescent="0.3">
      <c r="B223" s="226" t="s">
        <v>124</v>
      </c>
      <c r="C223" s="26" t="e">
        <f t="shared" si="4"/>
        <v>#VALUE!</v>
      </c>
      <c r="D223" s="53" t="str">
        <f>IF(Data!F218="","",Data!F218)</f>
        <v>03689</v>
      </c>
      <c r="E223" s="92" t="str">
        <f>IF(Data!H218="","",Data!H218)</f>
        <v>Laylatul Nurjana</v>
      </c>
      <c r="F223" s="54" t="str">
        <f>IF(Data!I218="","",Data!I218)</f>
        <v>Perempuan</v>
      </c>
      <c r="G223" s="110"/>
      <c r="H223" s="111"/>
      <c r="I223" s="117"/>
      <c r="J223" s="117"/>
      <c r="K223" s="117"/>
      <c r="L223" s="117"/>
      <c r="M223" s="117"/>
      <c r="N223" s="118"/>
      <c r="O223" s="112"/>
      <c r="P223" s="115"/>
      <c r="Q223" s="115"/>
      <c r="R223" s="114"/>
      <c r="S223" s="114"/>
      <c r="T223" s="115"/>
      <c r="U223" s="116"/>
      <c r="V223" s="112"/>
      <c r="W223" s="217"/>
      <c r="X223" s="217"/>
      <c r="Y223" s="217"/>
      <c r="Z223" s="1"/>
      <c r="AA223" s="1"/>
      <c r="AB223" s="12"/>
      <c r="AC223" s="12"/>
    </row>
    <row r="224" spans="2:29" ht="24.9" customHeight="1" x14ac:dyDescent="0.3">
      <c r="B224" s="226" t="s">
        <v>124</v>
      </c>
      <c r="C224" s="26" t="e">
        <f t="shared" si="4"/>
        <v>#VALUE!</v>
      </c>
      <c r="D224" s="53" t="str">
        <f>IF(Data!F219="","",Data!F219)</f>
        <v>03700</v>
      </c>
      <c r="E224" s="92" t="str">
        <f>IF(Data!H219="","",Data!H219)</f>
        <v>Nadhira Rahma Fitriyana</v>
      </c>
      <c r="F224" s="54" t="str">
        <f>IF(Data!I219="","",Data!I219)</f>
        <v>Perempuan</v>
      </c>
      <c r="G224" s="110"/>
      <c r="H224" s="111"/>
      <c r="I224" s="117"/>
      <c r="J224" s="117"/>
      <c r="K224" s="117"/>
      <c r="L224" s="117"/>
      <c r="M224" s="117"/>
      <c r="N224" s="118"/>
      <c r="O224" s="112"/>
      <c r="P224" s="115"/>
      <c r="Q224" s="115"/>
      <c r="R224" s="114"/>
      <c r="S224" s="114"/>
      <c r="T224" s="115"/>
      <c r="U224" s="116"/>
      <c r="V224" s="112"/>
      <c r="W224" s="217"/>
      <c r="X224" s="217"/>
      <c r="Y224" s="217"/>
      <c r="Z224" s="1"/>
      <c r="AA224" s="1"/>
      <c r="AB224" s="12"/>
      <c r="AC224" s="12"/>
    </row>
    <row r="225" spans="2:29" ht="24.9" customHeight="1" x14ac:dyDescent="0.3">
      <c r="B225" s="226" t="s">
        <v>124</v>
      </c>
      <c r="C225" s="26" t="e">
        <f t="shared" si="4"/>
        <v>#VALUE!</v>
      </c>
      <c r="D225" s="53" t="str">
        <f>IF(Data!F220="","",Data!F220)</f>
        <v>03701</v>
      </c>
      <c r="E225" s="92" t="str">
        <f>IF(Data!H220="","",Data!H220)</f>
        <v>Nadila Ayu Febryana Putrianata</v>
      </c>
      <c r="F225" s="54" t="str">
        <f>IF(Data!I220="","",Data!I220)</f>
        <v>Perempuan</v>
      </c>
      <c r="G225" s="110"/>
      <c r="H225" s="111"/>
      <c r="I225" s="117"/>
      <c r="J225" s="117"/>
      <c r="K225" s="117"/>
      <c r="L225" s="117"/>
      <c r="M225" s="117"/>
      <c r="N225" s="118"/>
      <c r="O225" s="112"/>
      <c r="P225" s="115"/>
      <c r="Q225" s="115"/>
      <c r="R225" s="114"/>
      <c r="S225" s="114"/>
      <c r="T225" s="115"/>
      <c r="U225" s="116"/>
      <c r="V225" s="112"/>
      <c r="W225" s="217"/>
      <c r="X225" s="217"/>
      <c r="Y225" s="217"/>
      <c r="Z225" s="1"/>
      <c r="AA225" s="1"/>
      <c r="AB225" s="12"/>
      <c r="AC225" s="12"/>
    </row>
    <row r="226" spans="2:29" ht="24.9" customHeight="1" x14ac:dyDescent="0.3">
      <c r="B226" s="226" t="s">
        <v>125</v>
      </c>
      <c r="C226" s="26">
        <v>1</v>
      </c>
      <c r="D226" s="53" t="str">
        <f>IF(Data!F221="","",Data!F221)</f>
        <v>03703</v>
      </c>
      <c r="E226" s="92" t="str">
        <f>IF(Data!H221="","",Data!H221)</f>
        <v>Nailatul Rijciya</v>
      </c>
      <c r="F226" s="54" t="str">
        <f>IF(Data!I221="","",Data!I221)</f>
        <v>Perempuan</v>
      </c>
      <c r="G226" s="110"/>
      <c r="H226" s="111"/>
      <c r="I226" s="117"/>
      <c r="J226" s="117"/>
      <c r="K226" s="117"/>
      <c r="L226" s="117"/>
      <c r="M226" s="117"/>
      <c r="N226" s="118"/>
      <c r="O226" s="112"/>
      <c r="P226" s="115"/>
      <c r="Q226" s="115"/>
      <c r="R226" s="114"/>
      <c r="S226" s="114"/>
      <c r="T226" s="115"/>
      <c r="U226" s="116"/>
      <c r="V226" s="112"/>
      <c r="W226" s="217"/>
      <c r="X226" s="217"/>
      <c r="Y226" s="217"/>
      <c r="Z226" s="1"/>
      <c r="AA226" s="1"/>
      <c r="AB226" s="12"/>
      <c r="AC226" s="12"/>
    </row>
    <row r="227" spans="2:29" ht="24.9" customHeight="1" x14ac:dyDescent="0.3">
      <c r="B227" s="226" t="s">
        <v>125</v>
      </c>
      <c r="C227" s="26">
        <f t="shared" si="4"/>
        <v>2</v>
      </c>
      <c r="D227" s="53" t="str">
        <f>IF(Data!F222="","",Data!F222)</f>
        <v>03704</v>
      </c>
      <c r="E227" s="92" t="str">
        <f>IF(Data!H222="","",Data!H222)</f>
        <v>Najwa Asyila Salsabila</v>
      </c>
      <c r="F227" s="54" t="str">
        <f>IF(Data!I222="","",Data!I222)</f>
        <v>Perempuan</v>
      </c>
      <c r="G227" s="110"/>
      <c r="H227" s="111"/>
      <c r="I227" s="117"/>
      <c r="J227" s="117"/>
      <c r="K227" s="117"/>
      <c r="L227" s="117"/>
      <c r="M227" s="117"/>
      <c r="N227" s="118"/>
      <c r="O227" s="112"/>
      <c r="P227" s="115"/>
      <c r="Q227" s="115"/>
      <c r="R227" s="114"/>
      <c r="S227" s="114"/>
      <c r="T227" s="115"/>
      <c r="U227" s="116"/>
      <c r="V227" s="112"/>
      <c r="W227" s="217"/>
      <c r="X227" s="217"/>
      <c r="Y227" s="217"/>
      <c r="Z227" s="1"/>
      <c r="AA227" s="1"/>
      <c r="AB227" s="12"/>
      <c r="AC227" s="12"/>
    </row>
    <row r="228" spans="2:29" ht="24.9" customHeight="1" x14ac:dyDescent="0.3">
      <c r="B228" s="226" t="s">
        <v>125</v>
      </c>
      <c r="C228" s="26">
        <f t="shared" si="4"/>
        <v>3</v>
      </c>
      <c r="D228" s="53" t="str">
        <f>IF(Data!F223="","",Data!F223)</f>
        <v>03706</v>
      </c>
      <c r="E228" s="92" t="str">
        <f>IF(Data!H223="","",Data!H223)</f>
        <v>Natasya Elina Putri</v>
      </c>
      <c r="F228" s="54" t="str">
        <f>IF(Data!I223="","",Data!I223)</f>
        <v>Perempuan</v>
      </c>
      <c r="G228" s="110"/>
      <c r="H228" s="111"/>
      <c r="I228" s="117"/>
      <c r="J228" s="117"/>
      <c r="K228" s="117"/>
      <c r="L228" s="117"/>
      <c r="M228" s="117"/>
      <c r="N228" s="118"/>
      <c r="O228" s="112"/>
      <c r="P228" s="115"/>
      <c r="Q228" s="115"/>
      <c r="R228" s="114"/>
      <c r="S228" s="114"/>
      <c r="T228" s="115"/>
      <c r="U228" s="116"/>
      <c r="V228" s="112"/>
      <c r="W228" s="217"/>
      <c r="X228" s="217"/>
      <c r="Y228" s="217"/>
      <c r="Z228" s="1"/>
      <c r="AA228" s="1"/>
      <c r="AB228" s="12"/>
      <c r="AC228" s="12"/>
    </row>
    <row r="229" spans="2:29" ht="24.9" customHeight="1" x14ac:dyDescent="0.3">
      <c r="B229" s="226" t="s">
        <v>125</v>
      </c>
      <c r="C229" s="26">
        <f t="shared" si="4"/>
        <v>4</v>
      </c>
      <c r="D229" s="53" t="str">
        <f>IF(Data!F224="","",Data!F224)</f>
        <v>03712</v>
      </c>
      <c r="E229" s="92" t="str">
        <f>IF(Data!H224="","",Data!H224)</f>
        <v>Niken Maulia Ambarwati</v>
      </c>
      <c r="F229" s="54" t="str">
        <f>IF(Data!I224="","",Data!I224)</f>
        <v>Perempuan</v>
      </c>
      <c r="G229" s="110"/>
      <c r="H229" s="111"/>
      <c r="I229" s="117"/>
      <c r="J229" s="117"/>
      <c r="K229" s="117"/>
      <c r="L229" s="117"/>
      <c r="M229" s="117"/>
      <c r="N229" s="118"/>
      <c r="O229" s="112"/>
      <c r="P229" s="115"/>
      <c r="Q229" s="115"/>
      <c r="R229" s="114"/>
      <c r="S229" s="114"/>
      <c r="T229" s="115"/>
      <c r="U229" s="116"/>
      <c r="V229" s="112"/>
      <c r="W229" s="217"/>
      <c r="X229" s="217"/>
      <c r="Y229" s="217"/>
      <c r="Z229" s="1"/>
      <c r="AA229" s="1"/>
      <c r="AB229" s="12"/>
      <c r="AC229" s="12"/>
    </row>
    <row r="230" spans="2:29" ht="24.9" customHeight="1" x14ac:dyDescent="0.3">
      <c r="B230" s="226" t="s">
        <v>125</v>
      </c>
      <c r="C230" s="26">
        <f t="shared" si="4"/>
        <v>5</v>
      </c>
      <c r="D230" s="53" t="str">
        <f>IF(Data!F225="","",Data!F225)</f>
        <v>03715</v>
      </c>
      <c r="E230" s="92" t="str">
        <f>IF(Data!H225="","",Data!H225)</f>
        <v>Nuris Fatimatu Zahra</v>
      </c>
      <c r="F230" s="54" t="str">
        <f>IF(Data!I225="","",Data!I225)</f>
        <v>Perempuan</v>
      </c>
      <c r="G230" s="110"/>
      <c r="H230" s="111"/>
      <c r="I230" s="117"/>
      <c r="J230" s="117"/>
      <c r="K230" s="117"/>
      <c r="L230" s="117"/>
      <c r="M230" s="117"/>
      <c r="N230" s="118"/>
      <c r="O230" s="112"/>
      <c r="P230" s="115"/>
      <c r="Q230" s="115"/>
      <c r="R230" s="114"/>
      <c r="S230" s="114"/>
      <c r="T230" s="115"/>
      <c r="U230" s="116"/>
      <c r="V230" s="112"/>
      <c r="W230" s="217"/>
      <c r="X230" s="217"/>
      <c r="Y230" s="217"/>
      <c r="Z230" s="1"/>
      <c r="AA230" s="1"/>
      <c r="AB230" s="12"/>
      <c r="AC230" s="12"/>
    </row>
    <row r="231" spans="2:29" ht="24.9" customHeight="1" x14ac:dyDescent="0.3">
      <c r="B231" s="226" t="s">
        <v>125</v>
      </c>
      <c r="C231" s="26">
        <f t="shared" si="4"/>
        <v>6</v>
      </c>
      <c r="D231" s="53" t="str">
        <f>IF(Data!F226="","",Data!F226)</f>
        <v>03717</v>
      </c>
      <c r="E231" s="92" t="str">
        <f>IF(Data!H226="","",Data!H226)</f>
        <v>Rianti Yomi Dwi Admaja</v>
      </c>
      <c r="F231" s="54" t="str">
        <f>IF(Data!I226="","",Data!I226)</f>
        <v>Perempuan</v>
      </c>
      <c r="G231" s="110"/>
      <c r="H231" s="111"/>
      <c r="I231" s="117"/>
      <c r="J231" s="117"/>
      <c r="K231" s="117"/>
      <c r="L231" s="117"/>
      <c r="M231" s="117"/>
      <c r="N231" s="118"/>
      <c r="O231" s="112"/>
      <c r="P231" s="115"/>
      <c r="Q231" s="115"/>
      <c r="R231" s="114"/>
      <c r="S231" s="114"/>
      <c r="T231" s="115"/>
      <c r="U231" s="116"/>
      <c r="V231" s="112"/>
      <c r="W231" s="217"/>
      <c r="X231" s="217"/>
      <c r="Y231" s="217"/>
      <c r="Z231" s="1"/>
      <c r="AA231" s="1"/>
      <c r="AB231" s="12"/>
      <c r="AC231" s="12"/>
    </row>
    <row r="232" spans="2:29" ht="24.9" customHeight="1" x14ac:dyDescent="0.3">
      <c r="B232" s="226" t="s">
        <v>125</v>
      </c>
      <c r="C232" s="26">
        <f t="shared" si="4"/>
        <v>7</v>
      </c>
      <c r="D232" s="53" t="str">
        <f>IF(Data!F227="","",Data!F227)</f>
        <v>03718</v>
      </c>
      <c r="E232" s="92" t="str">
        <f>IF(Data!H227="","",Data!H227)</f>
        <v>Rosyidatul Marwa Nurin Najwa</v>
      </c>
      <c r="F232" s="54" t="str">
        <f>IF(Data!I227="","",Data!I227)</f>
        <v>Perempuan</v>
      </c>
      <c r="G232" s="110"/>
      <c r="H232" s="111"/>
      <c r="I232" s="117"/>
      <c r="J232" s="117"/>
      <c r="K232" s="117"/>
      <c r="L232" s="117"/>
      <c r="M232" s="117"/>
      <c r="N232" s="118"/>
      <c r="O232" s="112"/>
      <c r="P232" s="115"/>
      <c r="Q232" s="115"/>
      <c r="R232" s="114"/>
      <c r="S232" s="114"/>
      <c r="T232" s="115"/>
      <c r="U232" s="116"/>
      <c r="V232" s="112"/>
      <c r="W232" s="217"/>
      <c r="X232" s="217"/>
      <c r="Y232" s="217"/>
      <c r="Z232" s="1"/>
      <c r="AA232" s="1"/>
      <c r="AB232" s="12"/>
      <c r="AC232" s="12"/>
    </row>
    <row r="233" spans="2:29" ht="24.9" customHeight="1" x14ac:dyDescent="0.3">
      <c r="B233" s="226" t="s">
        <v>125</v>
      </c>
      <c r="C233" s="26">
        <f t="shared" si="4"/>
        <v>8</v>
      </c>
      <c r="D233" s="53" t="str">
        <f>IF(Data!F228="","",Data!F228)</f>
        <v>03722</v>
      </c>
      <c r="E233" s="92" t="str">
        <f>IF(Data!H228="","",Data!H228)</f>
        <v>Savira Dwi Anggraeny</v>
      </c>
      <c r="F233" s="54" t="str">
        <f>IF(Data!I228="","",Data!I228)</f>
        <v>Perempuan</v>
      </c>
      <c r="G233" s="110"/>
      <c r="H233" s="111"/>
      <c r="I233" s="117"/>
      <c r="J233" s="117"/>
      <c r="K233" s="117"/>
      <c r="L233" s="117"/>
      <c r="M233" s="117"/>
      <c r="N233" s="118"/>
      <c r="O233" s="112"/>
      <c r="P233" s="115"/>
      <c r="Q233" s="115"/>
      <c r="R233" s="114"/>
      <c r="S233" s="114"/>
      <c r="T233" s="115"/>
      <c r="U233" s="116"/>
      <c r="V233" s="112"/>
      <c r="W233" s="217"/>
      <c r="X233" s="217"/>
      <c r="Y233" s="217"/>
      <c r="Z233" s="1"/>
      <c r="AA233" s="1"/>
      <c r="AB233" s="12"/>
      <c r="AC233" s="12"/>
    </row>
    <row r="234" spans="2:29" ht="24.9" customHeight="1" x14ac:dyDescent="0.3">
      <c r="B234" s="226" t="s">
        <v>125</v>
      </c>
      <c r="C234" s="26">
        <f t="shared" si="4"/>
        <v>9</v>
      </c>
      <c r="D234" s="53" t="str">
        <f>IF(Data!F229="","",Data!F229)</f>
        <v>03723</v>
      </c>
      <c r="E234" s="92" t="str">
        <f>IF(Data!H229="","",Data!H229)</f>
        <v>Sekar Indriyani Saputra</v>
      </c>
      <c r="F234" s="54" t="str">
        <f>IF(Data!I229="","",Data!I229)</f>
        <v>Perempuan</v>
      </c>
      <c r="G234" s="110"/>
      <c r="H234" s="111"/>
      <c r="I234" s="117"/>
      <c r="J234" s="117"/>
      <c r="K234" s="117"/>
      <c r="L234" s="117"/>
      <c r="M234" s="117"/>
      <c r="N234" s="118"/>
      <c r="O234" s="112"/>
      <c r="P234" s="115"/>
      <c r="Q234" s="115"/>
      <c r="R234" s="114"/>
      <c r="S234" s="114"/>
      <c r="T234" s="115"/>
      <c r="U234" s="116"/>
      <c r="V234" s="112"/>
      <c r="W234" s="217"/>
      <c r="X234" s="217"/>
      <c r="Y234" s="217"/>
      <c r="Z234" s="1"/>
      <c r="AA234" s="1"/>
      <c r="AB234" s="12"/>
      <c r="AC234" s="12"/>
    </row>
    <row r="235" spans="2:29" ht="24.9" customHeight="1" x14ac:dyDescent="0.3">
      <c r="B235" s="226" t="s">
        <v>125</v>
      </c>
      <c r="C235" s="26">
        <f t="shared" si="4"/>
        <v>10</v>
      </c>
      <c r="D235" s="53" t="str">
        <f>IF(Data!F230="","",Data!F230)</f>
        <v>03726</v>
      </c>
      <c r="E235" s="92" t="str">
        <f>IF(Data!H230="","",Data!H230)</f>
        <v>Siti Eriana Erika Lailiyah</v>
      </c>
      <c r="F235" s="54" t="str">
        <f>IF(Data!I230="","",Data!I230)</f>
        <v>Perempuan</v>
      </c>
      <c r="G235" s="110"/>
      <c r="H235" s="111"/>
      <c r="I235" s="117"/>
      <c r="J235" s="117"/>
      <c r="K235" s="117"/>
      <c r="L235" s="117"/>
      <c r="M235" s="117"/>
      <c r="N235" s="118"/>
      <c r="O235" s="112"/>
      <c r="P235" s="115"/>
      <c r="Q235" s="115"/>
      <c r="R235" s="114"/>
      <c r="S235" s="114"/>
      <c r="T235" s="115"/>
      <c r="U235" s="116"/>
      <c r="V235" s="112"/>
      <c r="W235" s="217"/>
      <c r="X235" s="217"/>
      <c r="Y235" s="217"/>
      <c r="Z235" s="1"/>
      <c r="AA235" s="1"/>
      <c r="AB235" s="12"/>
      <c r="AC235" s="12"/>
    </row>
    <row r="236" spans="2:29" ht="24.9" customHeight="1" x14ac:dyDescent="0.3">
      <c r="B236" s="226" t="s">
        <v>125</v>
      </c>
      <c r="C236" s="26">
        <f t="shared" si="4"/>
        <v>11</v>
      </c>
      <c r="D236" s="53" t="str">
        <f>IF(Data!F231="","",Data!F231)</f>
        <v>03727</v>
      </c>
      <c r="E236" s="92" t="str">
        <f>IF(Data!H231="","",Data!H231)</f>
        <v>Siti Fatmawati</v>
      </c>
      <c r="F236" s="54" t="str">
        <f>IF(Data!I231="","",Data!I231)</f>
        <v>Perempuan</v>
      </c>
      <c r="G236" s="110"/>
      <c r="H236" s="111"/>
      <c r="I236" s="117"/>
      <c r="J236" s="117"/>
      <c r="K236" s="117"/>
      <c r="L236" s="117"/>
      <c r="M236" s="117"/>
      <c r="N236" s="118"/>
      <c r="O236" s="112"/>
      <c r="P236" s="115"/>
      <c r="Q236" s="115"/>
      <c r="R236" s="114"/>
      <c r="S236" s="114"/>
      <c r="T236" s="115"/>
      <c r="U236" s="116"/>
      <c r="V236" s="112"/>
      <c r="W236" s="217"/>
      <c r="X236" s="217"/>
      <c r="Y236" s="217"/>
      <c r="Z236" s="1"/>
      <c r="AA236" s="1"/>
      <c r="AB236" s="12"/>
      <c r="AC236" s="12"/>
    </row>
    <row r="237" spans="2:29" ht="24.9" customHeight="1" x14ac:dyDescent="0.3">
      <c r="B237" s="226" t="s">
        <v>125</v>
      </c>
      <c r="C237" s="26">
        <f t="shared" si="4"/>
        <v>12</v>
      </c>
      <c r="D237" s="53" t="str">
        <f>IF(Data!F232="","",Data!F232)</f>
        <v>03734</v>
      </c>
      <c r="E237" s="92" t="str">
        <f>IF(Data!H232="","",Data!H232)</f>
        <v>Syakira Novia Neysilla</v>
      </c>
      <c r="F237" s="54" t="str">
        <f>IF(Data!I232="","",Data!I232)</f>
        <v>Perempuan</v>
      </c>
      <c r="G237" s="110"/>
      <c r="H237" s="111"/>
      <c r="I237" s="117"/>
      <c r="J237" s="117"/>
      <c r="K237" s="117"/>
      <c r="L237" s="117"/>
      <c r="M237" s="117"/>
      <c r="N237" s="118"/>
      <c r="O237" s="112"/>
      <c r="P237" s="115"/>
      <c r="Q237" s="115"/>
      <c r="R237" s="114"/>
      <c r="S237" s="114"/>
      <c r="T237" s="115"/>
      <c r="U237" s="116"/>
      <c r="V237" s="112"/>
      <c r="W237" s="217"/>
      <c r="X237" s="217"/>
      <c r="Y237" s="217"/>
      <c r="Z237" s="1"/>
      <c r="AA237" s="1"/>
      <c r="AB237" s="12"/>
      <c r="AC237" s="12"/>
    </row>
    <row r="238" spans="2:29" ht="24.9" customHeight="1" x14ac:dyDescent="0.3">
      <c r="B238" s="226" t="s">
        <v>125</v>
      </c>
      <c r="C238" s="26">
        <f t="shared" si="4"/>
        <v>13</v>
      </c>
      <c r="D238" s="53" t="str">
        <f>IF(Data!F233="","",Data!F233)</f>
        <v>03740</v>
      </c>
      <c r="E238" s="92" t="str">
        <f>IF(Data!H233="","",Data!H233)</f>
        <v>Wafirotun Naja</v>
      </c>
      <c r="F238" s="54" t="str">
        <f>IF(Data!I233="","",Data!I233)</f>
        <v>Perempuan</v>
      </c>
      <c r="G238" s="110"/>
      <c r="H238" s="111"/>
      <c r="I238" s="117"/>
      <c r="J238" s="117"/>
      <c r="K238" s="117"/>
      <c r="L238" s="117"/>
      <c r="M238" s="117"/>
      <c r="N238" s="118"/>
      <c r="O238" s="112"/>
      <c r="P238" s="115"/>
      <c r="Q238" s="115"/>
      <c r="R238" s="114"/>
      <c r="S238" s="114"/>
      <c r="T238" s="115"/>
      <c r="U238" s="116"/>
      <c r="V238" s="112"/>
      <c r="W238" s="217"/>
      <c r="X238" s="217"/>
      <c r="Y238" s="217"/>
      <c r="Z238" s="1"/>
      <c r="AA238" s="1"/>
      <c r="AB238" s="12"/>
      <c r="AC238" s="12"/>
    </row>
    <row r="239" spans="2:29" ht="24.9" customHeight="1" x14ac:dyDescent="0.3">
      <c r="B239" s="226" t="s">
        <v>125</v>
      </c>
      <c r="C239" s="26">
        <f t="shared" si="4"/>
        <v>14</v>
      </c>
      <c r="D239" s="53" t="str">
        <f>IF(Data!F234="","",Data!F234)</f>
        <v>03748</v>
      </c>
      <c r="E239" s="92" t="str">
        <f>IF(Data!H234="","",Data!H234)</f>
        <v>Zakiya Nur Af'idah</v>
      </c>
      <c r="F239" s="54" t="str">
        <f>IF(Data!I234="","",Data!I234)</f>
        <v>Perempuan</v>
      </c>
      <c r="G239" s="110"/>
      <c r="H239" s="111"/>
      <c r="I239" s="117"/>
      <c r="J239" s="117"/>
      <c r="K239" s="117"/>
      <c r="L239" s="117"/>
      <c r="M239" s="117"/>
      <c r="N239" s="118"/>
      <c r="O239" s="112"/>
      <c r="P239" s="115"/>
      <c r="Q239" s="115"/>
      <c r="R239" s="114"/>
      <c r="S239" s="114"/>
      <c r="T239" s="115"/>
      <c r="U239" s="116"/>
      <c r="V239" s="112"/>
      <c r="W239" s="217"/>
      <c r="X239" s="217"/>
      <c r="Y239" s="217"/>
      <c r="Z239" s="1"/>
      <c r="AA239" s="1"/>
      <c r="AB239" s="12"/>
      <c r="AC239" s="12"/>
    </row>
    <row r="240" spans="2:29" ht="24.9" customHeight="1" x14ac:dyDescent="0.3">
      <c r="B240" s="226" t="s">
        <v>125</v>
      </c>
      <c r="C240" s="26">
        <f t="shared" si="4"/>
        <v>15</v>
      </c>
      <c r="D240" s="53" t="str">
        <f>IF(Data!F235="","",Data!F235)</f>
        <v>03749</v>
      </c>
      <c r="E240" s="92" t="str">
        <f>IF(Data!H235="","",Data!H235)</f>
        <v>Zella Najwa Era Fazira</v>
      </c>
      <c r="F240" s="54" t="str">
        <f>IF(Data!I235="","",Data!I235)</f>
        <v>Perempuan</v>
      </c>
      <c r="G240" s="110"/>
      <c r="H240" s="111"/>
      <c r="I240" s="117"/>
      <c r="J240" s="117"/>
      <c r="K240" s="117"/>
      <c r="L240" s="117"/>
      <c r="M240" s="117"/>
      <c r="N240" s="118"/>
      <c r="O240" s="112"/>
      <c r="P240" s="115"/>
      <c r="Q240" s="115"/>
      <c r="R240" s="114"/>
      <c r="S240" s="114"/>
      <c r="T240" s="115"/>
      <c r="U240" s="116"/>
      <c r="V240" s="112"/>
      <c r="W240" s="217"/>
      <c r="X240" s="217"/>
      <c r="Y240" s="217"/>
      <c r="Z240" s="1"/>
      <c r="AA240" s="1"/>
      <c r="AB240" s="12"/>
      <c r="AC240" s="12"/>
    </row>
    <row r="241" spans="2:29" ht="24.9" customHeight="1" x14ac:dyDescent="0.3">
      <c r="B241" s="226" t="s">
        <v>125</v>
      </c>
      <c r="C241" s="26">
        <f t="shared" si="4"/>
        <v>16</v>
      </c>
      <c r="D241" s="53" t="str">
        <f>IF(Data!F236="","",Data!F236)</f>
        <v>03750</v>
      </c>
      <c r="E241" s="92" t="str">
        <f>IF(Data!H236="","",Data!H236)</f>
        <v>Zifana Naila Fiskha</v>
      </c>
      <c r="F241" s="54" t="str">
        <f>IF(Data!I236="","",Data!I236)</f>
        <v>Perempuan</v>
      </c>
      <c r="G241" s="110"/>
      <c r="H241" s="111"/>
      <c r="I241" s="117"/>
      <c r="J241" s="117"/>
      <c r="K241" s="117"/>
      <c r="L241" s="117"/>
      <c r="M241" s="117"/>
      <c r="N241" s="118"/>
      <c r="O241" s="112"/>
      <c r="P241" s="115"/>
      <c r="Q241" s="115"/>
      <c r="R241" s="114"/>
      <c r="S241" s="114"/>
      <c r="T241" s="115"/>
      <c r="U241" s="116"/>
      <c r="V241" s="112"/>
      <c r="W241" s="217"/>
      <c r="X241" s="217"/>
      <c r="Y241" s="217"/>
      <c r="Z241" s="1"/>
      <c r="AA241" s="1"/>
      <c r="AB241" s="12"/>
      <c r="AC241" s="12"/>
    </row>
    <row r="242" spans="2:29" ht="24.9" customHeight="1" x14ac:dyDescent="0.3">
      <c r="B242" s="226" t="s">
        <v>125</v>
      </c>
      <c r="C242" s="26">
        <f t="shared" si="4"/>
        <v>17</v>
      </c>
      <c r="D242" s="53" t="str">
        <f>IF(Data!F237="","",Data!F237)</f>
        <v>03752</v>
      </c>
      <c r="E242" s="92" t="str">
        <f>IF(Data!H237="","",Data!H237)</f>
        <v>Zivana Vebby Alicia Putri</v>
      </c>
      <c r="F242" s="54" t="str">
        <f>IF(Data!I237="","",Data!I237)</f>
        <v>Perempuan</v>
      </c>
      <c r="G242" s="110"/>
      <c r="H242" s="111"/>
      <c r="I242" s="117"/>
      <c r="J242" s="117"/>
      <c r="K242" s="117"/>
      <c r="L242" s="117"/>
      <c r="M242" s="117"/>
      <c r="N242" s="118"/>
      <c r="O242" s="112"/>
      <c r="P242" s="115"/>
      <c r="Q242" s="115"/>
      <c r="R242" s="114"/>
      <c r="S242" s="114"/>
      <c r="T242" s="115"/>
      <c r="U242" s="116"/>
      <c r="V242" s="112"/>
      <c r="W242" s="217"/>
      <c r="X242" s="217"/>
      <c r="Y242" s="217"/>
      <c r="Z242" s="1"/>
      <c r="AA242" s="1"/>
      <c r="AB242" s="12"/>
      <c r="AC242" s="12"/>
    </row>
    <row r="243" spans="2:29" ht="24.9" customHeight="1" x14ac:dyDescent="0.3">
      <c r="B243" s="226" t="s">
        <v>125</v>
      </c>
      <c r="C243" s="26" t="str">
        <f t="shared" si="4"/>
        <v/>
      </c>
      <c r="D243" s="53" t="str">
        <f>IF(Data!F238="","",Data!F238)</f>
        <v/>
      </c>
      <c r="E243" s="92" t="str">
        <f>IF(Data!H238="","",Data!H238)</f>
        <v/>
      </c>
      <c r="F243" s="54" t="str">
        <f>IF(Data!I238="","",Data!I238)</f>
        <v/>
      </c>
      <c r="G243" s="110"/>
      <c r="H243" s="111"/>
      <c r="I243" s="117"/>
      <c r="J243" s="117"/>
      <c r="K243" s="117"/>
      <c r="L243" s="117"/>
      <c r="M243" s="117"/>
      <c r="N243" s="118"/>
      <c r="O243" s="112"/>
      <c r="P243" s="115"/>
      <c r="Q243" s="115"/>
      <c r="R243" s="114"/>
      <c r="S243" s="114"/>
      <c r="T243" s="115"/>
      <c r="U243" s="116"/>
      <c r="V243" s="112"/>
      <c r="W243" s="217"/>
      <c r="X243" s="217"/>
      <c r="Y243" s="217"/>
      <c r="Z243" s="1"/>
      <c r="AA243" s="1"/>
      <c r="AB243" s="12"/>
      <c r="AC243" s="12"/>
    </row>
    <row r="244" spans="2:29" ht="24.9" customHeight="1" x14ac:dyDescent="0.3">
      <c r="B244" s="226" t="s">
        <v>125</v>
      </c>
      <c r="C244" s="26" t="str">
        <f t="shared" si="4"/>
        <v/>
      </c>
      <c r="D244" s="53" t="str">
        <f>IF(Data!F239="","",Data!F239)</f>
        <v/>
      </c>
      <c r="E244" s="92" t="str">
        <f>IF(Data!H239="","",Data!H239)</f>
        <v/>
      </c>
      <c r="F244" s="54" t="str">
        <f>IF(Data!I239="","",Data!I239)</f>
        <v/>
      </c>
      <c r="G244" s="110"/>
      <c r="H244" s="111"/>
      <c r="I244" s="117"/>
      <c r="J244" s="117"/>
      <c r="K244" s="117"/>
      <c r="L244" s="117"/>
      <c r="M244" s="117"/>
      <c r="N244" s="118"/>
      <c r="O244" s="112"/>
      <c r="P244" s="115"/>
      <c r="Q244" s="115"/>
      <c r="R244" s="114"/>
      <c r="S244" s="114"/>
      <c r="T244" s="115"/>
      <c r="U244" s="116"/>
      <c r="V244" s="112"/>
      <c r="W244" s="217"/>
      <c r="X244" s="217"/>
      <c r="Y244" s="217"/>
      <c r="Z244" s="1"/>
      <c r="AA244" s="1"/>
      <c r="AB244" s="12"/>
      <c r="AC244" s="12"/>
    </row>
    <row r="245" spans="2:29" ht="24.9" customHeight="1" x14ac:dyDescent="0.3">
      <c r="B245" s="226" t="s">
        <v>125</v>
      </c>
      <c r="C245" s="26" t="str">
        <f t="shared" si="4"/>
        <v/>
      </c>
      <c r="D245" s="53" t="str">
        <f>IF(Data!F240="","",Data!F240)</f>
        <v/>
      </c>
      <c r="E245" s="92" t="str">
        <f>IF(Data!H240="","",Data!H240)</f>
        <v/>
      </c>
      <c r="F245" s="54" t="str">
        <f>IF(Data!I240="","",Data!I240)</f>
        <v/>
      </c>
      <c r="G245" s="110"/>
      <c r="H245" s="111"/>
      <c r="I245" s="117"/>
      <c r="J245" s="117"/>
      <c r="K245" s="117"/>
      <c r="L245" s="117"/>
      <c r="M245" s="117"/>
      <c r="N245" s="118"/>
      <c r="O245" s="112"/>
      <c r="P245" s="115"/>
      <c r="Q245" s="115"/>
      <c r="R245" s="114"/>
      <c r="S245" s="114"/>
      <c r="T245" s="115"/>
      <c r="U245" s="116"/>
      <c r="V245" s="112"/>
      <c r="W245" s="217"/>
      <c r="X245" s="217"/>
      <c r="Y245" s="217"/>
      <c r="Z245" s="1"/>
      <c r="AA245" s="1"/>
      <c r="AB245" s="12"/>
      <c r="AC245" s="12"/>
    </row>
    <row r="246" spans="2:29" ht="24.9" customHeight="1" x14ac:dyDescent="0.3">
      <c r="B246" s="226" t="s">
        <v>125</v>
      </c>
      <c r="C246" s="26" t="str">
        <f t="shared" si="4"/>
        <v/>
      </c>
      <c r="D246" s="53" t="str">
        <f>IF(Data!F241="","",Data!F241)</f>
        <v/>
      </c>
      <c r="E246" s="92" t="str">
        <f>IF(Data!H241="","",Data!H241)</f>
        <v/>
      </c>
      <c r="F246" s="54" t="str">
        <f>IF(Data!I241="","",Data!I241)</f>
        <v/>
      </c>
      <c r="G246" s="110"/>
      <c r="H246" s="111"/>
      <c r="I246" s="117"/>
      <c r="J246" s="117"/>
      <c r="K246" s="117"/>
      <c r="L246" s="117"/>
      <c r="M246" s="117"/>
      <c r="N246" s="118"/>
      <c r="O246" s="112"/>
      <c r="P246" s="115"/>
      <c r="Q246" s="115"/>
      <c r="R246" s="114"/>
      <c r="S246" s="114"/>
      <c r="T246" s="115"/>
      <c r="U246" s="116"/>
      <c r="V246" s="112"/>
      <c r="W246" s="217"/>
      <c r="X246" s="217"/>
      <c r="Y246" s="217"/>
      <c r="Z246" s="1"/>
      <c r="AA246" s="1"/>
      <c r="AB246" s="12"/>
      <c r="AC246" s="12"/>
    </row>
    <row r="247" spans="2:29" ht="24.9" customHeight="1" x14ac:dyDescent="0.3">
      <c r="B247" s="226" t="s">
        <v>125</v>
      </c>
      <c r="C247" s="26" t="str">
        <f t="shared" si="4"/>
        <v/>
      </c>
      <c r="D247" s="53" t="str">
        <f>IF(Data!F242="","",Data!F242)</f>
        <v/>
      </c>
      <c r="E247" s="92" t="str">
        <f>IF(Data!H242="","",Data!H242)</f>
        <v/>
      </c>
      <c r="F247" s="54" t="str">
        <f>IF(Data!I242="","",Data!I242)</f>
        <v/>
      </c>
      <c r="G247" s="110"/>
      <c r="H247" s="111"/>
      <c r="I247" s="117"/>
      <c r="J247" s="117"/>
      <c r="K247" s="117"/>
      <c r="L247" s="117"/>
      <c r="M247" s="117"/>
      <c r="N247" s="118"/>
      <c r="O247" s="112"/>
      <c r="P247" s="115"/>
      <c r="Q247" s="115"/>
      <c r="R247" s="114"/>
      <c r="S247" s="114"/>
      <c r="T247" s="115"/>
      <c r="U247" s="116"/>
      <c r="V247" s="112"/>
      <c r="W247" s="217"/>
      <c r="X247" s="217"/>
      <c r="Y247" s="217"/>
      <c r="Z247" s="1"/>
      <c r="AA247" s="1"/>
      <c r="AB247" s="12"/>
      <c r="AC247" s="12"/>
    </row>
    <row r="248" spans="2:29" ht="24.9" customHeight="1" x14ac:dyDescent="0.3">
      <c r="B248" s="226" t="s">
        <v>125</v>
      </c>
      <c r="C248" s="26" t="str">
        <f t="shared" si="4"/>
        <v/>
      </c>
      <c r="D248" s="53" t="str">
        <f>IF(Data!F243="","",Data!F243)</f>
        <v/>
      </c>
      <c r="E248" s="92" t="str">
        <f>IF(Data!H243="","",Data!H243)</f>
        <v/>
      </c>
      <c r="F248" s="54" t="str">
        <f>IF(Data!I243="","",Data!I243)</f>
        <v/>
      </c>
      <c r="G248" s="110"/>
      <c r="H248" s="111"/>
      <c r="I248" s="117"/>
      <c r="J248" s="117"/>
      <c r="K248" s="117"/>
      <c r="L248" s="117"/>
      <c r="M248" s="117"/>
      <c r="N248" s="118"/>
      <c r="O248" s="112"/>
      <c r="P248" s="115"/>
      <c r="Q248" s="115"/>
      <c r="R248" s="114"/>
      <c r="S248" s="114"/>
      <c r="T248" s="115"/>
      <c r="U248" s="116"/>
      <c r="V248" s="112"/>
      <c r="W248" s="217"/>
      <c r="X248" s="217"/>
      <c r="Y248" s="217"/>
      <c r="Z248" s="1"/>
      <c r="AA248" s="1"/>
      <c r="AB248" s="12"/>
      <c r="AC248" s="12"/>
    </row>
    <row r="249" spans="2:29" ht="24.9" customHeight="1" x14ac:dyDescent="0.3">
      <c r="B249" s="226" t="s">
        <v>125</v>
      </c>
      <c r="C249" s="26" t="str">
        <f t="shared" si="4"/>
        <v/>
      </c>
      <c r="D249" s="53" t="str">
        <f>IF(Data!F244="","",Data!F244)</f>
        <v/>
      </c>
      <c r="E249" s="92" t="str">
        <f>IF(Data!H244="","",Data!H244)</f>
        <v/>
      </c>
      <c r="F249" s="54" t="str">
        <f>IF(Data!I244="","",Data!I244)</f>
        <v/>
      </c>
      <c r="G249" s="110"/>
      <c r="H249" s="111"/>
      <c r="I249" s="117"/>
      <c r="J249" s="117"/>
      <c r="K249" s="117"/>
      <c r="L249" s="117"/>
      <c r="M249" s="117"/>
      <c r="N249" s="118"/>
      <c r="O249" s="112"/>
      <c r="P249" s="115"/>
      <c r="Q249" s="115"/>
      <c r="R249" s="114"/>
      <c r="S249" s="114"/>
      <c r="T249" s="115"/>
      <c r="U249" s="116"/>
      <c r="V249" s="112"/>
      <c r="W249" s="217"/>
      <c r="X249" s="217"/>
      <c r="Y249" s="217"/>
      <c r="Z249" s="1"/>
      <c r="AA249" s="1"/>
      <c r="AB249" s="12"/>
      <c r="AC249" s="12"/>
    </row>
    <row r="250" spans="2:29" ht="24.9" customHeight="1" x14ac:dyDescent="0.3">
      <c r="B250" s="226" t="s">
        <v>125</v>
      </c>
      <c r="C250" s="26" t="e">
        <f t="shared" si="4"/>
        <v>#VALUE!</v>
      </c>
      <c r="D250" s="53" t="str">
        <f>IF(Data!F245="","",Data!F245)</f>
        <v>03500</v>
      </c>
      <c r="E250" s="92" t="str">
        <f>IF(Data!H245="","",Data!H245)</f>
        <v>Ach Qolbi Nazhirul Asrofi</v>
      </c>
      <c r="F250" s="54" t="str">
        <f>IF(Data!I245="","",Data!I245)</f>
        <v>Laki-laki</v>
      </c>
      <c r="G250" s="110"/>
      <c r="H250" s="111"/>
      <c r="I250" s="117"/>
      <c r="J250" s="117"/>
      <c r="K250" s="117"/>
      <c r="L250" s="117"/>
      <c r="M250" s="117"/>
      <c r="N250" s="118"/>
      <c r="O250" s="112"/>
      <c r="P250" s="115"/>
      <c r="Q250" s="115"/>
      <c r="R250" s="114"/>
      <c r="S250" s="114"/>
      <c r="T250" s="115"/>
      <c r="U250" s="116"/>
      <c r="V250" s="112"/>
      <c r="W250" s="217"/>
      <c r="X250" s="217"/>
      <c r="Y250" s="217"/>
      <c r="Z250" s="1"/>
      <c r="AA250" s="1"/>
      <c r="AB250" s="12"/>
      <c r="AC250" s="12"/>
    </row>
    <row r="251" spans="2:29" ht="24.9" customHeight="1" x14ac:dyDescent="0.3">
      <c r="B251" s="226" t="s">
        <v>125</v>
      </c>
      <c r="C251" s="26" t="e">
        <f t="shared" si="4"/>
        <v>#VALUE!</v>
      </c>
      <c r="D251" s="53" t="str">
        <f>IF(Data!F246="","",Data!F246)</f>
        <v>03506</v>
      </c>
      <c r="E251" s="92" t="str">
        <f>IF(Data!H246="","",Data!H246)</f>
        <v>Aditya Pranata Haikal Mahardika</v>
      </c>
      <c r="F251" s="54" t="str">
        <f>IF(Data!I246="","",Data!I246)</f>
        <v>Laki-laki</v>
      </c>
      <c r="G251" s="110"/>
      <c r="H251" s="111"/>
      <c r="I251" s="117"/>
      <c r="J251" s="117"/>
      <c r="K251" s="117"/>
      <c r="L251" s="117"/>
      <c r="M251" s="117"/>
      <c r="N251" s="118"/>
      <c r="O251" s="112"/>
      <c r="P251" s="115"/>
      <c r="Q251" s="115"/>
      <c r="R251" s="114"/>
      <c r="S251" s="114"/>
      <c r="T251" s="115"/>
      <c r="U251" s="116"/>
      <c r="V251" s="112"/>
      <c r="W251" s="217"/>
      <c r="X251" s="217"/>
      <c r="Y251" s="217"/>
      <c r="Z251" s="1"/>
      <c r="AA251" s="1"/>
      <c r="AB251" s="12"/>
      <c r="AC251" s="12"/>
    </row>
    <row r="252" spans="2:29" ht="24.9" customHeight="1" x14ac:dyDescent="0.3">
      <c r="B252" s="226" t="s">
        <v>125</v>
      </c>
      <c r="C252" s="26" t="str">
        <f t="shared" si="4"/>
        <v/>
      </c>
      <c r="D252" s="53" t="str">
        <f>IF(Data!F275="","",Data!F275)</f>
        <v/>
      </c>
      <c r="E252" s="92" t="str">
        <f>IF(Data!H275="","",Data!H275)</f>
        <v/>
      </c>
      <c r="F252" s="54" t="str">
        <f>IF(Data!I275="","",Data!I275)</f>
        <v/>
      </c>
      <c r="G252" s="110"/>
      <c r="H252" s="111"/>
      <c r="I252" s="117"/>
      <c r="J252" s="117"/>
      <c r="K252" s="117"/>
      <c r="L252" s="117"/>
      <c r="M252" s="117"/>
      <c r="N252" s="118"/>
      <c r="O252" s="112"/>
      <c r="P252" s="115"/>
      <c r="Q252" s="115"/>
      <c r="R252" s="114"/>
      <c r="S252" s="114"/>
      <c r="T252" s="115"/>
      <c r="U252" s="116"/>
      <c r="V252" s="112"/>
      <c r="W252" s="217"/>
      <c r="X252" s="217"/>
      <c r="Y252" s="217"/>
      <c r="Z252" s="1"/>
      <c r="AA252" s="1"/>
      <c r="AB252" s="12"/>
      <c r="AC252" s="12"/>
    </row>
    <row r="253" spans="2:29" ht="24.9" customHeight="1" x14ac:dyDescent="0.3">
      <c r="B253" s="226" t="s">
        <v>125</v>
      </c>
      <c r="C253" s="26" t="str">
        <f t="shared" si="4"/>
        <v/>
      </c>
      <c r="D253" s="53" t="str">
        <f>IF(Data!F276="","",Data!F276)</f>
        <v/>
      </c>
      <c r="E253" s="92" t="str">
        <f>IF(Data!H276="","",Data!H276)</f>
        <v/>
      </c>
      <c r="F253" s="54" t="str">
        <f>IF(Data!I276="","",Data!I276)</f>
        <v/>
      </c>
      <c r="G253" s="110"/>
      <c r="H253" s="111"/>
      <c r="I253" s="117"/>
      <c r="J253" s="117"/>
      <c r="K253" s="117"/>
      <c r="L253" s="117"/>
      <c r="M253" s="117"/>
      <c r="N253" s="118"/>
      <c r="O253" s="112"/>
      <c r="P253" s="115"/>
      <c r="Q253" s="115"/>
      <c r="R253" s="114"/>
      <c r="S253" s="114"/>
      <c r="T253" s="115"/>
      <c r="U253" s="116"/>
      <c r="V253" s="112"/>
      <c r="W253" s="217"/>
      <c r="X253" s="217"/>
      <c r="Y253" s="217"/>
      <c r="Z253" s="1"/>
      <c r="AA253" s="1"/>
      <c r="AB253" s="12"/>
      <c r="AC253" s="12"/>
    </row>
    <row r="254" spans="2:29" ht="24.9" customHeight="1" x14ac:dyDescent="0.3">
      <c r="B254" s="226" t="s">
        <v>125</v>
      </c>
      <c r="C254" s="26" t="str">
        <f t="shared" si="4"/>
        <v/>
      </c>
      <c r="D254" s="53" t="str">
        <f>IF(Data!F277="","",Data!F277)</f>
        <v/>
      </c>
      <c r="E254" s="92" t="str">
        <f>IF(Data!H277="","",Data!H277)</f>
        <v/>
      </c>
      <c r="F254" s="54" t="str">
        <f>IF(Data!I277="","",Data!I277)</f>
        <v/>
      </c>
      <c r="G254" s="110"/>
      <c r="H254" s="111"/>
      <c r="I254" s="117"/>
      <c r="J254" s="117"/>
      <c r="K254" s="117"/>
      <c r="L254" s="117"/>
      <c r="M254" s="117"/>
      <c r="N254" s="118"/>
      <c r="O254" s="112"/>
      <c r="P254" s="115"/>
      <c r="Q254" s="115"/>
      <c r="R254" s="114"/>
      <c r="S254" s="114"/>
      <c r="T254" s="115"/>
      <c r="U254" s="116"/>
      <c r="V254" s="112"/>
      <c r="W254" s="217"/>
      <c r="X254" s="217"/>
      <c r="Y254" s="217"/>
      <c r="Z254" s="1"/>
      <c r="AA254" s="1"/>
      <c r="AB254" s="12"/>
      <c r="AC254" s="12"/>
    </row>
    <row r="255" spans="2:29" ht="24.9" customHeight="1" x14ac:dyDescent="0.3">
      <c r="B255" s="226" t="s">
        <v>125</v>
      </c>
      <c r="C255" s="26" t="str">
        <f t="shared" si="4"/>
        <v/>
      </c>
      <c r="D255" s="53" t="str">
        <f>IF(Data!F278="","",Data!F278)</f>
        <v/>
      </c>
      <c r="E255" s="92" t="str">
        <f>IF(Data!H278="","",Data!H278)</f>
        <v/>
      </c>
      <c r="F255" s="54" t="str">
        <f>IF(Data!I278="","",Data!I278)</f>
        <v/>
      </c>
      <c r="G255" s="110"/>
      <c r="H255" s="111"/>
      <c r="I255" s="117"/>
      <c r="J255" s="117"/>
      <c r="K255" s="117"/>
      <c r="L255" s="117"/>
      <c r="M255" s="117"/>
      <c r="N255" s="118"/>
      <c r="O255" s="112"/>
      <c r="P255" s="115"/>
      <c r="Q255" s="115"/>
      <c r="R255" s="114"/>
      <c r="S255" s="114"/>
      <c r="T255" s="115"/>
      <c r="U255" s="116"/>
      <c r="V255" s="112"/>
      <c r="W255" s="217"/>
      <c r="X255" s="217"/>
      <c r="Y255" s="217"/>
      <c r="Z255" s="1"/>
      <c r="AA255" s="1"/>
      <c r="AB255" s="12"/>
      <c r="AC255" s="12"/>
    </row>
    <row r="256" spans="2:29" ht="24.9" customHeight="1" x14ac:dyDescent="0.3">
      <c r="B256" s="226" t="s">
        <v>125</v>
      </c>
      <c r="C256" s="26" t="str">
        <f t="shared" si="4"/>
        <v/>
      </c>
      <c r="D256" s="53" t="str">
        <f>IF(Data!F279="","",Data!F279)</f>
        <v/>
      </c>
      <c r="E256" s="92" t="str">
        <f>IF(Data!H279="","",Data!H279)</f>
        <v/>
      </c>
      <c r="F256" s="54" t="str">
        <f>IF(Data!I279="","",Data!I279)</f>
        <v/>
      </c>
      <c r="G256" s="110"/>
      <c r="H256" s="111"/>
      <c r="I256" s="117"/>
      <c r="J256" s="117"/>
      <c r="K256" s="117"/>
      <c r="L256" s="117"/>
      <c r="M256" s="117"/>
      <c r="N256" s="118"/>
      <c r="O256" s="112"/>
      <c r="P256" s="115"/>
      <c r="Q256" s="115"/>
      <c r="R256" s="114"/>
      <c r="S256" s="114"/>
      <c r="T256" s="115"/>
      <c r="U256" s="116"/>
      <c r="V256" s="112"/>
      <c r="W256" s="217"/>
      <c r="X256" s="217"/>
      <c r="Y256" s="217"/>
      <c r="Z256" s="1"/>
      <c r="AA256" s="1"/>
      <c r="AB256" s="12"/>
      <c r="AC256" s="12"/>
    </row>
    <row r="257" spans="2:29" ht="24.9" customHeight="1" x14ac:dyDescent="0.3">
      <c r="B257" s="226" t="s">
        <v>125</v>
      </c>
      <c r="C257" s="26" t="str">
        <f t="shared" si="4"/>
        <v/>
      </c>
      <c r="D257" s="53" t="str">
        <f>IF(Data!F280="","",Data!F280)</f>
        <v/>
      </c>
      <c r="E257" s="92" t="str">
        <f>IF(Data!H280="","",Data!H280)</f>
        <v/>
      </c>
      <c r="F257" s="54" t="str">
        <f>IF(Data!I280="","",Data!I280)</f>
        <v/>
      </c>
      <c r="G257" s="110"/>
      <c r="H257" s="111"/>
      <c r="I257" s="117"/>
      <c r="J257" s="117"/>
      <c r="K257" s="117"/>
      <c r="L257" s="117"/>
      <c r="M257" s="117"/>
      <c r="N257" s="118"/>
      <c r="O257" s="112"/>
      <c r="P257" s="115"/>
      <c r="Q257" s="115"/>
      <c r="R257" s="114"/>
      <c r="S257" s="114"/>
      <c r="T257" s="115"/>
      <c r="U257" s="116"/>
      <c r="V257" s="112"/>
      <c r="W257" s="217"/>
      <c r="X257" s="217"/>
      <c r="Y257" s="217"/>
      <c r="Z257" s="1"/>
      <c r="AA257" s="1"/>
      <c r="AB257" s="12"/>
      <c r="AC257" s="12"/>
    </row>
    <row r="258" spans="2:29" ht="24.9" customHeight="1" x14ac:dyDescent="0.3">
      <c r="B258" s="226" t="s">
        <v>125</v>
      </c>
      <c r="C258" s="26" t="str">
        <f t="shared" si="4"/>
        <v/>
      </c>
      <c r="D258" s="53" t="str">
        <f>IF(Data!F281="","",Data!F281)</f>
        <v/>
      </c>
      <c r="E258" s="92" t="str">
        <f>IF(Data!H281="","",Data!H281)</f>
        <v/>
      </c>
      <c r="F258" s="54" t="str">
        <f>IF(Data!I281="","",Data!I281)</f>
        <v/>
      </c>
      <c r="G258" s="110"/>
      <c r="H258" s="111"/>
      <c r="I258" s="117"/>
      <c r="J258" s="117"/>
      <c r="K258" s="117"/>
      <c r="L258" s="117"/>
      <c r="M258" s="117"/>
      <c r="N258" s="118"/>
      <c r="O258" s="112"/>
      <c r="P258" s="115"/>
      <c r="Q258" s="115"/>
      <c r="R258" s="114"/>
      <c r="S258" s="114"/>
      <c r="T258" s="115"/>
      <c r="U258" s="116"/>
      <c r="V258" s="112"/>
      <c r="W258" s="217"/>
      <c r="X258" s="217"/>
      <c r="Y258" s="217"/>
      <c r="Z258" s="1"/>
      <c r="AA258" s="1"/>
      <c r="AB258" s="12"/>
      <c r="AC258" s="12"/>
    </row>
    <row r="259" spans="2:29" ht="24.9" customHeight="1" x14ac:dyDescent="0.3">
      <c r="B259" s="226" t="s">
        <v>125</v>
      </c>
      <c r="C259" s="26" t="str">
        <f t="shared" si="4"/>
        <v/>
      </c>
      <c r="D259" s="53" t="str">
        <f>IF(Data!F282="","",Data!F282)</f>
        <v/>
      </c>
      <c r="E259" s="92" t="str">
        <f>IF(Data!H282="","",Data!H282)</f>
        <v/>
      </c>
      <c r="F259" s="54" t="str">
        <f>IF(Data!I282="","",Data!I282)</f>
        <v/>
      </c>
      <c r="G259" s="110"/>
      <c r="H259" s="111"/>
      <c r="I259" s="117"/>
      <c r="J259" s="117"/>
      <c r="K259" s="117"/>
      <c r="L259" s="117"/>
      <c r="M259" s="117"/>
      <c r="N259" s="118"/>
      <c r="O259" s="112"/>
      <c r="P259" s="115"/>
      <c r="Q259" s="115"/>
      <c r="R259" s="114"/>
      <c r="S259" s="114"/>
      <c r="T259" s="115"/>
      <c r="U259" s="116"/>
      <c r="V259" s="112"/>
      <c r="W259" s="217"/>
      <c r="X259" s="217"/>
      <c r="Y259" s="217"/>
      <c r="Z259" s="1"/>
      <c r="AA259" s="1"/>
      <c r="AB259" s="12"/>
      <c r="AC259" s="12"/>
    </row>
    <row r="260" spans="2:29" ht="24.9" customHeight="1" x14ac:dyDescent="0.3">
      <c r="B260" s="226" t="s">
        <v>125</v>
      </c>
      <c r="C260" s="26" t="str">
        <f t="shared" si="4"/>
        <v/>
      </c>
      <c r="D260" s="53" t="str">
        <f>IF(Data!F283="","",Data!F283)</f>
        <v/>
      </c>
      <c r="E260" s="92" t="str">
        <f>IF(Data!H283="","",Data!H283)</f>
        <v/>
      </c>
      <c r="F260" s="54" t="str">
        <f>IF(Data!I283="","",Data!I283)</f>
        <v/>
      </c>
      <c r="G260" s="110"/>
      <c r="H260" s="111"/>
      <c r="I260" s="117"/>
      <c r="J260" s="117"/>
      <c r="K260" s="117"/>
      <c r="L260" s="117"/>
      <c r="M260" s="117"/>
      <c r="N260" s="118"/>
      <c r="O260" s="112"/>
      <c r="P260" s="115"/>
      <c r="Q260" s="115"/>
      <c r="R260" s="114"/>
      <c r="S260" s="114"/>
      <c r="T260" s="115"/>
      <c r="U260" s="116"/>
      <c r="V260" s="112"/>
      <c r="W260" s="217"/>
      <c r="X260" s="217"/>
      <c r="Y260" s="217"/>
      <c r="Z260" s="1"/>
      <c r="AA260" s="1"/>
      <c r="AB260" s="12"/>
      <c r="AC260" s="12"/>
    </row>
    <row r="261" spans="2:29" ht="24.9" customHeight="1" x14ac:dyDescent="0.3">
      <c r="B261" s="226" t="s">
        <v>125</v>
      </c>
      <c r="C261" s="26" t="str">
        <f t="shared" si="4"/>
        <v/>
      </c>
      <c r="D261" s="53" t="str">
        <f>IF(Data!F284="","",Data!F284)</f>
        <v/>
      </c>
      <c r="E261" s="92" t="str">
        <f>IF(Data!H284="","",Data!H284)</f>
        <v/>
      </c>
      <c r="F261" s="54" t="str">
        <f>IF(Data!I284="","",Data!I284)</f>
        <v/>
      </c>
      <c r="G261" s="110"/>
      <c r="H261" s="111"/>
      <c r="I261" s="117"/>
      <c r="J261" s="117"/>
      <c r="K261" s="117"/>
      <c r="L261" s="117"/>
      <c r="M261" s="117"/>
      <c r="N261" s="118"/>
      <c r="O261" s="112"/>
      <c r="P261" s="115"/>
      <c r="Q261" s="115"/>
      <c r="R261" s="114"/>
      <c r="S261" s="114"/>
      <c r="T261" s="115"/>
      <c r="U261" s="116"/>
      <c r="V261" s="112"/>
      <c r="W261" s="217"/>
      <c r="X261" s="217"/>
      <c r="Y261" s="217"/>
      <c r="Z261" s="1"/>
      <c r="AA261" s="1"/>
      <c r="AB261" s="12"/>
      <c r="AC261" s="12"/>
    </row>
    <row r="262" spans="2:29" ht="24.9" customHeight="1" x14ac:dyDescent="0.3">
      <c r="B262" s="226" t="s">
        <v>126</v>
      </c>
      <c r="C262" s="26">
        <v>1</v>
      </c>
      <c r="D262" s="53" t="str">
        <f>IF(Data!F285="","",Data!F285)</f>
        <v>03645</v>
      </c>
      <c r="E262" s="92" t="str">
        <f>IF(Data!H285="","",Data!H285)</f>
        <v>Auliya Silviana Eka Putri</v>
      </c>
      <c r="F262" s="54" t="str">
        <f>IF(Data!I285="","",Data!I285)</f>
        <v>Perempuan</v>
      </c>
      <c r="G262" s="110"/>
      <c r="H262" s="111"/>
      <c r="I262" s="117"/>
      <c r="J262" s="117"/>
      <c r="K262" s="117"/>
      <c r="L262" s="117"/>
      <c r="M262" s="117"/>
      <c r="N262" s="118"/>
      <c r="O262" s="112"/>
      <c r="P262" s="115"/>
      <c r="Q262" s="115"/>
      <c r="R262" s="114"/>
      <c r="S262" s="114"/>
      <c r="T262" s="115"/>
      <c r="U262" s="116"/>
      <c r="V262" s="112"/>
      <c r="W262" s="217"/>
      <c r="X262" s="217"/>
      <c r="Y262" s="217"/>
      <c r="Z262" s="1"/>
      <c r="AA262" s="1"/>
      <c r="AB262" s="12"/>
      <c r="AC262" s="12"/>
    </row>
    <row r="263" spans="2:29" ht="24.9" customHeight="1" x14ac:dyDescent="0.3">
      <c r="B263" s="226" t="s">
        <v>126</v>
      </c>
      <c r="C263" s="26">
        <f t="shared" si="4"/>
        <v>2</v>
      </c>
      <c r="D263" s="53" t="str">
        <f>IF(Data!F286="","",Data!F286)</f>
        <v>03658</v>
      </c>
      <c r="E263" s="92" t="str">
        <f>IF(Data!H286="","",Data!H286)</f>
        <v>Dhara Silvia Nur Septiany</v>
      </c>
      <c r="F263" s="54" t="str">
        <f>IF(Data!I286="","",Data!I286)</f>
        <v>Perempuan</v>
      </c>
      <c r="G263" s="110"/>
      <c r="H263" s="111"/>
      <c r="I263" s="117"/>
      <c r="J263" s="117"/>
      <c r="K263" s="117"/>
      <c r="L263" s="117"/>
      <c r="M263" s="117"/>
      <c r="N263" s="118"/>
      <c r="O263" s="112"/>
      <c r="P263" s="115"/>
      <c r="Q263" s="115"/>
      <c r="R263" s="114"/>
      <c r="S263" s="114"/>
      <c r="T263" s="115"/>
      <c r="U263" s="116"/>
      <c r="V263" s="112"/>
      <c r="W263" s="217"/>
      <c r="X263" s="217"/>
      <c r="Y263" s="217"/>
      <c r="Z263" s="1"/>
      <c r="AA263" s="1"/>
      <c r="AB263" s="12"/>
      <c r="AC263" s="12"/>
    </row>
    <row r="264" spans="2:29" ht="24.9" customHeight="1" x14ac:dyDescent="0.3">
      <c r="B264" s="226" t="s">
        <v>126</v>
      </c>
      <c r="C264" s="26">
        <f t="shared" si="4"/>
        <v>3</v>
      </c>
      <c r="D264" s="53" t="str">
        <f>IF(Data!F287="","",Data!F287)</f>
        <v>03663</v>
      </c>
      <c r="E264" s="92" t="str">
        <f>IF(Data!H287="","",Data!H287)</f>
        <v>Dinda Margaretha</v>
      </c>
      <c r="F264" s="54" t="str">
        <f>IF(Data!I287="","",Data!I287)</f>
        <v>Perempuan</v>
      </c>
      <c r="G264" s="110"/>
      <c r="H264" s="111"/>
      <c r="I264" s="117"/>
      <c r="J264" s="117"/>
      <c r="K264" s="117"/>
      <c r="L264" s="117"/>
      <c r="M264" s="117"/>
      <c r="N264" s="118"/>
      <c r="O264" s="112"/>
      <c r="P264" s="115"/>
      <c r="Q264" s="115"/>
      <c r="R264" s="114"/>
      <c r="S264" s="114"/>
      <c r="T264" s="115"/>
      <c r="U264" s="116"/>
      <c r="V264" s="112"/>
      <c r="W264" s="217"/>
      <c r="X264" s="217"/>
      <c r="Y264" s="217"/>
      <c r="Z264" s="1"/>
      <c r="AA264" s="1"/>
      <c r="AB264" s="12"/>
      <c r="AC264" s="12"/>
    </row>
    <row r="265" spans="2:29" ht="24.9" customHeight="1" x14ac:dyDescent="0.3">
      <c r="B265" s="226" t="s">
        <v>126</v>
      </c>
      <c r="C265" s="26">
        <f t="shared" si="4"/>
        <v>4</v>
      </c>
      <c r="D265" s="53" t="str">
        <f>IF(Data!F288="","",Data!F288)</f>
        <v>03679</v>
      </c>
      <c r="E265" s="92" t="str">
        <f>IF(Data!H288="","",Data!H288)</f>
        <v>Jihan Kharisma Andoko Putri</v>
      </c>
      <c r="F265" s="54" t="str">
        <f>IF(Data!I288="","",Data!I288)</f>
        <v>Perempuan</v>
      </c>
      <c r="G265" s="110"/>
      <c r="H265" s="111"/>
      <c r="I265" s="117"/>
      <c r="J265" s="117"/>
      <c r="K265" s="117"/>
      <c r="L265" s="117"/>
      <c r="M265" s="117"/>
      <c r="N265" s="118"/>
      <c r="O265" s="112"/>
      <c r="P265" s="115"/>
      <c r="Q265" s="115"/>
      <c r="R265" s="114"/>
      <c r="S265" s="114"/>
      <c r="T265" s="115"/>
      <c r="U265" s="116"/>
      <c r="V265" s="112"/>
      <c r="W265" s="217"/>
      <c r="X265" s="217"/>
      <c r="Y265" s="217"/>
      <c r="Z265" s="1"/>
      <c r="AA265" s="1"/>
      <c r="AB265" s="12"/>
      <c r="AC265" s="12"/>
    </row>
    <row r="266" spans="2:29" ht="24.9" customHeight="1" x14ac:dyDescent="0.3">
      <c r="B266" s="226" t="s">
        <v>126</v>
      </c>
      <c r="C266" s="26">
        <f t="shared" si="4"/>
        <v>5</v>
      </c>
      <c r="D266" s="53" t="str">
        <f>IF(Data!F289="","",Data!F289)</f>
        <v>03685</v>
      </c>
      <c r="E266" s="92" t="str">
        <f>IF(Data!H289="","",Data!H289)</f>
        <v>Khofifah Dwi Wulandini</v>
      </c>
      <c r="F266" s="54" t="str">
        <f>IF(Data!I289="","",Data!I289)</f>
        <v>Perempuan</v>
      </c>
      <c r="G266" s="110"/>
      <c r="H266" s="111"/>
      <c r="I266" s="117"/>
      <c r="J266" s="117"/>
      <c r="K266" s="117"/>
      <c r="L266" s="117"/>
      <c r="M266" s="117"/>
      <c r="N266" s="118"/>
      <c r="O266" s="112"/>
      <c r="P266" s="115"/>
      <c r="Q266" s="115"/>
      <c r="R266" s="114"/>
      <c r="S266" s="114"/>
      <c r="T266" s="115"/>
      <c r="U266" s="116"/>
      <c r="V266" s="112"/>
      <c r="W266" s="217"/>
      <c r="X266" s="217"/>
      <c r="Y266" s="217"/>
      <c r="Z266" s="1"/>
      <c r="AA266" s="1"/>
      <c r="AB266" s="12"/>
      <c r="AC266" s="12"/>
    </row>
    <row r="267" spans="2:29" ht="24.9" customHeight="1" x14ac:dyDescent="0.3">
      <c r="B267" s="226" t="s">
        <v>126</v>
      </c>
      <c r="C267" s="26">
        <f t="shared" si="4"/>
        <v>6</v>
      </c>
      <c r="D267" s="53" t="str">
        <f>IF(Data!F290="","",Data!F290)</f>
        <v>03692</v>
      </c>
      <c r="E267" s="92" t="str">
        <f>IF(Data!H290="","",Data!H290)</f>
        <v>Maulidan Najwa Lathifah</v>
      </c>
      <c r="F267" s="54" t="str">
        <f>IF(Data!I290="","",Data!I290)</f>
        <v>Perempuan</v>
      </c>
      <c r="G267" s="110"/>
      <c r="H267" s="111"/>
      <c r="I267" s="117"/>
      <c r="J267" s="117"/>
      <c r="K267" s="117"/>
      <c r="L267" s="117"/>
      <c r="M267" s="117"/>
      <c r="N267" s="118"/>
      <c r="O267" s="112"/>
      <c r="P267" s="115"/>
      <c r="Q267" s="115"/>
      <c r="R267" s="114"/>
      <c r="S267" s="114"/>
      <c r="T267" s="115"/>
      <c r="U267" s="116"/>
      <c r="V267" s="112"/>
      <c r="W267" s="217"/>
      <c r="X267" s="217"/>
      <c r="Y267" s="217"/>
      <c r="Z267" s="1"/>
      <c r="AA267" s="1"/>
      <c r="AB267" s="12"/>
      <c r="AC267" s="12"/>
    </row>
    <row r="268" spans="2:29" ht="24.9" customHeight="1" x14ac:dyDescent="0.3">
      <c r="B268" s="226" t="s">
        <v>126</v>
      </c>
      <c r="C268" s="26">
        <f t="shared" si="4"/>
        <v>7</v>
      </c>
      <c r="D268" s="53" t="str">
        <f>IF(Data!F291="","",Data!F291)</f>
        <v>03693</v>
      </c>
      <c r="E268" s="92" t="str">
        <f>IF(Data!H291="","",Data!H291)</f>
        <v>Meysha Vallerie Azzahra</v>
      </c>
      <c r="F268" s="54" t="str">
        <f>IF(Data!I291="","",Data!I291)</f>
        <v>Perempuan</v>
      </c>
      <c r="G268" s="110"/>
      <c r="H268" s="111"/>
      <c r="I268" s="117"/>
      <c r="J268" s="117"/>
      <c r="K268" s="117"/>
      <c r="L268" s="117"/>
      <c r="M268" s="117"/>
      <c r="N268" s="118"/>
      <c r="O268" s="112"/>
      <c r="P268" s="115"/>
      <c r="Q268" s="115"/>
      <c r="R268" s="114"/>
      <c r="S268" s="114"/>
      <c r="T268" s="115"/>
      <c r="U268" s="116"/>
      <c r="V268" s="112"/>
      <c r="W268" s="217"/>
      <c r="X268" s="217"/>
      <c r="Y268" s="217"/>
      <c r="Z268" s="1"/>
      <c r="AA268" s="1"/>
      <c r="AB268" s="12"/>
      <c r="AC268" s="12"/>
    </row>
    <row r="269" spans="2:29" ht="24.9" customHeight="1" x14ac:dyDescent="0.3">
      <c r="B269" s="226" t="s">
        <v>126</v>
      </c>
      <c r="C269" s="26">
        <f t="shared" ref="C269:C290" si="5">IF(E269="","",C268+1)</f>
        <v>8</v>
      </c>
      <c r="D269" s="53" t="str">
        <f>IF(Data!F292="","",Data!F292)</f>
        <v>03697</v>
      </c>
      <c r="E269" s="92" t="str">
        <f>IF(Data!H292="","",Data!H292)</f>
        <v>Mufidah Salwa Ramadhani</v>
      </c>
      <c r="F269" s="54" t="str">
        <f>IF(Data!I292="","",Data!I292)</f>
        <v>Perempuan</v>
      </c>
      <c r="G269" s="110"/>
      <c r="H269" s="111"/>
      <c r="I269" s="117"/>
      <c r="J269" s="117"/>
      <c r="K269" s="117"/>
      <c r="L269" s="117"/>
      <c r="M269" s="117"/>
      <c r="N269" s="118"/>
      <c r="O269" s="112"/>
      <c r="P269" s="115"/>
      <c r="Q269" s="115"/>
      <c r="R269" s="114"/>
      <c r="S269" s="114"/>
      <c r="T269" s="115"/>
      <c r="U269" s="116"/>
      <c r="V269" s="112"/>
      <c r="W269" s="217"/>
      <c r="X269" s="217"/>
      <c r="Y269" s="217"/>
      <c r="Z269" s="1"/>
      <c r="AA269" s="1"/>
      <c r="AB269" s="12"/>
      <c r="AC269" s="12"/>
    </row>
    <row r="270" spans="2:29" ht="24.9" customHeight="1" x14ac:dyDescent="0.3">
      <c r="B270" s="226" t="s">
        <v>126</v>
      </c>
      <c r="C270" s="26">
        <f t="shared" si="5"/>
        <v>9</v>
      </c>
      <c r="D270" s="53" t="str">
        <f>IF(Data!F293="","",Data!F293)</f>
        <v>03711</v>
      </c>
      <c r="E270" s="92" t="str">
        <f>IF(Data!H293="","",Data!H293)</f>
        <v>Nelli Rahma Ramadani</v>
      </c>
      <c r="F270" s="54" t="str">
        <f>IF(Data!I293="","",Data!I293)</f>
        <v>Perempuan</v>
      </c>
      <c r="G270" s="110"/>
      <c r="H270" s="111"/>
      <c r="I270" s="117"/>
      <c r="J270" s="117"/>
      <c r="K270" s="117"/>
      <c r="L270" s="117"/>
      <c r="M270" s="117"/>
      <c r="N270" s="118"/>
      <c r="O270" s="112"/>
      <c r="P270" s="115"/>
      <c r="Q270" s="115"/>
      <c r="R270" s="114"/>
      <c r="S270" s="114"/>
      <c r="T270" s="115"/>
      <c r="U270" s="116"/>
      <c r="V270" s="112"/>
      <c r="W270" s="217"/>
      <c r="X270" s="217"/>
      <c r="Y270" s="217"/>
      <c r="Z270" s="1"/>
      <c r="AA270" s="1"/>
      <c r="AB270" s="12"/>
      <c r="AC270" s="12"/>
    </row>
    <row r="271" spans="2:29" ht="24.9" customHeight="1" x14ac:dyDescent="0.3">
      <c r="B271" s="226" t="s">
        <v>126</v>
      </c>
      <c r="C271" s="26">
        <f t="shared" si="5"/>
        <v>10</v>
      </c>
      <c r="D271" s="53" t="str">
        <f>IF(Data!F294="","",Data!F294)</f>
        <v>03720</v>
      </c>
      <c r="E271" s="92" t="str">
        <f>IF(Data!H294="","",Data!H294)</f>
        <v>Salsabila Alfira Anggia Putri</v>
      </c>
      <c r="F271" s="54" t="str">
        <f>IF(Data!I294="","",Data!I294)</f>
        <v>Perempuan</v>
      </c>
      <c r="G271" s="110"/>
      <c r="H271" s="111"/>
      <c r="I271" s="117"/>
      <c r="J271" s="117"/>
      <c r="K271" s="117"/>
      <c r="L271" s="117"/>
      <c r="M271" s="117"/>
      <c r="N271" s="118"/>
      <c r="O271" s="112"/>
      <c r="P271" s="115"/>
      <c r="Q271" s="115"/>
      <c r="R271" s="114"/>
      <c r="S271" s="114"/>
      <c r="T271" s="115"/>
      <c r="U271" s="116"/>
      <c r="V271" s="112"/>
      <c r="W271" s="217"/>
      <c r="X271" s="217"/>
      <c r="Y271" s="217"/>
      <c r="Z271" s="1"/>
      <c r="AA271" s="1"/>
      <c r="AB271" s="12"/>
      <c r="AC271" s="12"/>
    </row>
    <row r="272" spans="2:29" ht="24.9" customHeight="1" x14ac:dyDescent="0.3">
      <c r="B272" s="226" t="s">
        <v>126</v>
      </c>
      <c r="C272" s="26">
        <f t="shared" si="5"/>
        <v>11</v>
      </c>
      <c r="D272" s="53" t="str">
        <f>IF(Data!F295="","",Data!F295)</f>
        <v>03728</v>
      </c>
      <c r="E272" s="92" t="str">
        <f>IF(Data!H295="","",Data!H295)</f>
        <v>Siti Nur Halimah Thusadia</v>
      </c>
      <c r="F272" s="54" t="str">
        <f>IF(Data!I295="","",Data!I295)</f>
        <v>Perempuan</v>
      </c>
      <c r="G272" s="110"/>
      <c r="H272" s="111"/>
      <c r="I272" s="117"/>
      <c r="J272" s="117"/>
      <c r="K272" s="117"/>
      <c r="L272" s="117"/>
      <c r="M272" s="117"/>
      <c r="N272" s="118"/>
      <c r="O272" s="112"/>
      <c r="P272" s="115"/>
      <c r="Q272" s="115"/>
      <c r="R272" s="114"/>
      <c r="S272" s="114"/>
      <c r="T272" s="115"/>
      <c r="U272" s="116"/>
      <c r="V272" s="112"/>
      <c r="W272" s="217"/>
      <c r="X272" s="217"/>
      <c r="Y272" s="217"/>
      <c r="Z272" s="1"/>
      <c r="AA272" s="1"/>
      <c r="AB272" s="12"/>
      <c r="AC272" s="12"/>
    </row>
    <row r="273" spans="2:29" ht="24.9" customHeight="1" x14ac:dyDescent="0.3">
      <c r="B273" s="226" t="s">
        <v>126</v>
      </c>
      <c r="C273" s="26">
        <f t="shared" si="5"/>
        <v>12</v>
      </c>
      <c r="D273" s="53" t="str">
        <f>IF(Data!F296="","",Data!F296)</f>
        <v>03729</v>
      </c>
      <c r="E273" s="92" t="str">
        <f>IF(Data!H296="","",Data!H296)</f>
        <v>Siti Sofiatul Milah</v>
      </c>
      <c r="F273" s="54" t="str">
        <f>IF(Data!I296="","",Data!I296)</f>
        <v>Perempuan</v>
      </c>
      <c r="G273" s="110"/>
      <c r="H273" s="111"/>
      <c r="I273" s="117"/>
      <c r="J273" s="117"/>
      <c r="K273" s="117"/>
      <c r="L273" s="117"/>
      <c r="M273" s="117"/>
      <c r="N273" s="118"/>
      <c r="O273" s="112"/>
      <c r="P273" s="115"/>
      <c r="Q273" s="115"/>
      <c r="R273" s="114"/>
      <c r="S273" s="114"/>
      <c r="T273" s="115"/>
      <c r="U273" s="116"/>
      <c r="V273" s="112"/>
      <c r="W273" s="217"/>
      <c r="X273" s="217"/>
      <c r="Y273" s="217"/>
      <c r="Z273" s="1"/>
      <c r="AA273" s="1"/>
      <c r="AB273" s="12"/>
      <c r="AC273" s="12"/>
    </row>
    <row r="274" spans="2:29" ht="24.9" customHeight="1" x14ac:dyDescent="0.3">
      <c r="B274" s="226" t="s">
        <v>126</v>
      </c>
      <c r="C274" s="26">
        <f t="shared" si="5"/>
        <v>13</v>
      </c>
      <c r="D274" s="53" t="str">
        <f>IF(Data!F297="","",Data!F297)</f>
        <v>03733</v>
      </c>
      <c r="E274" s="92" t="str">
        <f>IF(Data!H297="","",Data!H297)</f>
        <v>Syafiqoh Aliya Aimuni</v>
      </c>
      <c r="F274" s="54" t="str">
        <f>IF(Data!I297="","",Data!I297)</f>
        <v>Perempuan</v>
      </c>
      <c r="G274" s="110"/>
      <c r="H274" s="111"/>
      <c r="I274" s="117"/>
      <c r="J274" s="117"/>
      <c r="K274" s="117"/>
      <c r="L274" s="117"/>
      <c r="M274" s="117"/>
      <c r="N274" s="118"/>
      <c r="O274" s="112"/>
      <c r="P274" s="115"/>
      <c r="Q274" s="115"/>
      <c r="R274" s="114"/>
      <c r="S274" s="114"/>
      <c r="T274" s="115"/>
      <c r="U274" s="116"/>
      <c r="V274" s="112"/>
      <c r="W274" s="217"/>
      <c r="X274" s="217"/>
      <c r="Y274" s="217"/>
      <c r="Z274" s="1"/>
      <c r="AA274" s="1"/>
      <c r="AB274" s="12"/>
      <c r="AC274" s="12"/>
    </row>
    <row r="275" spans="2:29" ht="24.9" customHeight="1" x14ac:dyDescent="0.3">
      <c r="B275" s="226" t="s">
        <v>126</v>
      </c>
      <c r="C275" s="26">
        <f t="shared" si="5"/>
        <v>14</v>
      </c>
      <c r="D275" s="53" t="str">
        <f>IF(Data!F298="","",Data!F298)</f>
        <v>03736</v>
      </c>
      <c r="E275" s="92" t="str">
        <f>IF(Data!H298="","",Data!H298)</f>
        <v>Techa Pramudia Ramadhani</v>
      </c>
      <c r="F275" s="54" t="str">
        <f>IF(Data!I298="","",Data!I298)</f>
        <v>Perempuan</v>
      </c>
      <c r="G275" s="110"/>
      <c r="H275" s="111"/>
      <c r="I275" s="117"/>
      <c r="J275" s="117"/>
      <c r="K275" s="117"/>
      <c r="L275" s="117"/>
      <c r="M275" s="117"/>
      <c r="N275" s="118"/>
      <c r="O275" s="112"/>
      <c r="P275" s="115"/>
      <c r="Q275" s="115"/>
      <c r="R275" s="114"/>
      <c r="S275" s="114"/>
      <c r="T275" s="115"/>
      <c r="U275" s="116"/>
      <c r="V275" s="112"/>
      <c r="W275" s="217"/>
      <c r="X275" s="217"/>
      <c r="Y275" s="217"/>
      <c r="Z275" s="1"/>
      <c r="AA275" s="1"/>
      <c r="AB275" s="12"/>
      <c r="AC275" s="12"/>
    </row>
    <row r="276" spans="2:29" ht="24.9" customHeight="1" x14ac:dyDescent="0.3">
      <c r="B276" s="226" t="s">
        <v>126</v>
      </c>
      <c r="C276" s="26">
        <f t="shared" si="5"/>
        <v>15</v>
      </c>
      <c r="D276" s="53" t="str">
        <f>IF(Data!F299="","",Data!F299)</f>
        <v>03739</v>
      </c>
      <c r="E276" s="92" t="str">
        <f>IF(Data!H299="","",Data!H299)</f>
        <v>Wafaanil Misthobah</v>
      </c>
      <c r="F276" s="54" t="str">
        <f>IF(Data!I299="","",Data!I299)</f>
        <v>Perempuan</v>
      </c>
      <c r="G276" s="110"/>
      <c r="H276" s="111"/>
      <c r="I276" s="117"/>
      <c r="J276" s="117"/>
      <c r="K276" s="117"/>
      <c r="L276" s="117"/>
      <c r="M276" s="117"/>
      <c r="N276" s="118"/>
      <c r="O276" s="112"/>
      <c r="P276" s="115"/>
      <c r="Q276" s="115"/>
      <c r="R276" s="114"/>
      <c r="S276" s="114"/>
      <c r="T276" s="115"/>
      <c r="U276" s="116"/>
      <c r="V276" s="112"/>
      <c r="W276" s="217"/>
      <c r="X276" s="217"/>
      <c r="Y276" s="217"/>
      <c r="Z276" s="1"/>
      <c r="AA276" s="1"/>
      <c r="AB276" s="12"/>
      <c r="AC276" s="12"/>
    </row>
    <row r="277" spans="2:29" ht="24.9" customHeight="1" x14ac:dyDescent="0.3">
      <c r="B277" s="226" t="s">
        <v>126</v>
      </c>
      <c r="C277" s="26">
        <f t="shared" si="5"/>
        <v>16</v>
      </c>
      <c r="D277" s="53" t="str">
        <f>IF(Data!F300="","",Data!F300)</f>
        <v>03742</v>
      </c>
      <c r="E277" s="92" t="str">
        <f>IF(Data!H300="","",Data!H300)</f>
        <v>Yesenia Qadira Neysa</v>
      </c>
      <c r="F277" s="54" t="str">
        <f>IF(Data!I300="","",Data!I300)</f>
        <v>Perempuan</v>
      </c>
      <c r="G277" s="110"/>
      <c r="H277" s="111"/>
      <c r="I277" s="117"/>
      <c r="J277" s="117"/>
      <c r="K277" s="117"/>
      <c r="L277" s="117"/>
      <c r="M277" s="117"/>
      <c r="N277" s="118"/>
      <c r="O277" s="112"/>
      <c r="P277" s="115"/>
      <c r="Q277" s="115"/>
      <c r="R277" s="114"/>
      <c r="S277" s="114"/>
      <c r="T277" s="115"/>
      <c r="U277" s="116"/>
      <c r="V277" s="112"/>
      <c r="W277" s="217"/>
      <c r="X277" s="217"/>
      <c r="Y277" s="217"/>
      <c r="Z277" s="1"/>
      <c r="AA277" s="1"/>
      <c r="AB277" s="12"/>
      <c r="AC277" s="12"/>
    </row>
    <row r="278" spans="2:29" ht="24.9" customHeight="1" x14ac:dyDescent="0.3">
      <c r="B278" s="226" t="s">
        <v>126</v>
      </c>
      <c r="C278" s="26">
        <f t="shared" si="5"/>
        <v>17</v>
      </c>
      <c r="D278" s="53" t="str">
        <f>IF(Data!F301="","",Data!F301)</f>
        <v>03747</v>
      </c>
      <c r="E278" s="92" t="str">
        <f>IF(Data!H301="","",Data!H301)</f>
        <v>Zahroul Afidah</v>
      </c>
      <c r="F278" s="54" t="str">
        <f>IF(Data!I301="","",Data!I301)</f>
        <v>Perempuan</v>
      </c>
      <c r="G278" s="110"/>
      <c r="H278" s="111"/>
      <c r="I278" s="117"/>
      <c r="J278" s="117"/>
      <c r="K278" s="117"/>
      <c r="L278" s="117"/>
      <c r="M278" s="117"/>
      <c r="N278" s="118"/>
      <c r="O278" s="112"/>
      <c r="P278" s="115"/>
      <c r="Q278" s="115"/>
      <c r="R278" s="114"/>
      <c r="S278" s="114"/>
      <c r="T278" s="115"/>
      <c r="U278" s="116"/>
      <c r="V278" s="112"/>
      <c r="W278" s="217"/>
      <c r="X278" s="217"/>
      <c r="Y278" s="217"/>
      <c r="Z278" s="1"/>
      <c r="AA278" s="1"/>
      <c r="AB278" s="12"/>
      <c r="AC278" s="12"/>
    </row>
    <row r="279" spans="2:29" ht="24.9" customHeight="1" x14ac:dyDescent="0.3">
      <c r="B279" s="226" t="s">
        <v>126</v>
      </c>
      <c r="C279" s="26" t="str">
        <f t="shared" si="5"/>
        <v/>
      </c>
      <c r="D279" s="53" t="str">
        <f>IF(Data!F302="","",Data!F302)</f>
        <v/>
      </c>
      <c r="E279" s="92" t="str">
        <f>IF(Data!H302="","",Data!H302)</f>
        <v/>
      </c>
      <c r="F279" s="54" t="str">
        <f>IF(Data!I302="","",Data!I302)</f>
        <v/>
      </c>
      <c r="G279" s="110"/>
      <c r="H279" s="111"/>
      <c r="I279" s="117"/>
      <c r="J279" s="117"/>
      <c r="K279" s="117"/>
      <c r="L279" s="117"/>
      <c r="M279" s="117"/>
      <c r="N279" s="118"/>
      <c r="O279" s="112"/>
      <c r="P279" s="115"/>
      <c r="Q279" s="115"/>
      <c r="R279" s="114"/>
      <c r="S279" s="114"/>
      <c r="T279" s="115"/>
      <c r="U279" s="116"/>
      <c r="V279" s="112"/>
      <c r="W279" s="217"/>
      <c r="X279" s="217"/>
      <c r="Y279" s="217"/>
      <c r="Z279" s="1"/>
      <c r="AA279" s="1"/>
      <c r="AB279" s="12"/>
      <c r="AC279" s="12"/>
    </row>
    <row r="280" spans="2:29" ht="24.9" customHeight="1" x14ac:dyDescent="0.3">
      <c r="B280" s="226" t="s">
        <v>126</v>
      </c>
      <c r="C280" s="26" t="str">
        <f t="shared" si="5"/>
        <v/>
      </c>
      <c r="D280" s="53" t="str">
        <f>IF(Data!F303="","",Data!F303)</f>
        <v/>
      </c>
      <c r="E280" s="92" t="str">
        <f>IF(Data!H303="","",Data!H303)</f>
        <v/>
      </c>
      <c r="F280" s="54" t="str">
        <f>IF(Data!I303="","",Data!I303)</f>
        <v/>
      </c>
      <c r="G280" s="110"/>
      <c r="H280" s="111"/>
      <c r="I280" s="117"/>
      <c r="J280" s="117"/>
      <c r="K280" s="117"/>
      <c r="L280" s="117"/>
      <c r="M280" s="117"/>
      <c r="N280" s="118"/>
      <c r="O280" s="112"/>
      <c r="P280" s="115"/>
      <c r="Q280" s="115"/>
      <c r="R280" s="114"/>
      <c r="S280" s="114"/>
      <c r="T280" s="115"/>
      <c r="U280" s="116"/>
      <c r="V280" s="112"/>
      <c r="W280" s="217"/>
      <c r="X280" s="217"/>
      <c r="Y280" s="217"/>
      <c r="Z280" s="1"/>
      <c r="AA280" s="1"/>
      <c r="AB280" s="12"/>
      <c r="AC280" s="12"/>
    </row>
    <row r="281" spans="2:29" ht="24.9" customHeight="1" x14ac:dyDescent="0.3">
      <c r="B281" s="226" t="s">
        <v>126</v>
      </c>
      <c r="C281" s="26" t="str">
        <f t="shared" si="5"/>
        <v/>
      </c>
      <c r="D281" s="53" t="str">
        <f>IF(Data!F304="","",Data!F304)</f>
        <v/>
      </c>
      <c r="E281" s="92" t="str">
        <f>IF(Data!H304="","",Data!H304)</f>
        <v/>
      </c>
      <c r="F281" s="54" t="str">
        <f>IF(Data!I304="","",Data!I304)</f>
        <v/>
      </c>
      <c r="G281" s="110"/>
      <c r="H281" s="111"/>
      <c r="I281" s="117"/>
      <c r="J281" s="117"/>
      <c r="K281" s="117"/>
      <c r="L281" s="117"/>
      <c r="M281" s="117"/>
      <c r="N281" s="118"/>
      <c r="O281" s="112"/>
      <c r="P281" s="115"/>
      <c r="Q281" s="115"/>
      <c r="R281" s="114"/>
      <c r="S281" s="114"/>
      <c r="T281" s="115"/>
      <c r="U281" s="116"/>
      <c r="V281" s="112"/>
      <c r="W281" s="217"/>
      <c r="X281" s="217"/>
      <c r="Y281" s="217"/>
      <c r="Z281" s="1"/>
      <c r="AA281" s="1"/>
      <c r="AB281" s="12"/>
      <c r="AC281" s="12"/>
    </row>
    <row r="282" spans="2:29" ht="24.9" customHeight="1" x14ac:dyDescent="0.3">
      <c r="B282" s="226" t="s">
        <v>126</v>
      </c>
      <c r="C282" s="26" t="str">
        <f t="shared" si="5"/>
        <v/>
      </c>
      <c r="D282" s="53" t="str">
        <f>IF(Data!F305="","",Data!F305)</f>
        <v/>
      </c>
      <c r="E282" s="92" t="str">
        <f>IF(Data!H305="","",Data!H305)</f>
        <v/>
      </c>
      <c r="F282" s="54" t="str">
        <f>IF(Data!I305="","",Data!I305)</f>
        <v/>
      </c>
      <c r="G282" s="110"/>
      <c r="H282" s="111"/>
      <c r="I282" s="117"/>
      <c r="J282" s="117"/>
      <c r="K282" s="117"/>
      <c r="L282" s="117"/>
      <c r="M282" s="117"/>
      <c r="N282" s="118"/>
      <c r="O282" s="112"/>
      <c r="P282" s="115"/>
      <c r="Q282" s="115"/>
      <c r="R282" s="114"/>
      <c r="S282" s="114"/>
      <c r="T282" s="115"/>
      <c r="U282" s="116"/>
      <c r="V282" s="112"/>
      <c r="W282" s="217"/>
      <c r="X282" s="217"/>
      <c r="Y282" s="217"/>
      <c r="Z282" s="1"/>
      <c r="AA282" s="1"/>
      <c r="AB282" s="12"/>
      <c r="AC282" s="12"/>
    </row>
    <row r="283" spans="2:29" ht="24.9" customHeight="1" x14ac:dyDescent="0.3">
      <c r="B283" s="226" t="s">
        <v>126</v>
      </c>
      <c r="C283" s="26" t="str">
        <f t="shared" si="5"/>
        <v/>
      </c>
      <c r="D283" s="53" t="str">
        <f>IF(Data!F306="","",Data!F306)</f>
        <v/>
      </c>
      <c r="E283" s="92" t="str">
        <f>IF(Data!H306="","",Data!H306)</f>
        <v/>
      </c>
      <c r="F283" s="54" t="str">
        <f>IF(Data!I306="","",Data!I306)</f>
        <v/>
      </c>
      <c r="G283" s="110"/>
      <c r="H283" s="111"/>
      <c r="I283" s="117"/>
      <c r="J283" s="117"/>
      <c r="K283" s="117"/>
      <c r="L283" s="117"/>
      <c r="M283" s="117"/>
      <c r="N283" s="118"/>
      <c r="O283" s="112"/>
      <c r="P283" s="115"/>
      <c r="Q283" s="115"/>
      <c r="R283" s="114"/>
      <c r="S283" s="114"/>
      <c r="T283" s="115"/>
      <c r="U283" s="116"/>
      <c r="V283" s="112"/>
      <c r="W283" s="217"/>
      <c r="X283" s="217"/>
      <c r="Y283" s="217"/>
      <c r="Z283" s="1"/>
      <c r="AA283" s="1"/>
      <c r="AB283" s="12"/>
      <c r="AC283" s="12"/>
    </row>
    <row r="284" spans="2:29" ht="24.9" customHeight="1" x14ac:dyDescent="0.3">
      <c r="B284" s="226" t="s">
        <v>126</v>
      </c>
      <c r="C284" s="26" t="str">
        <f t="shared" si="5"/>
        <v/>
      </c>
      <c r="D284" s="53" t="str">
        <f>IF(Data!F307="","",Data!F307)</f>
        <v/>
      </c>
      <c r="E284" s="92" t="str">
        <f>IF(Data!H307="","",Data!H307)</f>
        <v/>
      </c>
      <c r="F284" s="54" t="str">
        <f>IF(Data!I307="","",Data!I307)</f>
        <v/>
      </c>
      <c r="G284" s="110"/>
      <c r="H284" s="111"/>
      <c r="I284" s="117"/>
      <c r="J284" s="117"/>
      <c r="K284" s="117"/>
      <c r="L284" s="117"/>
      <c r="M284" s="117"/>
      <c r="N284" s="118"/>
      <c r="O284" s="112"/>
      <c r="P284" s="115"/>
      <c r="Q284" s="115"/>
      <c r="R284" s="114"/>
      <c r="S284" s="114"/>
      <c r="T284" s="115"/>
      <c r="U284" s="116"/>
      <c r="V284" s="112"/>
      <c r="W284" s="217"/>
      <c r="X284" s="217"/>
      <c r="Y284" s="217"/>
      <c r="Z284" s="1"/>
      <c r="AA284" s="1"/>
      <c r="AB284" s="12"/>
      <c r="AC284" s="12"/>
    </row>
    <row r="285" spans="2:29" ht="24.9" customHeight="1" x14ac:dyDescent="0.3">
      <c r="B285" s="226" t="s">
        <v>126</v>
      </c>
      <c r="C285" s="26" t="str">
        <f t="shared" si="5"/>
        <v/>
      </c>
      <c r="D285" s="53" t="str">
        <f>IF(Data!F308="","",Data!F308)</f>
        <v/>
      </c>
      <c r="E285" s="92" t="str">
        <f>IF(Data!H308="","",Data!H308)</f>
        <v/>
      </c>
      <c r="F285" s="54" t="str">
        <f>IF(Data!I308="","",Data!I308)</f>
        <v/>
      </c>
      <c r="G285" s="110"/>
      <c r="H285" s="111"/>
      <c r="I285" s="117">
        <f>MAX(G285:H285)</f>
        <v>0</v>
      </c>
      <c r="J285" s="117">
        <f>MIN(G285:H285)</f>
        <v>0</v>
      </c>
      <c r="K285" s="117" t="e">
        <f>IF(I285&gt;#REF!,#REF!,IF(I285&gt;#REF!,#REF!,IF(I285&gt;#REF!,#REF!,#REF!)))</f>
        <v>#REF!</v>
      </c>
      <c r="L285" s="117" t="e">
        <f>IF(J285&gt;#REF!,#REF!,IF(J285&gt;#REF!,#REF!,IF(J285&gt;#REF!,#REF!,#REF!)))</f>
        <v>#REF!</v>
      </c>
      <c r="M285" s="117" t="e">
        <f>MATCH(I285,G285:H285,0)</f>
        <v>#N/A</v>
      </c>
      <c r="N285" s="118" t="e">
        <f>MATCH(J285,G285:H285,0)</f>
        <v>#N/A</v>
      </c>
      <c r="O285" s="112"/>
      <c r="P285" s="115"/>
      <c r="Q285" s="115"/>
      <c r="R285" s="114"/>
      <c r="S285" s="114"/>
      <c r="T285" s="115"/>
      <c r="U285" s="116"/>
      <c r="V285" s="112"/>
      <c r="W285" s="217"/>
      <c r="X285" s="217"/>
      <c r="Y285" s="217"/>
      <c r="Z285" s="1"/>
      <c r="AA285" s="1"/>
      <c r="AB285" s="12"/>
      <c r="AC285" s="12"/>
    </row>
    <row r="286" spans="2:29" ht="24.9" customHeight="1" x14ac:dyDescent="0.3">
      <c r="B286" s="226" t="s">
        <v>126</v>
      </c>
      <c r="C286" s="26" t="str">
        <f t="shared" si="5"/>
        <v/>
      </c>
      <c r="D286" s="53" t="str">
        <f>IF(Data!F309="","",Data!F309)</f>
        <v/>
      </c>
      <c r="E286" s="92" t="str">
        <f>IF(Data!H309="","",Data!H309)</f>
        <v/>
      </c>
      <c r="F286" s="54" t="str">
        <f>IF(Data!I309="","",Data!I309)</f>
        <v/>
      </c>
      <c r="G286" s="110"/>
      <c r="H286" s="111"/>
      <c r="I286" s="117"/>
      <c r="J286" s="117"/>
      <c r="K286" s="117"/>
      <c r="L286" s="117"/>
      <c r="M286" s="117"/>
      <c r="N286" s="118"/>
      <c r="O286" s="112"/>
      <c r="P286" s="115"/>
      <c r="Q286" s="115"/>
      <c r="R286" s="114"/>
      <c r="S286" s="114"/>
      <c r="T286" s="115"/>
      <c r="U286" s="116"/>
      <c r="V286" s="112"/>
      <c r="W286" s="217"/>
      <c r="X286" s="217"/>
      <c r="Y286" s="217"/>
      <c r="Z286" s="1"/>
      <c r="AA286" s="1"/>
      <c r="AB286" s="12"/>
      <c r="AC286" s="12"/>
    </row>
    <row r="287" spans="2:29" ht="24.9" customHeight="1" x14ac:dyDescent="0.3">
      <c r="B287" s="226" t="s">
        <v>126</v>
      </c>
      <c r="C287" s="26" t="str">
        <f t="shared" si="5"/>
        <v/>
      </c>
      <c r="D287" s="53" t="str">
        <f>IF(Data!F310="","",Data!F310)</f>
        <v/>
      </c>
      <c r="E287" s="92" t="str">
        <f>IF(Data!H310="","",Data!H310)</f>
        <v/>
      </c>
      <c r="F287" s="54" t="str">
        <f>IF(Data!I310="","",Data!I310)</f>
        <v/>
      </c>
      <c r="G287" s="110"/>
      <c r="H287" s="111"/>
      <c r="I287" s="117">
        <f>MAX(G287:H287)</f>
        <v>0</v>
      </c>
      <c r="J287" s="117">
        <f>MIN(G287:H287)</f>
        <v>0</v>
      </c>
      <c r="K287" s="117" t="e">
        <f>IF(I287&gt;#REF!,#REF!,IF(I287&gt;#REF!,#REF!,IF(I287&gt;#REF!,#REF!,#REF!)))</f>
        <v>#REF!</v>
      </c>
      <c r="L287" s="117" t="e">
        <f>IF(J287&gt;#REF!,#REF!,IF(J287&gt;#REF!,#REF!,IF(J287&gt;#REF!,#REF!,#REF!)))</f>
        <v>#REF!</v>
      </c>
      <c r="M287" s="117" t="e">
        <f>MATCH(I287,G287:H287,0)</f>
        <v>#N/A</v>
      </c>
      <c r="N287" s="118" t="e">
        <f>MATCH(J287,G287:H287,0)</f>
        <v>#N/A</v>
      </c>
      <c r="O287" s="112"/>
      <c r="P287" s="115"/>
      <c r="Q287" s="115"/>
      <c r="R287" s="114"/>
      <c r="S287" s="114"/>
      <c r="T287" s="115"/>
      <c r="U287" s="116"/>
      <c r="V287" s="112"/>
      <c r="W287" s="217"/>
      <c r="X287" s="217"/>
      <c r="Y287" s="217"/>
      <c r="Z287" s="1"/>
      <c r="AA287" s="1"/>
      <c r="AB287" s="12"/>
      <c r="AC287" s="12"/>
    </row>
    <row r="288" spans="2:29" ht="24.9" customHeight="1" x14ac:dyDescent="0.3">
      <c r="B288" s="226" t="s">
        <v>126</v>
      </c>
      <c r="C288" s="26" t="str">
        <f t="shared" si="5"/>
        <v/>
      </c>
      <c r="D288" s="53" t="str">
        <f>IF(Data!F311="","",Data!F311)</f>
        <v/>
      </c>
      <c r="E288" s="92" t="str">
        <f>IF(Data!H311="","",Data!H311)</f>
        <v/>
      </c>
      <c r="F288" s="54" t="str">
        <f>IF(Data!I311="","",Data!I311)</f>
        <v/>
      </c>
      <c r="G288" s="110"/>
      <c r="H288" s="111"/>
      <c r="I288" s="117">
        <f>MAX(G288:H288)</f>
        <v>0</v>
      </c>
      <c r="J288" s="117">
        <f>MIN(G288:H288)</f>
        <v>0</v>
      </c>
      <c r="K288" s="117" t="e">
        <f>IF(I288&gt;#REF!,#REF!,IF(I288&gt;#REF!,#REF!,IF(I288&gt;#REF!,#REF!,#REF!)))</f>
        <v>#REF!</v>
      </c>
      <c r="L288" s="117" t="e">
        <f>IF(J288&gt;#REF!,#REF!,IF(J288&gt;#REF!,#REF!,IF(J288&gt;#REF!,#REF!,#REF!)))</f>
        <v>#REF!</v>
      </c>
      <c r="M288" s="117" t="e">
        <f>MATCH(I288,G288:H288,0)</f>
        <v>#N/A</v>
      </c>
      <c r="N288" s="118" t="e">
        <f>MATCH(J288,G288:H288,0)</f>
        <v>#N/A</v>
      </c>
      <c r="O288" s="112"/>
      <c r="P288" s="115"/>
      <c r="Q288" s="115"/>
      <c r="R288" s="114"/>
      <c r="S288" s="114"/>
      <c r="T288" s="115"/>
      <c r="U288" s="116"/>
      <c r="V288" s="112"/>
      <c r="W288" s="217"/>
      <c r="X288" s="217"/>
      <c r="Y288" s="217"/>
      <c r="Z288" s="1"/>
      <c r="AA288" s="1"/>
      <c r="AB288" s="12"/>
      <c r="AC288" s="12"/>
    </row>
    <row r="289" spans="2:29" ht="24.9" customHeight="1" x14ac:dyDescent="0.3">
      <c r="B289" s="226" t="s">
        <v>126</v>
      </c>
      <c r="C289" s="26" t="str">
        <f t="shared" si="5"/>
        <v/>
      </c>
      <c r="D289" s="53" t="str">
        <f>IF(Data!F312="","",Data!F312)</f>
        <v/>
      </c>
      <c r="E289" s="92" t="str">
        <f>IF(Data!H312="","",Data!H312)</f>
        <v/>
      </c>
      <c r="F289" s="54" t="str">
        <f>IF(Data!I312="","",Data!I312)</f>
        <v/>
      </c>
      <c r="G289" s="110"/>
      <c r="H289" s="111"/>
      <c r="I289" s="117">
        <f>MAX(G289:H289)</f>
        <v>0</v>
      </c>
      <c r="J289" s="117">
        <f>MIN(G289:H289)</f>
        <v>0</v>
      </c>
      <c r="K289" s="117" t="e">
        <f>IF(I289&gt;#REF!,#REF!,IF(I289&gt;#REF!,#REF!,IF(I289&gt;#REF!,#REF!,#REF!)))</f>
        <v>#REF!</v>
      </c>
      <c r="L289" s="117" t="e">
        <f>IF(J289&gt;#REF!,#REF!,IF(J289&gt;#REF!,#REF!,IF(J289&gt;#REF!,#REF!,#REF!)))</f>
        <v>#REF!</v>
      </c>
      <c r="M289" s="117" t="e">
        <f>MATCH(I289,G289:H289,0)</f>
        <v>#N/A</v>
      </c>
      <c r="N289" s="118" t="e">
        <f>MATCH(J289,G289:H289,0)</f>
        <v>#N/A</v>
      </c>
      <c r="O289" s="112"/>
      <c r="P289" s="115"/>
      <c r="Q289" s="115"/>
      <c r="R289" s="114"/>
      <c r="S289" s="114"/>
      <c r="T289" s="115"/>
      <c r="U289" s="116"/>
      <c r="V289" s="112"/>
      <c r="W289" s="217"/>
      <c r="X289" s="217"/>
      <c r="Y289" s="217"/>
      <c r="Z289" s="1"/>
      <c r="AA289" s="1"/>
      <c r="AB289" s="12"/>
      <c r="AC289" s="12"/>
    </row>
    <row r="290" spans="2:29" ht="24.9" customHeight="1" x14ac:dyDescent="0.3">
      <c r="B290" s="226" t="s">
        <v>126</v>
      </c>
      <c r="C290" s="26" t="str">
        <f t="shared" si="5"/>
        <v/>
      </c>
      <c r="D290" s="53" t="str">
        <f>IF(Data!F313="","",Data!F313)</f>
        <v/>
      </c>
      <c r="E290" s="92" t="str">
        <f>IF(Data!H313="","",Data!H313)</f>
        <v/>
      </c>
      <c r="F290" s="54" t="str">
        <f>IF(Data!I313="","",Data!I313)</f>
        <v/>
      </c>
      <c r="G290" s="110"/>
      <c r="H290" s="111"/>
      <c r="I290" s="117"/>
      <c r="J290" s="117"/>
      <c r="K290" s="117"/>
      <c r="L290" s="117"/>
      <c r="M290" s="117"/>
      <c r="N290" s="118"/>
      <c r="O290" s="112"/>
      <c r="P290" s="115"/>
      <c r="Q290" s="115"/>
      <c r="R290" s="114"/>
      <c r="S290" s="114"/>
      <c r="T290" s="115"/>
      <c r="U290" s="116"/>
      <c r="V290" s="112"/>
      <c r="W290" s="217"/>
      <c r="X290" s="217"/>
      <c r="Y290" s="217"/>
      <c r="Z290" s="1"/>
      <c r="AA290" s="1"/>
      <c r="AB290" s="12"/>
      <c r="AC290" s="12"/>
    </row>
    <row r="291" spans="2:29" ht="24.9" customHeight="1" x14ac:dyDescent="0.3">
      <c r="B291" s="226" t="s">
        <v>126</v>
      </c>
      <c r="C291" s="26" t="str">
        <f t="shared" ref="C291:C330" si="6">IF(E291="","",C290+1)</f>
        <v/>
      </c>
      <c r="D291" s="53" t="str">
        <f>IF(Data!F314="","",Data!F314)</f>
        <v/>
      </c>
      <c r="E291" s="92" t="str">
        <f>IF(Data!H314="","",Data!H314)</f>
        <v/>
      </c>
      <c r="F291" s="54" t="str">
        <f>IF(Data!I314="","",Data!I314)</f>
        <v/>
      </c>
      <c r="G291" s="110"/>
      <c r="H291" s="111"/>
      <c r="I291" s="117"/>
      <c r="J291" s="117"/>
      <c r="K291" s="117"/>
      <c r="L291" s="117"/>
      <c r="M291" s="117"/>
      <c r="N291" s="118"/>
      <c r="O291" s="112"/>
      <c r="P291" s="115"/>
      <c r="Q291" s="115"/>
      <c r="R291" s="114"/>
      <c r="S291" s="114"/>
      <c r="T291" s="115"/>
      <c r="U291" s="116"/>
      <c r="V291" s="112"/>
      <c r="W291" s="217"/>
      <c r="X291" s="217"/>
      <c r="Y291" s="217"/>
      <c r="Z291" s="1"/>
      <c r="AA291" s="1"/>
      <c r="AB291" s="12"/>
      <c r="AC291" s="12"/>
    </row>
    <row r="292" spans="2:29" ht="24.9" customHeight="1" x14ac:dyDescent="0.3">
      <c r="B292" s="226" t="s">
        <v>126</v>
      </c>
      <c r="C292" s="26" t="str">
        <f t="shared" si="6"/>
        <v/>
      </c>
      <c r="D292" s="53" t="str">
        <f>IF(Data!F315="","",Data!F315)</f>
        <v/>
      </c>
      <c r="E292" s="92" t="str">
        <f>IF(Data!H315="","",Data!H315)</f>
        <v/>
      </c>
      <c r="F292" s="54" t="str">
        <f>IF(Data!I315="","",Data!I315)</f>
        <v/>
      </c>
      <c r="G292" s="110"/>
      <c r="H292" s="111"/>
      <c r="I292" s="117"/>
      <c r="J292" s="117"/>
      <c r="K292" s="117"/>
      <c r="L292" s="117"/>
      <c r="M292" s="117"/>
      <c r="N292" s="118"/>
      <c r="O292" s="112"/>
      <c r="P292" s="115"/>
      <c r="Q292" s="115"/>
      <c r="R292" s="114"/>
      <c r="S292" s="114"/>
      <c r="T292" s="115"/>
      <c r="U292" s="116"/>
      <c r="V292" s="112"/>
      <c r="W292" s="217"/>
      <c r="X292" s="217"/>
      <c r="Y292" s="217"/>
      <c r="Z292" s="1"/>
      <c r="AA292" s="1"/>
      <c r="AB292" s="12"/>
      <c r="AC292" s="12"/>
    </row>
    <row r="293" spans="2:29" ht="24.9" customHeight="1" x14ac:dyDescent="0.3">
      <c r="B293" s="226" t="s">
        <v>126</v>
      </c>
      <c r="C293" s="26" t="str">
        <f t="shared" si="6"/>
        <v/>
      </c>
      <c r="D293" s="53" t="str">
        <f>IF(Data!F320="","",Data!F320)</f>
        <v/>
      </c>
      <c r="E293" s="92" t="str">
        <f>IF(Data!H320="","",Data!H320)</f>
        <v/>
      </c>
      <c r="F293" s="54" t="str">
        <f>IF(Data!I320="","",Data!I320)</f>
        <v/>
      </c>
      <c r="G293" s="110"/>
      <c r="H293" s="111"/>
      <c r="I293" s="117"/>
      <c r="J293" s="117"/>
      <c r="K293" s="117"/>
      <c r="L293" s="117"/>
      <c r="M293" s="117"/>
      <c r="N293" s="118"/>
      <c r="O293" s="112"/>
      <c r="P293" s="115"/>
      <c r="Q293" s="115"/>
      <c r="R293" s="114"/>
      <c r="S293" s="114"/>
      <c r="T293" s="115"/>
      <c r="U293" s="116"/>
      <c r="V293" s="112"/>
      <c r="W293" s="217"/>
      <c r="X293" s="217"/>
      <c r="Y293" s="217"/>
      <c r="Z293" s="1"/>
      <c r="AA293" s="1"/>
      <c r="AB293" s="12"/>
      <c r="AC293" s="12"/>
    </row>
    <row r="294" spans="2:29" ht="24.9" customHeight="1" x14ac:dyDescent="0.3">
      <c r="B294" s="226" t="s">
        <v>126</v>
      </c>
      <c r="C294" s="26" t="str">
        <f t="shared" si="6"/>
        <v/>
      </c>
      <c r="D294" s="53" t="str">
        <f>IF(Data!F321="","",Data!F321)</f>
        <v/>
      </c>
      <c r="E294" s="92" t="str">
        <f>IF(Data!H321="","",Data!H321)</f>
        <v/>
      </c>
      <c r="F294" s="54" t="str">
        <f>IF(Data!I321="","",Data!I321)</f>
        <v/>
      </c>
      <c r="G294" s="110"/>
      <c r="H294" s="111"/>
      <c r="I294" s="117"/>
      <c r="J294" s="117"/>
      <c r="K294" s="117"/>
      <c r="L294" s="117"/>
      <c r="M294" s="117"/>
      <c r="N294" s="118"/>
      <c r="O294" s="112"/>
      <c r="P294" s="115"/>
      <c r="Q294" s="115"/>
      <c r="R294" s="114"/>
      <c r="S294" s="114"/>
      <c r="T294" s="115"/>
      <c r="U294" s="116"/>
      <c r="V294" s="112"/>
      <c r="W294" s="217"/>
      <c r="X294" s="217"/>
      <c r="Y294" s="217"/>
      <c r="Z294" s="1"/>
      <c r="AA294" s="1"/>
      <c r="AB294" s="12"/>
      <c r="AC294" s="12"/>
    </row>
    <row r="295" spans="2:29" ht="24.9" customHeight="1" x14ac:dyDescent="0.3">
      <c r="B295" s="226" t="s">
        <v>126</v>
      </c>
      <c r="C295" s="26" t="str">
        <f t="shared" si="6"/>
        <v/>
      </c>
      <c r="D295" s="53" t="str">
        <f>IF(Data!F322="","",Data!F322)</f>
        <v/>
      </c>
      <c r="E295" s="92" t="str">
        <f>IF(Data!H322="","",Data!H322)</f>
        <v/>
      </c>
      <c r="F295" s="54" t="str">
        <f>IF(Data!I322="","",Data!I322)</f>
        <v/>
      </c>
      <c r="G295" s="110"/>
      <c r="H295" s="111"/>
      <c r="I295" s="117"/>
      <c r="J295" s="117"/>
      <c r="K295" s="117"/>
      <c r="L295" s="117"/>
      <c r="M295" s="117"/>
      <c r="N295" s="118"/>
      <c r="O295" s="112"/>
      <c r="P295" s="115"/>
      <c r="Q295" s="115"/>
      <c r="R295" s="114"/>
      <c r="S295" s="114"/>
      <c r="T295" s="115"/>
      <c r="U295" s="116"/>
      <c r="V295" s="112"/>
      <c r="W295" s="217"/>
      <c r="X295" s="217"/>
      <c r="Y295" s="217"/>
      <c r="Z295" s="1"/>
      <c r="AA295" s="1"/>
      <c r="AB295" s="12"/>
      <c r="AC295" s="12"/>
    </row>
    <row r="296" spans="2:29" ht="24.9" customHeight="1" x14ac:dyDescent="0.3">
      <c r="B296" s="226" t="s">
        <v>126</v>
      </c>
      <c r="C296" s="26" t="str">
        <f t="shared" si="6"/>
        <v/>
      </c>
      <c r="D296" s="53" t="str">
        <f>IF(Data!F323="","",Data!F323)</f>
        <v/>
      </c>
      <c r="E296" s="92" t="str">
        <f>IF(Data!H323="","",Data!H323)</f>
        <v/>
      </c>
      <c r="F296" s="54" t="str">
        <f>IF(Data!I323="","",Data!I323)</f>
        <v/>
      </c>
      <c r="G296" s="110"/>
      <c r="H296" s="111"/>
      <c r="I296" s="117"/>
      <c r="J296" s="117"/>
      <c r="K296" s="117"/>
      <c r="L296" s="117"/>
      <c r="M296" s="117"/>
      <c r="N296" s="118"/>
      <c r="O296" s="112"/>
      <c r="P296" s="115"/>
      <c r="Q296" s="115"/>
      <c r="R296" s="114"/>
      <c r="S296" s="114"/>
      <c r="T296" s="115"/>
      <c r="U296" s="116"/>
      <c r="V296" s="112"/>
      <c r="W296" s="217"/>
      <c r="X296" s="217"/>
      <c r="Y296" s="217"/>
      <c r="Z296" s="1"/>
      <c r="AA296" s="1"/>
      <c r="AB296" s="12"/>
      <c r="AC296" s="12"/>
    </row>
    <row r="297" spans="2:29" ht="24.9" customHeight="1" x14ac:dyDescent="0.3">
      <c r="B297" s="226" t="s">
        <v>126</v>
      </c>
      <c r="C297" s="26" t="str">
        <f t="shared" si="6"/>
        <v/>
      </c>
      <c r="D297" s="53" t="str">
        <f>IF(Data!F324="","",Data!F324)</f>
        <v/>
      </c>
      <c r="E297" s="92" t="str">
        <f>IF(Data!H324="","",Data!H324)</f>
        <v/>
      </c>
      <c r="F297" s="54" t="str">
        <f>IF(Data!I324="","",Data!I324)</f>
        <v/>
      </c>
      <c r="G297" s="110"/>
      <c r="H297" s="111"/>
      <c r="I297" s="117"/>
      <c r="J297" s="117"/>
      <c r="K297" s="117"/>
      <c r="L297" s="117"/>
      <c r="M297" s="117"/>
      <c r="N297" s="118"/>
      <c r="O297" s="112"/>
      <c r="P297" s="115"/>
      <c r="Q297" s="115"/>
      <c r="R297" s="114"/>
      <c r="S297" s="114"/>
      <c r="T297" s="115"/>
      <c r="U297" s="116"/>
      <c r="V297" s="112"/>
      <c r="W297" s="217"/>
      <c r="X297" s="217"/>
      <c r="Y297" s="217"/>
      <c r="Z297" s="1"/>
      <c r="AA297" s="1"/>
      <c r="AB297" s="12"/>
      <c r="AC297" s="12"/>
    </row>
    <row r="298" spans="2:29" ht="24.9" customHeight="1" x14ac:dyDescent="0.3">
      <c r="B298" s="226" t="s">
        <v>127</v>
      </c>
      <c r="C298" s="26">
        <v>1</v>
      </c>
      <c r="D298" s="53" t="str">
        <f>IF(Data!F325="","",Data!F325)</f>
        <v/>
      </c>
      <c r="E298" s="92" t="str">
        <f>IF(Data!H325="","",Data!H325)</f>
        <v/>
      </c>
      <c r="F298" s="54" t="str">
        <f>IF(Data!I325="","",Data!I325)</f>
        <v/>
      </c>
      <c r="G298" s="110"/>
      <c r="H298" s="111"/>
      <c r="I298" s="117"/>
      <c r="J298" s="117"/>
      <c r="K298" s="117"/>
      <c r="L298" s="117"/>
      <c r="M298" s="117"/>
      <c r="N298" s="118"/>
      <c r="O298" s="112"/>
      <c r="P298" s="115"/>
      <c r="Q298" s="115"/>
      <c r="R298" s="114"/>
      <c r="S298" s="114"/>
      <c r="T298" s="115"/>
      <c r="U298" s="116"/>
      <c r="V298" s="112"/>
      <c r="W298" s="217"/>
      <c r="X298" s="217"/>
      <c r="Y298" s="217"/>
      <c r="Z298" s="1"/>
      <c r="AA298" s="1"/>
      <c r="AB298" s="12"/>
      <c r="AC298" s="12"/>
    </row>
    <row r="299" spans="2:29" ht="24.9" customHeight="1" x14ac:dyDescent="0.3">
      <c r="B299" s="226" t="s">
        <v>127</v>
      </c>
      <c r="C299" s="26" t="str">
        <f t="shared" si="6"/>
        <v/>
      </c>
      <c r="D299" s="53" t="str">
        <f>IF(Data!F326="","",Data!F326)</f>
        <v/>
      </c>
      <c r="E299" s="92" t="str">
        <f>IF(Data!H326="","",Data!H326)</f>
        <v/>
      </c>
      <c r="F299" s="54" t="str">
        <f>IF(Data!I326="","",Data!I326)</f>
        <v/>
      </c>
      <c r="G299" s="110"/>
      <c r="H299" s="111"/>
      <c r="I299" s="117"/>
      <c r="J299" s="117"/>
      <c r="K299" s="117"/>
      <c r="L299" s="117"/>
      <c r="M299" s="117"/>
      <c r="N299" s="118"/>
      <c r="O299" s="112"/>
      <c r="P299" s="115"/>
      <c r="Q299" s="115"/>
      <c r="R299" s="114"/>
      <c r="S299" s="114"/>
      <c r="T299" s="115"/>
      <c r="U299" s="116"/>
      <c r="V299" s="112"/>
      <c r="W299" s="217"/>
      <c r="X299" s="217"/>
      <c r="Y299" s="217"/>
      <c r="Z299" s="1"/>
      <c r="AA299" s="1"/>
      <c r="AB299" s="12"/>
      <c r="AC299" s="12"/>
    </row>
    <row r="300" spans="2:29" ht="24.9" customHeight="1" x14ac:dyDescent="0.3">
      <c r="B300" s="226" t="s">
        <v>127</v>
      </c>
      <c r="C300" s="26" t="str">
        <f t="shared" si="6"/>
        <v/>
      </c>
      <c r="D300" s="53" t="str">
        <f>IF(Data!F327="","",Data!F327)</f>
        <v/>
      </c>
      <c r="E300" s="92" t="str">
        <f>IF(Data!H327="","",Data!H327)</f>
        <v/>
      </c>
      <c r="F300" s="54" t="str">
        <f>IF(Data!I327="","",Data!I327)</f>
        <v/>
      </c>
      <c r="G300" s="110"/>
      <c r="H300" s="111"/>
      <c r="I300" s="117"/>
      <c r="J300" s="117"/>
      <c r="K300" s="117"/>
      <c r="L300" s="117"/>
      <c r="M300" s="117"/>
      <c r="N300" s="118"/>
      <c r="O300" s="112"/>
      <c r="P300" s="115"/>
      <c r="Q300" s="115"/>
      <c r="R300" s="114"/>
      <c r="S300" s="114"/>
      <c r="T300" s="115"/>
      <c r="U300" s="116"/>
      <c r="V300" s="112"/>
      <c r="W300" s="217"/>
      <c r="X300" s="217"/>
      <c r="Y300" s="217"/>
      <c r="Z300" s="1"/>
      <c r="AA300" s="1"/>
      <c r="AB300" s="12"/>
      <c r="AC300" s="12"/>
    </row>
    <row r="301" spans="2:29" ht="24.9" customHeight="1" x14ac:dyDescent="0.3">
      <c r="B301" s="226" t="s">
        <v>127</v>
      </c>
      <c r="C301" s="26" t="str">
        <f t="shared" si="6"/>
        <v/>
      </c>
      <c r="D301" s="53" t="str">
        <f>IF(Data!F328="","",Data!F328)</f>
        <v/>
      </c>
      <c r="E301" s="92" t="str">
        <f>IF(Data!H328="","",Data!H328)</f>
        <v/>
      </c>
      <c r="F301" s="54" t="str">
        <f>IF(Data!I328="","",Data!I328)</f>
        <v/>
      </c>
      <c r="G301" s="110"/>
      <c r="H301" s="111"/>
      <c r="I301" s="117"/>
      <c r="J301" s="117"/>
      <c r="K301" s="117"/>
      <c r="L301" s="117"/>
      <c r="M301" s="117"/>
      <c r="N301" s="118"/>
      <c r="O301" s="112"/>
      <c r="P301" s="115"/>
      <c r="Q301" s="115"/>
      <c r="R301" s="114"/>
      <c r="S301" s="114"/>
      <c r="T301" s="115"/>
      <c r="U301" s="116"/>
      <c r="V301" s="112"/>
      <c r="W301" s="217"/>
      <c r="X301" s="217"/>
      <c r="Y301" s="217"/>
      <c r="Z301" s="1"/>
      <c r="AA301" s="1"/>
      <c r="AB301" s="12"/>
      <c r="AC301" s="12"/>
    </row>
    <row r="302" spans="2:29" ht="24.9" customHeight="1" x14ac:dyDescent="0.3">
      <c r="B302" s="226" t="s">
        <v>127</v>
      </c>
      <c r="C302" s="26" t="str">
        <f t="shared" si="6"/>
        <v/>
      </c>
      <c r="D302" s="53" t="str">
        <f>IF(Data!F329="","",Data!F329)</f>
        <v/>
      </c>
      <c r="E302" s="92" t="str">
        <f>IF(Data!H329="","",Data!H329)</f>
        <v/>
      </c>
      <c r="F302" s="54" t="str">
        <f>IF(Data!I329="","",Data!I329)</f>
        <v/>
      </c>
      <c r="G302" s="110"/>
      <c r="H302" s="111"/>
      <c r="I302" s="117"/>
      <c r="J302" s="117"/>
      <c r="K302" s="117"/>
      <c r="L302" s="117"/>
      <c r="M302" s="117"/>
      <c r="N302" s="118"/>
      <c r="O302" s="112"/>
      <c r="P302" s="115"/>
      <c r="Q302" s="115"/>
      <c r="R302" s="114"/>
      <c r="S302" s="114"/>
      <c r="T302" s="115"/>
      <c r="U302" s="116"/>
      <c r="V302" s="112"/>
      <c r="W302" s="217"/>
      <c r="X302" s="217"/>
      <c r="Y302" s="217"/>
      <c r="Z302" s="1"/>
      <c r="AA302" s="1"/>
      <c r="AB302" s="12"/>
      <c r="AC302" s="12"/>
    </row>
    <row r="303" spans="2:29" ht="24.9" customHeight="1" x14ac:dyDescent="0.3">
      <c r="B303" s="226" t="s">
        <v>127</v>
      </c>
      <c r="C303" s="26" t="str">
        <f t="shared" si="6"/>
        <v/>
      </c>
      <c r="D303" s="53" t="str">
        <f>IF(Data!F330="","",Data!F330)</f>
        <v/>
      </c>
      <c r="E303" s="92" t="str">
        <f>IF(Data!H330="","",Data!H330)</f>
        <v/>
      </c>
      <c r="F303" s="54" t="str">
        <f>IF(Data!I330="","",Data!I330)</f>
        <v/>
      </c>
      <c r="G303" s="110"/>
      <c r="H303" s="111"/>
      <c r="I303" s="117"/>
      <c r="J303" s="117"/>
      <c r="K303" s="117"/>
      <c r="L303" s="117"/>
      <c r="M303" s="117"/>
      <c r="N303" s="118"/>
      <c r="O303" s="112"/>
      <c r="P303" s="115"/>
      <c r="Q303" s="115"/>
      <c r="R303" s="114"/>
      <c r="S303" s="114"/>
      <c r="T303" s="115"/>
      <c r="U303" s="116"/>
      <c r="V303" s="112"/>
      <c r="W303" s="217"/>
      <c r="X303" s="217"/>
      <c r="Y303" s="217"/>
      <c r="Z303" s="1"/>
      <c r="AA303" s="1"/>
      <c r="AB303" s="12"/>
      <c r="AC303" s="12"/>
    </row>
    <row r="304" spans="2:29" ht="24.9" customHeight="1" x14ac:dyDescent="0.3">
      <c r="B304" s="226" t="s">
        <v>127</v>
      </c>
      <c r="C304" s="26" t="str">
        <f t="shared" si="6"/>
        <v/>
      </c>
      <c r="D304" s="53" t="str">
        <f>IF(Data!F331="","",Data!F331)</f>
        <v/>
      </c>
      <c r="E304" s="92" t="str">
        <f>IF(Data!H331="","",Data!H331)</f>
        <v/>
      </c>
      <c r="F304" s="54" t="str">
        <f>IF(Data!I331="","",Data!I331)</f>
        <v/>
      </c>
      <c r="G304" s="110"/>
      <c r="H304" s="111"/>
      <c r="I304" s="117"/>
      <c r="J304" s="117"/>
      <c r="K304" s="117"/>
      <c r="L304" s="117"/>
      <c r="M304" s="117"/>
      <c r="N304" s="118"/>
      <c r="O304" s="112"/>
      <c r="P304" s="115"/>
      <c r="Q304" s="115"/>
      <c r="R304" s="114"/>
      <c r="S304" s="114"/>
      <c r="T304" s="115"/>
      <c r="U304" s="116"/>
      <c r="V304" s="112"/>
      <c r="W304" s="217"/>
      <c r="X304" s="217"/>
      <c r="Y304" s="217"/>
      <c r="Z304" s="1"/>
      <c r="AA304" s="1"/>
      <c r="AB304" s="12"/>
      <c r="AC304" s="12"/>
    </row>
    <row r="305" spans="2:29" ht="24.9" customHeight="1" x14ac:dyDescent="0.3">
      <c r="B305" s="226" t="s">
        <v>127</v>
      </c>
      <c r="C305" s="26" t="str">
        <f t="shared" si="6"/>
        <v/>
      </c>
      <c r="D305" s="53" t="str">
        <f>IF(Data!F332="","",Data!F332)</f>
        <v/>
      </c>
      <c r="E305" s="92" t="str">
        <f>IF(Data!H332="","",Data!H332)</f>
        <v/>
      </c>
      <c r="F305" s="54" t="str">
        <f>IF(Data!I332="","",Data!I332)</f>
        <v/>
      </c>
      <c r="G305" s="110"/>
      <c r="H305" s="111"/>
      <c r="I305" s="117"/>
      <c r="J305" s="117"/>
      <c r="K305" s="117"/>
      <c r="L305" s="117"/>
      <c r="M305" s="117"/>
      <c r="N305" s="118"/>
      <c r="O305" s="112"/>
      <c r="P305" s="115"/>
      <c r="Q305" s="115"/>
      <c r="R305" s="114"/>
      <c r="S305" s="114"/>
      <c r="T305" s="115"/>
      <c r="U305" s="116"/>
      <c r="V305" s="112"/>
      <c r="W305" s="217"/>
      <c r="X305" s="217"/>
      <c r="Y305" s="217"/>
      <c r="Z305" s="1"/>
      <c r="AA305" s="1"/>
      <c r="AB305" s="12"/>
      <c r="AC305" s="12"/>
    </row>
    <row r="306" spans="2:29" ht="24.9" customHeight="1" x14ac:dyDescent="0.3">
      <c r="B306" s="226" t="s">
        <v>127</v>
      </c>
      <c r="C306" s="26" t="str">
        <f t="shared" si="6"/>
        <v/>
      </c>
      <c r="D306" s="53" t="str">
        <f>IF(Data!F333="","",Data!F333)</f>
        <v/>
      </c>
      <c r="E306" s="92" t="str">
        <f>IF(Data!H333="","",Data!H333)</f>
        <v/>
      </c>
      <c r="F306" s="54" t="str">
        <f>IF(Data!I333="","",Data!I333)</f>
        <v/>
      </c>
      <c r="G306" s="110"/>
      <c r="H306" s="111"/>
      <c r="I306" s="117"/>
      <c r="J306" s="117"/>
      <c r="K306" s="117"/>
      <c r="L306" s="117"/>
      <c r="M306" s="117"/>
      <c r="N306" s="118"/>
      <c r="O306" s="112"/>
      <c r="P306" s="115"/>
      <c r="Q306" s="115"/>
      <c r="R306" s="114"/>
      <c r="S306" s="114"/>
      <c r="T306" s="115"/>
      <c r="U306" s="116"/>
      <c r="V306" s="112"/>
      <c r="W306" s="217"/>
      <c r="X306" s="217"/>
      <c r="Y306" s="217"/>
      <c r="Z306" s="1"/>
      <c r="AA306" s="1"/>
      <c r="AB306" s="12"/>
      <c r="AC306" s="12"/>
    </row>
    <row r="307" spans="2:29" ht="24.9" customHeight="1" x14ac:dyDescent="0.3">
      <c r="B307" s="226" t="s">
        <v>127</v>
      </c>
      <c r="C307" s="26" t="str">
        <f t="shared" si="6"/>
        <v/>
      </c>
      <c r="D307" s="53" t="str">
        <f>IF(Data!F334="","",Data!F334)</f>
        <v/>
      </c>
      <c r="E307" s="92" t="str">
        <f>IF(Data!H334="","",Data!H334)</f>
        <v/>
      </c>
      <c r="F307" s="54" t="str">
        <f>IF(Data!I334="","",Data!I334)</f>
        <v/>
      </c>
      <c r="G307" s="110"/>
      <c r="H307" s="111"/>
      <c r="I307" s="117"/>
      <c r="J307" s="117"/>
      <c r="K307" s="117"/>
      <c r="L307" s="117"/>
      <c r="M307" s="117"/>
      <c r="N307" s="118"/>
      <c r="O307" s="112"/>
      <c r="P307" s="115"/>
      <c r="Q307" s="115"/>
      <c r="R307" s="114"/>
      <c r="S307" s="114"/>
      <c r="T307" s="115"/>
      <c r="U307" s="116"/>
      <c r="V307" s="112"/>
      <c r="W307" s="217"/>
      <c r="X307" s="217"/>
      <c r="Y307" s="217"/>
      <c r="Z307" s="1"/>
      <c r="AA307" s="1"/>
      <c r="AB307" s="12"/>
      <c r="AC307" s="12"/>
    </row>
    <row r="308" spans="2:29" ht="24.9" customHeight="1" x14ac:dyDescent="0.3">
      <c r="B308" s="226" t="s">
        <v>127</v>
      </c>
      <c r="C308" s="26" t="str">
        <f t="shared" si="6"/>
        <v/>
      </c>
      <c r="D308" s="53" t="str">
        <f>IF(Data!F335="","",Data!F335)</f>
        <v/>
      </c>
      <c r="E308" s="92" t="str">
        <f>IF(Data!H335="","",Data!H335)</f>
        <v/>
      </c>
      <c r="F308" s="54" t="str">
        <f>IF(Data!I335="","",Data!I335)</f>
        <v/>
      </c>
      <c r="G308" s="110"/>
      <c r="H308" s="111"/>
      <c r="I308" s="117"/>
      <c r="J308" s="117"/>
      <c r="K308" s="117"/>
      <c r="L308" s="117"/>
      <c r="M308" s="117"/>
      <c r="N308" s="118"/>
      <c r="O308" s="112"/>
      <c r="P308" s="115"/>
      <c r="Q308" s="115"/>
      <c r="R308" s="114"/>
      <c r="S308" s="114"/>
      <c r="T308" s="115"/>
      <c r="U308" s="116"/>
      <c r="V308" s="112"/>
      <c r="W308" s="217"/>
      <c r="X308" s="217"/>
      <c r="Y308" s="217"/>
      <c r="Z308" s="1"/>
      <c r="AA308" s="1"/>
      <c r="AB308" s="12"/>
      <c r="AC308" s="12"/>
    </row>
    <row r="309" spans="2:29" ht="24.9" customHeight="1" x14ac:dyDescent="0.3">
      <c r="B309" s="226" t="s">
        <v>127</v>
      </c>
      <c r="C309" s="26" t="str">
        <f t="shared" si="6"/>
        <v/>
      </c>
      <c r="D309" s="53" t="str">
        <f>IF(Data!F336="","",Data!F336)</f>
        <v/>
      </c>
      <c r="E309" s="92" t="str">
        <f>IF(Data!H336="","",Data!H336)</f>
        <v/>
      </c>
      <c r="F309" s="54" t="str">
        <f>IF(Data!I336="","",Data!I336)</f>
        <v/>
      </c>
      <c r="G309" s="110"/>
      <c r="H309" s="111"/>
      <c r="I309" s="117"/>
      <c r="J309" s="117"/>
      <c r="K309" s="117"/>
      <c r="L309" s="117"/>
      <c r="M309" s="117"/>
      <c r="N309" s="118"/>
      <c r="O309" s="112"/>
      <c r="P309" s="115"/>
      <c r="Q309" s="115"/>
      <c r="R309" s="114"/>
      <c r="S309" s="114"/>
      <c r="T309" s="115"/>
      <c r="U309" s="116"/>
      <c r="V309" s="112"/>
      <c r="W309" s="217"/>
      <c r="X309" s="217"/>
      <c r="Y309" s="217"/>
      <c r="Z309" s="1"/>
      <c r="AA309" s="1"/>
      <c r="AB309" s="12"/>
      <c r="AC309" s="12"/>
    </row>
    <row r="310" spans="2:29" ht="24.9" customHeight="1" x14ac:dyDescent="0.3">
      <c r="B310" s="226" t="s">
        <v>127</v>
      </c>
      <c r="C310" s="26" t="str">
        <f t="shared" si="6"/>
        <v/>
      </c>
      <c r="D310" s="53" t="str">
        <f>IF(Data!F337="","",Data!F337)</f>
        <v/>
      </c>
      <c r="E310" s="92" t="str">
        <f>IF(Data!H337="","",Data!H337)</f>
        <v/>
      </c>
      <c r="F310" s="54" t="str">
        <f>IF(Data!I337="","",Data!I337)</f>
        <v/>
      </c>
      <c r="G310" s="110"/>
      <c r="H310" s="111"/>
      <c r="I310" s="117"/>
      <c r="J310" s="117"/>
      <c r="K310" s="117"/>
      <c r="L310" s="117"/>
      <c r="M310" s="117"/>
      <c r="N310" s="118"/>
      <c r="O310" s="112"/>
      <c r="P310" s="115"/>
      <c r="Q310" s="115"/>
      <c r="R310" s="114"/>
      <c r="S310" s="114"/>
      <c r="T310" s="115"/>
      <c r="U310" s="116"/>
      <c r="V310" s="112"/>
      <c r="W310" s="217"/>
      <c r="X310" s="217"/>
      <c r="Y310" s="217"/>
      <c r="Z310" s="1"/>
      <c r="AA310" s="1"/>
      <c r="AB310" s="12"/>
      <c r="AC310" s="12"/>
    </row>
    <row r="311" spans="2:29" ht="24.9" customHeight="1" x14ac:dyDescent="0.3">
      <c r="B311" s="226" t="s">
        <v>127</v>
      </c>
      <c r="C311" s="26" t="str">
        <f t="shared" si="6"/>
        <v/>
      </c>
      <c r="D311" s="53" t="str">
        <f>IF(Data!F338="","",Data!F338)</f>
        <v/>
      </c>
      <c r="E311" s="92" t="str">
        <f>IF(Data!H338="","",Data!H338)</f>
        <v/>
      </c>
      <c r="F311" s="54" t="str">
        <f>IF(Data!I338="","",Data!I338)</f>
        <v/>
      </c>
      <c r="G311" s="110"/>
      <c r="H311" s="111"/>
      <c r="I311" s="117"/>
      <c r="J311" s="117"/>
      <c r="K311" s="117"/>
      <c r="L311" s="117"/>
      <c r="M311" s="117"/>
      <c r="N311" s="118"/>
      <c r="O311" s="112"/>
      <c r="P311" s="115"/>
      <c r="Q311" s="115"/>
      <c r="R311" s="114"/>
      <c r="S311" s="114"/>
      <c r="T311" s="115"/>
      <c r="U311" s="116"/>
      <c r="V311" s="112"/>
      <c r="W311" s="217"/>
      <c r="X311" s="217"/>
      <c r="Y311" s="217"/>
      <c r="Z311" s="1"/>
      <c r="AA311" s="1"/>
      <c r="AB311" s="12"/>
      <c r="AC311" s="12"/>
    </row>
    <row r="312" spans="2:29" ht="24.9" customHeight="1" x14ac:dyDescent="0.3">
      <c r="B312" s="226" t="s">
        <v>127</v>
      </c>
      <c r="C312" s="26" t="str">
        <f t="shared" si="6"/>
        <v/>
      </c>
      <c r="D312" s="53" t="str">
        <f>IF(Data!F339="","",Data!F339)</f>
        <v/>
      </c>
      <c r="E312" s="92" t="str">
        <f>IF(Data!H339="","",Data!H339)</f>
        <v/>
      </c>
      <c r="F312" s="54" t="str">
        <f>IF(Data!I339="","",Data!I339)</f>
        <v/>
      </c>
      <c r="G312" s="110"/>
      <c r="H312" s="111"/>
      <c r="I312" s="117"/>
      <c r="J312" s="117"/>
      <c r="K312" s="117"/>
      <c r="L312" s="117"/>
      <c r="M312" s="117"/>
      <c r="N312" s="118"/>
      <c r="O312" s="112"/>
      <c r="P312" s="115"/>
      <c r="Q312" s="115"/>
      <c r="R312" s="114"/>
      <c r="S312" s="114"/>
      <c r="T312" s="115"/>
      <c r="U312" s="116"/>
      <c r="V312" s="112"/>
      <c r="W312" s="217"/>
      <c r="X312" s="217"/>
      <c r="Y312" s="217"/>
      <c r="Z312" s="1"/>
      <c r="AA312" s="1"/>
      <c r="AB312" s="12"/>
      <c r="AC312" s="12"/>
    </row>
    <row r="313" spans="2:29" ht="24.9" customHeight="1" x14ac:dyDescent="0.3">
      <c r="B313" s="226" t="s">
        <v>127</v>
      </c>
      <c r="C313" s="26" t="str">
        <f t="shared" si="6"/>
        <v/>
      </c>
      <c r="D313" s="53" t="str">
        <f>IF(Data!F340="","",Data!F340)</f>
        <v/>
      </c>
      <c r="E313" s="92" t="str">
        <f>IF(Data!H340="","",Data!H340)</f>
        <v/>
      </c>
      <c r="F313" s="54" t="str">
        <f>IF(Data!I340="","",Data!I340)</f>
        <v/>
      </c>
      <c r="G313" s="110"/>
      <c r="H313" s="111"/>
      <c r="I313" s="117"/>
      <c r="J313" s="117"/>
      <c r="K313" s="117"/>
      <c r="L313" s="117"/>
      <c r="M313" s="117"/>
      <c r="N313" s="118"/>
      <c r="O313" s="112"/>
      <c r="P313" s="115"/>
      <c r="Q313" s="115"/>
      <c r="R313" s="114"/>
      <c r="S313" s="114"/>
      <c r="T313" s="115"/>
      <c r="U313" s="116"/>
      <c r="V313" s="112"/>
      <c r="W313" s="217"/>
      <c r="X313" s="217"/>
      <c r="Y313" s="217"/>
      <c r="Z313" s="1"/>
      <c r="AA313" s="1"/>
      <c r="AB313" s="12"/>
      <c r="AC313" s="12"/>
    </row>
    <row r="314" spans="2:29" ht="24.9" customHeight="1" x14ac:dyDescent="0.3">
      <c r="B314" s="226" t="s">
        <v>127</v>
      </c>
      <c r="C314" s="26" t="str">
        <f t="shared" si="6"/>
        <v/>
      </c>
      <c r="D314" s="53" t="str">
        <f>IF(Data!F341="","",Data!F341)</f>
        <v/>
      </c>
      <c r="E314" s="92" t="str">
        <f>IF(Data!H341="","",Data!H341)</f>
        <v/>
      </c>
      <c r="F314" s="54" t="str">
        <f>IF(Data!I341="","",Data!I341)</f>
        <v/>
      </c>
      <c r="G314" s="110"/>
      <c r="H314" s="111"/>
      <c r="I314" s="117"/>
      <c r="J314" s="117"/>
      <c r="K314" s="117"/>
      <c r="L314" s="117"/>
      <c r="M314" s="117"/>
      <c r="N314" s="118"/>
      <c r="O314" s="112"/>
      <c r="P314" s="115"/>
      <c r="Q314" s="115"/>
      <c r="R314" s="114"/>
      <c r="S314" s="114"/>
      <c r="T314" s="115"/>
      <c r="U314" s="116"/>
      <c r="V314" s="112"/>
      <c r="W314" s="217"/>
      <c r="X314" s="217"/>
      <c r="Y314" s="217"/>
      <c r="Z314" s="1"/>
      <c r="AA314" s="1"/>
      <c r="AB314" s="12"/>
      <c r="AC314" s="12"/>
    </row>
    <row r="315" spans="2:29" ht="24.9" customHeight="1" x14ac:dyDescent="0.3">
      <c r="B315" s="226" t="s">
        <v>127</v>
      </c>
      <c r="C315" s="26" t="str">
        <f t="shared" si="6"/>
        <v/>
      </c>
      <c r="D315" s="53" t="str">
        <f>IF(Data!F342="","",Data!F342)</f>
        <v/>
      </c>
      <c r="E315" s="92" t="str">
        <f>IF(Data!H342="","",Data!H342)</f>
        <v/>
      </c>
      <c r="F315" s="54" t="str">
        <f>IF(Data!I342="","",Data!I342)</f>
        <v/>
      </c>
      <c r="G315" s="110"/>
      <c r="H315" s="111"/>
      <c r="I315" s="117"/>
      <c r="J315" s="117"/>
      <c r="K315" s="117"/>
      <c r="L315" s="117"/>
      <c r="M315" s="117"/>
      <c r="N315" s="118"/>
      <c r="O315" s="112"/>
      <c r="P315" s="115"/>
      <c r="Q315" s="115"/>
      <c r="R315" s="114"/>
      <c r="S315" s="114"/>
      <c r="T315" s="115"/>
      <c r="U315" s="116"/>
      <c r="V315" s="112"/>
      <c r="W315" s="217"/>
      <c r="X315" s="217"/>
      <c r="Y315" s="217"/>
      <c r="Z315" s="1"/>
      <c r="AA315" s="1"/>
      <c r="AB315" s="12"/>
      <c r="AC315" s="12"/>
    </row>
    <row r="316" spans="2:29" ht="24.9" customHeight="1" x14ac:dyDescent="0.3">
      <c r="B316" s="226" t="s">
        <v>127</v>
      </c>
      <c r="C316" s="26" t="str">
        <f t="shared" si="6"/>
        <v/>
      </c>
      <c r="D316" s="53" t="str">
        <f>IF(Data!F343="","",Data!F343)</f>
        <v/>
      </c>
      <c r="E316" s="92" t="str">
        <f>IF(Data!H343="","",Data!H343)</f>
        <v/>
      </c>
      <c r="F316" s="54" t="str">
        <f>IF(Data!I343="","",Data!I343)</f>
        <v/>
      </c>
      <c r="G316" s="110"/>
      <c r="H316" s="111"/>
      <c r="I316" s="117"/>
      <c r="J316" s="117"/>
      <c r="K316" s="117"/>
      <c r="L316" s="117"/>
      <c r="M316" s="117"/>
      <c r="N316" s="118"/>
      <c r="O316" s="112"/>
      <c r="P316" s="115"/>
      <c r="Q316" s="115"/>
      <c r="R316" s="114"/>
      <c r="S316" s="114"/>
      <c r="T316" s="115"/>
      <c r="U316" s="116"/>
      <c r="V316" s="112"/>
      <c r="W316" s="217"/>
      <c r="X316" s="217"/>
      <c r="Y316" s="217"/>
      <c r="Z316" s="1"/>
      <c r="AA316" s="1"/>
      <c r="AB316" s="12"/>
      <c r="AC316" s="12"/>
    </row>
    <row r="317" spans="2:29" ht="24.9" customHeight="1" x14ac:dyDescent="0.3">
      <c r="B317" s="226" t="s">
        <v>127</v>
      </c>
      <c r="C317" s="26" t="str">
        <f t="shared" si="6"/>
        <v/>
      </c>
      <c r="D317" s="53" t="str">
        <f>IF(Data!F344="","",Data!F344)</f>
        <v/>
      </c>
      <c r="E317" s="92" t="str">
        <f>IF(Data!H344="","",Data!H344)</f>
        <v/>
      </c>
      <c r="F317" s="54" t="str">
        <f>IF(Data!I344="","",Data!I344)</f>
        <v/>
      </c>
      <c r="G317" s="110"/>
      <c r="H317" s="111"/>
      <c r="I317" s="117"/>
      <c r="J317" s="117"/>
      <c r="K317" s="117"/>
      <c r="L317" s="117"/>
      <c r="M317" s="117"/>
      <c r="N317" s="118"/>
      <c r="O317" s="112"/>
      <c r="P317" s="115"/>
      <c r="Q317" s="115"/>
      <c r="R317" s="114"/>
      <c r="S317" s="114"/>
      <c r="T317" s="115"/>
      <c r="U317" s="116"/>
      <c r="V317" s="112"/>
      <c r="W317" s="217"/>
      <c r="X317" s="217"/>
      <c r="Y317" s="217"/>
      <c r="Z317" s="1"/>
      <c r="AA317" s="1"/>
      <c r="AB317" s="12"/>
      <c r="AC317" s="12"/>
    </row>
    <row r="318" spans="2:29" ht="24.9" customHeight="1" x14ac:dyDescent="0.3">
      <c r="B318" s="226" t="s">
        <v>127</v>
      </c>
      <c r="C318" s="26" t="str">
        <f t="shared" si="6"/>
        <v/>
      </c>
      <c r="D318" s="53" t="str">
        <f>IF(Data!F345="","",Data!F345)</f>
        <v/>
      </c>
      <c r="E318" s="92" t="str">
        <f>IF(Data!H345="","",Data!H345)</f>
        <v/>
      </c>
      <c r="F318" s="54" t="str">
        <f>IF(Data!I345="","",Data!I345)</f>
        <v/>
      </c>
      <c r="G318" s="110"/>
      <c r="H318" s="111"/>
      <c r="I318" s="117"/>
      <c r="J318" s="117"/>
      <c r="K318" s="117"/>
      <c r="L318" s="117"/>
      <c r="M318" s="117"/>
      <c r="N318" s="118"/>
      <c r="O318" s="112"/>
      <c r="P318" s="115"/>
      <c r="Q318" s="115"/>
      <c r="R318" s="114"/>
      <c r="S318" s="114"/>
      <c r="T318" s="115"/>
      <c r="U318" s="116"/>
      <c r="V318" s="112"/>
      <c r="W318" s="217"/>
      <c r="X318" s="217"/>
      <c r="Y318" s="217"/>
      <c r="Z318" s="1"/>
      <c r="AA318" s="1"/>
      <c r="AB318" s="12"/>
      <c r="AC318" s="12"/>
    </row>
    <row r="319" spans="2:29" ht="24.9" customHeight="1" x14ac:dyDescent="0.3">
      <c r="B319" s="226" t="s">
        <v>127</v>
      </c>
      <c r="C319" s="26" t="str">
        <f t="shared" si="6"/>
        <v/>
      </c>
      <c r="D319" s="53" t="str">
        <f>IF(Data!F346="","",Data!F346)</f>
        <v/>
      </c>
      <c r="E319" s="92" t="str">
        <f>IF(Data!H346="","",Data!H346)</f>
        <v/>
      </c>
      <c r="F319" s="54" t="str">
        <f>IF(Data!I346="","",Data!I346)</f>
        <v/>
      </c>
      <c r="G319" s="110"/>
      <c r="H319" s="111"/>
      <c r="I319" s="117"/>
      <c r="J319" s="117"/>
      <c r="K319" s="117"/>
      <c r="L319" s="117"/>
      <c r="M319" s="117"/>
      <c r="N319" s="118"/>
      <c r="O319" s="112"/>
      <c r="P319" s="115"/>
      <c r="Q319" s="115"/>
      <c r="R319" s="114"/>
      <c r="S319" s="114"/>
      <c r="T319" s="115"/>
      <c r="U319" s="116"/>
      <c r="V319" s="112"/>
      <c r="W319" s="217"/>
      <c r="X319" s="217"/>
      <c r="Y319" s="217"/>
      <c r="Z319" s="1"/>
      <c r="AA319" s="1"/>
      <c r="AB319" s="12"/>
      <c r="AC319" s="12"/>
    </row>
    <row r="320" spans="2:29" ht="24.9" customHeight="1" x14ac:dyDescent="0.3">
      <c r="B320" s="226" t="s">
        <v>127</v>
      </c>
      <c r="C320" s="26" t="str">
        <f t="shared" si="6"/>
        <v/>
      </c>
      <c r="D320" s="53" t="str">
        <f>IF(Data!F347="","",Data!F347)</f>
        <v/>
      </c>
      <c r="E320" s="92" t="str">
        <f>IF(Data!H347="","",Data!H347)</f>
        <v/>
      </c>
      <c r="F320" s="54" t="str">
        <f>IF(Data!I347="","",Data!I347)</f>
        <v/>
      </c>
      <c r="G320" s="110"/>
      <c r="H320" s="111"/>
      <c r="I320" s="117"/>
      <c r="J320" s="117"/>
      <c r="K320" s="117"/>
      <c r="L320" s="117"/>
      <c r="M320" s="117"/>
      <c r="N320" s="118"/>
      <c r="O320" s="112"/>
      <c r="P320" s="115"/>
      <c r="Q320" s="115"/>
      <c r="R320" s="114"/>
      <c r="S320" s="114"/>
      <c r="T320" s="115"/>
      <c r="U320" s="116"/>
      <c r="V320" s="112"/>
      <c r="W320" s="217"/>
      <c r="X320" s="217"/>
      <c r="Y320" s="217"/>
      <c r="Z320" s="1"/>
      <c r="AA320" s="1"/>
      <c r="AB320" s="12"/>
      <c r="AC320" s="12"/>
    </row>
    <row r="321" spans="2:29" ht="24.9" customHeight="1" x14ac:dyDescent="0.3">
      <c r="B321" s="226" t="s">
        <v>127</v>
      </c>
      <c r="C321" s="26" t="str">
        <f t="shared" si="6"/>
        <v/>
      </c>
      <c r="D321" s="53" t="str">
        <f>IF(Data!F348="","",Data!F348)</f>
        <v/>
      </c>
      <c r="E321" s="92" t="str">
        <f>IF(Data!H348="","",Data!H348)</f>
        <v/>
      </c>
      <c r="F321" s="54" t="str">
        <f>IF(Data!I348="","",Data!I348)</f>
        <v/>
      </c>
      <c r="G321" s="110"/>
      <c r="H321" s="111"/>
      <c r="I321" s="117"/>
      <c r="J321" s="117"/>
      <c r="K321" s="117"/>
      <c r="L321" s="117"/>
      <c r="M321" s="117"/>
      <c r="N321" s="118"/>
      <c r="O321" s="112"/>
      <c r="P321" s="115"/>
      <c r="Q321" s="115"/>
      <c r="R321" s="114"/>
      <c r="S321" s="114"/>
      <c r="T321" s="115"/>
      <c r="U321" s="116"/>
      <c r="V321" s="112"/>
      <c r="W321" s="217"/>
      <c r="X321" s="217"/>
      <c r="Y321" s="217"/>
      <c r="Z321" s="1"/>
      <c r="AA321" s="1"/>
      <c r="AB321" s="12"/>
      <c r="AC321" s="12"/>
    </row>
    <row r="322" spans="2:29" ht="24.9" customHeight="1" x14ac:dyDescent="0.3">
      <c r="B322" s="226" t="s">
        <v>127</v>
      </c>
      <c r="C322" s="26" t="str">
        <f t="shared" si="6"/>
        <v/>
      </c>
      <c r="D322" s="53" t="str">
        <f>IF(Data!F349="","",Data!F349)</f>
        <v/>
      </c>
      <c r="E322" s="92" t="str">
        <f>IF(Data!H349="","",Data!H349)</f>
        <v/>
      </c>
      <c r="F322" s="54" t="str">
        <f>IF(Data!I349="","",Data!I349)</f>
        <v/>
      </c>
      <c r="G322" s="110"/>
      <c r="H322" s="111"/>
      <c r="I322" s="117"/>
      <c r="J322" s="117"/>
      <c r="K322" s="117"/>
      <c r="L322" s="117"/>
      <c r="M322" s="117"/>
      <c r="N322" s="118"/>
      <c r="O322" s="112"/>
      <c r="P322" s="115"/>
      <c r="Q322" s="115"/>
      <c r="R322" s="114"/>
      <c r="S322" s="114"/>
      <c r="T322" s="115"/>
      <c r="U322" s="116"/>
      <c r="V322" s="112"/>
      <c r="W322" s="217"/>
      <c r="X322" s="217"/>
      <c r="Y322" s="217"/>
      <c r="Z322" s="1"/>
      <c r="AA322" s="1"/>
      <c r="AB322" s="12"/>
      <c r="AC322" s="12"/>
    </row>
    <row r="323" spans="2:29" ht="24.9" customHeight="1" x14ac:dyDescent="0.3">
      <c r="B323" s="226" t="s">
        <v>127</v>
      </c>
      <c r="C323" s="26" t="str">
        <f t="shared" si="6"/>
        <v/>
      </c>
      <c r="D323" s="53" t="str">
        <f>IF(Data!F350="","",Data!F350)</f>
        <v/>
      </c>
      <c r="E323" s="92" t="str">
        <f>IF(Data!H350="","",Data!H350)</f>
        <v/>
      </c>
      <c r="F323" s="54" t="str">
        <f>IF(Data!I350="","",Data!I350)</f>
        <v/>
      </c>
      <c r="G323" s="110"/>
      <c r="H323" s="111"/>
      <c r="I323" s="117"/>
      <c r="J323" s="117"/>
      <c r="K323" s="117"/>
      <c r="L323" s="117"/>
      <c r="M323" s="117"/>
      <c r="N323" s="118"/>
      <c r="O323" s="112"/>
      <c r="P323" s="115"/>
      <c r="Q323" s="115"/>
      <c r="R323" s="114"/>
      <c r="S323" s="114"/>
      <c r="T323" s="115"/>
      <c r="U323" s="116"/>
      <c r="V323" s="112"/>
      <c r="W323" s="217"/>
      <c r="X323" s="217"/>
      <c r="Y323" s="217"/>
      <c r="Z323" s="1"/>
      <c r="AA323" s="1"/>
      <c r="AB323" s="12"/>
      <c r="AC323" s="12"/>
    </row>
    <row r="324" spans="2:29" ht="24.9" customHeight="1" x14ac:dyDescent="0.3">
      <c r="B324" s="226" t="s">
        <v>127</v>
      </c>
      <c r="C324" s="26" t="str">
        <f t="shared" si="6"/>
        <v/>
      </c>
      <c r="D324" s="53" t="str">
        <f>IF(Data!F351="","",Data!F351)</f>
        <v/>
      </c>
      <c r="E324" s="92" t="str">
        <f>IF(Data!H351="","",Data!H351)</f>
        <v/>
      </c>
      <c r="F324" s="54" t="str">
        <f>IF(Data!I351="","",Data!I351)</f>
        <v/>
      </c>
      <c r="G324" s="110"/>
      <c r="H324" s="111"/>
      <c r="I324" s="117"/>
      <c r="J324" s="117"/>
      <c r="K324" s="117"/>
      <c r="L324" s="117"/>
      <c r="M324" s="117"/>
      <c r="N324" s="118"/>
      <c r="O324" s="112"/>
      <c r="P324" s="115"/>
      <c r="Q324" s="115"/>
      <c r="R324" s="114"/>
      <c r="S324" s="114"/>
      <c r="T324" s="115"/>
      <c r="U324" s="116"/>
      <c r="V324" s="112"/>
      <c r="W324" s="217"/>
      <c r="X324" s="217"/>
      <c r="Y324" s="217"/>
      <c r="Z324" s="1"/>
      <c r="AA324" s="1"/>
      <c r="AB324" s="12"/>
      <c r="AC324" s="12"/>
    </row>
    <row r="325" spans="2:29" ht="24.9" customHeight="1" x14ac:dyDescent="0.3">
      <c r="B325" s="226" t="s">
        <v>127</v>
      </c>
      <c r="C325" s="26" t="str">
        <f t="shared" si="6"/>
        <v/>
      </c>
      <c r="D325" s="53" t="str">
        <f>IF(Data!F352="","",Data!F352)</f>
        <v/>
      </c>
      <c r="E325" s="92" t="str">
        <f>IF(Data!H352="","",Data!H352)</f>
        <v/>
      </c>
      <c r="F325" s="54" t="str">
        <f>IF(Data!I352="","",Data!I352)</f>
        <v/>
      </c>
      <c r="G325" s="110"/>
      <c r="H325" s="111"/>
      <c r="I325" s="117"/>
      <c r="J325" s="117"/>
      <c r="K325" s="117"/>
      <c r="L325" s="117"/>
      <c r="M325" s="117"/>
      <c r="N325" s="118"/>
      <c r="O325" s="112"/>
      <c r="P325" s="115"/>
      <c r="Q325" s="115"/>
      <c r="R325" s="114"/>
      <c r="S325" s="114"/>
      <c r="T325" s="115"/>
      <c r="U325" s="116"/>
      <c r="V325" s="112"/>
      <c r="W325" s="217"/>
      <c r="X325" s="217"/>
      <c r="Y325" s="217"/>
      <c r="Z325" s="1"/>
      <c r="AA325" s="1"/>
      <c r="AB325" s="12"/>
      <c r="AC325" s="12"/>
    </row>
    <row r="326" spans="2:29" ht="24.9" customHeight="1" x14ac:dyDescent="0.3">
      <c r="B326" s="226" t="s">
        <v>127</v>
      </c>
      <c r="C326" s="26" t="str">
        <f t="shared" si="6"/>
        <v/>
      </c>
      <c r="D326" s="53" t="str">
        <f>IF(Data!F353="","",Data!F353)</f>
        <v/>
      </c>
      <c r="E326" s="92" t="str">
        <f>IF(Data!H353="","",Data!H353)</f>
        <v/>
      </c>
      <c r="F326" s="54" t="str">
        <f>IF(Data!I353="","",Data!I353)</f>
        <v/>
      </c>
      <c r="G326" s="110"/>
      <c r="H326" s="111"/>
      <c r="I326" s="117"/>
      <c r="J326" s="117"/>
      <c r="K326" s="117"/>
      <c r="L326" s="117"/>
      <c r="M326" s="117"/>
      <c r="N326" s="118"/>
      <c r="O326" s="112"/>
      <c r="P326" s="115"/>
      <c r="Q326" s="115"/>
      <c r="R326" s="114"/>
      <c r="S326" s="114"/>
      <c r="T326" s="115"/>
      <c r="U326" s="116"/>
      <c r="V326" s="112"/>
      <c r="W326" s="217"/>
      <c r="X326" s="217"/>
      <c r="Y326" s="217"/>
      <c r="Z326" s="1"/>
      <c r="AA326" s="1"/>
      <c r="AB326" s="12"/>
      <c r="AC326" s="12"/>
    </row>
    <row r="327" spans="2:29" ht="24.9" customHeight="1" x14ac:dyDescent="0.3">
      <c r="B327" s="226" t="s">
        <v>127</v>
      </c>
      <c r="C327" s="26" t="str">
        <f t="shared" si="6"/>
        <v/>
      </c>
      <c r="D327" s="53" t="str">
        <f>IF(Data!F354="","",Data!F354)</f>
        <v/>
      </c>
      <c r="E327" s="92" t="str">
        <f>IF(Data!H354="","",Data!H354)</f>
        <v/>
      </c>
      <c r="F327" s="54" t="str">
        <f>IF(Data!I354="","",Data!I354)</f>
        <v/>
      </c>
      <c r="G327" s="110"/>
      <c r="H327" s="111"/>
      <c r="I327" s="117"/>
      <c r="J327" s="117"/>
      <c r="K327" s="117"/>
      <c r="L327" s="117"/>
      <c r="M327" s="117"/>
      <c r="N327" s="118"/>
      <c r="O327" s="112"/>
      <c r="P327" s="115"/>
      <c r="Q327" s="115"/>
      <c r="R327" s="114"/>
      <c r="S327" s="114"/>
      <c r="T327" s="115"/>
      <c r="U327" s="116"/>
      <c r="V327" s="112"/>
      <c r="W327" s="217"/>
      <c r="X327" s="217"/>
      <c r="Y327" s="217"/>
      <c r="Z327" s="1"/>
      <c r="AA327" s="1"/>
      <c r="AB327" s="12"/>
      <c r="AC327" s="12"/>
    </row>
    <row r="328" spans="2:29" ht="24.9" customHeight="1" x14ac:dyDescent="0.3">
      <c r="B328" s="226" t="s">
        <v>127</v>
      </c>
      <c r="C328" s="26" t="str">
        <f t="shared" si="6"/>
        <v/>
      </c>
      <c r="D328" s="53" t="str">
        <f>IF(Data!F355="","",Data!F355)</f>
        <v/>
      </c>
      <c r="E328" s="92" t="str">
        <f>IF(Data!H355="","",Data!H355)</f>
        <v/>
      </c>
      <c r="F328" s="54" t="str">
        <f>IF(Data!I355="","",Data!I355)</f>
        <v/>
      </c>
      <c r="G328" s="110"/>
      <c r="H328" s="111"/>
      <c r="I328" s="117"/>
      <c r="J328" s="117"/>
      <c r="K328" s="117"/>
      <c r="L328" s="117"/>
      <c r="M328" s="117"/>
      <c r="N328" s="118"/>
      <c r="O328" s="112"/>
      <c r="P328" s="115"/>
      <c r="Q328" s="115"/>
      <c r="R328" s="114"/>
      <c r="S328" s="114"/>
      <c r="T328" s="115"/>
      <c r="U328" s="116"/>
      <c r="V328" s="112"/>
      <c r="W328" s="217"/>
      <c r="X328" s="217"/>
      <c r="Y328" s="217"/>
      <c r="Z328" s="1"/>
      <c r="AA328" s="1"/>
      <c r="AB328" s="12"/>
      <c r="AC328" s="12"/>
    </row>
    <row r="329" spans="2:29" ht="24.9" customHeight="1" x14ac:dyDescent="0.3">
      <c r="B329" s="226" t="s">
        <v>127</v>
      </c>
      <c r="C329" s="26" t="str">
        <f t="shared" si="6"/>
        <v/>
      </c>
      <c r="D329" s="53" t="str">
        <f>IF(Data!F360="","",Data!F360)</f>
        <v/>
      </c>
      <c r="E329" s="92" t="str">
        <f>IF(Data!H360="","",Data!H360)</f>
        <v/>
      </c>
      <c r="F329" s="54" t="str">
        <f>IF(Data!I360="","",Data!I360)</f>
        <v/>
      </c>
      <c r="G329" s="110"/>
      <c r="H329" s="111"/>
      <c r="I329" s="117"/>
      <c r="J329" s="117"/>
      <c r="K329" s="117"/>
      <c r="L329" s="117"/>
      <c r="M329" s="117"/>
      <c r="N329" s="118"/>
      <c r="O329" s="112"/>
      <c r="P329" s="115"/>
      <c r="Q329" s="115"/>
      <c r="R329" s="114"/>
      <c r="S329" s="114"/>
      <c r="T329" s="115"/>
      <c r="U329" s="116"/>
      <c r="V329" s="112"/>
      <c r="W329" s="217"/>
      <c r="X329" s="217"/>
      <c r="Y329" s="217"/>
      <c r="Z329" s="1"/>
      <c r="AA329" s="1"/>
      <c r="AB329" s="12"/>
      <c r="AC329" s="12"/>
    </row>
    <row r="330" spans="2:29" ht="24.9" customHeight="1" x14ac:dyDescent="0.3">
      <c r="B330" s="226" t="s">
        <v>127</v>
      </c>
      <c r="C330" s="26" t="str">
        <f t="shared" si="6"/>
        <v/>
      </c>
      <c r="D330" s="53" t="str">
        <f>IF(Data!F361="","",Data!F361)</f>
        <v/>
      </c>
      <c r="E330" s="92" t="str">
        <f>IF(Data!H361="","",Data!H361)</f>
        <v/>
      </c>
      <c r="F330" s="54" t="str">
        <f>IF(Data!I361="","",Data!I361)</f>
        <v/>
      </c>
      <c r="G330" s="110"/>
      <c r="H330" s="111"/>
      <c r="I330" s="117"/>
      <c r="J330" s="117"/>
      <c r="K330" s="117"/>
      <c r="L330" s="117"/>
      <c r="M330" s="117"/>
      <c r="N330" s="118"/>
      <c r="O330" s="112"/>
      <c r="P330" s="115"/>
      <c r="Q330" s="115"/>
      <c r="R330" s="114"/>
      <c r="S330" s="114"/>
      <c r="T330" s="115"/>
      <c r="U330" s="116"/>
      <c r="V330" s="112"/>
      <c r="W330" s="217"/>
      <c r="X330" s="217"/>
      <c r="Y330" s="217"/>
      <c r="Z330" s="1"/>
      <c r="AA330" s="1"/>
      <c r="AB330" s="12"/>
      <c r="AC330" s="12"/>
    </row>
    <row r="331" spans="2:29" ht="24.9" customHeight="1" x14ac:dyDescent="0.3">
      <c r="B331" s="226" t="s">
        <v>127</v>
      </c>
      <c r="C331" s="26" t="str">
        <f t="shared" ref="C331:C369" si="7">IF(E331="","",C330+1)</f>
        <v/>
      </c>
      <c r="D331" s="53" t="str">
        <f>IF(Data!F362="","",Data!F362)</f>
        <v/>
      </c>
      <c r="E331" s="92" t="str">
        <f>IF(Data!H362="","",Data!H362)</f>
        <v/>
      </c>
      <c r="F331" s="54" t="str">
        <f>IF(Data!I362="","",Data!I362)</f>
        <v/>
      </c>
      <c r="G331" s="110"/>
      <c r="H331" s="111"/>
      <c r="I331" s="117"/>
      <c r="J331" s="117"/>
      <c r="K331" s="117"/>
      <c r="L331" s="117"/>
      <c r="M331" s="117"/>
      <c r="N331" s="118"/>
      <c r="O331" s="112"/>
      <c r="P331" s="115"/>
      <c r="Q331" s="115"/>
      <c r="R331" s="114"/>
      <c r="S331" s="114"/>
      <c r="T331" s="115"/>
      <c r="U331" s="116"/>
      <c r="V331" s="112"/>
      <c r="W331" s="217"/>
      <c r="X331" s="217"/>
      <c r="Y331" s="217"/>
      <c r="Z331" s="1"/>
      <c r="AA331" s="1"/>
      <c r="AB331" s="12"/>
      <c r="AC331" s="12"/>
    </row>
    <row r="332" spans="2:29" ht="24.9" customHeight="1" x14ac:dyDescent="0.3">
      <c r="B332" s="226" t="s">
        <v>127</v>
      </c>
      <c r="C332" s="26" t="str">
        <f t="shared" si="7"/>
        <v/>
      </c>
      <c r="D332" s="53" t="str">
        <f>IF(Data!F363="","",Data!F363)</f>
        <v/>
      </c>
      <c r="E332" s="92" t="str">
        <f>IF(Data!H363="","",Data!H363)</f>
        <v/>
      </c>
      <c r="F332" s="54" t="str">
        <f>IF(Data!I363="","",Data!I363)</f>
        <v/>
      </c>
      <c r="G332" s="110"/>
      <c r="H332" s="111"/>
      <c r="I332" s="117"/>
      <c r="J332" s="117"/>
      <c r="K332" s="117"/>
      <c r="L332" s="117"/>
      <c r="M332" s="117"/>
      <c r="N332" s="118"/>
      <c r="O332" s="112"/>
      <c r="P332" s="115"/>
      <c r="Q332" s="115"/>
      <c r="R332" s="114"/>
      <c r="S332" s="114"/>
      <c r="T332" s="115"/>
      <c r="U332" s="116"/>
      <c r="V332" s="112"/>
      <c r="W332" s="217"/>
      <c r="X332" s="217"/>
      <c r="Y332" s="217"/>
      <c r="Z332" s="1"/>
      <c r="AA332" s="1"/>
      <c r="AB332" s="12"/>
      <c r="AC332" s="12"/>
    </row>
    <row r="333" spans="2:29" ht="24.9" customHeight="1" x14ac:dyDescent="0.3">
      <c r="B333" s="226" t="s">
        <v>127</v>
      </c>
      <c r="C333" s="26" t="str">
        <f t="shared" si="7"/>
        <v/>
      </c>
      <c r="D333" s="53" t="str">
        <f>IF(Data!F364="","",Data!F364)</f>
        <v/>
      </c>
      <c r="E333" s="92" t="str">
        <f>IF(Data!H364="","",Data!H364)</f>
        <v/>
      </c>
      <c r="F333" s="54" t="str">
        <f>IF(Data!I364="","",Data!I364)</f>
        <v/>
      </c>
      <c r="G333" s="110"/>
      <c r="H333" s="111"/>
      <c r="I333" s="117"/>
      <c r="J333" s="117"/>
      <c r="K333" s="117"/>
      <c r="L333" s="117"/>
      <c r="M333" s="117"/>
      <c r="N333" s="118"/>
      <c r="O333" s="112"/>
      <c r="P333" s="115"/>
      <c r="Q333" s="115"/>
      <c r="R333" s="114"/>
      <c r="S333" s="114"/>
      <c r="T333" s="115"/>
      <c r="U333" s="116"/>
      <c r="V333" s="112"/>
      <c r="W333" s="217"/>
      <c r="X333" s="217"/>
      <c r="Y333" s="217"/>
      <c r="Z333" s="1"/>
      <c r="AA333" s="1"/>
      <c r="AB333" s="12"/>
      <c r="AC333" s="12"/>
    </row>
    <row r="334" spans="2:29" ht="24.9" customHeight="1" x14ac:dyDescent="0.3">
      <c r="B334" s="226" t="s">
        <v>167</v>
      </c>
      <c r="C334" s="26">
        <v>1</v>
      </c>
      <c r="D334" s="53" t="str">
        <f>IF(Data!F485="","",Data!F485)</f>
        <v/>
      </c>
      <c r="E334" s="92" t="str">
        <f>IF(Data!H485="","",Data!H485)</f>
        <v/>
      </c>
      <c r="F334" s="54" t="str">
        <f>IF(Data!I485="","",Data!I485)</f>
        <v/>
      </c>
      <c r="G334" s="110"/>
      <c r="H334" s="111"/>
      <c r="I334" s="117"/>
      <c r="J334" s="117"/>
      <c r="K334" s="117"/>
      <c r="L334" s="117"/>
      <c r="M334" s="117"/>
      <c r="N334" s="118"/>
      <c r="O334" s="112"/>
      <c r="P334" s="115"/>
      <c r="Q334" s="115"/>
      <c r="R334" s="114"/>
      <c r="S334" s="114"/>
      <c r="T334" s="115"/>
      <c r="U334" s="116"/>
      <c r="V334" s="112"/>
      <c r="W334" s="217"/>
      <c r="X334" s="217"/>
      <c r="Y334" s="217"/>
      <c r="Z334" s="1"/>
      <c r="AA334" s="1"/>
      <c r="AB334" s="12"/>
      <c r="AC334" s="12"/>
    </row>
    <row r="335" spans="2:29" ht="24.9" customHeight="1" x14ac:dyDescent="0.3">
      <c r="B335" s="226" t="s">
        <v>167</v>
      </c>
      <c r="C335" s="26" t="str">
        <f t="shared" si="7"/>
        <v/>
      </c>
      <c r="D335" s="53" t="str">
        <f>IF(Data!F486="","",Data!F486)</f>
        <v/>
      </c>
      <c r="E335" s="92" t="str">
        <f>IF(Data!H486="","",Data!H486)</f>
        <v/>
      </c>
      <c r="F335" s="54" t="str">
        <f>IF(Data!I486="","",Data!I486)</f>
        <v/>
      </c>
      <c r="G335" s="110"/>
      <c r="H335" s="111"/>
      <c r="I335" s="117"/>
      <c r="J335" s="117"/>
      <c r="K335" s="117"/>
      <c r="L335" s="117"/>
      <c r="M335" s="117"/>
      <c r="N335" s="118"/>
      <c r="O335" s="112"/>
      <c r="P335" s="115"/>
      <c r="Q335" s="115"/>
      <c r="R335" s="114"/>
      <c r="S335" s="114"/>
      <c r="T335" s="115"/>
      <c r="U335" s="116"/>
      <c r="V335" s="112"/>
      <c r="W335" s="217"/>
      <c r="X335" s="217"/>
      <c r="Y335" s="217"/>
      <c r="Z335" s="1"/>
      <c r="AA335" s="1"/>
      <c r="AB335" s="12"/>
      <c r="AC335" s="12"/>
    </row>
    <row r="336" spans="2:29" ht="24.9" customHeight="1" x14ac:dyDescent="0.3">
      <c r="B336" s="226" t="s">
        <v>167</v>
      </c>
      <c r="C336" s="26" t="str">
        <f t="shared" si="7"/>
        <v/>
      </c>
      <c r="D336" s="53" t="str">
        <f>IF(Data!F487="","",Data!F487)</f>
        <v/>
      </c>
      <c r="E336" s="92" t="str">
        <f>IF(Data!H487="","",Data!H487)</f>
        <v/>
      </c>
      <c r="F336" s="54" t="str">
        <f>IF(Data!I487="","",Data!I487)</f>
        <v/>
      </c>
      <c r="G336" s="110"/>
      <c r="H336" s="111"/>
      <c r="I336" s="117"/>
      <c r="J336" s="117"/>
      <c r="K336" s="117"/>
      <c r="L336" s="117"/>
      <c r="M336" s="117"/>
      <c r="N336" s="118"/>
      <c r="O336" s="112"/>
      <c r="P336" s="115"/>
      <c r="Q336" s="115"/>
      <c r="R336" s="114"/>
      <c r="S336" s="114"/>
      <c r="T336" s="115"/>
      <c r="U336" s="116"/>
      <c r="V336" s="112"/>
      <c r="W336" s="217"/>
      <c r="X336" s="217"/>
      <c r="Y336" s="217"/>
      <c r="Z336" s="1"/>
      <c r="AA336" s="1"/>
      <c r="AB336" s="12"/>
      <c r="AC336" s="12"/>
    </row>
    <row r="337" spans="2:29" ht="24.9" customHeight="1" x14ac:dyDescent="0.3">
      <c r="B337" s="226" t="s">
        <v>167</v>
      </c>
      <c r="C337" s="26" t="str">
        <f t="shared" si="7"/>
        <v/>
      </c>
      <c r="D337" s="53" t="str">
        <f>IF(Data!F488="","",Data!F488)</f>
        <v/>
      </c>
      <c r="E337" s="92" t="str">
        <f>IF(Data!H488="","",Data!H488)</f>
        <v/>
      </c>
      <c r="F337" s="54" t="str">
        <f>IF(Data!I488="","",Data!I488)</f>
        <v/>
      </c>
      <c r="G337" s="110"/>
      <c r="H337" s="111"/>
      <c r="I337" s="117"/>
      <c r="J337" s="117"/>
      <c r="K337" s="117"/>
      <c r="L337" s="117"/>
      <c r="M337" s="117"/>
      <c r="N337" s="118"/>
      <c r="O337" s="112"/>
      <c r="P337" s="115"/>
      <c r="Q337" s="115"/>
      <c r="R337" s="114"/>
      <c r="S337" s="114"/>
      <c r="T337" s="115"/>
      <c r="U337" s="116"/>
      <c r="V337" s="112"/>
      <c r="W337" s="217"/>
      <c r="X337" s="217"/>
      <c r="Y337" s="217"/>
      <c r="Z337" s="1"/>
      <c r="AA337" s="1"/>
      <c r="AB337" s="12"/>
      <c r="AC337" s="12"/>
    </row>
    <row r="338" spans="2:29" ht="24.9" customHeight="1" x14ac:dyDescent="0.3">
      <c r="B338" s="226" t="s">
        <v>167</v>
      </c>
      <c r="C338" s="26" t="str">
        <f t="shared" si="7"/>
        <v/>
      </c>
      <c r="D338" s="53" t="str">
        <f>IF(Data!F489="","",Data!F489)</f>
        <v/>
      </c>
      <c r="E338" s="92" t="str">
        <f>IF(Data!H489="","",Data!H489)</f>
        <v/>
      </c>
      <c r="F338" s="54" t="str">
        <f>IF(Data!I489="","",Data!I489)</f>
        <v/>
      </c>
      <c r="G338" s="110"/>
      <c r="H338" s="111"/>
      <c r="I338" s="117"/>
      <c r="J338" s="117"/>
      <c r="K338" s="117"/>
      <c r="L338" s="117"/>
      <c r="M338" s="117"/>
      <c r="N338" s="118"/>
      <c r="O338" s="112"/>
      <c r="P338" s="115"/>
      <c r="Q338" s="115"/>
      <c r="R338" s="114"/>
      <c r="S338" s="114"/>
      <c r="T338" s="115"/>
      <c r="U338" s="116"/>
      <c r="V338" s="112"/>
      <c r="W338" s="217"/>
      <c r="X338" s="217"/>
      <c r="Y338" s="217"/>
      <c r="Z338" s="1"/>
      <c r="AA338" s="1"/>
      <c r="AB338" s="12"/>
      <c r="AC338" s="12"/>
    </row>
    <row r="339" spans="2:29" ht="24.9" customHeight="1" x14ac:dyDescent="0.3">
      <c r="B339" s="226" t="s">
        <v>167</v>
      </c>
      <c r="C339" s="26" t="str">
        <f t="shared" si="7"/>
        <v/>
      </c>
      <c r="D339" s="53" t="str">
        <f>IF(Data!F490="","",Data!F490)</f>
        <v/>
      </c>
      <c r="E339" s="92" t="str">
        <f>IF(Data!H490="","",Data!H490)</f>
        <v/>
      </c>
      <c r="F339" s="54" t="str">
        <f>IF(Data!I490="","",Data!I490)</f>
        <v/>
      </c>
      <c r="G339" s="110"/>
      <c r="H339" s="111"/>
      <c r="I339" s="117"/>
      <c r="J339" s="117"/>
      <c r="K339" s="117"/>
      <c r="L339" s="117"/>
      <c r="M339" s="117"/>
      <c r="N339" s="118"/>
      <c r="O339" s="112"/>
      <c r="P339" s="115"/>
      <c r="Q339" s="115"/>
      <c r="R339" s="114"/>
      <c r="S339" s="114"/>
      <c r="T339" s="115"/>
      <c r="U339" s="116"/>
      <c r="V339" s="112"/>
      <c r="W339" s="217"/>
      <c r="X339" s="217"/>
      <c r="Y339" s="217"/>
      <c r="Z339" s="1"/>
      <c r="AA339" s="1"/>
      <c r="AB339" s="12"/>
      <c r="AC339" s="12"/>
    </row>
    <row r="340" spans="2:29" ht="24.9" customHeight="1" x14ac:dyDescent="0.3">
      <c r="B340" s="226" t="s">
        <v>167</v>
      </c>
      <c r="C340" s="26" t="str">
        <f t="shared" si="7"/>
        <v/>
      </c>
      <c r="D340" s="53" t="str">
        <f>IF(Data!F491="","",Data!F491)</f>
        <v/>
      </c>
      <c r="E340" s="92" t="str">
        <f>IF(Data!H491="","",Data!H491)</f>
        <v/>
      </c>
      <c r="F340" s="54" t="str">
        <f>IF(Data!I491="","",Data!I491)</f>
        <v/>
      </c>
      <c r="G340" s="110"/>
      <c r="H340" s="111"/>
      <c r="I340" s="117"/>
      <c r="J340" s="117"/>
      <c r="K340" s="117"/>
      <c r="L340" s="117"/>
      <c r="M340" s="117"/>
      <c r="N340" s="118"/>
      <c r="O340" s="112"/>
      <c r="P340" s="115"/>
      <c r="Q340" s="115"/>
      <c r="R340" s="114"/>
      <c r="S340" s="114"/>
      <c r="T340" s="115"/>
      <c r="U340" s="116"/>
      <c r="V340" s="112"/>
      <c r="W340" s="217"/>
      <c r="X340" s="217"/>
      <c r="Y340" s="217"/>
      <c r="Z340" s="1"/>
      <c r="AA340" s="1"/>
      <c r="AB340" s="12"/>
      <c r="AC340" s="12"/>
    </row>
    <row r="341" spans="2:29" ht="24.9" customHeight="1" x14ac:dyDescent="0.3">
      <c r="B341" s="226" t="s">
        <v>167</v>
      </c>
      <c r="C341" s="26" t="str">
        <f t="shared" si="7"/>
        <v/>
      </c>
      <c r="D341" s="53" t="str">
        <f>IF(Data!F492="","",Data!F492)</f>
        <v/>
      </c>
      <c r="E341" s="92" t="str">
        <f>IF(Data!H492="","",Data!H492)</f>
        <v/>
      </c>
      <c r="F341" s="54" t="str">
        <f>IF(Data!I492="","",Data!I492)</f>
        <v/>
      </c>
      <c r="G341" s="110"/>
      <c r="H341" s="111"/>
      <c r="I341" s="117"/>
      <c r="J341" s="117"/>
      <c r="K341" s="117"/>
      <c r="L341" s="117"/>
      <c r="M341" s="117"/>
      <c r="N341" s="118"/>
      <c r="O341" s="112"/>
      <c r="P341" s="115"/>
      <c r="Q341" s="115"/>
      <c r="R341" s="114"/>
      <c r="S341" s="114"/>
      <c r="T341" s="115"/>
      <c r="U341" s="116"/>
      <c r="V341" s="112"/>
      <c r="W341" s="217"/>
      <c r="X341" s="217"/>
      <c r="Y341" s="217"/>
      <c r="Z341" s="1"/>
      <c r="AA341" s="1"/>
      <c r="AB341" s="12"/>
      <c r="AC341" s="12"/>
    </row>
    <row r="342" spans="2:29" ht="24.9" customHeight="1" x14ac:dyDescent="0.3">
      <c r="B342" s="226" t="s">
        <v>167</v>
      </c>
      <c r="C342" s="26" t="str">
        <f t="shared" si="7"/>
        <v/>
      </c>
      <c r="D342" s="53" t="str">
        <f>IF(Data!F493="","",Data!F493)</f>
        <v/>
      </c>
      <c r="E342" s="92" t="str">
        <f>IF(Data!H493="","",Data!H493)</f>
        <v/>
      </c>
      <c r="F342" s="54" t="str">
        <f>IF(Data!I493="","",Data!I493)</f>
        <v/>
      </c>
      <c r="G342" s="110"/>
      <c r="H342" s="111"/>
      <c r="I342" s="117"/>
      <c r="J342" s="117"/>
      <c r="K342" s="117"/>
      <c r="L342" s="117"/>
      <c r="M342" s="117"/>
      <c r="N342" s="118"/>
      <c r="O342" s="112"/>
      <c r="P342" s="115"/>
      <c r="Q342" s="115"/>
      <c r="R342" s="114"/>
      <c r="S342" s="114"/>
      <c r="T342" s="115"/>
      <c r="U342" s="116"/>
      <c r="V342" s="112"/>
      <c r="W342" s="217"/>
      <c r="X342" s="217"/>
      <c r="Y342" s="217"/>
      <c r="Z342" s="1"/>
      <c r="AA342" s="1"/>
      <c r="AB342" s="12"/>
      <c r="AC342" s="12"/>
    </row>
    <row r="343" spans="2:29" ht="24.9" customHeight="1" x14ac:dyDescent="0.3">
      <c r="B343" s="226" t="s">
        <v>167</v>
      </c>
      <c r="C343" s="26" t="str">
        <f t="shared" si="7"/>
        <v/>
      </c>
      <c r="D343" s="53" t="str">
        <f>IF(Data!F494="","",Data!F494)</f>
        <v/>
      </c>
      <c r="E343" s="92" t="str">
        <f>IF(Data!H494="","",Data!H494)</f>
        <v/>
      </c>
      <c r="F343" s="54" t="str">
        <f>IF(Data!I494="","",Data!I494)</f>
        <v/>
      </c>
      <c r="G343" s="110"/>
      <c r="H343" s="111"/>
      <c r="I343" s="117"/>
      <c r="J343" s="117"/>
      <c r="K343" s="117"/>
      <c r="L343" s="117"/>
      <c r="M343" s="117"/>
      <c r="N343" s="118"/>
      <c r="O343" s="112"/>
      <c r="P343" s="115"/>
      <c r="Q343" s="115"/>
      <c r="R343" s="114"/>
      <c r="S343" s="114"/>
      <c r="T343" s="115"/>
      <c r="U343" s="116"/>
      <c r="V343" s="112"/>
      <c r="W343" s="217"/>
      <c r="X343" s="217"/>
      <c r="Y343" s="217"/>
      <c r="Z343" s="1"/>
      <c r="AA343" s="1"/>
      <c r="AB343" s="12"/>
      <c r="AC343" s="12"/>
    </row>
    <row r="344" spans="2:29" ht="24.9" customHeight="1" x14ac:dyDescent="0.3">
      <c r="B344" s="226" t="s">
        <v>167</v>
      </c>
      <c r="C344" s="26" t="str">
        <f t="shared" si="7"/>
        <v/>
      </c>
      <c r="D344" s="53" t="str">
        <f>IF(Data!F495="","",Data!F495)</f>
        <v/>
      </c>
      <c r="E344" s="92" t="str">
        <f>IF(Data!H495="","",Data!H495)</f>
        <v/>
      </c>
      <c r="F344" s="54" t="str">
        <f>IF(Data!I495="","",Data!I495)</f>
        <v/>
      </c>
      <c r="G344" s="110"/>
      <c r="H344" s="111"/>
      <c r="I344" s="117"/>
      <c r="J344" s="117"/>
      <c r="K344" s="117"/>
      <c r="L344" s="117"/>
      <c r="M344" s="117"/>
      <c r="N344" s="118"/>
      <c r="O344" s="112"/>
      <c r="P344" s="115"/>
      <c r="Q344" s="115"/>
      <c r="R344" s="114"/>
      <c r="S344" s="114"/>
      <c r="T344" s="115"/>
      <c r="U344" s="116"/>
      <c r="V344" s="112"/>
      <c r="W344" s="217"/>
      <c r="X344" s="217"/>
      <c r="Y344" s="217"/>
      <c r="Z344" s="1"/>
      <c r="AA344" s="1"/>
      <c r="AB344" s="12"/>
      <c r="AC344" s="12"/>
    </row>
    <row r="345" spans="2:29" ht="24.9" customHeight="1" x14ac:dyDescent="0.3">
      <c r="B345" s="226" t="s">
        <v>167</v>
      </c>
      <c r="C345" s="26" t="str">
        <f t="shared" si="7"/>
        <v/>
      </c>
      <c r="D345" s="53" t="str">
        <f>IF(Data!F496="","",Data!F496)</f>
        <v/>
      </c>
      <c r="E345" s="92" t="str">
        <f>IF(Data!H496="","",Data!H496)</f>
        <v/>
      </c>
      <c r="F345" s="54" t="str">
        <f>IF(Data!I496="","",Data!I496)</f>
        <v/>
      </c>
      <c r="G345" s="110"/>
      <c r="H345" s="111"/>
      <c r="I345" s="117"/>
      <c r="J345" s="117"/>
      <c r="K345" s="117"/>
      <c r="L345" s="117"/>
      <c r="M345" s="117"/>
      <c r="N345" s="118"/>
      <c r="O345" s="112"/>
      <c r="P345" s="115"/>
      <c r="Q345" s="115"/>
      <c r="R345" s="114"/>
      <c r="S345" s="114"/>
      <c r="T345" s="115"/>
      <c r="U345" s="116"/>
      <c r="V345" s="112"/>
      <c r="W345" s="217"/>
      <c r="X345" s="217"/>
      <c r="Y345" s="217"/>
      <c r="Z345" s="1"/>
      <c r="AA345" s="1"/>
      <c r="AB345" s="12"/>
      <c r="AC345" s="12"/>
    </row>
    <row r="346" spans="2:29" ht="24.9" customHeight="1" x14ac:dyDescent="0.3">
      <c r="B346" s="226" t="s">
        <v>167</v>
      </c>
      <c r="C346" s="26" t="str">
        <f t="shared" si="7"/>
        <v/>
      </c>
      <c r="D346" s="53" t="str">
        <f>IF(Data!F497="","",Data!F497)</f>
        <v/>
      </c>
      <c r="E346" s="92" t="str">
        <f>IF(Data!H497="","",Data!H497)</f>
        <v/>
      </c>
      <c r="F346" s="54" t="str">
        <f>IF(Data!I497="","",Data!I497)</f>
        <v/>
      </c>
      <c r="G346" s="110"/>
      <c r="H346" s="111"/>
      <c r="I346" s="117"/>
      <c r="J346" s="117"/>
      <c r="K346" s="117"/>
      <c r="L346" s="117"/>
      <c r="M346" s="117"/>
      <c r="N346" s="118"/>
      <c r="O346" s="112"/>
      <c r="P346" s="115"/>
      <c r="Q346" s="115"/>
      <c r="R346" s="114"/>
      <c r="S346" s="114"/>
      <c r="T346" s="115"/>
      <c r="U346" s="116"/>
      <c r="V346" s="112"/>
      <c r="W346" s="217"/>
      <c r="X346" s="217"/>
      <c r="Y346" s="217"/>
      <c r="Z346" s="1"/>
      <c r="AA346" s="1"/>
      <c r="AB346" s="12"/>
      <c r="AC346" s="12"/>
    </row>
    <row r="347" spans="2:29" ht="24.9" customHeight="1" x14ac:dyDescent="0.3">
      <c r="B347" s="226" t="s">
        <v>167</v>
      </c>
      <c r="C347" s="26" t="str">
        <f t="shared" si="7"/>
        <v/>
      </c>
      <c r="D347" s="53" t="str">
        <f>IF(Data!F498="","",Data!F498)</f>
        <v/>
      </c>
      <c r="E347" s="92" t="str">
        <f>IF(Data!H498="","",Data!H498)</f>
        <v/>
      </c>
      <c r="F347" s="54" t="str">
        <f>IF(Data!I498="","",Data!I498)</f>
        <v/>
      </c>
      <c r="G347" s="110"/>
      <c r="H347" s="111"/>
      <c r="I347" s="117"/>
      <c r="J347" s="117"/>
      <c r="K347" s="117"/>
      <c r="L347" s="117"/>
      <c r="M347" s="117"/>
      <c r="N347" s="118"/>
      <c r="O347" s="112"/>
      <c r="P347" s="115"/>
      <c r="Q347" s="115"/>
      <c r="R347" s="114"/>
      <c r="S347" s="114"/>
      <c r="T347" s="115"/>
      <c r="U347" s="116"/>
      <c r="V347" s="112"/>
      <c r="W347" s="217"/>
      <c r="X347" s="217"/>
      <c r="Y347" s="217"/>
      <c r="Z347" s="1"/>
      <c r="AA347" s="1"/>
      <c r="AB347" s="12"/>
      <c r="AC347" s="12"/>
    </row>
    <row r="348" spans="2:29" ht="24.9" customHeight="1" x14ac:dyDescent="0.3">
      <c r="B348" s="226" t="s">
        <v>167</v>
      </c>
      <c r="C348" s="26" t="str">
        <f t="shared" si="7"/>
        <v/>
      </c>
      <c r="D348" s="53" t="str">
        <f>IF(Data!F499="","",Data!F499)</f>
        <v/>
      </c>
      <c r="E348" s="92" t="str">
        <f>IF(Data!H499="","",Data!H499)</f>
        <v/>
      </c>
      <c r="F348" s="54" t="str">
        <f>IF(Data!I499="","",Data!I499)</f>
        <v/>
      </c>
      <c r="G348" s="110"/>
      <c r="H348" s="111"/>
      <c r="I348" s="117"/>
      <c r="J348" s="117"/>
      <c r="K348" s="117"/>
      <c r="L348" s="117"/>
      <c r="M348" s="117"/>
      <c r="N348" s="118"/>
      <c r="O348" s="112"/>
      <c r="P348" s="115"/>
      <c r="Q348" s="115"/>
      <c r="R348" s="114"/>
      <c r="S348" s="114"/>
      <c r="T348" s="115"/>
      <c r="U348" s="116"/>
      <c r="V348" s="112"/>
      <c r="W348" s="217"/>
      <c r="X348" s="217"/>
      <c r="Y348" s="217"/>
      <c r="Z348" s="1"/>
      <c r="AA348" s="1"/>
      <c r="AB348" s="12"/>
      <c r="AC348" s="12"/>
    </row>
    <row r="349" spans="2:29" ht="24.9" customHeight="1" x14ac:dyDescent="0.3">
      <c r="B349" s="226" t="s">
        <v>167</v>
      </c>
      <c r="C349" s="26" t="str">
        <f t="shared" si="7"/>
        <v/>
      </c>
      <c r="D349" s="53" t="str">
        <f>IF(Data!F500="","",Data!F500)</f>
        <v/>
      </c>
      <c r="E349" s="92" t="str">
        <f>IF(Data!H500="","",Data!H500)</f>
        <v/>
      </c>
      <c r="F349" s="54" t="str">
        <f>IF(Data!I500="","",Data!I500)</f>
        <v/>
      </c>
      <c r="G349" s="110"/>
      <c r="H349" s="111"/>
      <c r="I349" s="117"/>
      <c r="J349" s="117"/>
      <c r="K349" s="117"/>
      <c r="L349" s="117"/>
      <c r="M349" s="117"/>
      <c r="N349" s="118"/>
      <c r="O349" s="112"/>
      <c r="P349" s="115"/>
      <c r="Q349" s="115"/>
      <c r="R349" s="114"/>
      <c r="S349" s="114"/>
      <c r="T349" s="115"/>
      <c r="U349" s="116"/>
      <c r="V349" s="112"/>
      <c r="W349" s="217"/>
      <c r="X349" s="217"/>
      <c r="Y349" s="217"/>
      <c r="Z349" s="1"/>
      <c r="AA349" s="1"/>
      <c r="AB349" s="12"/>
      <c r="AC349" s="12"/>
    </row>
    <row r="350" spans="2:29" ht="24.9" customHeight="1" x14ac:dyDescent="0.3">
      <c r="B350" s="226" t="s">
        <v>167</v>
      </c>
      <c r="C350" s="26" t="str">
        <f t="shared" si="7"/>
        <v/>
      </c>
      <c r="D350" s="53" t="str">
        <f>IF(Data!F501="","",Data!F501)</f>
        <v/>
      </c>
      <c r="E350" s="92" t="str">
        <f>IF(Data!H501="","",Data!H501)</f>
        <v/>
      </c>
      <c r="F350" s="54" t="str">
        <f>IF(Data!I501="","",Data!I501)</f>
        <v/>
      </c>
      <c r="G350" s="110"/>
      <c r="H350" s="111"/>
      <c r="I350" s="117"/>
      <c r="J350" s="117"/>
      <c r="K350" s="117"/>
      <c r="L350" s="117"/>
      <c r="M350" s="117"/>
      <c r="N350" s="118"/>
      <c r="O350" s="112"/>
      <c r="P350" s="115"/>
      <c r="Q350" s="115"/>
      <c r="R350" s="114"/>
      <c r="S350" s="114"/>
      <c r="T350" s="115"/>
      <c r="U350" s="116"/>
      <c r="V350" s="112"/>
      <c r="W350" s="217"/>
      <c r="X350" s="217"/>
      <c r="Y350" s="217"/>
      <c r="Z350" s="1"/>
      <c r="AA350" s="1"/>
      <c r="AB350" s="12"/>
      <c r="AC350" s="12"/>
    </row>
    <row r="351" spans="2:29" ht="24.9" customHeight="1" x14ac:dyDescent="0.3">
      <c r="B351" s="226" t="s">
        <v>167</v>
      </c>
      <c r="C351" s="26" t="str">
        <f t="shared" si="7"/>
        <v/>
      </c>
      <c r="D351" s="53" t="str">
        <f>IF(Data!F502="","",Data!F502)</f>
        <v/>
      </c>
      <c r="E351" s="92" t="str">
        <f>IF(Data!H502="","",Data!H502)</f>
        <v/>
      </c>
      <c r="F351" s="54" t="str">
        <f>IF(Data!I502="","",Data!I502)</f>
        <v/>
      </c>
      <c r="G351" s="110"/>
      <c r="H351" s="111"/>
      <c r="I351" s="117"/>
      <c r="J351" s="117"/>
      <c r="K351" s="117"/>
      <c r="L351" s="117"/>
      <c r="M351" s="117"/>
      <c r="N351" s="118"/>
      <c r="O351" s="112"/>
      <c r="P351" s="115"/>
      <c r="Q351" s="115"/>
      <c r="R351" s="114"/>
      <c r="S351" s="114"/>
      <c r="T351" s="115"/>
      <c r="U351" s="116"/>
      <c r="V351" s="112"/>
      <c r="W351" s="217"/>
      <c r="X351" s="217"/>
      <c r="Y351" s="217"/>
      <c r="Z351" s="1"/>
      <c r="AA351" s="1"/>
      <c r="AB351" s="12"/>
      <c r="AC351" s="12"/>
    </row>
    <row r="352" spans="2:29" ht="24.9" customHeight="1" x14ac:dyDescent="0.3">
      <c r="B352" s="226" t="s">
        <v>167</v>
      </c>
      <c r="C352" s="26" t="str">
        <f t="shared" si="7"/>
        <v/>
      </c>
      <c r="D352" s="53" t="str">
        <f>IF(Data!F503="","",Data!F503)</f>
        <v/>
      </c>
      <c r="E352" s="92" t="str">
        <f>IF(Data!H503="","",Data!H503)</f>
        <v/>
      </c>
      <c r="F352" s="54" t="str">
        <f>IF(Data!I503="","",Data!I503)</f>
        <v/>
      </c>
      <c r="G352" s="110"/>
      <c r="H352" s="111"/>
      <c r="I352" s="117"/>
      <c r="J352" s="117"/>
      <c r="K352" s="117"/>
      <c r="L352" s="117"/>
      <c r="M352" s="117"/>
      <c r="N352" s="118"/>
      <c r="O352" s="112"/>
      <c r="P352" s="115"/>
      <c r="Q352" s="115"/>
      <c r="R352" s="114"/>
      <c r="S352" s="114"/>
      <c r="T352" s="115"/>
      <c r="U352" s="116"/>
      <c r="V352" s="112"/>
      <c r="W352" s="217"/>
      <c r="X352" s="217"/>
      <c r="Y352" s="217"/>
      <c r="Z352" s="1"/>
      <c r="AA352" s="1"/>
      <c r="AB352" s="12"/>
      <c r="AC352" s="12"/>
    </row>
    <row r="353" spans="2:29" ht="24.9" customHeight="1" x14ac:dyDescent="0.3">
      <c r="B353" s="226" t="s">
        <v>167</v>
      </c>
      <c r="C353" s="26" t="str">
        <f t="shared" si="7"/>
        <v/>
      </c>
      <c r="D353" s="53" t="str">
        <f>IF(Data!F504="","",Data!F504)</f>
        <v/>
      </c>
      <c r="E353" s="92" t="str">
        <f>IF(Data!H504="","",Data!H504)</f>
        <v/>
      </c>
      <c r="F353" s="54" t="str">
        <f>IF(Data!I504="","",Data!I504)</f>
        <v/>
      </c>
      <c r="G353" s="110"/>
      <c r="H353" s="111"/>
      <c r="I353" s="117"/>
      <c r="J353" s="117"/>
      <c r="K353" s="117"/>
      <c r="L353" s="117"/>
      <c r="M353" s="117"/>
      <c r="N353" s="118"/>
      <c r="O353" s="112"/>
      <c r="P353" s="115"/>
      <c r="Q353" s="115"/>
      <c r="R353" s="114"/>
      <c r="S353" s="114"/>
      <c r="T353" s="115"/>
      <c r="U353" s="116"/>
      <c r="V353" s="112"/>
      <c r="W353" s="217"/>
      <c r="X353" s="217"/>
      <c r="Y353" s="217"/>
      <c r="Z353" s="1"/>
      <c r="AA353" s="1"/>
      <c r="AB353" s="12"/>
      <c r="AC353" s="12"/>
    </row>
    <row r="354" spans="2:29" ht="24.9" customHeight="1" x14ac:dyDescent="0.3">
      <c r="B354" s="226" t="s">
        <v>167</v>
      </c>
      <c r="C354" s="26" t="str">
        <f t="shared" si="7"/>
        <v/>
      </c>
      <c r="D354" s="53" t="str">
        <f>IF(Data!F505="","",Data!F505)</f>
        <v/>
      </c>
      <c r="E354" s="92" t="str">
        <f>IF(Data!H505="","",Data!H505)</f>
        <v/>
      </c>
      <c r="F354" s="54" t="str">
        <f>IF(Data!I505="","",Data!I505)</f>
        <v/>
      </c>
      <c r="G354" s="110"/>
      <c r="H354" s="111"/>
      <c r="I354" s="117"/>
      <c r="J354" s="117"/>
      <c r="K354" s="117"/>
      <c r="L354" s="117"/>
      <c r="M354" s="117"/>
      <c r="N354" s="118"/>
      <c r="O354" s="112"/>
      <c r="P354" s="115"/>
      <c r="Q354" s="115"/>
      <c r="R354" s="114"/>
      <c r="S354" s="114"/>
      <c r="T354" s="115"/>
      <c r="U354" s="116"/>
      <c r="V354" s="112"/>
      <c r="W354" s="217"/>
      <c r="X354" s="217"/>
      <c r="Y354" s="217"/>
      <c r="Z354" s="1"/>
      <c r="AA354" s="1"/>
      <c r="AB354" s="12"/>
      <c r="AC354" s="12"/>
    </row>
    <row r="355" spans="2:29" ht="24.9" customHeight="1" x14ac:dyDescent="0.3">
      <c r="B355" s="226" t="s">
        <v>167</v>
      </c>
      <c r="C355" s="26" t="str">
        <f t="shared" si="7"/>
        <v/>
      </c>
      <c r="D355" s="53" t="str">
        <f>IF(Data!F506="","",Data!F506)</f>
        <v/>
      </c>
      <c r="E355" s="92" t="str">
        <f>IF(Data!H506="","",Data!H506)</f>
        <v/>
      </c>
      <c r="F355" s="54" t="str">
        <f>IF(Data!I506="","",Data!I506)</f>
        <v/>
      </c>
      <c r="G355" s="110"/>
      <c r="H355" s="111"/>
      <c r="I355" s="117"/>
      <c r="J355" s="117"/>
      <c r="K355" s="117"/>
      <c r="L355" s="117"/>
      <c r="M355" s="117"/>
      <c r="N355" s="118"/>
      <c r="O355" s="112"/>
      <c r="P355" s="115"/>
      <c r="Q355" s="115"/>
      <c r="R355" s="114"/>
      <c r="S355" s="114"/>
      <c r="T355" s="115"/>
      <c r="U355" s="116"/>
      <c r="V355" s="112"/>
      <c r="W355" s="217"/>
      <c r="X355" s="217"/>
      <c r="Y355" s="217"/>
      <c r="Z355" s="1"/>
      <c r="AA355" s="1"/>
      <c r="AB355" s="12"/>
      <c r="AC355" s="12"/>
    </row>
    <row r="356" spans="2:29" ht="24.9" customHeight="1" x14ac:dyDescent="0.3">
      <c r="B356" s="226" t="s">
        <v>167</v>
      </c>
      <c r="C356" s="26" t="str">
        <f t="shared" si="7"/>
        <v/>
      </c>
      <c r="D356" s="53" t="str">
        <f>IF(Data!F507="","",Data!F507)</f>
        <v/>
      </c>
      <c r="E356" s="92" t="str">
        <f>IF(Data!H507="","",Data!H507)</f>
        <v/>
      </c>
      <c r="F356" s="54" t="str">
        <f>IF(Data!I507="","",Data!I507)</f>
        <v/>
      </c>
      <c r="G356" s="110"/>
      <c r="H356" s="111"/>
      <c r="I356" s="117"/>
      <c r="J356" s="117"/>
      <c r="K356" s="117"/>
      <c r="L356" s="117"/>
      <c r="M356" s="117"/>
      <c r="N356" s="118"/>
      <c r="O356" s="112"/>
      <c r="P356" s="115"/>
      <c r="Q356" s="115"/>
      <c r="R356" s="114"/>
      <c r="S356" s="114"/>
      <c r="T356" s="115"/>
      <c r="U356" s="116"/>
      <c r="V356" s="112"/>
      <c r="W356" s="217"/>
      <c r="X356" s="217"/>
      <c r="Y356" s="217"/>
      <c r="Z356" s="1"/>
      <c r="AA356" s="1"/>
      <c r="AB356" s="12"/>
      <c r="AC356" s="12"/>
    </row>
    <row r="357" spans="2:29" ht="24.9" customHeight="1" x14ac:dyDescent="0.3">
      <c r="B357" s="226" t="s">
        <v>167</v>
      </c>
      <c r="C357" s="26" t="str">
        <f t="shared" si="7"/>
        <v/>
      </c>
      <c r="D357" s="53" t="str">
        <f>IF(Data!F508="","",Data!F508)</f>
        <v/>
      </c>
      <c r="E357" s="92" t="str">
        <f>IF(Data!H508="","",Data!H508)</f>
        <v/>
      </c>
      <c r="F357" s="54" t="str">
        <f>IF(Data!I508="","",Data!I508)</f>
        <v/>
      </c>
      <c r="G357" s="110"/>
      <c r="H357" s="111"/>
      <c r="I357" s="117"/>
      <c r="J357" s="117"/>
      <c r="K357" s="117"/>
      <c r="L357" s="117"/>
      <c r="M357" s="117"/>
      <c r="N357" s="118"/>
      <c r="O357" s="112"/>
      <c r="P357" s="115"/>
      <c r="Q357" s="115"/>
      <c r="R357" s="114"/>
      <c r="S357" s="114"/>
      <c r="T357" s="115"/>
      <c r="U357" s="116"/>
      <c r="V357" s="112"/>
      <c r="W357" s="217"/>
      <c r="X357" s="217"/>
      <c r="Y357" s="217"/>
      <c r="Z357" s="1"/>
      <c r="AA357" s="1"/>
      <c r="AB357" s="12"/>
      <c r="AC357" s="12"/>
    </row>
    <row r="358" spans="2:29" ht="24.9" customHeight="1" x14ac:dyDescent="0.3">
      <c r="B358" s="226" t="s">
        <v>167</v>
      </c>
      <c r="C358" s="26" t="str">
        <f t="shared" si="7"/>
        <v/>
      </c>
      <c r="D358" s="53" t="str">
        <f>IF(Data!F509="","",Data!F509)</f>
        <v/>
      </c>
      <c r="E358" s="92" t="str">
        <f>IF(Data!H509="","",Data!H509)</f>
        <v/>
      </c>
      <c r="F358" s="54" t="str">
        <f>IF(Data!I509="","",Data!I509)</f>
        <v/>
      </c>
      <c r="G358" s="110"/>
      <c r="H358" s="111"/>
      <c r="I358" s="117"/>
      <c r="J358" s="117"/>
      <c r="K358" s="117"/>
      <c r="L358" s="117"/>
      <c r="M358" s="117"/>
      <c r="N358" s="118"/>
      <c r="O358" s="112"/>
      <c r="P358" s="115"/>
      <c r="Q358" s="115"/>
      <c r="R358" s="114"/>
      <c r="S358" s="114"/>
      <c r="T358" s="115"/>
      <c r="U358" s="116"/>
      <c r="V358" s="112"/>
      <c r="W358" s="217"/>
      <c r="X358" s="217"/>
      <c r="Y358" s="217"/>
      <c r="Z358" s="1"/>
      <c r="AA358" s="1"/>
      <c r="AB358" s="12"/>
      <c r="AC358" s="12"/>
    </row>
    <row r="359" spans="2:29" ht="24.9" customHeight="1" x14ac:dyDescent="0.3">
      <c r="B359" s="226" t="s">
        <v>167</v>
      </c>
      <c r="C359" s="26" t="str">
        <f t="shared" si="7"/>
        <v/>
      </c>
      <c r="D359" s="53" t="str">
        <f>IF(Data!F510="","",Data!F510)</f>
        <v/>
      </c>
      <c r="E359" s="92" t="str">
        <f>IF(Data!H510="","",Data!H510)</f>
        <v/>
      </c>
      <c r="F359" s="54" t="str">
        <f>IF(Data!I510="","",Data!I510)</f>
        <v/>
      </c>
      <c r="G359" s="110"/>
      <c r="H359" s="111"/>
      <c r="I359" s="117"/>
      <c r="J359" s="117"/>
      <c r="K359" s="117"/>
      <c r="L359" s="117"/>
      <c r="M359" s="117"/>
      <c r="N359" s="118"/>
      <c r="O359" s="112"/>
      <c r="P359" s="115"/>
      <c r="Q359" s="115"/>
      <c r="R359" s="114"/>
      <c r="S359" s="114"/>
      <c r="T359" s="115"/>
      <c r="U359" s="116"/>
      <c r="V359" s="112"/>
      <c r="W359" s="217"/>
      <c r="X359" s="217"/>
      <c r="Y359" s="217"/>
      <c r="Z359" s="1"/>
      <c r="AA359" s="1"/>
      <c r="AB359" s="12"/>
      <c r="AC359" s="12"/>
    </row>
    <row r="360" spans="2:29" ht="24.9" customHeight="1" x14ac:dyDescent="0.3">
      <c r="B360" s="226" t="s">
        <v>167</v>
      </c>
      <c r="C360" s="26" t="str">
        <f t="shared" si="7"/>
        <v/>
      </c>
      <c r="D360" s="53" t="str">
        <f>IF(Data!F511="","",Data!F511)</f>
        <v/>
      </c>
      <c r="E360" s="92" t="str">
        <f>IF(Data!H511="","",Data!H511)</f>
        <v/>
      </c>
      <c r="F360" s="54" t="str">
        <f>IF(Data!I511="","",Data!I511)</f>
        <v/>
      </c>
      <c r="G360" s="110"/>
      <c r="H360" s="111"/>
      <c r="I360" s="117"/>
      <c r="J360" s="117"/>
      <c r="K360" s="117"/>
      <c r="L360" s="117"/>
      <c r="M360" s="117"/>
      <c r="N360" s="118"/>
      <c r="O360" s="112"/>
      <c r="P360" s="115"/>
      <c r="Q360" s="115"/>
      <c r="R360" s="114"/>
      <c r="S360" s="114"/>
      <c r="T360" s="115"/>
      <c r="U360" s="116"/>
      <c r="V360" s="112"/>
      <c r="W360" s="217"/>
      <c r="X360" s="217"/>
      <c r="Y360" s="217"/>
      <c r="Z360" s="1"/>
      <c r="AA360" s="1"/>
      <c r="AB360" s="12"/>
      <c r="AC360" s="12"/>
    </row>
    <row r="361" spans="2:29" ht="24.9" customHeight="1" x14ac:dyDescent="0.3">
      <c r="B361" s="226" t="s">
        <v>167</v>
      </c>
      <c r="C361" s="26" t="str">
        <f t="shared" si="7"/>
        <v/>
      </c>
      <c r="D361" s="53" t="str">
        <f>IF(Data!F512="","",Data!F512)</f>
        <v/>
      </c>
      <c r="E361" s="92" t="str">
        <f>IF(Data!H512="","",Data!H512)</f>
        <v/>
      </c>
      <c r="F361" s="54" t="str">
        <f>IF(Data!I512="","",Data!I512)</f>
        <v/>
      </c>
      <c r="G361" s="110"/>
      <c r="H361" s="111"/>
      <c r="I361" s="117"/>
      <c r="J361" s="117"/>
      <c r="K361" s="117"/>
      <c r="L361" s="117"/>
      <c r="M361" s="117"/>
      <c r="N361" s="118"/>
      <c r="O361" s="112"/>
      <c r="P361" s="115"/>
      <c r="Q361" s="115"/>
      <c r="R361" s="114"/>
      <c r="S361" s="114"/>
      <c r="T361" s="115"/>
      <c r="U361" s="116"/>
      <c r="V361" s="112"/>
      <c r="W361" s="217"/>
      <c r="X361" s="217"/>
      <c r="Y361" s="217"/>
      <c r="Z361" s="1"/>
      <c r="AA361" s="1"/>
      <c r="AB361" s="12"/>
      <c r="AC361" s="12"/>
    </row>
    <row r="362" spans="2:29" ht="24.9" customHeight="1" x14ac:dyDescent="0.3">
      <c r="B362" s="226" t="s">
        <v>167</v>
      </c>
      <c r="C362" s="26" t="str">
        <f t="shared" si="7"/>
        <v/>
      </c>
      <c r="D362" s="53" t="str">
        <f>IF(Data!F513="","",Data!F513)</f>
        <v/>
      </c>
      <c r="E362" s="92" t="str">
        <f>IF(Data!H513="","",Data!H513)</f>
        <v/>
      </c>
      <c r="F362" s="54" t="str">
        <f>IF(Data!I513="","",Data!I513)</f>
        <v/>
      </c>
      <c r="G362" s="110"/>
      <c r="H362" s="111"/>
      <c r="I362" s="117"/>
      <c r="J362" s="117"/>
      <c r="K362" s="117"/>
      <c r="L362" s="117"/>
      <c r="M362" s="117"/>
      <c r="N362" s="118"/>
      <c r="O362" s="112"/>
      <c r="P362" s="115"/>
      <c r="Q362" s="115"/>
      <c r="R362" s="114"/>
      <c r="S362" s="114"/>
      <c r="T362" s="115"/>
      <c r="U362" s="116"/>
      <c r="V362" s="112"/>
      <c r="W362" s="217"/>
      <c r="X362" s="217"/>
      <c r="Y362" s="217"/>
      <c r="Z362" s="1"/>
      <c r="AA362" s="1"/>
      <c r="AB362" s="12"/>
      <c r="AC362" s="12"/>
    </row>
    <row r="363" spans="2:29" ht="24.9" customHeight="1" x14ac:dyDescent="0.3">
      <c r="B363" s="226" t="s">
        <v>167</v>
      </c>
      <c r="C363" s="26" t="str">
        <f t="shared" si="7"/>
        <v/>
      </c>
      <c r="D363" s="53" t="str">
        <f>IF(Data!F514="","",Data!F514)</f>
        <v/>
      </c>
      <c r="E363" s="92" t="str">
        <f>IF(Data!H514="","",Data!H514)</f>
        <v/>
      </c>
      <c r="F363" s="54" t="str">
        <f>IF(Data!I514="","",Data!I514)</f>
        <v/>
      </c>
      <c r="G363" s="110"/>
      <c r="H363" s="111"/>
      <c r="I363" s="117"/>
      <c r="J363" s="117"/>
      <c r="K363" s="117"/>
      <c r="L363" s="117"/>
      <c r="M363" s="117"/>
      <c r="N363" s="118"/>
      <c r="O363" s="112"/>
      <c r="P363" s="115"/>
      <c r="Q363" s="115"/>
      <c r="R363" s="114"/>
      <c r="S363" s="114"/>
      <c r="T363" s="115"/>
      <c r="U363" s="116"/>
      <c r="V363" s="112"/>
      <c r="W363" s="217"/>
      <c r="X363" s="217"/>
      <c r="Y363" s="217"/>
      <c r="Z363" s="1"/>
      <c r="AA363" s="1"/>
      <c r="AB363" s="12"/>
      <c r="AC363" s="12"/>
    </row>
    <row r="364" spans="2:29" ht="24.9" customHeight="1" x14ac:dyDescent="0.3">
      <c r="B364" s="226" t="s">
        <v>167</v>
      </c>
      <c r="C364" s="26" t="str">
        <f t="shared" si="7"/>
        <v/>
      </c>
      <c r="D364" s="53" t="str">
        <f>IF(Data!F519="","",Data!F519)</f>
        <v/>
      </c>
      <c r="E364" s="92" t="str">
        <f>IF(Data!H519="","",Data!H519)</f>
        <v/>
      </c>
      <c r="F364" s="54" t="str">
        <f>IF(Data!I519="","",Data!I519)</f>
        <v/>
      </c>
      <c r="G364" s="110"/>
      <c r="H364" s="111"/>
      <c r="I364" s="117"/>
      <c r="J364" s="117"/>
      <c r="K364" s="117"/>
      <c r="L364" s="117"/>
      <c r="M364" s="117"/>
      <c r="N364" s="118"/>
      <c r="O364" s="112"/>
      <c r="P364" s="115"/>
      <c r="Q364" s="115"/>
      <c r="R364" s="114"/>
      <c r="S364" s="114"/>
      <c r="T364" s="115"/>
      <c r="U364" s="116"/>
      <c r="V364" s="112"/>
      <c r="W364" s="217"/>
      <c r="X364" s="217"/>
      <c r="Y364" s="217"/>
      <c r="Z364" s="1"/>
      <c r="AA364" s="1"/>
      <c r="AB364" s="12"/>
      <c r="AC364" s="12"/>
    </row>
    <row r="365" spans="2:29" ht="24.9" customHeight="1" x14ac:dyDescent="0.3">
      <c r="B365" s="226" t="s">
        <v>167</v>
      </c>
      <c r="C365" s="26" t="str">
        <f t="shared" si="7"/>
        <v/>
      </c>
      <c r="D365" s="53" t="str">
        <f>IF(Data!F520="","",Data!F520)</f>
        <v/>
      </c>
      <c r="E365" s="92" t="str">
        <f>IF(Data!H520="","",Data!H520)</f>
        <v/>
      </c>
      <c r="F365" s="54" t="str">
        <f>IF(Data!I520="","",Data!I520)</f>
        <v/>
      </c>
      <c r="G365" s="110"/>
      <c r="H365" s="111"/>
      <c r="I365" s="117"/>
      <c r="J365" s="117"/>
      <c r="K365" s="117"/>
      <c r="L365" s="117"/>
      <c r="M365" s="117"/>
      <c r="N365" s="118"/>
      <c r="O365" s="112"/>
      <c r="P365" s="115"/>
      <c r="Q365" s="115"/>
      <c r="R365" s="114"/>
      <c r="S365" s="114"/>
      <c r="T365" s="115"/>
      <c r="U365" s="116"/>
      <c r="V365" s="112"/>
      <c r="W365" s="217"/>
      <c r="X365" s="217"/>
      <c r="Y365" s="217"/>
      <c r="Z365" s="1"/>
      <c r="AA365" s="1"/>
      <c r="AB365" s="12"/>
      <c r="AC365" s="12"/>
    </row>
    <row r="366" spans="2:29" ht="24.9" customHeight="1" x14ac:dyDescent="0.3">
      <c r="B366" s="226" t="s">
        <v>167</v>
      </c>
      <c r="C366" s="26" t="str">
        <f t="shared" si="7"/>
        <v/>
      </c>
      <c r="D366" s="53" t="str">
        <f>IF(Data!F521="","",Data!F521)</f>
        <v/>
      </c>
      <c r="E366" s="92" t="str">
        <f>IF(Data!H521="","",Data!H521)</f>
        <v/>
      </c>
      <c r="F366" s="54" t="str">
        <f>IF(Data!I521="","",Data!I521)</f>
        <v/>
      </c>
      <c r="G366" s="110"/>
      <c r="H366" s="111"/>
      <c r="I366" s="117"/>
      <c r="J366" s="117"/>
      <c r="K366" s="117"/>
      <c r="L366" s="117"/>
      <c r="M366" s="117"/>
      <c r="N366" s="118"/>
      <c r="O366" s="112"/>
      <c r="P366" s="115"/>
      <c r="Q366" s="115"/>
      <c r="R366" s="114"/>
      <c r="S366" s="114"/>
      <c r="T366" s="115"/>
      <c r="U366" s="116"/>
      <c r="V366" s="112"/>
      <c r="W366" s="217"/>
      <c r="X366" s="217"/>
      <c r="Y366" s="217"/>
      <c r="Z366" s="1"/>
      <c r="AA366" s="1"/>
      <c r="AB366" s="12"/>
      <c r="AC366" s="12"/>
    </row>
    <row r="367" spans="2:29" ht="24.9" customHeight="1" x14ac:dyDescent="0.3">
      <c r="B367" s="226" t="s">
        <v>167</v>
      </c>
      <c r="C367" s="26" t="str">
        <f t="shared" si="7"/>
        <v/>
      </c>
      <c r="D367" s="53" t="str">
        <f>IF(Data!F522="","",Data!F522)</f>
        <v/>
      </c>
      <c r="E367" s="92" t="str">
        <f>IF(Data!H522="","",Data!H522)</f>
        <v/>
      </c>
      <c r="F367" s="54" t="str">
        <f>IF(Data!I522="","",Data!I522)</f>
        <v/>
      </c>
      <c r="G367" s="110"/>
      <c r="H367" s="111"/>
      <c r="I367" s="117"/>
      <c r="J367" s="117"/>
      <c r="K367" s="117"/>
      <c r="L367" s="117"/>
      <c r="M367" s="117"/>
      <c r="N367" s="118"/>
      <c r="O367" s="112"/>
      <c r="P367" s="115"/>
      <c r="Q367" s="115"/>
      <c r="R367" s="114"/>
      <c r="S367" s="114"/>
      <c r="T367" s="115"/>
      <c r="U367" s="116"/>
      <c r="V367" s="112"/>
      <c r="W367" s="217"/>
      <c r="X367" s="217"/>
      <c r="Y367" s="217"/>
      <c r="Z367" s="1"/>
      <c r="AA367" s="1"/>
      <c r="AB367" s="12"/>
      <c r="AC367" s="12"/>
    </row>
    <row r="368" spans="2:29" ht="24.9" customHeight="1" x14ac:dyDescent="0.3">
      <c r="B368" s="226" t="s">
        <v>167</v>
      </c>
      <c r="C368" s="26" t="str">
        <f t="shared" si="7"/>
        <v/>
      </c>
      <c r="D368" s="53" t="str">
        <f>IF(Data!F523="","",Data!F523)</f>
        <v/>
      </c>
      <c r="E368" s="92" t="str">
        <f>IF(Data!H523="","",Data!H523)</f>
        <v/>
      </c>
      <c r="F368" s="54" t="str">
        <f>IF(Data!I523="","",Data!I523)</f>
        <v/>
      </c>
      <c r="G368" s="110"/>
      <c r="H368" s="111"/>
      <c r="I368" s="117"/>
      <c r="J368" s="117"/>
      <c r="K368" s="117"/>
      <c r="L368" s="117"/>
      <c r="M368" s="117"/>
      <c r="N368" s="118"/>
      <c r="O368" s="112"/>
      <c r="P368" s="115"/>
      <c r="Q368" s="115"/>
      <c r="R368" s="114"/>
      <c r="S368" s="114"/>
      <c r="T368" s="115"/>
      <c r="U368" s="116"/>
      <c r="V368" s="112"/>
      <c r="W368" s="217"/>
      <c r="X368" s="217"/>
      <c r="Y368" s="217"/>
      <c r="Z368" s="1"/>
      <c r="AA368" s="1"/>
      <c r="AB368" s="12"/>
      <c r="AC368" s="12"/>
    </row>
    <row r="369" spans="2:29" ht="24.9" customHeight="1" x14ac:dyDescent="0.3">
      <c r="B369" s="226" t="s">
        <v>167</v>
      </c>
      <c r="C369" s="265" t="str">
        <f t="shared" si="7"/>
        <v/>
      </c>
      <c r="D369" s="266" t="str">
        <f>IF(Data!F524="","",Data!F524)</f>
        <v/>
      </c>
      <c r="E369" s="267" t="str">
        <f>IF(Data!H524="","",Data!H524)</f>
        <v/>
      </c>
      <c r="F369" s="268" t="str">
        <f>IF(Data!I524="","",Data!I524)</f>
        <v/>
      </c>
      <c r="G369" s="189"/>
      <c r="H369" s="190"/>
      <c r="I369" s="191"/>
      <c r="J369" s="191"/>
      <c r="K369" s="191"/>
      <c r="L369" s="191"/>
      <c r="M369" s="191"/>
      <c r="N369" s="192"/>
      <c r="O369" s="193"/>
      <c r="P369" s="194"/>
      <c r="Q369" s="194"/>
      <c r="R369" s="195"/>
      <c r="S369" s="195"/>
      <c r="T369" s="194"/>
      <c r="U369" s="196"/>
      <c r="V369" s="193"/>
      <c r="W369" s="264"/>
      <c r="X369" s="264"/>
      <c r="Y369" s="264"/>
      <c r="Z369" s="1"/>
      <c r="AA369" s="1"/>
      <c r="AB369" s="12"/>
      <c r="AC369" s="12"/>
    </row>
    <row r="370" spans="2:29" x14ac:dyDescent="0.3">
      <c r="B370" s="217"/>
      <c r="C370" s="81"/>
      <c r="D370" s="81"/>
      <c r="E370" s="81"/>
      <c r="F370" s="81"/>
      <c r="G370" s="81"/>
      <c r="H370" s="81"/>
      <c r="I370" s="81"/>
      <c r="J370" s="81"/>
      <c r="K370" s="81"/>
      <c r="L370" s="81"/>
      <c r="M370" s="81"/>
      <c r="N370" s="81"/>
      <c r="O370" s="81"/>
      <c r="P370" s="81"/>
      <c r="Q370" s="81"/>
      <c r="R370" s="81"/>
      <c r="S370" s="81"/>
      <c r="T370" s="81"/>
      <c r="U370" s="81"/>
      <c r="V370" s="81"/>
      <c r="W370" s="81"/>
      <c r="X370" s="81"/>
      <c r="Y370" s="81"/>
    </row>
    <row r="371" spans="2:29" hidden="1" x14ac:dyDescent="0.3">
      <c r="D371" s="2"/>
    </row>
    <row r="372" spans="2:29" hidden="1" x14ac:dyDescent="0.3">
      <c r="D372" s="2"/>
    </row>
    <row r="373" spans="2:29" hidden="1" x14ac:dyDescent="0.3">
      <c r="D373" s="2"/>
    </row>
    <row r="374" spans="2:29" hidden="1" x14ac:dyDescent="0.3">
      <c r="D374" s="2"/>
    </row>
  </sheetData>
  <sheetProtection selectLockedCells="1" autoFilter="0"/>
  <autoFilter ref="A9:B370" xr:uid="{00000000-0009-0000-0000-000003000000}"/>
  <mergeCells count="17">
    <mergeCell ref="B7:B8"/>
    <mergeCell ref="E5:F5"/>
    <mergeCell ref="G7:G8"/>
    <mergeCell ref="H7:H8"/>
    <mergeCell ref="O5:O8"/>
    <mergeCell ref="C7:C8"/>
    <mergeCell ref="D7:D8"/>
    <mergeCell ref="E7:E8"/>
    <mergeCell ref="F7:F8"/>
    <mergeCell ref="C5:D5"/>
    <mergeCell ref="V5:V8"/>
    <mergeCell ref="Z7:Z8"/>
    <mergeCell ref="AA7:AA8"/>
    <mergeCell ref="K8:L8"/>
    <mergeCell ref="M8:N8"/>
    <mergeCell ref="R8:S8"/>
    <mergeCell ref="T8:U8"/>
  </mergeCells>
  <conditionalFormatting sqref="C10:V11 G285:V288 G322:V328 G346:V368">
    <cfRule type="expression" dxfId="350" priority="83">
      <formula>AND($C10&lt;&gt;"",$C11="")</formula>
    </cfRule>
    <cfRule type="expression" dxfId="349" priority="84">
      <formula>$C10=""</formula>
    </cfRule>
  </conditionalFormatting>
  <conditionalFormatting sqref="G369:Y369">
    <cfRule type="expression" dxfId="348" priority="2217">
      <formula>AND($C369&lt;&gt;"",#REF!="")</formula>
    </cfRule>
    <cfRule type="expression" dxfId="347" priority="2218">
      <formula>$C369=""</formula>
    </cfRule>
  </conditionalFormatting>
  <conditionalFormatting sqref="G251:V254">
    <cfRule type="expression" dxfId="346" priority="2804">
      <formula>AND($C251&lt;&gt;"",$C286="")</formula>
    </cfRule>
    <cfRule type="expression" dxfId="345" priority="2805">
      <formula>$C251=""</formula>
    </cfRule>
  </conditionalFormatting>
  <conditionalFormatting sqref="G217:V220">
    <cfRule type="expression" dxfId="344" priority="2806">
      <formula>AND($C217&lt;&gt;"",$C286="")</formula>
    </cfRule>
    <cfRule type="expression" dxfId="343" priority="2807">
      <formula>$C217=""</formula>
    </cfRule>
  </conditionalFormatting>
  <conditionalFormatting sqref="G183:V186">
    <cfRule type="expression" dxfId="342" priority="2808">
      <formula>AND($C183&lt;&gt;"",$C286="")</formula>
    </cfRule>
    <cfRule type="expression" dxfId="341" priority="2809">
      <formula>$C183=""</formula>
    </cfRule>
  </conditionalFormatting>
  <conditionalFormatting sqref="G149:V152">
    <cfRule type="expression" dxfId="340" priority="2810">
      <formula>AND($C149&lt;&gt;"",$C286="")</formula>
    </cfRule>
    <cfRule type="expression" dxfId="339" priority="2811">
      <formula>$C149=""</formula>
    </cfRule>
  </conditionalFormatting>
  <conditionalFormatting sqref="G115:V118">
    <cfRule type="expression" dxfId="338" priority="2812">
      <formula>AND($C115&lt;&gt;"",$C286="")</formula>
    </cfRule>
    <cfRule type="expression" dxfId="337" priority="2813">
      <formula>$C115=""</formula>
    </cfRule>
  </conditionalFormatting>
  <conditionalFormatting sqref="G81:V84">
    <cfRule type="expression" dxfId="336" priority="2814">
      <formula>AND($C81&lt;&gt;"",$C286="")</formula>
    </cfRule>
    <cfRule type="expression" dxfId="335" priority="2815">
      <formula>$C81=""</formula>
    </cfRule>
  </conditionalFormatting>
  <conditionalFormatting sqref="G47:V50">
    <cfRule type="expression" dxfId="334" priority="2816">
      <formula>AND($C47&lt;&gt;"",$C286="")</formula>
    </cfRule>
    <cfRule type="expression" dxfId="333" priority="2817">
      <formula>$C47=""</formula>
    </cfRule>
  </conditionalFormatting>
  <conditionalFormatting sqref="C12:V16">
    <cfRule type="expression" dxfId="332" priority="2818">
      <formula>AND($C12&lt;&gt;"",$C285="")</formula>
    </cfRule>
    <cfRule type="expression" dxfId="331" priority="2819">
      <formula>$C12=""</formula>
    </cfRule>
  </conditionalFormatting>
  <conditionalFormatting sqref="G289:V296">
    <cfRule type="expression" dxfId="330" priority="2824">
      <formula>AND($C289&lt;&gt;"",$C322="")</formula>
    </cfRule>
    <cfRule type="expression" dxfId="329" priority="2825">
      <formula>$C289=""</formula>
    </cfRule>
  </conditionalFormatting>
  <conditionalFormatting sqref="G255:V262">
    <cfRule type="expression" dxfId="328" priority="2828">
      <formula>AND($C255&lt;&gt;"",$C322="")</formula>
    </cfRule>
    <cfRule type="expression" dxfId="327" priority="2829">
      <formula>$C255=""</formula>
    </cfRule>
  </conditionalFormatting>
  <conditionalFormatting sqref="G221:V228">
    <cfRule type="expression" dxfId="326" priority="2832">
      <formula>AND($C221&lt;&gt;"",$C322="")</formula>
    </cfRule>
    <cfRule type="expression" dxfId="325" priority="2833">
      <formula>$C221=""</formula>
    </cfRule>
  </conditionalFormatting>
  <conditionalFormatting sqref="G187:V194">
    <cfRule type="expression" dxfId="324" priority="2836">
      <formula>AND($C187&lt;&gt;"",$C322="")</formula>
    </cfRule>
    <cfRule type="expression" dxfId="323" priority="2837">
      <formula>$C187=""</formula>
    </cfRule>
  </conditionalFormatting>
  <conditionalFormatting sqref="G153:V160">
    <cfRule type="expression" dxfId="322" priority="2840">
      <formula>AND($C153&lt;&gt;"",$C322="")</formula>
    </cfRule>
    <cfRule type="expression" dxfId="321" priority="2841">
      <formula>$C153=""</formula>
    </cfRule>
  </conditionalFormatting>
  <conditionalFormatting sqref="G119:V126">
    <cfRule type="expression" dxfId="320" priority="2844">
      <formula>AND($C119&lt;&gt;"",$C322="")</formula>
    </cfRule>
    <cfRule type="expression" dxfId="319" priority="2845">
      <formula>$C119=""</formula>
    </cfRule>
  </conditionalFormatting>
  <conditionalFormatting sqref="G85:V92">
    <cfRule type="expression" dxfId="318" priority="2848">
      <formula>AND($C85&lt;&gt;"",$C322="")</formula>
    </cfRule>
    <cfRule type="expression" dxfId="317" priority="2849">
      <formula>$C85=""</formula>
    </cfRule>
  </conditionalFormatting>
  <conditionalFormatting sqref="G51:V58">
    <cfRule type="expression" dxfId="316" priority="2852">
      <formula>AND($C51&lt;&gt;"",$C322="")</formula>
    </cfRule>
    <cfRule type="expression" dxfId="315" priority="2853">
      <formula>$C51=""</formula>
    </cfRule>
  </conditionalFormatting>
  <conditionalFormatting sqref="C17:V24">
    <cfRule type="expression" dxfId="314" priority="2856">
      <formula>AND($C17&lt;&gt;"",$C322="")</formula>
    </cfRule>
    <cfRule type="expression" dxfId="313" priority="2857">
      <formula>$C17=""</formula>
    </cfRule>
  </conditionalFormatting>
  <conditionalFormatting sqref="G329:V345">
    <cfRule type="expression" dxfId="312" priority="2862">
      <formula>AND($C329&lt;&gt;"",$C346="")</formula>
    </cfRule>
    <cfRule type="expression" dxfId="311" priority="2863">
      <formula>$C329=""</formula>
    </cfRule>
  </conditionalFormatting>
  <conditionalFormatting sqref="G297:V320">
    <cfRule type="expression" dxfId="310" priority="2866">
      <formula>AND($C297&lt;&gt;"",$C346="")</formula>
    </cfRule>
    <cfRule type="expression" dxfId="309" priority="2867">
      <formula>$C297=""</formula>
    </cfRule>
  </conditionalFormatting>
  <conditionalFormatting sqref="G263:V284">
    <cfRule type="expression" dxfId="308" priority="2870">
      <formula>AND($C263&lt;&gt;"",$C346="")</formula>
    </cfRule>
    <cfRule type="expression" dxfId="307" priority="2871">
      <formula>$C263=""</formula>
    </cfRule>
  </conditionalFormatting>
  <conditionalFormatting sqref="G229:V250">
    <cfRule type="expression" dxfId="306" priority="2874">
      <formula>AND($C229&lt;&gt;"",$C346="")</formula>
    </cfRule>
    <cfRule type="expression" dxfId="305" priority="2875">
      <formula>$C229=""</formula>
    </cfRule>
  </conditionalFormatting>
  <conditionalFormatting sqref="G195:V216">
    <cfRule type="expression" dxfId="304" priority="2878">
      <formula>AND($C195&lt;&gt;"",$C346="")</formula>
    </cfRule>
    <cfRule type="expression" dxfId="303" priority="2879">
      <formula>$C195=""</formula>
    </cfRule>
  </conditionalFormatting>
  <conditionalFormatting sqref="G161:V182">
    <cfRule type="expression" dxfId="302" priority="2882">
      <formula>AND($C161&lt;&gt;"",$C346="")</formula>
    </cfRule>
    <cfRule type="expression" dxfId="301" priority="2883">
      <formula>$C161=""</formula>
    </cfRule>
  </conditionalFormatting>
  <conditionalFormatting sqref="G127:V148">
    <cfRule type="expression" dxfId="300" priority="2886">
      <formula>AND($C127&lt;&gt;"",$C346="")</formula>
    </cfRule>
    <cfRule type="expression" dxfId="299" priority="2887">
      <formula>$C127=""</formula>
    </cfRule>
  </conditionalFormatting>
  <conditionalFormatting sqref="G93:V114">
    <cfRule type="expression" dxfId="298" priority="2890">
      <formula>AND($C93&lt;&gt;"",$C346="")</formula>
    </cfRule>
    <cfRule type="expression" dxfId="297" priority="2891">
      <formula>$C93=""</formula>
    </cfRule>
  </conditionalFormatting>
  <conditionalFormatting sqref="G59:V80">
    <cfRule type="expression" dxfId="296" priority="2894">
      <formula>AND($C59&lt;&gt;"",$C346="")</formula>
    </cfRule>
    <cfRule type="expression" dxfId="295" priority="2895">
      <formula>$C59=""</formula>
    </cfRule>
  </conditionalFormatting>
  <conditionalFormatting sqref="G25:V46 C25:F48">
    <cfRule type="expression" dxfId="294" priority="2898">
      <formula>AND($C25&lt;&gt;"",$C346="")</formula>
    </cfRule>
    <cfRule type="expression" dxfId="293" priority="2899">
      <formula>$C25=""</formula>
    </cfRule>
  </conditionalFormatting>
  <conditionalFormatting sqref="G321:V321">
    <cfRule type="expression" dxfId="292" priority="3484">
      <formula>AND($C321&lt;&gt;"",#REF!="")</formula>
    </cfRule>
    <cfRule type="expression" dxfId="291" priority="3485">
      <formula>$C321=""</formula>
    </cfRule>
  </conditionalFormatting>
  <conditionalFormatting sqref="D50:F50 C51:F369">
    <cfRule type="expression" dxfId="290" priority="3488">
      <formula>AND($C50&lt;&gt;"",$C370="")</formula>
    </cfRule>
    <cfRule type="expression" dxfId="289" priority="3489">
      <formula>$C50=""</formula>
    </cfRule>
  </conditionalFormatting>
  <conditionalFormatting sqref="C49:F49 C50">
    <cfRule type="expression" dxfId="288" priority="3490">
      <formula>AND($C49&lt;&gt;"",#REF!="")</formula>
    </cfRule>
    <cfRule type="expression" dxfId="287" priority="3491">
      <formula>$C49=""</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CM570"/>
  <sheetViews>
    <sheetView tabSelected="1" topLeftCell="A2" zoomScaleNormal="100" workbookViewId="0">
      <pane xSplit="6" ySplit="8" topLeftCell="G10" activePane="bottomRight" state="frozen"/>
      <selection activeCell="I387" sqref="I387"/>
      <selection pane="topRight" activeCell="I387" sqref="I387"/>
      <selection pane="bottomLeft" activeCell="I387" sqref="I387"/>
      <selection pane="bottomRight" activeCell="I534" sqref="I534:Z534"/>
    </sheetView>
  </sheetViews>
  <sheetFormatPr defaultColWidth="0" defaultRowHeight="14.4" zeroHeight="1" x14ac:dyDescent="0.3"/>
  <cols>
    <col min="1" max="1" width="1.6640625" style="2" hidden="1" customWidth="1"/>
    <col min="2" max="2" width="6.109375" style="2" customWidth="1"/>
    <col min="3" max="3" width="4.6640625" style="2" customWidth="1"/>
    <col min="4" max="4" width="8.5546875" style="1" customWidth="1"/>
    <col min="5" max="5" width="27.5546875" style="2" customWidth="1"/>
    <col min="6" max="6" width="3.109375" style="2" customWidth="1"/>
    <col min="7" max="7" width="4" style="1" bestFit="1" customWidth="1"/>
    <col min="8" max="12" width="3.6640625" style="1" customWidth="1"/>
    <col min="13" max="14" width="3.6640625" style="2" customWidth="1"/>
    <col min="15" max="16" width="4.6640625" style="2" customWidth="1"/>
    <col min="17" max="17" width="5.5546875" style="2" bestFit="1" customWidth="1"/>
    <col min="18" max="18" width="4.6640625" style="1" customWidth="1"/>
    <col min="19" max="19" width="4.6640625" style="2" customWidth="1"/>
    <col min="20" max="25" width="5.109375" style="2" hidden="1" customWidth="1"/>
    <col min="26" max="26" width="40.6640625" style="2" customWidth="1"/>
    <col min="27" max="32" width="3.6640625" style="1" customWidth="1"/>
    <col min="33" max="34" width="3.6640625" style="2" customWidth="1"/>
    <col min="35" max="36" width="4.6640625" style="2" customWidth="1"/>
    <col min="37" max="42" width="5.109375" style="2" hidden="1" customWidth="1"/>
    <col min="43" max="43" width="40.6640625" style="2" customWidth="1"/>
    <col min="44" max="44" width="5.33203125" customWidth="1"/>
    <col min="45" max="88" width="9.109375" hidden="1" customWidth="1"/>
    <col min="89" max="91" width="5.6640625" style="2" hidden="1" customWidth="1"/>
    <col min="92" max="16384" width="9.109375" style="2" hidden="1"/>
  </cols>
  <sheetData>
    <row r="1" spans="2:44" ht="8.25" customHeight="1" x14ac:dyDescent="0.3">
      <c r="B1" s="17"/>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88"/>
    </row>
    <row r="2" spans="2:44" ht="17.25" customHeight="1" x14ac:dyDescent="0.3">
      <c r="B2" s="217"/>
      <c r="C2" s="217"/>
      <c r="D2" s="300" t="s">
        <v>145</v>
      </c>
      <c r="E2" s="530"/>
      <c r="F2" s="530"/>
      <c r="G2" s="37"/>
      <c r="H2" s="37"/>
      <c r="I2" s="37"/>
      <c r="J2" s="37"/>
      <c r="K2" s="37"/>
      <c r="L2" s="37"/>
      <c r="M2" s="37"/>
      <c r="N2" s="37"/>
      <c r="O2" s="37"/>
      <c r="P2" s="37"/>
      <c r="Q2" s="37"/>
      <c r="R2" s="222" t="str">
        <f>"DAFTAR NILAI PENGETAHUAN "&amp;Data!C5</f>
        <v>DAFTAR NILAI PENGETAHUAN SMP Islam Sunan Bejagung</v>
      </c>
      <c r="S2" s="38"/>
      <c r="T2" s="38"/>
      <c r="U2" s="38"/>
      <c r="V2" s="38"/>
      <c r="W2" s="38"/>
      <c r="X2" s="38"/>
      <c r="Y2" s="38"/>
      <c r="Z2" s="56"/>
      <c r="AA2" s="44"/>
      <c r="AB2" s="44"/>
      <c r="AC2" s="44"/>
      <c r="AD2" s="44"/>
      <c r="AE2" s="44"/>
      <c r="AF2" s="44"/>
      <c r="AG2" s="44"/>
      <c r="AH2" s="43"/>
      <c r="AI2" s="43"/>
      <c r="AJ2" s="223" t="str">
        <f>"DAFTAR NILAI KETRAMPILAN"&amp;Data!C5</f>
        <v>DAFTAR NILAI KETRAMPILANSMP Islam Sunan Bejagung</v>
      </c>
      <c r="AK2" s="43"/>
      <c r="AL2" s="43"/>
      <c r="AM2" s="43"/>
      <c r="AN2" s="43"/>
      <c r="AO2" s="43"/>
      <c r="AP2" s="43"/>
      <c r="AQ2" s="43"/>
      <c r="AR2" s="188"/>
    </row>
    <row r="3" spans="2:44" s="59" customFormat="1" ht="15" customHeight="1" x14ac:dyDescent="0.3">
      <c r="B3" s="227"/>
      <c r="C3" s="227"/>
      <c r="D3" s="297">
        <f>Data!C12</f>
        <v>78</v>
      </c>
      <c r="E3" s="530"/>
      <c r="F3" s="530"/>
      <c r="G3" s="55"/>
      <c r="H3" s="55"/>
      <c r="I3" s="55"/>
      <c r="J3" s="55"/>
      <c r="K3" s="55"/>
      <c r="L3" s="55"/>
      <c r="M3" s="221" t="str">
        <f>"Mata Pelajaran : "&amp;Data!C6</f>
        <v xml:space="preserve">Mata Pelajaran : </v>
      </c>
      <c r="N3" s="56"/>
      <c r="O3" s="56"/>
      <c r="P3" s="56"/>
      <c r="Q3" s="56"/>
      <c r="R3" s="55"/>
      <c r="S3" s="56"/>
      <c r="T3" s="56"/>
      <c r="U3" s="56"/>
      <c r="V3" s="56"/>
      <c r="W3" s="56"/>
      <c r="X3" s="56"/>
      <c r="Y3" s="56"/>
      <c r="Z3" s="56"/>
      <c r="AA3" s="57"/>
      <c r="AB3" s="303" t="str">
        <f>M3</f>
        <v xml:space="preserve">Mata Pelajaran : </v>
      </c>
      <c r="AC3" s="224"/>
      <c r="AD3" s="225"/>
      <c r="AE3" s="225"/>
      <c r="AF3" s="224"/>
      <c r="AG3" s="225"/>
      <c r="AH3" s="225"/>
      <c r="AI3" s="58"/>
      <c r="AJ3" s="58"/>
      <c r="AK3" s="58"/>
      <c r="AL3" s="58"/>
      <c r="AM3" s="58"/>
      <c r="AN3" s="58"/>
      <c r="AO3" s="58"/>
      <c r="AP3" s="58"/>
      <c r="AQ3" s="58"/>
      <c r="AR3" s="227"/>
    </row>
    <row r="4" spans="2:44" ht="63.75" customHeight="1" x14ac:dyDescent="0.3">
      <c r="B4" s="217"/>
      <c r="C4" s="217"/>
      <c r="D4" s="228"/>
      <c r="E4" s="217"/>
      <c r="F4" s="217"/>
      <c r="G4" s="521" t="s">
        <v>129</v>
      </c>
      <c r="H4" s="521"/>
      <c r="I4" s="521"/>
      <c r="J4" s="521"/>
      <c r="K4" s="521"/>
      <c r="L4" s="521"/>
      <c r="M4" s="521"/>
      <c r="N4" s="521"/>
      <c r="O4" s="521"/>
      <c r="P4" s="521"/>
      <c r="Q4" s="521"/>
      <c r="R4" s="521"/>
      <c r="S4" s="521"/>
      <c r="T4" s="38"/>
      <c r="U4" s="38"/>
      <c r="V4" s="38"/>
      <c r="W4" s="38"/>
      <c r="X4" s="38"/>
      <c r="Y4" s="38"/>
      <c r="Z4" s="308" t="s">
        <v>149</v>
      </c>
      <c r="AA4" s="44"/>
      <c r="AB4" s="44"/>
      <c r="AC4" s="44"/>
      <c r="AD4" s="44"/>
      <c r="AE4" s="44"/>
      <c r="AF4" s="44"/>
      <c r="AG4" s="43"/>
      <c r="AH4" s="43"/>
      <c r="AI4" s="43"/>
      <c r="AJ4" s="43"/>
      <c r="AK4" s="43"/>
      <c r="AL4" s="43"/>
      <c r="AM4" s="43"/>
      <c r="AN4" s="43"/>
      <c r="AO4" s="43"/>
      <c r="AP4" s="43"/>
      <c r="AQ4" s="43"/>
      <c r="AR4" s="188"/>
    </row>
    <row r="5" spans="2:44" ht="17.399999999999999" x14ac:dyDescent="0.3">
      <c r="B5" s="217"/>
      <c r="C5" s="466" t="str">
        <f>"Kelas : "&amp;Data!C9</f>
        <v>Kelas : 8</v>
      </c>
      <c r="D5" s="467"/>
      <c r="E5" s="466" t="str">
        <f>"Smt. "&amp;Data!C10&amp;" / Th.Plj : "&amp;Data!C11</f>
        <v>Smt. 3 / Th.Plj : 2026/2027</v>
      </c>
      <c r="F5" s="516"/>
      <c r="G5" s="531" t="s">
        <v>130</v>
      </c>
      <c r="H5" s="532"/>
      <c r="I5" s="532"/>
      <c r="J5" s="532"/>
      <c r="K5" s="533" t="str">
        <f>Data!C7</f>
        <v>Nama Anda</v>
      </c>
      <c r="L5" s="533"/>
      <c r="M5" s="533"/>
      <c r="N5" s="533"/>
      <c r="O5" s="533"/>
      <c r="P5" s="533"/>
      <c r="Q5" s="533"/>
      <c r="R5" s="533"/>
      <c r="S5" s="534"/>
      <c r="T5" s="9"/>
      <c r="U5" s="9"/>
      <c r="V5" s="9"/>
      <c r="W5" s="9"/>
      <c r="X5" s="9"/>
      <c r="Y5" s="9"/>
      <c r="Z5" s="301" t="s">
        <v>21</v>
      </c>
      <c r="AA5" s="535" t="s">
        <v>130</v>
      </c>
      <c r="AB5" s="536"/>
      <c r="AC5" s="536"/>
      <c r="AD5" s="536"/>
      <c r="AE5" s="517" t="str">
        <f>K5</f>
        <v>Nama Anda</v>
      </c>
      <c r="AF5" s="517"/>
      <c r="AG5" s="517"/>
      <c r="AH5" s="517"/>
      <c r="AI5" s="517"/>
      <c r="AJ5" s="518"/>
      <c r="AK5" s="9"/>
      <c r="AL5" s="9"/>
      <c r="AM5" s="9"/>
      <c r="AN5" s="9"/>
      <c r="AO5" s="9"/>
      <c r="AP5" s="9"/>
      <c r="AQ5" s="302" t="s">
        <v>56</v>
      </c>
      <c r="AR5" s="188"/>
    </row>
    <row r="6" spans="2:44" s="3" customFormat="1" ht="11.4" hidden="1" x14ac:dyDescent="0.3">
      <c r="B6" s="18"/>
      <c r="C6" s="49"/>
      <c r="D6" s="49"/>
      <c r="E6" s="49"/>
      <c r="F6" s="49"/>
      <c r="G6" s="175">
        <f t="shared" ref="G6:N6" si="0">IF(COUNT(G10:G489)&gt;0,1,"")</f>
        <v>1</v>
      </c>
      <c r="H6" s="175">
        <f t="shared" si="0"/>
        <v>1</v>
      </c>
      <c r="I6" s="175">
        <f t="shared" si="0"/>
        <v>1</v>
      </c>
      <c r="J6" s="175">
        <f t="shared" si="0"/>
        <v>1</v>
      </c>
      <c r="K6" s="175">
        <f t="shared" si="0"/>
        <v>1</v>
      </c>
      <c r="L6" s="175">
        <f t="shared" si="0"/>
        <v>1</v>
      </c>
      <c r="M6" s="175" t="str">
        <f t="shared" si="0"/>
        <v/>
      </c>
      <c r="N6" s="175" t="str">
        <f t="shared" si="0"/>
        <v/>
      </c>
      <c r="O6" s="175">
        <f>SUM(G6:N6)</f>
        <v>6</v>
      </c>
      <c r="P6" s="175"/>
      <c r="Q6" s="175">
        <f>SUM(O8:Q8)</f>
        <v>4</v>
      </c>
      <c r="R6" s="175"/>
      <c r="S6" s="60"/>
      <c r="T6" s="60"/>
      <c r="U6" s="60"/>
      <c r="V6" s="60"/>
      <c r="W6" s="60"/>
      <c r="X6" s="60"/>
      <c r="Y6" s="60"/>
      <c r="Z6" s="60"/>
      <c r="AA6" s="61" t="str">
        <f t="shared" ref="AA6:AH6" si="1">IF(COUNT(AA10:AA489)&gt;0,AA8,"")</f>
        <v/>
      </c>
      <c r="AB6" s="61" t="str">
        <f t="shared" si="1"/>
        <v/>
      </c>
      <c r="AC6" s="61" t="str">
        <f t="shared" si="1"/>
        <v/>
      </c>
      <c r="AD6" s="61" t="str">
        <f t="shared" si="1"/>
        <v/>
      </c>
      <c r="AE6" s="61" t="str">
        <f t="shared" si="1"/>
        <v/>
      </c>
      <c r="AF6" s="61" t="str">
        <f t="shared" si="1"/>
        <v/>
      </c>
      <c r="AG6" s="61" t="str">
        <f t="shared" si="1"/>
        <v/>
      </c>
      <c r="AH6" s="61" t="str">
        <f t="shared" si="1"/>
        <v/>
      </c>
      <c r="AI6" s="61">
        <f>SUM(AA6:AH6)</f>
        <v>0</v>
      </c>
      <c r="AJ6" s="62"/>
      <c r="AK6" s="63"/>
      <c r="AL6" s="63"/>
      <c r="AM6" s="63"/>
      <c r="AN6" s="63"/>
      <c r="AO6" s="63"/>
      <c r="AP6" s="63"/>
      <c r="AQ6" s="62"/>
      <c r="AR6" s="233"/>
    </row>
    <row r="7" spans="2:44" ht="12.9" customHeight="1" x14ac:dyDescent="0.3">
      <c r="B7" s="465" t="s">
        <v>128</v>
      </c>
      <c r="C7" s="475" t="s">
        <v>0</v>
      </c>
      <c r="D7" s="477" t="s">
        <v>1</v>
      </c>
      <c r="E7" s="477" t="s">
        <v>2</v>
      </c>
      <c r="F7" s="479" t="s">
        <v>18</v>
      </c>
      <c r="G7" s="537" t="s">
        <v>122</v>
      </c>
      <c r="H7" s="538"/>
      <c r="I7" s="538"/>
      <c r="J7" s="538"/>
      <c r="K7" s="538"/>
      <c r="L7" s="538"/>
      <c r="M7" s="538"/>
      <c r="N7" s="539"/>
      <c r="O7" s="64" t="s">
        <v>105</v>
      </c>
      <c r="P7" s="66" t="s">
        <v>106</v>
      </c>
      <c r="Q7" s="68" t="s">
        <v>107</v>
      </c>
      <c r="R7" s="528" t="s">
        <v>108</v>
      </c>
      <c r="S7" s="514" t="s">
        <v>109</v>
      </c>
      <c r="T7" s="42"/>
      <c r="U7" s="42"/>
      <c r="V7" s="42"/>
      <c r="W7" s="42"/>
      <c r="X7" s="42"/>
      <c r="Y7" s="42"/>
      <c r="Z7" s="540" t="s">
        <v>13</v>
      </c>
      <c r="AA7" s="45" t="str">
        <f>AB532</f>
        <v>K-1</v>
      </c>
      <c r="AB7" s="46" t="str">
        <f>AB533</f>
        <v>K-2</v>
      </c>
      <c r="AC7" s="46" t="str">
        <f>AB534</f>
        <v>K-3</v>
      </c>
      <c r="AD7" s="46" t="str">
        <f>AB535</f>
        <v>K-4</v>
      </c>
      <c r="AE7" s="46" t="str">
        <f>AB536</f>
        <v>K-5</v>
      </c>
      <c r="AF7" s="46" t="str">
        <f>AB537</f>
        <v>K-6</v>
      </c>
      <c r="AG7" s="46" t="str">
        <f>AB538</f>
        <v>K-7</v>
      </c>
      <c r="AH7" s="47" t="str">
        <f>AB539</f>
        <v>K-8</v>
      </c>
      <c r="AI7" s="519" t="s">
        <v>108</v>
      </c>
      <c r="AJ7" s="548" t="s">
        <v>109</v>
      </c>
      <c r="AK7" s="48"/>
      <c r="AL7" s="48"/>
      <c r="AM7" s="48"/>
      <c r="AN7" s="48"/>
      <c r="AO7" s="48"/>
      <c r="AP7" s="48"/>
      <c r="AQ7" s="492" t="s">
        <v>13</v>
      </c>
      <c r="AR7" s="188"/>
    </row>
    <row r="8" spans="2:44" ht="12.9" customHeight="1" thickBot="1" x14ac:dyDescent="0.35">
      <c r="B8" s="465"/>
      <c r="C8" s="476"/>
      <c r="D8" s="478"/>
      <c r="E8" s="478"/>
      <c r="F8" s="480"/>
      <c r="G8" s="39" t="str">
        <f>H532</f>
        <v>H-1</v>
      </c>
      <c r="H8" s="40" t="str">
        <f>H533</f>
        <v>H-2</v>
      </c>
      <c r="I8" s="40" t="str">
        <f>H534</f>
        <v>H-3</v>
      </c>
      <c r="J8" s="40" t="str">
        <f>H535</f>
        <v>H-4</v>
      </c>
      <c r="K8" s="40" t="str">
        <f>H536</f>
        <v>H-5</v>
      </c>
      <c r="L8" s="40" t="str">
        <f>H537</f>
        <v>H-6</v>
      </c>
      <c r="M8" s="40" t="str">
        <f>H538</f>
        <v>H-7</v>
      </c>
      <c r="N8" s="41" t="str">
        <f>H539</f>
        <v>H-8</v>
      </c>
      <c r="O8" s="65">
        <v>2</v>
      </c>
      <c r="P8" s="67">
        <v>1</v>
      </c>
      <c r="Q8" s="25">
        <v>1</v>
      </c>
      <c r="R8" s="529"/>
      <c r="S8" s="515"/>
      <c r="T8" s="69" t="s">
        <v>4</v>
      </c>
      <c r="U8" s="69" t="s">
        <v>3</v>
      </c>
      <c r="V8" s="462" t="s">
        <v>10</v>
      </c>
      <c r="W8" s="462"/>
      <c r="X8" s="463" t="s">
        <v>11</v>
      </c>
      <c r="Y8" s="463"/>
      <c r="Z8" s="541"/>
      <c r="AA8" s="6">
        <v>1</v>
      </c>
      <c r="AB8" s="6">
        <v>1</v>
      </c>
      <c r="AC8" s="6">
        <v>1</v>
      </c>
      <c r="AD8" s="6"/>
      <c r="AE8" s="6"/>
      <c r="AF8" s="6"/>
      <c r="AG8" s="6"/>
      <c r="AH8" s="6"/>
      <c r="AI8" s="520"/>
      <c r="AJ8" s="549"/>
      <c r="AK8" s="70" t="s">
        <v>4</v>
      </c>
      <c r="AL8" s="70" t="s">
        <v>3</v>
      </c>
      <c r="AM8" s="494" t="s">
        <v>10</v>
      </c>
      <c r="AN8" s="494"/>
      <c r="AO8" s="513" t="s">
        <v>11</v>
      </c>
      <c r="AP8" s="513"/>
      <c r="AQ8" s="493"/>
      <c r="AR8" s="188"/>
    </row>
    <row r="9" spans="2:44" ht="15" customHeight="1" thickBot="1" x14ac:dyDescent="0.35">
      <c r="B9" s="253"/>
      <c r="C9" s="201"/>
      <c r="D9" s="202"/>
      <c r="E9" s="202"/>
      <c r="F9" s="203"/>
      <c r="G9" s="204"/>
      <c r="H9" s="205"/>
      <c r="I9" s="205"/>
      <c r="J9" s="205"/>
      <c r="K9" s="205"/>
      <c r="L9" s="205"/>
      <c r="M9" s="205"/>
      <c r="N9" s="206"/>
      <c r="O9" s="207"/>
      <c r="P9" s="208"/>
      <c r="Q9" s="209"/>
      <c r="R9" s="210"/>
      <c r="S9" s="211"/>
      <c r="T9" s="212"/>
      <c r="U9" s="212"/>
      <c r="V9" s="212"/>
      <c r="W9" s="212"/>
      <c r="X9" s="213"/>
      <c r="Y9" s="213"/>
      <c r="Z9" s="214"/>
      <c r="AA9" s="215"/>
      <c r="AB9" s="209"/>
      <c r="AC9" s="209"/>
      <c r="AD9" s="209"/>
      <c r="AE9" s="209"/>
      <c r="AF9" s="209"/>
      <c r="AG9" s="209"/>
      <c r="AH9" s="209"/>
      <c r="AI9" s="210"/>
      <c r="AJ9" s="211"/>
      <c r="AK9" s="212"/>
      <c r="AL9" s="212"/>
      <c r="AM9" s="212"/>
      <c r="AN9" s="212"/>
      <c r="AO9" s="213"/>
      <c r="AP9" s="213"/>
      <c r="AQ9" s="216"/>
      <c r="AR9" s="188"/>
    </row>
    <row r="10" spans="2:44" ht="27.75" customHeight="1" thickBot="1" x14ac:dyDescent="0.35">
      <c r="B10" s="226" t="s">
        <v>28</v>
      </c>
      <c r="C10" s="137">
        <v>1</v>
      </c>
      <c r="D10" s="138" t="str">
        <f>IF(Data!F5="","",Data!F5)</f>
        <v>03503</v>
      </c>
      <c r="E10" s="139" t="str">
        <f>IF(Data!H5="","",Data!H5)</f>
        <v>Achmad Bachtiar Nasir</v>
      </c>
      <c r="F10" s="140" t="str">
        <f>IF(Data!I5="","",Data!I5)</f>
        <v>Laki-laki</v>
      </c>
      <c r="G10" s="153"/>
      <c r="H10" s="154"/>
      <c r="I10" s="154"/>
      <c r="J10" s="154"/>
      <c r="K10" s="154"/>
      <c r="L10" s="154"/>
      <c r="M10" s="154"/>
      <c r="N10" s="155"/>
      <c r="O10" s="143" t="str">
        <f>IF(COUNT(G10:N10)&lt;3,"",ROUND(SUM(G10:N10)/$O$6,0))</f>
        <v/>
      </c>
      <c r="P10" s="141"/>
      <c r="Q10" s="142"/>
      <c r="R10" s="143" t="str">
        <f>IFERROR(IF(OR(P10="",Q10=""),"",ROUND(((O10*$O$8)+(P10*$P$8)+(Q10*$Q$8))/$Q$6,0)),"")</f>
        <v/>
      </c>
      <c r="S10" s="159" t="str">
        <f>IF(R10="","",IF(R10&gt;Data2!$C$12,Data2!$D$11,IF(R10&gt;Data2!$C$13,Data2!$D$12,IF(R10&gt;Data2!$C$14,Data2!$D$13,Data2!$D$14))))</f>
        <v/>
      </c>
      <c r="T10" s="144">
        <f>MAX(G10:N10)</f>
        <v>0</v>
      </c>
      <c r="U10" s="144">
        <f>MIN(G10:N10)</f>
        <v>0</v>
      </c>
      <c r="V10" s="144" t="str">
        <f t="shared" ref="V10:V73" si="2">IF(T10&gt;$I$560,$J$559,IF(T10&gt;$I$561,$J$560,IF(T10&gt;$I$562,$J$561,$J$562)))</f>
        <v>Mulai berkembang</v>
      </c>
      <c r="W10" s="144" t="str">
        <f t="shared" ref="W10:W73" si="3">IF(U10&gt;$I$560,$J$559,IF(U10&gt;$I$561,$J$560,IF(U10&gt;$I$562,$J$561,$J$562)))</f>
        <v>Mulai berkembang</v>
      </c>
      <c r="X10" s="144" t="e">
        <f>MATCH(T10,G10:N10,0)</f>
        <v>#N/A</v>
      </c>
      <c r="Y10" s="145" t="e">
        <f>MATCH(U10,G10:N10,0)</f>
        <v>#N/A</v>
      </c>
      <c r="Z10" s="218" t="str">
        <f>IF('PA-Non'!O10&lt;&gt;"",'PA-Non'!O10,IFERROR("Mempunyai kemampuan yang " &amp;IF(V10=W10,PROPER(W10)&amp;" dalam kompetensi "&amp;VLOOKUP(X10,$G$532:$I$539,3)&amp;" dan kompetensi "&amp;VLOOKUP(Y10,$G$532:$I$539,3),PROPER(V10)&amp;" dalam kompetensi "&amp;VLOOKUP(X10,$G$532:$I$539,3)&amp;" dan memiliki kemampuan yang "&amp;W10&amp;" pada kompetensi "&amp;VLOOKUP(Y10,$G$532:$I$539,3)),""))</f>
        <v/>
      </c>
      <c r="AA10" s="153"/>
      <c r="AB10" s="154"/>
      <c r="AC10" s="154"/>
      <c r="AD10" s="154"/>
      <c r="AE10" s="154"/>
      <c r="AF10" s="154"/>
      <c r="AG10" s="154"/>
      <c r="AH10" s="155"/>
      <c r="AI10" s="219" t="str">
        <f>IF(COUNT(AA10:AH10)&lt;3,"",ROUND(((AA10*$AA$8)+(AB10*$AB$8)+(AC10*$AC$8)+(AD10*$AD$8)+(AE10*$AE$8)+(AF10*$AF$8)+(AG10*$AG$8)+(AH10*$AH$8))/$AI$6,0))</f>
        <v/>
      </c>
      <c r="AJ10" s="160" t="str">
        <f>IF(AI10="","",IF(AI10&gt;Data2!$C$12,Data2!$D$11,IF(AI10&gt;Data2!$C$13,Data2!$D$12,IF(AI10&gt;Data2!$C$14,Data2!$D$13,Data2!$D$14))))</f>
        <v/>
      </c>
      <c r="AK10" s="146">
        <f>MAX(AA10:AH10)</f>
        <v>0</v>
      </c>
      <c r="AL10" s="146">
        <f>MIN(AA10:AH10)</f>
        <v>0</v>
      </c>
      <c r="AM10" s="147" t="str">
        <f t="shared" ref="AM10:AM73" si="4">IF(AK10&gt;$I$560,$AD$559,IF(AK10&gt;$I$561,$AD$560,IF(AK10&gt;$I$562,$AD$561,$AD$562)))</f>
        <v>Mulai meningkat</v>
      </c>
      <c r="AN10" s="147" t="str">
        <f t="shared" ref="AN10:AN73" si="5">IF(AL10&gt;$I$560,$AD$559,IF(AL10&gt;$I$561,$AD$560,IF(AL10&gt;$I$562,$AD$561,$AD$562)))</f>
        <v>Mulai meningkat</v>
      </c>
      <c r="AO10" s="146" t="e">
        <f>MATCH(AK10,AA10:AH10,0)</f>
        <v>#N/A</v>
      </c>
      <c r="AP10" s="148" t="e">
        <f>MATCH(AL10,AA10:AH10,0)</f>
        <v>#N/A</v>
      </c>
      <c r="AQ10" s="158" t="str">
        <f>IF('PA-Non'!V10&lt;&gt;"",'PA-Non'!V10,IFERROR("Mempunyai keterampilan yang "&amp;IF(AM10=AN10,PROPER(AN10)&amp;" dalam kompetensi "&amp;VLOOKUP(AO10,$AA$532:$AC$539,3)&amp;", demikian juga dalam kompetensi "&amp;VLOOKUP(AP10,$AA$532:$AC$539,3),PROPER(AM10)&amp;" dalam kompetensi "&amp;VLOOKUP(AO10,$AA$532:$AC$539,3)&amp;" dan "&amp;AN10&amp;" pada kompetensi "&amp;VLOOKUP(AP10,$AA$532:$AC$539,3)),""))</f>
        <v/>
      </c>
      <c r="AR10" s="188"/>
    </row>
    <row r="11" spans="2:44" ht="27.75" customHeight="1" thickBot="1" x14ac:dyDescent="0.35">
      <c r="B11" s="226" t="s">
        <v>28</v>
      </c>
      <c r="C11" s="149">
        <f>IF(E11="","",C10+1)</f>
        <v>2</v>
      </c>
      <c r="D11" s="150" t="str">
        <f>IF(Data!F6="","",Data!F6)</f>
        <v>03505</v>
      </c>
      <c r="E11" s="151" t="str">
        <f>IF(Data!H6="","",Data!H6)</f>
        <v>Achmad Kadaffa Aprilio</v>
      </c>
      <c r="F11" s="152" t="str">
        <f>IF(Data!I6="","",Data!I6)</f>
        <v>Laki-laki</v>
      </c>
      <c r="G11" s="153"/>
      <c r="H11" s="154"/>
      <c r="I11" s="154"/>
      <c r="J11" s="154"/>
      <c r="K11" s="154"/>
      <c r="L11" s="154"/>
      <c r="M11" s="154"/>
      <c r="N11" s="155"/>
      <c r="O11" s="157" t="str">
        <f t="shared" ref="O11:O74" si="6">IF(COUNT(G11:N11)&lt;3,"",ROUND(SUM(G11:N11)/$O$6,0))</f>
        <v/>
      </c>
      <c r="P11" s="154"/>
      <c r="Q11" s="156"/>
      <c r="R11" s="157" t="str">
        <f>IFERROR(IF(OR(P11="",Q11=""),"",ROUND(((O11*$O$8)+(P11*$P$8)+(Q11*$Q$8))/$Q$6,0)),"")</f>
        <v/>
      </c>
      <c r="S11" s="159" t="str">
        <f>IF(R11="","",IF(R11&gt;Data2!$C$12,Data2!$D$11,IF(R11&gt;Data2!$C$13,Data2!$D$12,IF(R11&gt;Data2!$C$14,Data2!$D$13,Data2!$D$14))))</f>
        <v/>
      </c>
      <c r="T11" s="144">
        <f t="shared" ref="T11:T74" si="7">MAX(G11:N11)</f>
        <v>0</v>
      </c>
      <c r="U11" s="144">
        <f t="shared" ref="U11:U74" si="8">MIN(G11:N11)</f>
        <v>0</v>
      </c>
      <c r="V11" s="144" t="str">
        <f t="shared" si="2"/>
        <v>Mulai berkembang</v>
      </c>
      <c r="W11" s="144" t="str">
        <f t="shared" si="3"/>
        <v>Mulai berkembang</v>
      </c>
      <c r="X11" s="144" t="e">
        <f t="shared" ref="X11:X74" si="9">MATCH(T11,G11:N11,0)</f>
        <v>#N/A</v>
      </c>
      <c r="Y11" s="145" t="e">
        <f t="shared" ref="Y11:Y74" si="10">MATCH(U11,G11:N11,0)</f>
        <v>#N/A</v>
      </c>
      <c r="Z11" s="218" t="str">
        <f>IF('PA-Non'!O11&lt;&gt;"",'PA-Non'!O11,IFERROR("Mempunyai kemampuan yang " &amp;IF(V11=W11,PROPER(W11)&amp;" dalam kompetensi "&amp;VLOOKUP(X11,$G$532:$I$539,3)&amp;" dan kompetensi "&amp;VLOOKUP(Y11,$G$532:$I$539,3),PROPER(V11)&amp;" dalam kompetensi "&amp;VLOOKUP(X11,$G$532:$I$539,3)&amp;" dan memiliki kemampuan yang "&amp;W11&amp;" pada kompetensi "&amp;VLOOKUP(Y11,$G$532:$I$539,3)),""))</f>
        <v/>
      </c>
      <c r="AA11" s="153"/>
      <c r="AB11" s="154"/>
      <c r="AC11" s="154"/>
      <c r="AD11" s="154"/>
      <c r="AE11" s="154"/>
      <c r="AF11" s="154"/>
      <c r="AG11" s="154"/>
      <c r="AH11" s="155"/>
      <c r="AI11" s="220" t="str">
        <f t="shared" ref="AI11:AI74" si="11">IF(COUNT(AA11:AH11)&lt;3,"",ROUND(((AA11*$AA$8)+(AB11*$AB$8)+(AC11*$AC$8)+(AD11*$AD$8)+(AE11*$AE$8)+(AF11*$AF$8)+(AG11*$AG$8)+(AH11*$AH$8))/$AI$6,0))</f>
        <v/>
      </c>
      <c r="AJ11" s="160" t="str">
        <f>IF(AI11="","",IF(AI11&gt;Data2!$C$12,Data2!$D$11,IF(AI11&gt;Data2!$C$13,Data2!$D$12,IF(AI11&gt;Data2!$C$14,Data2!$D$13,Data2!$D$14))))</f>
        <v/>
      </c>
      <c r="AK11" s="146">
        <f t="shared" ref="AK11:AK74" si="12">MAX(AA11:AH11)</f>
        <v>0</v>
      </c>
      <c r="AL11" s="146">
        <f t="shared" ref="AL11:AL74" si="13">MIN(AA11:AH11)</f>
        <v>0</v>
      </c>
      <c r="AM11" s="147" t="str">
        <f t="shared" si="4"/>
        <v>Mulai meningkat</v>
      </c>
      <c r="AN11" s="147" t="str">
        <f t="shared" si="5"/>
        <v>Mulai meningkat</v>
      </c>
      <c r="AO11" s="146" t="e">
        <f t="shared" ref="AO11:AO74" si="14">MATCH(AK11,AA11:AH11,0)</f>
        <v>#N/A</v>
      </c>
      <c r="AP11" s="148" t="e">
        <f t="shared" ref="AP11:AP74" si="15">MATCH(AL11,AA11:AH11,0)</f>
        <v>#N/A</v>
      </c>
      <c r="AQ11" s="158" t="str">
        <f>IF('PA-Non'!V11&lt;&gt;"",'PA-Non'!V11,IFERROR("Mempunyai keterampilan yang "&amp;IF(AM11=AN11,PROPER(AN11)&amp;" dalam kompetensi "&amp;VLOOKUP(AO11,$AA$532:$AC$539,3)&amp;", demikian juga dalam kompetensi "&amp;VLOOKUP(AP11,$AA$532:$AC$539,3),PROPER(AM11)&amp;" dalam kompetensi "&amp;VLOOKUP(AO11,$AA$532:$AC$539,3)&amp;" dan "&amp;AN11&amp;" pada kompetensi "&amp;VLOOKUP(AP11,$AA$532:$AC$539,3)),""))</f>
        <v/>
      </c>
      <c r="AR11" s="188"/>
    </row>
    <row r="12" spans="2:44" ht="27.75" customHeight="1" thickBot="1" x14ac:dyDescent="0.35">
      <c r="B12" s="226" t="s">
        <v>28</v>
      </c>
      <c r="C12" s="149">
        <f t="shared" ref="C12:C75" si="16">IF(E12="","",C11+1)</f>
        <v>3</v>
      </c>
      <c r="D12" s="150" t="str">
        <f>IF(Data!F7="","",Data!F7)</f>
        <v>03511</v>
      </c>
      <c r="E12" s="151" t="str">
        <f>IF(Data!H7="","",Data!H7)</f>
        <v>Ahmad Afkhar Syauqi Asy Syamil</v>
      </c>
      <c r="F12" s="152" t="str">
        <f>IF(Data!I7="","",Data!I7)</f>
        <v>Laki-laki</v>
      </c>
      <c r="G12" s="153"/>
      <c r="H12" s="154"/>
      <c r="I12" s="154"/>
      <c r="J12" s="154"/>
      <c r="K12" s="154"/>
      <c r="L12" s="154"/>
      <c r="M12" s="154"/>
      <c r="N12" s="155"/>
      <c r="O12" s="157" t="str">
        <f t="shared" si="6"/>
        <v/>
      </c>
      <c r="P12" s="154"/>
      <c r="Q12" s="156"/>
      <c r="R12" s="157" t="str">
        <f t="shared" ref="R12:R75" si="17">IFERROR(IF(OR(P12="",Q12=""),"",ROUND(((O12*$O$8)+(P12*$P$8)+(Q12*$Q$8))/$Q$6,0)),"")</f>
        <v/>
      </c>
      <c r="S12" s="159" t="str">
        <f>IF(R12="","",IF(R12&gt;Data2!$C$12,Data2!$D$11,IF(R12&gt;Data2!$C$13,Data2!$D$12,IF(R12&gt;Data2!$C$14,Data2!$D$13,Data2!$D$14))))</f>
        <v/>
      </c>
      <c r="T12" s="144">
        <f t="shared" si="7"/>
        <v>0</v>
      </c>
      <c r="U12" s="144">
        <f t="shared" si="8"/>
        <v>0</v>
      </c>
      <c r="V12" s="144" t="str">
        <f t="shared" si="2"/>
        <v>Mulai berkembang</v>
      </c>
      <c r="W12" s="144" t="str">
        <f t="shared" si="3"/>
        <v>Mulai berkembang</v>
      </c>
      <c r="X12" s="144" t="e">
        <f t="shared" si="9"/>
        <v>#N/A</v>
      </c>
      <c r="Y12" s="145" t="e">
        <f t="shared" si="10"/>
        <v>#N/A</v>
      </c>
      <c r="Z12" s="218" t="str">
        <f>IF('PA-Non'!O12&lt;&gt;"",'PA-Non'!O12,IFERROR("Mempunyai kemampuan yang " &amp;IF(V12=W12,PROPER(W12)&amp;" dalam kompetensi "&amp;VLOOKUP(X12,$G$532:$I$539,3)&amp;" dan kompetensi "&amp;VLOOKUP(Y12,$G$532:$I$539,3),PROPER(V12)&amp;" dalam kompetensi "&amp;VLOOKUP(X12,$G$532:$I$539,3)&amp;" dan memiliki kemampuan yang "&amp;W12&amp;" pada kompetensi "&amp;VLOOKUP(Y12,$G$532:$I$539,3)),""))</f>
        <v/>
      </c>
      <c r="AA12" s="153"/>
      <c r="AB12" s="154"/>
      <c r="AC12" s="154"/>
      <c r="AD12" s="154"/>
      <c r="AE12" s="154"/>
      <c r="AF12" s="154"/>
      <c r="AG12" s="154"/>
      <c r="AH12" s="155"/>
      <c r="AI12" s="220" t="str">
        <f t="shared" si="11"/>
        <v/>
      </c>
      <c r="AJ12" s="160" t="str">
        <f>IF(AI12="","",IF(AI12&gt;Data2!$C$12,Data2!$D$11,IF(AI12&gt;Data2!$C$13,Data2!$D$12,IF(AI12&gt;Data2!$C$14,Data2!$D$13,Data2!$D$14))))</f>
        <v/>
      </c>
      <c r="AK12" s="146">
        <f t="shared" si="12"/>
        <v>0</v>
      </c>
      <c r="AL12" s="146">
        <f t="shared" si="13"/>
        <v>0</v>
      </c>
      <c r="AM12" s="147" t="str">
        <f t="shared" si="4"/>
        <v>Mulai meningkat</v>
      </c>
      <c r="AN12" s="147" t="str">
        <f t="shared" si="5"/>
        <v>Mulai meningkat</v>
      </c>
      <c r="AO12" s="146" t="e">
        <f t="shared" si="14"/>
        <v>#N/A</v>
      </c>
      <c r="AP12" s="148" t="e">
        <f t="shared" si="15"/>
        <v>#N/A</v>
      </c>
      <c r="AQ12" s="158" t="str">
        <f>IF('PA-Non'!V12&lt;&gt;"",'PA-Non'!V12,IFERROR("Mempunyai keterampilan yang "&amp;IF(AM12=AN12,PROPER(AN12)&amp;" dalam kompetensi "&amp;VLOOKUP(AO12,$AA$532:$AC$539,3)&amp;", demikian juga dalam kompetensi "&amp;VLOOKUP(AP12,$AA$532:$AC$539,3),PROPER(AM12)&amp;" dalam kompetensi "&amp;VLOOKUP(AO12,$AA$532:$AC$539,3)&amp;" dan "&amp;AN12&amp;" pada kompetensi "&amp;VLOOKUP(AP12,$AA$532:$AC$539,3)),""))</f>
        <v/>
      </c>
      <c r="AR12" s="188"/>
    </row>
    <row r="13" spans="2:44" ht="27.9" customHeight="1" thickBot="1" x14ac:dyDescent="0.35">
      <c r="B13" s="226" t="s">
        <v>28</v>
      </c>
      <c r="C13" s="149">
        <f t="shared" si="16"/>
        <v>4</v>
      </c>
      <c r="D13" s="150" t="str">
        <f>IF(Data!F8="","",Data!F8)</f>
        <v>03516</v>
      </c>
      <c r="E13" s="151" t="str">
        <f>IF(Data!H8="","",Data!H8)</f>
        <v>Ahmad Fathan El Raihan Wafi</v>
      </c>
      <c r="F13" s="152" t="str">
        <f>IF(Data!I8="","",Data!I8)</f>
        <v>Laki-laki</v>
      </c>
      <c r="G13" s="153"/>
      <c r="H13" s="154"/>
      <c r="I13" s="154"/>
      <c r="J13" s="154"/>
      <c r="K13" s="154"/>
      <c r="L13" s="154"/>
      <c r="M13" s="154"/>
      <c r="N13" s="155"/>
      <c r="O13" s="157" t="str">
        <f t="shared" si="6"/>
        <v/>
      </c>
      <c r="P13" s="154"/>
      <c r="Q13" s="156"/>
      <c r="R13" s="157" t="str">
        <f t="shared" si="17"/>
        <v/>
      </c>
      <c r="S13" s="159" t="str">
        <f>IF(R13="","",IF(R13&gt;Data2!$C$12,Data2!$D$11,IF(R13&gt;Data2!$C$13,Data2!$D$12,IF(R13&gt;Data2!$C$14,Data2!$D$13,Data2!$D$14))))</f>
        <v/>
      </c>
      <c r="T13" s="144">
        <f t="shared" si="7"/>
        <v>0</v>
      </c>
      <c r="U13" s="144">
        <f t="shared" si="8"/>
        <v>0</v>
      </c>
      <c r="V13" s="144" t="str">
        <f t="shared" si="2"/>
        <v>Mulai berkembang</v>
      </c>
      <c r="W13" s="144" t="str">
        <f t="shared" si="3"/>
        <v>Mulai berkembang</v>
      </c>
      <c r="X13" s="144" t="e">
        <f t="shared" si="9"/>
        <v>#N/A</v>
      </c>
      <c r="Y13" s="145" t="e">
        <f t="shared" si="10"/>
        <v>#N/A</v>
      </c>
      <c r="Z13" s="218" t="str">
        <f>IF('PA-Non'!O13&lt;&gt;"",'PA-Non'!O13,IFERROR("Mempunyai kemampuan yang " &amp;IF(V13=W13,PROPER(W13)&amp;" dalam kompetensi "&amp;VLOOKUP(X13,$G$532:$I$539,3)&amp;" dan kompetensi "&amp;VLOOKUP(Y13,$G$532:$I$539,3),PROPER(V13)&amp;" dalam kompetensi "&amp;VLOOKUP(X13,$G$532:$I$539,3)&amp;" dan memiliki kemampuan yang "&amp;W13&amp;" pada kompetensi "&amp;VLOOKUP(Y13,$G$532:$I$539,3)),""))</f>
        <v/>
      </c>
      <c r="AA13" s="153"/>
      <c r="AB13" s="154"/>
      <c r="AC13" s="154"/>
      <c r="AD13" s="154"/>
      <c r="AE13" s="154"/>
      <c r="AF13" s="154"/>
      <c r="AG13" s="154"/>
      <c r="AH13" s="155"/>
      <c r="AI13" s="220" t="str">
        <f t="shared" si="11"/>
        <v/>
      </c>
      <c r="AJ13" s="160" t="str">
        <f>IF(AI13="","",IF(AI13&gt;Data2!$C$12,Data2!$D$11,IF(AI13&gt;Data2!$C$13,Data2!$D$12,IF(AI13&gt;Data2!$C$14,Data2!$D$13,Data2!$D$14))))</f>
        <v/>
      </c>
      <c r="AK13" s="146">
        <f t="shared" si="12"/>
        <v>0</v>
      </c>
      <c r="AL13" s="146">
        <f t="shared" si="13"/>
        <v>0</v>
      </c>
      <c r="AM13" s="147" t="str">
        <f t="shared" si="4"/>
        <v>Mulai meningkat</v>
      </c>
      <c r="AN13" s="147" t="str">
        <f t="shared" si="5"/>
        <v>Mulai meningkat</v>
      </c>
      <c r="AO13" s="146" t="e">
        <f t="shared" si="14"/>
        <v>#N/A</v>
      </c>
      <c r="AP13" s="148" t="e">
        <f t="shared" si="15"/>
        <v>#N/A</v>
      </c>
      <c r="AQ13" s="158" t="str">
        <f>IF('PA-Non'!V13&lt;&gt;"",'PA-Non'!V13,IFERROR("Mempunyai keterampilan yang "&amp;IF(AM13=AN13,PROPER(AN13)&amp;" dalam kompetensi "&amp;VLOOKUP(AO13,$AA$532:$AC$539,3)&amp;", demikian juga dalam kompetensi "&amp;VLOOKUP(AP13,$AA$532:$AC$539,3),PROPER(AM13)&amp;" dalam kompetensi "&amp;VLOOKUP(AO13,$AA$532:$AC$539,3)&amp;" dan "&amp;AN13&amp;" pada kompetensi "&amp;VLOOKUP(AP13,$AA$532:$AC$539,3)),""))</f>
        <v/>
      </c>
      <c r="AR13" s="188"/>
    </row>
    <row r="14" spans="2:44" ht="27.9" customHeight="1" thickBot="1" x14ac:dyDescent="0.35">
      <c r="B14" s="226" t="s">
        <v>28</v>
      </c>
      <c r="C14" s="149">
        <f t="shared" si="16"/>
        <v>5</v>
      </c>
      <c r="D14" s="150" t="str">
        <f>IF(Data!F9="","",Data!F9)</f>
        <v>03517</v>
      </c>
      <c r="E14" s="151" t="str">
        <f>IF(Data!H9="","",Data!H9)</f>
        <v>Ahmad Firdaus Nurrohman Bayhaqiy</v>
      </c>
      <c r="F14" s="152" t="str">
        <f>IF(Data!I9="","",Data!I9)</f>
        <v>Laki-laki</v>
      </c>
      <c r="G14" s="153"/>
      <c r="H14" s="154"/>
      <c r="I14" s="154"/>
      <c r="J14" s="154"/>
      <c r="K14" s="154"/>
      <c r="L14" s="154"/>
      <c r="M14" s="154"/>
      <c r="N14" s="155"/>
      <c r="O14" s="157" t="str">
        <f t="shared" si="6"/>
        <v/>
      </c>
      <c r="P14" s="154"/>
      <c r="Q14" s="156"/>
      <c r="R14" s="157" t="str">
        <f t="shared" si="17"/>
        <v/>
      </c>
      <c r="S14" s="159" t="str">
        <f>IF(R14="","",IF(R14&gt;Data2!$C$12,Data2!$D$11,IF(R14&gt;Data2!$C$13,Data2!$D$12,IF(R14&gt;Data2!$C$14,Data2!$D$13,Data2!$D$14))))</f>
        <v/>
      </c>
      <c r="T14" s="144">
        <f t="shared" si="7"/>
        <v>0</v>
      </c>
      <c r="U14" s="144">
        <f t="shared" si="8"/>
        <v>0</v>
      </c>
      <c r="V14" s="144" t="str">
        <f t="shared" si="2"/>
        <v>Mulai berkembang</v>
      </c>
      <c r="W14" s="144" t="str">
        <f t="shared" si="3"/>
        <v>Mulai berkembang</v>
      </c>
      <c r="X14" s="144" t="e">
        <f t="shared" si="9"/>
        <v>#N/A</v>
      </c>
      <c r="Y14" s="145" t="e">
        <f t="shared" si="10"/>
        <v>#N/A</v>
      </c>
      <c r="Z14" s="218" t="str">
        <f>IF('PA-Non'!O14&lt;&gt;"",'PA-Non'!O14,IFERROR("Mempunyai kemampuan yang " &amp;IF(V14=W14,PROPER(W14)&amp;" dalam kompetensi "&amp;VLOOKUP(X14,$G$532:$I$539,3)&amp;" dan kompetensi "&amp;VLOOKUP(Y14,$G$532:$I$539,3),PROPER(V14)&amp;" dalam kompetensi "&amp;VLOOKUP(X14,$G$532:$I$539,3)&amp;" dan memiliki kemampuan yang "&amp;W14&amp;" pada kompetensi "&amp;VLOOKUP(Y14,$G$532:$I$539,3)),""))</f>
        <v/>
      </c>
      <c r="AA14" s="153"/>
      <c r="AB14" s="154"/>
      <c r="AC14" s="154"/>
      <c r="AD14" s="154"/>
      <c r="AE14" s="154"/>
      <c r="AF14" s="154"/>
      <c r="AG14" s="154"/>
      <c r="AH14" s="155"/>
      <c r="AI14" s="220" t="str">
        <f t="shared" si="11"/>
        <v/>
      </c>
      <c r="AJ14" s="160" t="str">
        <f>IF(AI14="","",IF(AI14&gt;Data2!$C$12,Data2!$D$11,IF(AI14&gt;Data2!$C$13,Data2!$D$12,IF(AI14&gt;Data2!$C$14,Data2!$D$13,Data2!$D$14))))</f>
        <v/>
      </c>
      <c r="AK14" s="146">
        <f t="shared" si="12"/>
        <v>0</v>
      </c>
      <c r="AL14" s="146">
        <f t="shared" si="13"/>
        <v>0</v>
      </c>
      <c r="AM14" s="147" t="str">
        <f t="shared" si="4"/>
        <v>Mulai meningkat</v>
      </c>
      <c r="AN14" s="147" t="str">
        <f t="shared" si="5"/>
        <v>Mulai meningkat</v>
      </c>
      <c r="AO14" s="146" t="e">
        <f t="shared" si="14"/>
        <v>#N/A</v>
      </c>
      <c r="AP14" s="148" t="e">
        <f t="shared" si="15"/>
        <v>#N/A</v>
      </c>
      <c r="AQ14" s="158" t="str">
        <f>IF('PA-Non'!V14&lt;&gt;"",'PA-Non'!V14,IFERROR("Mempunyai keterampilan yang "&amp;IF(AM14=AN14,PROPER(AN14)&amp;" dalam kompetensi "&amp;VLOOKUP(AO14,$AA$532:$AC$539,3)&amp;", demikian juga dalam kompetensi "&amp;VLOOKUP(AP14,$AA$532:$AC$539,3),PROPER(AM14)&amp;" dalam kompetensi "&amp;VLOOKUP(AO14,$AA$532:$AC$539,3)&amp;" dan "&amp;AN14&amp;" pada kompetensi "&amp;VLOOKUP(AP14,$AA$532:$AC$539,3)),""))</f>
        <v/>
      </c>
      <c r="AR14" s="188"/>
    </row>
    <row r="15" spans="2:44" ht="27.9" customHeight="1" thickBot="1" x14ac:dyDescent="0.35">
      <c r="B15" s="226" t="s">
        <v>28</v>
      </c>
      <c r="C15" s="149">
        <f t="shared" si="16"/>
        <v>6</v>
      </c>
      <c r="D15" s="150" t="str">
        <f>IF(Data!F10="","",Data!F10)</f>
        <v>03518</v>
      </c>
      <c r="E15" s="151" t="str">
        <f>IF(Data!H10="","",Data!H10)</f>
        <v>Ahmad Haqqikul Fahmi</v>
      </c>
      <c r="F15" s="152" t="str">
        <f>IF(Data!I10="","",Data!I10)</f>
        <v>Laki-laki</v>
      </c>
      <c r="G15" s="153"/>
      <c r="H15" s="154"/>
      <c r="I15" s="154"/>
      <c r="J15" s="154"/>
      <c r="K15" s="154"/>
      <c r="L15" s="154"/>
      <c r="M15" s="154"/>
      <c r="N15" s="155"/>
      <c r="O15" s="157" t="str">
        <f t="shared" si="6"/>
        <v/>
      </c>
      <c r="P15" s="154"/>
      <c r="Q15" s="156"/>
      <c r="R15" s="157" t="str">
        <f t="shared" si="17"/>
        <v/>
      </c>
      <c r="S15" s="159" t="str">
        <f>IF(R15="","",IF(R15&gt;Data2!$C$12,Data2!$D$11,IF(R15&gt;Data2!$C$13,Data2!$D$12,IF(R15&gt;Data2!$C$14,Data2!$D$13,Data2!$D$14))))</f>
        <v/>
      </c>
      <c r="T15" s="144">
        <f t="shared" si="7"/>
        <v>0</v>
      </c>
      <c r="U15" s="144">
        <f t="shared" si="8"/>
        <v>0</v>
      </c>
      <c r="V15" s="144" t="str">
        <f t="shared" si="2"/>
        <v>Mulai berkembang</v>
      </c>
      <c r="W15" s="144" t="str">
        <f t="shared" si="3"/>
        <v>Mulai berkembang</v>
      </c>
      <c r="X15" s="144" t="e">
        <f t="shared" si="9"/>
        <v>#N/A</v>
      </c>
      <c r="Y15" s="145" t="e">
        <f t="shared" si="10"/>
        <v>#N/A</v>
      </c>
      <c r="Z15" s="218" t="str">
        <f>IF('PA-Non'!O15&lt;&gt;"",'PA-Non'!O15,IFERROR("Mempunyai kemampuan yang " &amp;IF(V15=W15,PROPER(W15)&amp;" dalam kompetensi "&amp;VLOOKUP(X15,$G$532:$I$539,3)&amp;" dan kompetensi "&amp;VLOOKUP(Y15,$G$532:$I$539,3),PROPER(V15)&amp;" dalam kompetensi "&amp;VLOOKUP(X15,$G$532:$I$539,3)&amp;" dan memiliki kemampuan yang "&amp;W15&amp;" pada kompetensi "&amp;VLOOKUP(Y15,$G$532:$I$539,3)),""))</f>
        <v/>
      </c>
      <c r="AA15" s="153"/>
      <c r="AB15" s="154"/>
      <c r="AC15" s="154"/>
      <c r="AD15" s="154"/>
      <c r="AE15" s="154"/>
      <c r="AF15" s="154"/>
      <c r="AG15" s="154"/>
      <c r="AH15" s="155"/>
      <c r="AI15" s="220" t="str">
        <f t="shared" si="11"/>
        <v/>
      </c>
      <c r="AJ15" s="160" t="str">
        <f>IF(AI15="","",IF(AI15&gt;Data2!$C$12,Data2!$D$11,IF(AI15&gt;Data2!$C$13,Data2!$D$12,IF(AI15&gt;Data2!$C$14,Data2!$D$13,Data2!$D$14))))</f>
        <v/>
      </c>
      <c r="AK15" s="146">
        <f t="shared" si="12"/>
        <v>0</v>
      </c>
      <c r="AL15" s="146">
        <f t="shared" si="13"/>
        <v>0</v>
      </c>
      <c r="AM15" s="147" t="str">
        <f t="shared" si="4"/>
        <v>Mulai meningkat</v>
      </c>
      <c r="AN15" s="147" t="str">
        <f t="shared" si="5"/>
        <v>Mulai meningkat</v>
      </c>
      <c r="AO15" s="146" t="e">
        <f t="shared" si="14"/>
        <v>#N/A</v>
      </c>
      <c r="AP15" s="148" t="e">
        <f t="shared" si="15"/>
        <v>#N/A</v>
      </c>
      <c r="AQ15" s="158" t="str">
        <f>IF('PA-Non'!V15&lt;&gt;"",'PA-Non'!V15,IFERROR("Mempunyai keterampilan yang "&amp;IF(AM15=AN15,PROPER(AN15)&amp;" dalam kompetensi "&amp;VLOOKUP(AO15,$AA$532:$AC$539,3)&amp;", demikian juga dalam kompetensi "&amp;VLOOKUP(AP15,$AA$532:$AC$539,3),PROPER(AM15)&amp;" dalam kompetensi "&amp;VLOOKUP(AO15,$AA$532:$AC$539,3)&amp;" dan "&amp;AN15&amp;" pada kompetensi "&amp;VLOOKUP(AP15,$AA$532:$AC$539,3)),""))</f>
        <v/>
      </c>
      <c r="AR15" s="188"/>
    </row>
    <row r="16" spans="2:44" ht="27.9" customHeight="1" thickBot="1" x14ac:dyDescent="0.35">
      <c r="B16" s="226" t="s">
        <v>28</v>
      </c>
      <c r="C16" s="149">
        <f t="shared" si="16"/>
        <v>7</v>
      </c>
      <c r="D16" s="150" t="str">
        <f>IF(Data!F11="","",Data!F11)</f>
        <v>03519</v>
      </c>
      <c r="E16" s="151" t="str">
        <f>IF(Data!H11="","",Data!H11)</f>
        <v>Ahmad Ihsanul Fauzan</v>
      </c>
      <c r="F16" s="152" t="str">
        <f>IF(Data!I11="","",Data!I11)</f>
        <v>Laki-laki</v>
      </c>
      <c r="G16" s="153"/>
      <c r="H16" s="154"/>
      <c r="I16" s="154"/>
      <c r="J16" s="154"/>
      <c r="K16" s="154"/>
      <c r="L16" s="154"/>
      <c r="M16" s="154"/>
      <c r="N16" s="155"/>
      <c r="O16" s="157" t="str">
        <f t="shared" si="6"/>
        <v/>
      </c>
      <c r="P16" s="154"/>
      <c r="Q16" s="156"/>
      <c r="R16" s="157" t="str">
        <f t="shared" si="17"/>
        <v/>
      </c>
      <c r="S16" s="159" t="str">
        <f>IF(R16="","",IF(R16&gt;Data2!$C$12,Data2!$D$11,IF(R16&gt;Data2!$C$13,Data2!$D$12,IF(R16&gt;Data2!$C$14,Data2!$D$13,Data2!$D$14))))</f>
        <v/>
      </c>
      <c r="T16" s="144">
        <f t="shared" si="7"/>
        <v>0</v>
      </c>
      <c r="U16" s="144">
        <f t="shared" si="8"/>
        <v>0</v>
      </c>
      <c r="V16" s="144" t="str">
        <f t="shared" si="2"/>
        <v>Mulai berkembang</v>
      </c>
      <c r="W16" s="144" t="str">
        <f t="shared" si="3"/>
        <v>Mulai berkembang</v>
      </c>
      <c r="X16" s="144" t="e">
        <f t="shared" si="9"/>
        <v>#N/A</v>
      </c>
      <c r="Y16" s="145" t="e">
        <f t="shared" si="10"/>
        <v>#N/A</v>
      </c>
      <c r="Z16" s="218" t="str">
        <f>IF('PA-Non'!O16&lt;&gt;"",'PA-Non'!O16,IFERROR("Mempunyai kemampuan yang " &amp;IF(V16=W16,PROPER(W16)&amp;" dalam kompetensi "&amp;VLOOKUP(X16,$G$532:$I$539,3)&amp;" dan kompetensi "&amp;VLOOKUP(Y16,$G$532:$I$539,3),PROPER(V16)&amp;" dalam kompetensi "&amp;VLOOKUP(X16,$G$532:$I$539,3)&amp;" dan memiliki kemampuan yang "&amp;W16&amp;" pada kompetensi "&amp;VLOOKUP(Y16,$G$532:$I$539,3)),""))</f>
        <v/>
      </c>
      <c r="AA16" s="153"/>
      <c r="AB16" s="154"/>
      <c r="AC16" s="154"/>
      <c r="AD16" s="154"/>
      <c r="AE16" s="154"/>
      <c r="AF16" s="154"/>
      <c r="AG16" s="154"/>
      <c r="AH16" s="155"/>
      <c r="AI16" s="220" t="str">
        <f t="shared" si="11"/>
        <v/>
      </c>
      <c r="AJ16" s="160" t="str">
        <f>IF(AI16="","",IF(AI16&gt;Data2!$C$12,Data2!$D$11,IF(AI16&gt;Data2!$C$13,Data2!$D$12,IF(AI16&gt;Data2!$C$14,Data2!$D$13,Data2!$D$14))))</f>
        <v/>
      </c>
      <c r="AK16" s="146">
        <f t="shared" si="12"/>
        <v>0</v>
      </c>
      <c r="AL16" s="146">
        <f t="shared" si="13"/>
        <v>0</v>
      </c>
      <c r="AM16" s="147" t="str">
        <f t="shared" si="4"/>
        <v>Mulai meningkat</v>
      </c>
      <c r="AN16" s="147" t="str">
        <f t="shared" si="5"/>
        <v>Mulai meningkat</v>
      </c>
      <c r="AO16" s="146" t="e">
        <f t="shared" si="14"/>
        <v>#N/A</v>
      </c>
      <c r="AP16" s="148" t="e">
        <f t="shared" si="15"/>
        <v>#N/A</v>
      </c>
      <c r="AQ16" s="158" t="str">
        <f>IF('PA-Non'!V16&lt;&gt;"",'PA-Non'!V16,IFERROR("Mempunyai keterampilan yang "&amp;IF(AM16=AN16,PROPER(AN16)&amp;" dalam kompetensi "&amp;VLOOKUP(AO16,$AA$532:$AC$539,3)&amp;", demikian juga dalam kompetensi "&amp;VLOOKUP(AP16,$AA$532:$AC$539,3),PROPER(AM16)&amp;" dalam kompetensi "&amp;VLOOKUP(AO16,$AA$532:$AC$539,3)&amp;" dan "&amp;AN16&amp;" pada kompetensi "&amp;VLOOKUP(AP16,$AA$532:$AC$539,3)),""))</f>
        <v/>
      </c>
      <c r="AR16" s="188"/>
    </row>
    <row r="17" spans="2:44" ht="27.9" customHeight="1" thickBot="1" x14ac:dyDescent="0.35">
      <c r="B17" s="226" t="s">
        <v>28</v>
      </c>
      <c r="C17" s="149">
        <f t="shared" si="16"/>
        <v>8</v>
      </c>
      <c r="D17" s="150" t="str">
        <f>IF(Data!F12="","",Data!F12)</f>
        <v>03525</v>
      </c>
      <c r="E17" s="151" t="str">
        <f>IF(Data!H12="","",Data!H12)</f>
        <v>Ahmad Rizky Rusdyanto</v>
      </c>
      <c r="F17" s="152" t="str">
        <f>IF(Data!I12="","",Data!I12)</f>
        <v>Laki-laki</v>
      </c>
      <c r="G17" s="153"/>
      <c r="H17" s="154"/>
      <c r="I17" s="154"/>
      <c r="J17" s="154"/>
      <c r="K17" s="154"/>
      <c r="L17" s="154"/>
      <c r="M17" s="154"/>
      <c r="N17" s="155"/>
      <c r="O17" s="157" t="str">
        <f t="shared" si="6"/>
        <v/>
      </c>
      <c r="P17" s="154"/>
      <c r="Q17" s="156"/>
      <c r="R17" s="157" t="str">
        <f t="shared" si="17"/>
        <v/>
      </c>
      <c r="S17" s="159" t="str">
        <f>IF(R17="","",IF(R17&gt;Data2!$C$12,Data2!$D$11,IF(R17&gt;Data2!$C$13,Data2!$D$12,IF(R17&gt;Data2!$C$14,Data2!$D$13,Data2!$D$14))))</f>
        <v/>
      </c>
      <c r="T17" s="144">
        <f t="shared" si="7"/>
        <v>0</v>
      </c>
      <c r="U17" s="144">
        <f t="shared" si="8"/>
        <v>0</v>
      </c>
      <c r="V17" s="144" t="str">
        <f t="shared" si="2"/>
        <v>Mulai berkembang</v>
      </c>
      <c r="W17" s="144" t="str">
        <f t="shared" si="3"/>
        <v>Mulai berkembang</v>
      </c>
      <c r="X17" s="144" t="e">
        <f t="shared" si="9"/>
        <v>#N/A</v>
      </c>
      <c r="Y17" s="145" t="e">
        <f t="shared" si="10"/>
        <v>#N/A</v>
      </c>
      <c r="Z17" s="218" t="str">
        <f>IF('PA-Non'!O17&lt;&gt;"",'PA-Non'!O17,IFERROR("Mempunyai kemampuan yang " &amp;IF(V17=W17,PROPER(W17)&amp;" dalam kompetensi "&amp;VLOOKUP(X17,$G$532:$I$539,3)&amp;" dan kompetensi "&amp;VLOOKUP(Y17,$G$532:$I$539,3),PROPER(V17)&amp;" dalam kompetensi "&amp;VLOOKUP(X17,$G$532:$I$539,3)&amp;" dan memiliki kemampuan yang "&amp;W17&amp;" pada kompetensi "&amp;VLOOKUP(Y17,$G$532:$I$539,3)),""))</f>
        <v/>
      </c>
      <c r="AA17" s="153"/>
      <c r="AB17" s="154"/>
      <c r="AC17" s="154"/>
      <c r="AD17" s="154"/>
      <c r="AE17" s="154"/>
      <c r="AF17" s="154"/>
      <c r="AG17" s="154"/>
      <c r="AH17" s="155"/>
      <c r="AI17" s="220" t="str">
        <f t="shared" si="11"/>
        <v/>
      </c>
      <c r="AJ17" s="160" t="str">
        <f>IF(AI17="","",IF(AI17&gt;Data2!$C$12,Data2!$D$11,IF(AI17&gt;Data2!$C$13,Data2!$D$12,IF(AI17&gt;Data2!$C$14,Data2!$D$13,Data2!$D$14))))</f>
        <v/>
      </c>
      <c r="AK17" s="146">
        <f t="shared" si="12"/>
        <v>0</v>
      </c>
      <c r="AL17" s="146">
        <f t="shared" si="13"/>
        <v>0</v>
      </c>
      <c r="AM17" s="147" t="str">
        <f t="shared" si="4"/>
        <v>Mulai meningkat</v>
      </c>
      <c r="AN17" s="147" t="str">
        <f t="shared" si="5"/>
        <v>Mulai meningkat</v>
      </c>
      <c r="AO17" s="146" t="e">
        <f t="shared" si="14"/>
        <v>#N/A</v>
      </c>
      <c r="AP17" s="148" t="e">
        <f t="shared" si="15"/>
        <v>#N/A</v>
      </c>
      <c r="AQ17" s="158" t="str">
        <f>IF('PA-Non'!V17&lt;&gt;"",'PA-Non'!V17,IFERROR("Mempunyai keterampilan yang "&amp;IF(AM17=AN17,PROPER(AN17)&amp;" dalam kompetensi "&amp;VLOOKUP(AO17,$AA$532:$AC$539,3)&amp;", demikian juga dalam kompetensi "&amp;VLOOKUP(AP17,$AA$532:$AC$539,3),PROPER(AM17)&amp;" dalam kompetensi "&amp;VLOOKUP(AO17,$AA$532:$AC$539,3)&amp;" dan "&amp;AN17&amp;" pada kompetensi "&amp;VLOOKUP(AP17,$AA$532:$AC$539,3)),""))</f>
        <v/>
      </c>
      <c r="AR17" s="188"/>
    </row>
    <row r="18" spans="2:44" ht="27.9" customHeight="1" thickBot="1" x14ac:dyDescent="0.35">
      <c r="B18" s="226" t="s">
        <v>28</v>
      </c>
      <c r="C18" s="149">
        <f t="shared" si="16"/>
        <v>9</v>
      </c>
      <c r="D18" s="150" t="str">
        <f>IF(Data!F13="","",Data!F13)</f>
        <v>03533</v>
      </c>
      <c r="E18" s="151" t="str">
        <f>IF(Data!H13="","",Data!H13)</f>
        <v>Arya Daniswara</v>
      </c>
      <c r="F18" s="152" t="str">
        <f>IF(Data!I13="","",Data!I13)</f>
        <v>Laki-laki</v>
      </c>
      <c r="G18" s="153"/>
      <c r="H18" s="154"/>
      <c r="I18" s="154"/>
      <c r="J18" s="154"/>
      <c r="K18" s="154"/>
      <c r="L18" s="154"/>
      <c r="M18" s="154"/>
      <c r="N18" s="155"/>
      <c r="O18" s="157" t="str">
        <f t="shared" si="6"/>
        <v/>
      </c>
      <c r="P18" s="154"/>
      <c r="Q18" s="156"/>
      <c r="R18" s="157" t="str">
        <f t="shared" si="17"/>
        <v/>
      </c>
      <c r="S18" s="159" t="str">
        <f>IF(R18="","",IF(R18&gt;Data2!$C$12,Data2!$D$11,IF(R18&gt;Data2!$C$13,Data2!$D$12,IF(R18&gt;Data2!$C$14,Data2!$D$13,Data2!$D$14))))</f>
        <v/>
      </c>
      <c r="T18" s="144">
        <f t="shared" si="7"/>
        <v>0</v>
      </c>
      <c r="U18" s="144">
        <f t="shared" si="8"/>
        <v>0</v>
      </c>
      <c r="V18" s="144" t="str">
        <f t="shared" si="2"/>
        <v>Mulai berkembang</v>
      </c>
      <c r="W18" s="144" t="str">
        <f t="shared" si="3"/>
        <v>Mulai berkembang</v>
      </c>
      <c r="X18" s="144" t="e">
        <f t="shared" si="9"/>
        <v>#N/A</v>
      </c>
      <c r="Y18" s="145" t="e">
        <f t="shared" si="10"/>
        <v>#N/A</v>
      </c>
      <c r="Z18" s="218" t="str">
        <f>IF('PA-Non'!O18&lt;&gt;"",'PA-Non'!O18,IFERROR("Mempunyai kemampuan yang " &amp;IF(V18=W18,PROPER(W18)&amp;" dalam kompetensi "&amp;VLOOKUP(X18,$G$532:$I$539,3)&amp;" dan kompetensi "&amp;VLOOKUP(Y18,$G$532:$I$539,3),PROPER(V18)&amp;" dalam kompetensi "&amp;VLOOKUP(X18,$G$532:$I$539,3)&amp;" dan memiliki kemampuan yang "&amp;W18&amp;" pada kompetensi "&amp;VLOOKUP(Y18,$G$532:$I$539,3)),""))</f>
        <v/>
      </c>
      <c r="AA18" s="153"/>
      <c r="AB18" s="154"/>
      <c r="AC18" s="154"/>
      <c r="AD18" s="154"/>
      <c r="AE18" s="154"/>
      <c r="AF18" s="154"/>
      <c r="AG18" s="154"/>
      <c r="AH18" s="155"/>
      <c r="AI18" s="220" t="str">
        <f t="shared" si="11"/>
        <v/>
      </c>
      <c r="AJ18" s="160" t="str">
        <f>IF(AI18="","",IF(AI18&gt;Data2!$C$12,Data2!$D$11,IF(AI18&gt;Data2!$C$13,Data2!$D$12,IF(AI18&gt;Data2!$C$14,Data2!$D$13,Data2!$D$14))))</f>
        <v/>
      </c>
      <c r="AK18" s="146">
        <f t="shared" si="12"/>
        <v>0</v>
      </c>
      <c r="AL18" s="146">
        <f t="shared" si="13"/>
        <v>0</v>
      </c>
      <c r="AM18" s="147" t="str">
        <f t="shared" si="4"/>
        <v>Mulai meningkat</v>
      </c>
      <c r="AN18" s="147" t="str">
        <f t="shared" si="5"/>
        <v>Mulai meningkat</v>
      </c>
      <c r="AO18" s="146" t="e">
        <f t="shared" si="14"/>
        <v>#N/A</v>
      </c>
      <c r="AP18" s="148" t="e">
        <f t="shared" si="15"/>
        <v>#N/A</v>
      </c>
      <c r="AQ18" s="158" t="str">
        <f>IF('PA-Non'!V18&lt;&gt;"",'PA-Non'!V18,IFERROR("Mempunyai keterampilan yang "&amp;IF(AM18=AN18,PROPER(AN18)&amp;" dalam kompetensi "&amp;VLOOKUP(AO18,$AA$532:$AC$539,3)&amp;", demikian juga dalam kompetensi "&amp;VLOOKUP(AP18,$AA$532:$AC$539,3),PROPER(AM18)&amp;" dalam kompetensi "&amp;VLOOKUP(AO18,$AA$532:$AC$539,3)&amp;" dan "&amp;AN18&amp;" pada kompetensi "&amp;VLOOKUP(AP18,$AA$532:$AC$539,3)),""))</f>
        <v/>
      </c>
      <c r="AR18" s="188"/>
    </row>
    <row r="19" spans="2:44" ht="27.9" customHeight="1" thickBot="1" x14ac:dyDescent="0.35">
      <c r="B19" s="226" t="s">
        <v>28</v>
      </c>
      <c r="C19" s="149">
        <f t="shared" si="16"/>
        <v>10</v>
      </c>
      <c r="D19" s="150" t="str">
        <f>IF(Data!F14="","",Data!F14)</f>
        <v>03536</v>
      </c>
      <c r="E19" s="151" t="str">
        <f>IF(Data!H14="","",Data!H14)</f>
        <v>Azzam Reyhan Arifin</v>
      </c>
      <c r="F19" s="152" t="str">
        <f>IF(Data!I14="","",Data!I14)</f>
        <v>Laki-laki</v>
      </c>
      <c r="G19" s="153"/>
      <c r="H19" s="154"/>
      <c r="I19" s="154"/>
      <c r="J19" s="154"/>
      <c r="K19" s="154"/>
      <c r="L19" s="154"/>
      <c r="M19" s="154"/>
      <c r="N19" s="155"/>
      <c r="O19" s="157" t="str">
        <f t="shared" si="6"/>
        <v/>
      </c>
      <c r="P19" s="154"/>
      <c r="Q19" s="156"/>
      <c r="R19" s="157" t="str">
        <f t="shared" si="17"/>
        <v/>
      </c>
      <c r="S19" s="159" t="str">
        <f>IF(R19="","",IF(R19&gt;Data2!$C$12,Data2!$D$11,IF(R19&gt;Data2!$C$13,Data2!$D$12,IF(R19&gt;Data2!$C$14,Data2!$D$13,Data2!$D$14))))</f>
        <v/>
      </c>
      <c r="T19" s="144">
        <f t="shared" si="7"/>
        <v>0</v>
      </c>
      <c r="U19" s="144">
        <f t="shared" si="8"/>
        <v>0</v>
      </c>
      <c r="V19" s="144" t="str">
        <f t="shared" si="2"/>
        <v>Mulai berkembang</v>
      </c>
      <c r="W19" s="144" t="str">
        <f t="shared" si="3"/>
        <v>Mulai berkembang</v>
      </c>
      <c r="X19" s="144" t="e">
        <f t="shared" si="9"/>
        <v>#N/A</v>
      </c>
      <c r="Y19" s="145" t="e">
        <f t="shared" si="10"/>
        <v>#N/A</v>
      </c>
      <c r="Z19" s="218" t="str">
        <f>IF('PA-Non'!O19&lt;&gt;"",'PA-Non'!O19,IFERROR("Mempunyai kemampuan yang " &amp;IF(V19=W19,PROPER(W19)&amp;" dalam kompetensi "&amp;VLOOKUP(X19,$G$532:$I$539,3)&amp;" dan kompetensi "&amp;VLOOKUP(Y19,$G$532:$I$539,3),PROPER(V19)&amp;" dalam kompetensi "&amp;VLOOKUP(X19,$G$532:$I$539,3)&amp;" dan memiliki kemampuan yang "&amp;W19&amp;" pada kompetensi "&amp;VLOOKUP(Y19,$G$532:$I$539,3)),""))</f>
        <v/>
      </c>
      <c r="AA19" s="153"/>
      <c r="AB19" s="154"/>
      <c r="AC19" s="154"/>
      <c r="AD19" s="154"/>
      <c r="AE19" s="154"/>
      <c r="AF19" s="154"/>
      <c r="AG19" s="154"/>
      <c r="AH19" s="155"/>
      <c r="AI19" s="220" t="str">
        <f t="shared" si="11"/>
        <v/>
      </c>
      <c r="AJ19" s="160" t="str">
        <f>IF(AI19="","",IF(AI19&gt;Data2!$C$12,Data2!$D$11,IF(AI19&gt;Data2!$C$13,Data2!$D$12,IF(AI19&gt;Data2!$C$14,Data2!$D$13,Data2!$D$14))))</f>
        <v/>
      </c>
      <c r="AK19" s="146">
        <f t="shared" si="12"/>
        <v>0</v>
      </c>
      <c r="AL19" s="146">
        <f t="shared" si="13"/>
        <v>0</v>
      </c>
      <c r="AM19" s="147" t="str">
        <f t="shared" si="4"/>
        <v>Mulai meningkat</v>
      </c>
      <c r="AN19" s="147" t="str">
        <f t="shared" si="5"/>
        <v>Mulai meningkat</v>
      </c>
      <c r="AO19" s="146" t="e">
        <f t="shared" si="14"/>
        <v>#N/A</v>
      </c>
      <c r="AP19" s="148" t="e">
        <f t="shared" si="15"/>
        <v>#N/A</v>
      </c>
      <c r="AQ19" s="158" t="str">
        <f>IF('PA-Non'!V19&lt;&gt;"",'PA-Non'!V19,IFERROR("Mempunyai keterampilan yang "&amp;IF(AM19=AN19,PROPER(AN19)&amp;" dalam kompetensi "&amp;VLOOKUP(AO19,$AA$532:$AC$539,3)&amp;", demikian juga dalam kompetensi "&amp;VLOOKUP(AP19,$AA$532:$AC$539,3),PROPER(AM19)&amp;" dalam kompetensi "&amp;VLOOKUP(AO19,$AA$532:$AC$539,3)&amp;" dan "&amp;AN19&amp;" pada kompetensi "&amp;VLOOKUP(AP19,$AA$532:$AC$539,3)),""))</f>
        <v/>
      </c>
      <c r="AR19" s="188"/>
    </row>
    <row r="20" spans="2:44" ht="27.9" customHeight="1" thickBot="1" x14ac:dyDescent="0.35">
      <c r="B20" s="226" t="s">
        <v>28</v>
      </c>
      <c r="C20" s="149">
        <f t="shared" si="16"/>
        <v>11</v>
      </c>
      <c r="D20" s="150" t="str">
        <f>IF(Data!F15="","",Data!F15)</f>
        <v>03541</v>
      </c>
      <c r="E20" s="151" t="str">
        <f>IF(Data!H15="","",Data!H15)</f>
        <v>Elvico Fahri Dwi Ramadhan</v>
      </c>
      <c r="F20" s="152" t="str">
        <f>IF(Data!I15="","",Data!I15)</f>
        <v>Laki-laki</v>
      </c>
      <c r="G20" s="153"/>
      <c r="H20" s="154"/>
      <c r="I20" s="154"/>
      <c r="J20" s="154"/>
      <c r="K20" s="154"/>
      <c r="L20" s="154"/>
      <c r="M20" s="154"/>
      <c r="N20" s="155"/>
      <c r="O20" s="157" t="str">
        <f t="shared" si="6"/>
        <v/>
      </c>
      <c r="P20" s="154"/>
      <c r="Q20" s="156"/>
      <c r="R20" s="157" t="str">
        <f t="shared" si="17"/>
        <v/>
      </c>
      <c r="S20" s="159" t="str">
        <f>IF(R20="","",IF(R20&gt;Data2!$C$12,Data2!$D$11,IF(R20&gt;Data2!$C$13,Data2!$D$12,IF(R20&gt;Data2!$C$14,Data2!$D$13,Data2!$D$14))))</f>
        <v/>
      </c>
      <c r="T20" s="144">
        <f t="shared" si="7"/>
        <v>0</v>
      </c>
      <c r="U20" s="144">
        <f t="shared" si="8"/>
        <v>0</v>
      </c>
      <c r="V20" s="144" t="str">
        <f t="shared" si="2"/>
        <v>Mulai berkembang</v>
      </c>
      <c r="W20" s="144" t="str">
        <f t="shared" si="3"/>
        <v>Mulai berkembang</v>
      </c>
      <c r="X20" s="144" t="e">
        <f t="shared" si="9"/>
        <v>#N/A</v>
      </c>
      <c r="Y20" s="145" t="e">
        <f t="shared" si="10"/>
        <v>#N/A</v>
      </c>
      <c r="Z20" s="218" t="str">
        <f>IF('PA-Non'!O20&lt;&gt;"",'PA-Non'!O20,IFERROR("Mempunyai kemampuan yang " &amp;IF(V20=W20,PROPER(W20)&amp;" dalam kompetensi "&amp;VLOOKUP(X20,$G$532:$I$539,3)&amp;" dan kompetensi "&amp;VLOOKUP(Y20,$G$532:$I$539,3),PROPER(V20)&amp;" dalam kompetensi "&amp;VLOOKUP(X20,$G$532:$I$539,3)&amp;" dan memiliki kemampuan yang "&amp;W20&amp;" pada kompetensi "&amp;VLOOKUP(Y20,$G$532:$I$539,3)),""))</f>
        <v/>
      </c>
      <c r="AA20" s="153"/>
      <c r="AB20" s="154"/>
      <c r="AC20" s="154"/>
      <c r="AD20" s="154"/>
      <c r="AE20" s="154"/>
      <c r="AF20" s="154"/>
      <c r="AG20" s="154"/>
      <c r="AH20" s="155"/>
      <c r="AI20" s="220" t="str">
        <f t="shared" si="11"/>
        <v/>
      </c>
      <c r="AJ20" s="160" t="str">
        <f>IF(AI20="","",IF(AI20&gt;Data2!$C$12,Data2!$D$11,IF(AI20&gt;Data2!$C$13,Data2!$D$12,IF(AI20&gt;Data2!$C$14,Data2!$D$13,Data2!$D$14))))</f>
        <v/>
      </c>
      <c r="AK20" s="146">
        <f t="shared" si="12"/>
        <v>0</v>
      </c>
      <c r="AL20" s="146">
        <f t="shared" si="13"/>
        <v>0</v>
      </c>
      <c r="AM20" s="147" t="str">
        <f t="shared" si="4"/>
        <v>Mulai meningkat</v>
      </c>
      <c r="AN20" s="147" t="str">
        <f t="shared" si="5"/>
        <v>Mulai meningkat</v>
      </c>
      <c r="AO20" s="146" t="e">
        <f t="shared" si="14"/>
        <v>#N/A</v>
      </c>
      <c r="AP20" s="148" t="e">
        <f t="shared" si="15"/>
        <v>#N/A</v>
      </c>
      <c r="AQ20" s="158" t="str">
        <f>IF('PA-Non'!V20&lt;&gt;"",'PA-Non'!V20,IFERROR("Mempunyai keterampilan yang "&amp;IF(AM20=AN20,PROPER(AN20)&amp;" dalam kompetensi "&amp;VLOOKUP(AO20,$AA$532:$AC$539,3)&amp;", demikian juga dalam kompetensi "&amp;VLOOKUP(AP20,$AA$532:$AC$539,3),PROPER(AM20)&amp;" dalam kompetensi "&amp;VLOOKUP(AO20,$AA$532:$AC$539,3)&amp;" dan "&amp;AN20&amp;" pada kompetensi "&amp;VLOOKUP(AP20,$AA$532:$AC$539,3)),""))</f>
        <v/>
      </c>
      <c r="AR20" s="188"/>
    </row>
    <row r="21" spans="2:44" ht="27.9" customHeight="1" thickBot="1" x14ac:dyDescent="0.35">
      <c r="B21" s="226" t="s">
        <v>28</v>
      </c>
      <c r="C21" s="149">
        <f t="shared" si="16"/>
        <v>12</v>
      </c>
      <c r="D21" s="150" t="str">
        <f>IF(Data!F16="","",Data!F16)</f>
        <v>03545</v>
      </c>
      <c r="E21" s="151" t="str">
        <f>IF(Data!H16="","",Data!H16)</f>
        <v>Gesang Dwi Permana</v>
      </c>
      <c r="F21" s="152" t="str">
        <f>IF(Data!I16="","",Data!I16)</f>
        <v>Laki-laki</v>
      </c>
      <c r="G21" s="153"/>
      <c r="H21" s="154"/>
      <c r="I21" s="154"/>
      <c r="J21" s="154"/>
      <c r="K21" s="154"/>
      <c r="L21" s="154"/>
      <c r="M21" s="154"/>
      <c r="N21" s="155"/>
      <c r="O21" s="157" t="str">
        <f t="shared" si="6"/>
        <v/>
      </c>
      <c r="P21" s="154"/>
      <c r="Q21" s="156"/>
      <c r="R21" s="157" t="str">
        <f t="shared" si="17"/>
        <v/>
      </c>
      <c r="S21" s="159" t="str">
        <f>IF(R21="","",IF(R21&gt;Data2!$C$12,Data2!$D$11,IF(R21&gt;Data2!$C$13,Data2!$D$12,IF(R21&gt;Data2!$C$14,Data2!$D$13,Data2!$D$14))))</f>
        <v/>
      </c>
      <c r="T21" s="144">
        <f t="shared" si="7"/>
        <v>0</v>
      </c>
      <c r="U21" s="144">
        <f t="shared" si="8"/>
        <v>0</v>
      </c>
      <c r="V21" s="144" t="str">
        <f t="shared" si="2"/>
        <v>Mulai berkembang</v>
      </c>
      <c r="W21" s="144" t="str">
        <f t="shared" si="3"/>
        <v>Mulai berkembang</v>
      </c>
      <c r="X21" s="144" t="e">
        <f t="shared" si="9"/>
        <v>#N/A</v>
      </c>
      <c r="Y21" s="145" t="e">
        <f t="shared" si="10"/>
        <v>#N/A</v>
      </c>
      <c r="Z21" s="218" t="str">
        <f>IF('PA-Non'!O21&lt;&gt;"",'PA-Non'!O21,IFERROR("Mempunyai kemampuan yang " &amp;IF(V21=W21,PROPER(W21)&amp;" dalam kompetensi "&amp;VLOOKUP(X21,$G$532:$I$539,3)&amp;" dan kompetensi "&amp;VLOOKUP(Y21,$G$532:$I$539,3),PROPER(V21)&amp;" dalam kompetensi "&amp;VLOOKUP(X21,$G$532:$I$539,3)&amp;" dan memiliki kemampuan yang "&amp;W21&amp;" pada kompetensi "&amp;VLOOKUP(Y21,$G$532:$I$539,3)),""))</f>
        <v/>
      </c>
      <c r="AA21" s="153"/>
      <c r="AB21" s="154"/>
      <c r="AC21" s="154"/>
      <c r="AD21" s="154"/>
      <c r="AE21" s="154"/>
      <c r="AF21" s="154"/>
      <c r="AG21" s="154"/>
      <c r="AH21" s="155"/>
      <c r="AI21" s="220" t="str">
        <f t="shared" si="11"/>
        <v/>
      </c>
      <c r="AJ21" s="160" t="str">
        <f>IF(AI21="","",IF(AI21&gt;Data2!$C$12,Data2!$D$11,IF(AI21&gt;Data2!$C$13,Data2!$D$12,IF(AI21&gt;Data2!$C$14,Data2!$D$13,Data2!$D$14))))</f>
        <v/>
      </c>
      <c r="AK21" s="146">
        <f t="shared" si="12"/>
        <v>0</v>
      </c>
      <c r="AL21" s="146">
        <f t="shared" si="13"/>
        <v>0</v>
      </c>
      <c r="AM21" s="147" t="str">
        <f t="shared" si="4"/>
        <v>Mulai meningkat</v>
      </c>
      <c r="AN21" s="147" t="str">
        <f t="shared" si="5"/>
        <v>Mulai meningkat</v>
      </c>
      <c r="AO21" s="146" t="e">
        <f t="shared" si="14"/>
        <v>#N/A</v>
      </c>
      <c r="AP21" s="148" t="e">
        <f t="shared" si="15"/>
        <v>#N/A</v>
      </c>
      <c r="AQ21" s="158" t="str">
        <f>IF('PA-Non'!V21&lt;&gt;"",'PA-Non'!V21,IFERROR("Mempunyai keterampilan yang "&amp;IF(AM21=AN21,PROPER(AN21)&amp;" dalam kompetensi "&amp;VLOOKUP(AO21,$AA$532:$AC$539,3)&amp;", demikian juga dalam kompetensi "&amp;VLOOKUP(AP21,$AA$532:$AC$539,3),PROPER(AM21)&amp;" dalam kompetensi "&amp;VLOOKUP(AO21,$AA$532:$AC$539,3)&amp;" dan "&amp;AN21&amp;" pada kompetensi "&amp;VLOOKUP(AP21,$AA$532:$AC$539,3)),""))</f>
        <v/>
      </c>
      <c r="AR21" s="188"/>
    </row>
    <row r="22" spans="2:44" ht="27.9" customHeight="1" thickBot="1" x14ac:dyDescent="0.35">
      <c r="B22" s="226" t="s">
        <v>28</v>
      </c>
      <c r="C22" s="149">
        <f t="shared" si="16"/>
        <v>13</v>
      </c>
      <c r="D22" s="150" t="str">
        <f>IF(Data!F17="","",Data!F17)</f>
        <v>03550</v>
      </c>
      <c r="E22" s="151" t="str">
        <f>IF(Data!H17="","",Data!H17)</f>
        <v>Kafka Shafy Zafarani</v>
      </c>
      <c r="F22" s="152" t="str">
        <f>IF(Data!I17="","",Data!I17)</f>
        <v>Laki-laki</v>
      </c>
      <c r="G22" s="153"/>
      <c r="H22" s="154"/>
      <c r="I22" s="154"/>
      <c r="J22" s="154"/>
      <c r="K22" s="154"/>
      <c r="L22" s="154"/>
      <c r="M22" s="154"/>
      <c r="N22" s="155"/>
      <c r="O22" s="157" t="str">
        <f t="shared" si="6"/>
        <v/>
      </c>
      <c r="P22" s="154"/>
      <c r="Q22" s="156"/>
      <c r="R22" s="157" t="str">
        <f t="shared" si="17"/>
        <v/>
      </c>
      <c r="S22" s="159" t="str">
        <f>IF(R22="","",IF(R22&gt;Data2!$C$12,Data2!$D$11,IF(R22&gt;Data2!$C$13,Data2!$D$12,IF(R22&gt;Data2!$C$14,Data2!$D$13,Data2!$D$14))))</f>
        <v/>
      </c>
      <c r="T22" s="144">
        <f t="shared" si="7"/>
        <v>0</v>
      </c>
      <c r="U22" s="144">
        <f t="shared" si="8"/>
        <v>0</v>
      </c>
      <c r="V22" s="144" t="str">
        <f t="shared" si="2"/>
        <v>Mulai berkembang</v>
      </c>
      <c r="W22" s="144" t="str">
        <f t="shared" si="3"/>
        <v>Mulai berkembang</v>
      </c>
      <c r="X22" s="144" t="e">
        <f t="shared" si="9"/>
        <v>#N/A</v>
      </c>
      <c r="Y22" s="145" t="e">
        <f t="shared" si="10"/>
        <v>#N/A</v>
      </c>
      <c r="Z22" s="218" t="str">
        <f>IF('PA-Non'!O22&lt;&gt;"",'PA-Non'!O22,IFERROR("Mempunyai kemampuan yang " &amp;IF(V22=W22,PROPER(W22)&amp;" dalam kompetensi "&amp;VLOOKUP(X22,$G$532:$I$539,3)&amp;" dan kompetensi "&amp;VLOOKUP(Y22,$G$532:$I$539,3),PROPER(V22)&amp;" dalam kompetensi "&amp;VLOOKUP(X22,$G$532:$I$539,3)&amp;" dan memiliki kemampuan yang "&amp;W22&amp;" pada kompetensi "&amp;VLOOKUP(Y22,$G$532:$I$539,3)),""))</f>
        <v/>
      </c>
      <c r="AA22" s="153"/>
      <c r="AB22" s="154"/>
      <c r="AC22" s="154"/>
      <c r="AD22" s="154"/>
      <c r="AE22" s="154"/>
      <c r="AF22" s="154"/>
      <c r="AG22" s="154"/>
      <c r="AH22" s="155"/>
      <c r="AI22" s="220" t="str">
        <f t="shared" si="11"/>
        <v/>
      </c>
      <c r="AJ22" s="160" t="str">
        <f>IF(AI22="","",IF(AI22&gt;Data2!$C$12,Data2!$D$11,IF(AI22&gt;Data2!$C$13,Data2!$D$12,IF(AI22&gt;Data2!$C$14,Data2!$D$13,Data2!$D$14))))</f>
        <v/>
      </c>
      <c r="AK22" s="146">
        <f t="shared" si="12"/>
        <v>0</v>
      </c>
      <c r="AL22" s="146">
        <f t="shared" si="13"/>
        <v>0</v>
      </c>
      <c r="AM22" s="147" t="str">
        <f t="shared" si="4"/>
        <v>Mulai meningkat</v>
      </c>
      <c r="AN22" s="147" t="str">
        <f t="shared" si="5"/>
        <v>Mulai meningkat</v>
      </c>
      <c r="AO22" s="146" t="e">
        <f t="shared" si="14"/>
        <v>#N/A</v>
      </c>
      <c r="AP22" s="148" t="e">
        <f t="shared" si="15"/>
        <v>#N/A</v>
      </c>
      <c r="AQ22" s="158" t="str">
        <f>IF('PA-Non'!V22&lt;&gt;"",'PA-Non'!V22,IFERROR("Mempunyai keterampilan yang "&amp;IF(AM22=AN22,PROPER(AN22)&amp;" dalam kompetensi "&amp;VLOOKUP(AO22,$AA$532:$AC$539,3)&amp;", demikian juga dalam kompetensi "&amp;VLOOKUP(AP22,$AA$532:$AC$539,3),PROPER(AM22)&amp;" dalam kompetensi "&amp;VLOOKUP(AO22,$AA$532:$AC$539,3)&amp;" dan "&amp;AN22&amp;" pada kompetensi "&amp;VLOOKUP(AP22,$AA$532:$AC$539,3)),""))</f>
        <v/>
      </c>
      <c r="AR22" s="188"/>
    </row>
    <row r="23" spans="2:44" ht="27.9" customHeight="1" thickBot="1" x14ac:dyDescent="0.35">
      <c r="B23" s="226" t="s">
        <v>28</v>
      </c>
      <c r="C23" s="149">
        <f t="shared" si="16"/>
        <v>14</v>
      </c>
      <c r="D23" s="150" t="str">
        <f>IF(Data!F18="","",Data!F18)</f>
        <v>03552</v>
      </c>
      <c r="E23" s="151" t="str">
        <f>IF(Data!H18="","",Data!H18)</f>
        <v>Laits Rosyid Al-Barr</v>
      </c>
      <c r="F23" s="152" t="str">
        <f>IF(Data!I18="","",Data!I18)</f>
        <v>Laki-laki</v>
      </c>
      <c r="G23" s="153"/>
      <c r="H23" s="154"/>
      <c r="I23" s="154"/>
      <c r="J23" s="154"/>
      <c r="K23" s="154"/>
      <c r="L23" s="154"/>
      <c r="M23" s="154"/>
      <c r="N23" s="155"/>
      <c r="O23" s="157" t="str">
        <f t="shared" si="6"/>
        <v/>
      </c>
      <c r="P23" s="154"/>
      <c r="Q23" s="156"/>
      <c r="R23" s="157" t="str">
        <f t="shared" si="17"/>
        <v/>
      </c>
      <c r="S23" s="159" t="str">
        <f>IF(R23="","",IF(R23&gt;Data2!$C$12,Data2!$D$11,IF(R23&gt;Data2!$C$13,Data2!$D$12,IF(R23&gt;Data2!$C$14,Data2!$D$13,Data2!$D$14))))</f>
        <v/>
      </c>
      <c r="T23" s="144">
        <f t="shared" si="7"/>
        <v>0</v>
      </c>
      <c r="U23" s="144">
        <f t="shared" si="8"/>
        <v>0</v>
      </c>
      <c r="V23" s="144" t="str">
        <f t="shared" si="2"/>
        <v>Mulai berkembang</v>
      </c>
      <c r="W23" s="144" t="str">
        <f t="shared" si="3"/>
        <v>Mulai berkembang</v>
      </c>
      <c r="X23" s="144" t="e">
        <f t="shared" si="9"/>
        <v>#N/A</v>
      </c>
      <c r="Y23" s="145" t="e">
        <f t="shared" si="10"/>
        <v>#N/A</v>
      </c>
      <c r="Z23" s="218" t="str">
        <f>IF('PA-Non'!O23&lt;&gt;"",'PA-Non'!O23,IFERROR("Mempunyai kemampuan yang " &amp;IF(V23=W23,PROPER(W23)&amp;" dalam kompetensi "&amp;VLOOKUP(X23,$G$532:$I$539,3)&amp;" dan kompetensi "&amp;VLOOKUP(Y23,$G$532:$I$539,3),PROPER(V23)&amp;" dalam kompetensi "&amp;VLOOKUP(X23,$G$532:$I$539,3)&amp;" dan memiliki kemampuan yang "&amp;W23&amp;" pada kompetensi "&amp;VLOOKUP(Y23,$G$532:$I$539,3)),""))</f>
        <v/>
      </c>
      <c r="AA23" s="153"/>
      <c r="AB23" s="154"/>
      <c r="AC23" s="154"/>
      <c r="AD23" s="154"/>
      <c r="AE23" s="154"/>
      <c r="AF23" s="154"/>
      <c r="AG23" s="154"/>
      <c r="AH23" s="155"/>
      <c r="AI23" s="220" t="str">
        <f t="shared" si="11"/>
        <v/>
      </c>
      <c r="AJ23" s="160" t="str">
        <f>IF(AI23="","",IF(AI23&gt;Data2!$C$12,Data2!$D$11,IF(AI23&gt;Data2!$C$13,Data2!$D$12,IF(AI23&gt;Data2!$C$14,Data2!$D$13,Data2!$D$14))))</f>
        <v/>
      </c>
      <c r="AK23" s="146">
        <f t="shared" si="12"/>
        <v>0</v>
      </c>
      <c r="AL23" s="146">
        <f t="shared" si="13"/>
        <v>0</v>
      </c>
      <c r="AM23" s="147" t="str">
        <f t="shared" si="4"/>
        <v>Mulai meningkat</v>
      </c>
      <c r="AN23" s="147" t="str">
        <f t="shared" si="5"/>
        <v>Mulai meningkat</v>
      </c>
      <c r="AO23" s="146" t="e">
        <f t="shared" si="14"/>
        <v>#N/A</v>
      </c>
      <c r="AP23" s="148" t="e">
        <f t="shared" si="15"/>
        <v>#N/A</v>
      </c>
      <c r="AQ23" s="158" t="str">
        <f>IF('PA-Non'!V23&lt;&gt;"",'PA-Non'!V23,IFERROR("Mempunyai keterampilan yang "&amp;IF(AM23=AN23,PROPER(AN23)&amp;" dalam kompetensi "&amp;VLOOKUP(AO23,$AA$532:$AC$539,3)&amp;", demikian juga dalam kompetensi "&amp;VLOOKUP(AP23,$AA$532:$AC$539,3),PROPER(AM23)&amp;" dalam kompetensi "&amp;VLOOKUP(AO23,$AA$532:$AC$539,3)&amp;" dan "&amp;AN23&amp;" pada kompetensi "&amp;VLOOKUP(AP23,$AA$532:$AC$539,3)),""))</f>
        <v/>
      </c>
      <c r="AR23" s="188"/>
    </row>
    <row r="24" spans="2:44" ht="27.9" customHeight="1" thickBot="1" x14ac:dyDescent="0.35">
      <c r="B24" s="226" t="s">
        <v>28</v>
      </c>
      <c r="C24" s="149">
        <f t="shared" si="16"/>
        <v>15</v>
      </c>
      <c r="D24" s="150" t="str">
        <f>IF(Data!F19="","",Data!F19)</f>
        <v>03554</v>
      </c>
      <c r="E24" s="151" t="str">
        <f>IF(Data!H19="","",Data!H19)</f>
        <v>M Hanan Qomarudin</v>
      </c>
      <c r="F24" s="152" t="str">
        <f>IF(Data!I19="","",Data!I19)</f>
        <v>Laki-laki</v>
      </c>
      <c r="G24" s="153"/>
      <c r="H24" s="154"/>
      <c r="I24" s="154"/>
      <c r="J24" s="154"/>
      <c r="K24" s="154"/>
      <c r="L24" s="154"/>
      <c r="M24" s="154"/>
      <c r="N24" s="155"/>
      <c r="O24" s="157" t="str">
        <f t="shared" si="6"/>
        <v/>
      </c>
      <c r="P24" s="154"/>
      <c r="Q24" s="156"/>
      <c r="R24" s="157" t="str">
        <f t="shared" si="17"/>
        <v/>
      </c>
      <c r="S24" s="159" t="str">
        <f>IF(R24="","",IF(R24&gt;Data2!$C$12,Data2!$D$11,IF(R24&gt;Data2!$C$13,Data2!$D$12,IF(R24&gt;Data2!$C$14,Data2!$D$13,Data2!$D$14))))</f>
        <v/>
      </c>
      <c r="T24" s="144">
        <f t="shared" si="7"/>
        <v>0</v>
      </c>
      <c r="U24" s="144">
        <f t="shared" si="8"/>
        <v>0</v>
      </c>
      <c r="V24" s="144" t="str">
        <f t="shared" si="2"/>
        <v>Mulai berkembang</v>
      </c>
      <c r="W24" s="144" t="str">
        <f t="shared" si="3"/>
        <v>Mulai berkembang</v>
      </c>
      <c r="X24" s="144" t="e">
        <f t="shared" si="9"/>
        <v>#N/A</v>
      </c>
      <c r="Y24" s="145" t="e">
        <f t="shared" si="10"/>
        <v>#N/A</v>
      </c>
      <c r="Z24" s="218" t="str">
        <f>IF('PA-Non'!O24&lt;&gt;"",'PA-Non'!O24,IFERROR("Mempunyai kemampuan yang " &amp;IF(V24=W24,PROPER(W24)&amp;" dalam kompetensi "&amp;VLOOKUP(X24,$G$532:$I$539,3)&amp;" dan kompetensi "&amp;VLOOKUP(Y24,$G$532:$I$539,3),PROPER(V24)&amp;" dalam kompetensi "&amp;VLOOKUP(X24,$G$532:$I$539,3)&amp;" dan memiliki kemampuan yang "&amp;W24&amp;" pada kompetensi "&amp;VLOOKUP(Y24,$G$532:$I$539,3)),""))</f>
        <v/>
      </c>
      <c r="AA24" s="153"/>
      <c r="AB24" s="154"/>
      <c r="AC24" s="154"/>
      <c r="AD24" s="154"/>
      <c r="AE24" s="154"/>
      <c r="AF24" s="154"/>
      <c r="AG24" s="154"/>
      <c r="AH24" s="155"/>
      <c r="AI24" s="220" t="str">
        <f t="shared" si="11"/>
        <v/>
      </c>
      <c r="AJ24" s="160" t="str">
        <f>IF(AI24="","",IF(AI24&gt;Data2!$C$12,Data2!$D$11,IF(AI24&gt;Data2!$C$13,Data2!$D$12,IF(AI24&gt;Data2!$C$14,Data2!$D$13,Data2!$D$14))))</f>
        <v/>
      </c>
      <c r="AK24" s="146">
        <f t="shared" si="12"/>
        <v>0</v>
      </c>
      <c r="AL24" s="146">
        <f t="shared" si="13"/>
        <v>0</v>
      </c>
      <c r="AM24" s="147" t="str">
        <f t="shared" si="4"/>
        <v>Mulai meningkat</v>
      </c>
      <c r="AN24" s="147" t="str">
        <f t="shared" si="5"/>
        <v>Mulai meningkat</v>
      </c>
      <c r="AO24" s="146" t="e">
        <f t="shared" si="14"/>
        <v>#N/A</v>
      </c>
      <c r="AP24" s="148" t="e">
        <f t="shared" si="15"/>
        <v>#N/A</v>
      </c>
      <c r="AQ24" s="158" t="str">
        <f>IF('PA-Non'!V24&lt;&gt;"",'PA-Non'!V24,IFERROR("Mempunyai keterampilan yang "&amp;IF(AM24=AN24,PROPER(AN24)&amp;" dalam kompetensi "&amp;VLOOKUP(AO24,$AA$532:$AC$539,3)&amp;", demikian juga dalam kompetensi "&amp;VLOOKUP(AP24,$AA$532:$AC$539,3),PROPER(AM24)&amp;" dalam kompetensi "&amp;VLOOKUP(AO24,$AA$532:$AC$539,3)&amp;" dan "&amp;AN24&amp;" pada kompetensi "&amp;VLOOKUP(AP24,$AA$532:$AC$539,3)),""))</f>
        <v/>
      </c>
      <c r="AR24" s="188"/>
    </row>
    <row r="25" spans="2:44" ht="27.9" customHeight="1" thickBot="1" x14ac:dyDescent="0.35">
      <c r="B25" s="226" t="s">
        <v>28</v>
      </c>
      <c r="C25" s="149">
        <f t="shared" si="16"/>
        <v>16</v>
      </c>
      <c r="D25" s="150" t="str">
        <f>IF(Data!F20="","",Data!F20)</f>
        <v>03559</v>
      </c>
      <c r="E25" s="151" t="str">
        <f>IF(Data!H20="","",Data!H20)</f>
        <v>Moch. Zafi An Nafi'</v>
      </c>
      <c r="F25" s="152" t="str">
        <f>IF(Data!I20="","",Data!I20)</f>
        <v>Laki-laki</v>
      </c>
      <c r="G25" s="153"/>
      <c r="H25" s="154"/>
      <c r="I25" s="154"/>
      <c r="J25" s="154"/>
      <c r="K25" s="154"/>
      <c r="L25" s="154"/>
      <c r="M25" s="154"/>
      <c r="N25" s="155"/>
      <c r="O25" s="157" t="str">
        <f t="shared" si="6"/>
        <v/>
      </c>
      <c r="P25" s="154"/>
      <c r="Q25" s="156"/>
      <c r="R25" s="157" t="str">
        <f t="shared" si="17"/>
        <v/>
      </c>
      <c r="S25" s="159" t="str">
        <f>IF(R25="","",IF(R25&gt;Data2!$C$12,Data2!$D$11,IF(R25&gt;Data2!$C$13,Data2!$D$12,IF(R25&gt;Data2!$C$14,Data2!$D$13,Data2!$D$14))))</f>
        <v/>
      </c>
      <c r="T25" s="144">
        <f t="shared" si="7"/>
        <v>0</v>
      </c>
      <c r="U25" s="144">
        <f t="shared" si="8"/>
        <v>0</v>
      </c>
      <c r="V25" s="144" t="str">
        <f t="shared" si="2"/>
        <v>Mulai berkembang</v>
      </c>
      <c r="W25" s="144" t="str">
        <f t="shared" si="3"/>
        <v>Mulai berkembang</v>
      </c>
      <c r="X25" s="144" t="e">
        <f t="shared" si="9"/>
        <v>#N/A</v>
      </c>
      <c r="Y25" s="145" t="e">
        <f t="shared" si="10"/>
        <v>#N/A</v>
      </c>
      <c r="Z25" s="218" t="str">
        <f>IF('PA-Non'!O25&lt;&gt;"",'PA-Non'!O25,IFERROR("Mempunyai kemampuan yang " &amp;IF(V25=W25,PROPER(W25)&amp;" dalam kompetensi "&amp;VLOOKUP(X25,$G$532:$I$539,3)&amp;" dan kompetensi "&amp;VLOOKUP(Y25,$G$532:$I$539,3),PROPER(V25)&amp;" dalam kompetensi "&amp;VLOOKUP(X25,$G$532:$I$539,3)&amp;" dan memiliki kemampuan yang "&amp;W25&amp;" pada kompetensi "&amp;VLOOKUP(Y25,$G$532:$I$539,3)),""))</f>
        <v/>
      </c>
      <c r="AA25" s="153"/>
      <c r="AB25" s="154"/>
      <c r="AC25" s="154"/>
      <c r="AD25" s="154"/>
      <c r="AE25" s="154"/>
      <c r="AF25" s="154"/>
      <c r="AG25" s="154"/>
      <c r="AH25" s="155"/>
      <c r="AI25" s="220" t="str">
        <f t="shared" si="11"/>
        <v/>
      </c>
      <c r="AJ25" s="160" t="str">
        <f>IF(AI25="","",IF(AI25&gt;Data2!$C$12,Data2!$D$11,IF(AI25&gt;Data2!$C$13,Data2!$D$12,IF(AI25&gt;Data2!$C$14,Data2!$D$13,Data2!$D$14))))</f>
        <v/>
      </c>
      <c r="AK25" s="146">
        <f t="shared" si="12"/>
        <v>0</v>
      </c>
      <c r="AL25" s="146">
        <f t="shared" si="13"/>
        <v>0</v>
      </c>
      <c r="AM25" s="147" t="str">
        <f t="shared" si="4"/>
        <v>Mulai meningkat</v>
      </c>
      <c r="AN25" s="147" t="str">
        <f t="shared" si="5"/>
        <v>Mulai meningkat</v>
      </c>
      <c r="AO25" s="146" t="e">
        <f t="shared" si="14"/>
        <v>#N/A</v>
      </c>
      <c r="AP25" s="148" t="e">
        <f t="shared" si="15"/>
        <v>#N/A</v>
      </c>
      <c r="AQ25" s="158" t="str">
        <f>IF('PA-Non'!V25&lt;&gt;"",'PA-Non'!V25,IFERROR("Mempunyai keterampilan yang "&amp;IF(AM25=AN25,PROPER(AN25)&amp;" dalam kompetensi "&amp;VLOOKUP(AO25,$AA$532:$AC$539,3)&amp;", demikian juga dalam kompetensi "&amp;VLOOKUP(AP25,$AA$532:$AC$539,3),PROPER(AM25)&amp;" dalam kompetensi "&amp;VLOOKUP(AO25,$AA$532:$AC$539,3)&amp;" dan "&amp;AN25&amp;" pada kompetensi "&amp;VLOOKUP(AP25,$AA$532:$AC$539,3)),""))</f>
        <v/>
      </c>
      <c r="AR25" s="188"/>
    </row>
    <row r="26" spans="2:44" ht="27.9" customHeight="1" thickBot="1" x14ac:dyDescent="0.35">
      <c r="B26" s="226" t="s">
        <v>28</v>
      </c>
      <c r="C26" s="149">
        <f t="shared" si="16"/>
        <v>17</v>
      </c>
      <c r="D26" s="150" t="str">
        <f>IF(Data!F21="","",Data!F21)</f>
        <v>03561</v>
      </c>
      <c r="E26" s="151" t="str">
        <f>IF(Data!H21="","",Data!H21)</f>
        <v>Mohamad Afton Farizul Umam</v>
      </c>
      <c r="F26" s="152" t="str">
        <f>IF(Data!I21="","",Data!I21)</f>
        <v>Laki-laki</v>
      </c>
      <c r="G26" s="153"/>
      <c r="H26" s="154"/>
      <c r="I26" s="154"/>
      <c r="J26" s="154"/>
      <c r="K26" s="154"/>
      <c r="L26" s="154"/>
      <c r="M26" s="154"/>
      <c r="N26" s="155"/>
      <c r="O26" s="157" t="str">
        <f t="shared" si="6"/>
        <v/>
      </c>
      <c r="P26" s="154"/>
      <c r="Q26" s="156"/>
      <c r="R26" s="157" t="str">
        <f t="shared" si="17"/>
        <v/>
      </c>
      <c r="S26" s="159" t="str">
        <f>IF(R26="","",IF(R26&gt;Data2!$C$12,Data2!$D$11,IF(R26&gt;Data2!$C$13,Data2!$D$12,IF(R26&gt;Data2!$C$14,Data2!$D$13,Data2!$D$14))))</f>
        <v/>
      </c>
      <c r="T26" s="144">
        <f t="shared" si="7"/>
        <v>0</v>
      </c>
      <c r="U26" s="144">
        <f t="shared" si="8"/>
        <v>0</v>
      </c>
      <c r="V26" s="144" t="str">
        <f t="shared" si="2"/>
        <v>Mulai berkembang</v>
      </c>
      <c r="W26" s="144" t="str">
        <f t="shared" si="3"/>
        <v>Mulai berkembang</v>
      </c>
      <c r="X26" s="144" t="e">
        <f t="shared" si="9"/>
        <v>#N/A</v>
      </c>
      <c r="Y26" s="145" t="e">
        <f t="shared" si="10"/>
        <v>#N/A</v>
      </c>
      <c r="Z26" s="218" t="str">
        <f>IF('PA-Non'!O26&lt;&gt;"",'PA-Non'!O26,IFERROR("Mempunyai kemampuan yang " &amp;IF(V26=W26,PROPER(W26)&amp;" dalam kompetensi "&amp;VLOOKUP(X26,$G$532:$I$539,3)&amp;" dan kompetensi "&amp;VLOOKUP(Y26,$G$532:$I$539,3),PROPER(V26)&amp;" dalam kompetensi "&amp;VLOOKUP(X26,$G$532:$I$539,3)&amp;" dan memiliki kemampuan yang "&amp;W26&amp;" pada kompetensi "&amp;VLOOKUP(Y26,$G$532:$I$539,3)),""))</f>
        <v/>
      </c>
      <c r="AA26" s="153"/>
      <c r="AB26" s="154"/>
      <c r="AC26" s="154"/>
      <c r="AD26" s="154"/>
      <c r="AE26" s="154"/>
      <c r="AF26" s="154"/>
      <c r="AG26" s="154"/>
      <c r="AH26" s="155"/>
      <c r="AI26" s="220" t="str">
        <f t="shared" si="11"/>
        <v/>
      </c>
      <c r="AJ26" s="160" t="str">
        <f>IF(AI26="","",IF(AI26&gt;Data2!$C$12,Data2!$D$11,IF(AI26&gt;Data2!$C$13,Data2!$D$12,IF(AI26&gt;Data2!$C$14,Data2!$D$13,Data2!$D$14))))</f>
        <v/>
      </c>
      <c r="AK26" s="146">
        <f t="shared" si="12"/>
        <v>0</v>
      </c>
      <c r="AL26" s="146">
        <f t="shared" si="13"/>
        <v>0</v>
      </c>
      <c r="AM26" s="147" t="str">
        <f t="shared" si="4"/>
        <v>Mulai meningkat</v>
      </c>
      <c r="AN26" s="147" t="str">
        <f t="shared" si="5"/>
        <v>Mulai meningkat</v>
      </c>
      <c r="AO26" s="146" t="e">
        <f t="shared" si="14"/>
        <v>#N/A</v>
      </c>
      <c r="AP26" s="148" t="e">
        <f t="shared" si="15"/>
        <v>#N/A</v>
      </c>
      <c r="AQ26" s="158" t="str">
        <f>IF('PA-Non'!V26&lt;&gt;"",'PA-Non'!V26,IFERROR("Mempunyai keterampilan yang "&amp;IF(AM26=AN26,PROPER(AN26)&amp;" dalam kompetensi "&amp;VLOOKUP(AO26,$AA$532:$AC$539,3)&amp;", demikian juga dalam kompetensi "&amp;VLOOKUP(AP26,$AA$532:$AC$539,3),PROPER(AM26)&amp;" dalam kompetensi "&amp;VLOOKUP(AO26,$AA$532:$AC$539,3)&amp;" dan "&amp;AN26&amp;" pada kompetensi "&amp;VLOOKUP(AP26,$AA$532:$AC$539,3)),""))</f>
        <v/>
      </c>
      <c r="AR26" s="188"/>
    </row>
    <row r="27" spans="2:44" ht="27.9" customHeight="1" thickBot="1" x14ac:dyDescent="0.35">
      <c r="B27" s="226" t="s">
        <v>28</v>
      </c>
      <c r="C27" s="149">
        <f t="shared" si="16"/>
        <v>18</v>
      </c>
      <c r="D27" s="150" t="str">
        <f>IF(Data!F22="","",Data!F22)</f>
        <v>03572</v>
      </c>
      <c r="E27" s="151" t="str">
        <f>IF(Data!H22="","",Data!H22)</f>
        <v>Muhammad Alif Al Faruq</v>
      </c>
      <c r="F27" s="152" t="str">
        <f>IF(Data!I22="","",Data!I22)</f>
        <v>Laki-laki</v>
      </c>
      <c r="G27" s="153"/>
      <c r="H27" s="154"/>
      <c r="I27" s="154"/>
      <c r="J27" s="154"/>
      <c r="K27" s="154"/>
      <c r="L27" s="154"/>
      <c r="M27" s="154"/>
      <c r="N27" s="155"/>
      <c r="O27" s="157" t="str">
        <f t="shared" si="6"/>
        <v/>
      </c>
      <c r="P27" s="154"/>
      <c r="Q27" s="156"/>
      <c r="R27" s="157" t="str">
        <f t="shared" si="17"/>
        <v/>
      </c>
      <c r="S27" s="159" t="str">
        <f>IF(R27="","",IF(R27&gt;Data2!$C$12,Data2!$D$11,IF(R27&gt;Data2!$C$13,Data2!$D$12,IF(R27&gt;Data2!$C$14,Data2!$D$13,Data2!$D$14))))</f>
        <v/>
      </c>
      <c r="T27" s="144">
        <f t="shared" si="7"/>
        <v>0</v>
      </c>
      <c r="U27" s="144">
        <f t="shared" si="8"/>
        <v>0</v>
      </c>
      <c r="V27" s="144" t="str">
        <f t="shared" si="2"/>
        <v>Mulai berkembang</v>
      </c>
      <c r="W27" s="144" t="str">
        <f t="shared" si="3"/>
        <v>Mulai berkembang</v>
      </c>
      <c r="X27" s="144" t="e">
        <f t="shared" si="9"/>
        <v>#N/A</v>
      </c>
      <c r="Y27" s="145" t="e">
        <f t="shared" si="10"/>
        <v>#N/A</v>
      </c>
      <c r="Z27" s="218" t="str">
        <f>IF('PA-Non'!O27&lt;&gt;"",'PA-Non'!O27,IFERROR("Mempunyai kemampuan yang " &amp;IF(V27=W27,PROPER(W27)&amp;" dalam kompetensi "&amp;VLOOKUP(X27,$G$532:$I$539,3)&amp;" dan kompetensi "&amp;VLOOKUP(Y27,$G$532:$I$539,3),PROPER(V27)&amp;" dalam kompetensi "&amp;VLOOKUP(X27,$G$532:$I$539,3)&amp;" dan memiliki kemampuan yang "&amp;W27&amp;" pada kompetensi "&amp;VLOOKUP(Y27,$G$532:$I$539,3)),""))</f>
        <v/>
      </c>
      <c r="AA27" s="153"/>
      <c r="AB27" s="154"/>
      <c r="AC27" s="154"/>
      <c r="AD27" s="154"/>
      <c r="AE27" s="154"/>
      <c r="AF27" s="154"/>
      <c r="AG27" s="154"/>
      <c r="AH27" s="155"/>
      <c r="AI27" s="220" t="str">
        <f t="shared" si="11"/>
        <v/>
      </c>
      <c r="AJ27" s="160" t="str">
        <f>IF(AI27="","",IF(AI27&gt;Data2!$C$12,Data2!$D$11,IF(AI27&gt;Data2!$C$13,Data2!$D$12,IF(AI27&gt;Data2!$C$14,Data2!$D$13,Data2!$D$14))))</f>
        <v/>
      </c>
      <c r="AK27" s="146">
        <f t="shared" si="12"/>
        <v>0</v>
      </c>
      <c r="AL27" s="146">
        <f t="shared" si="13"/>
        <v>0</v>
      </c>
      <c r="AM27" s="147" t="str">
        <f t="shared" si="4"/>
        <v>Mulai meningkat</v>
      </c>
      <c r="AN27" s="147" t="str">
        <f t="shared" si="5"/>
        <v>Mulai meningkat</v>
      </c>
      <c r="AO27" s="146" t="e">
        <f t="shared" si="14"/>
        <v>#N/A</v>
      </c>
      <c r="AP27" s="148" t="e">
        <f t="shared" si="15"/>
        <v>#N/A</v>
      </c>
      <c r="AQ27" s="158" t="str">
        <f>IF('PA-Non'!V27&lt;&gt;"",'PA-Non'!V27,IFERROR("Mempunyai keterampilan yang "&amp;IF(AM27=AN27,PROPER(AN27)&amp;" dalam kompetensi "&amp;VLOOKUP(AO27,$AA$532:$AC$539,3)&amp;", demikian juga dalam kompetensi "&amp;VLOOKUP(AP27,$AA$532:$AC$539,3),PROPER(AM27)&amp;" dalam kompetensi "&amp;VLOOKUP(AO27,$AA$532:$AC$539,3)&amp;" dan "&amp;AN27&amp;" pada kompetensi "&amp;VLOOKUP(AP27,$AA$532:$AC$539,3)),""))</f>
        <v/>
      </c>
      <c r="AR27" s="188"/>
    </row>
    <row r="28" spans="2:44" ht="27.9" customHeight="1" thickBot="1" x14ac:dyDescent="0.35">
      <c r="B28" s="226" t="s">
        <v>28</v>
      </c>
      <c r="C28" s="149">
        <f t="shared" si="16"/>
        <v>19</v>
      </c>
      <c r="D28" s="150" t="str">
        <f>IF(Data!F23="","",Data!F23)</f>
        <v>03575</v>
      </c>
      <c r="E28" s="151" t="str">
        <f>IF(Data!H23="","",Data!H23)</f>
        <v>Muhammad Azka Afandi</v>
      </c>
      <c r="F28" s="152" t="str">
        <f>IF(Data!I23="","",Data!I23)</f>
        <v>Laki-laki</v>
      </c>
      <c r="G28" s="153"/>
      <c r="H28" s="154"/>
      <c r="I28" s="154"/>
      <c r="J28" s="154"/>
      <c r="K28" s="154"/>
      <c r="L28" s="154"/>
      <c r="M28" s="154"/>
      <c r="N28" s="155"/>
      <c r="O28" s="157" t="str">
        <f t="shared" si="6"/>
        <v/>
      </c>
      <c r="P28" s="154"/>
      <c r="Q28" s="156"/>
      <c r="R28" s="157" t="str">
        <f t="shared" si="17"/>
        <v/>
      </c>
      <c r="S28" s="159" t="str">
        <f>IF(R28="","",IF(R28&gt;Data2!$C$12,Data2!$D$11,IF(R28&gt;Data2!$C$13,Data2!$D$12,IF(R28&gt;Data2!$C$14,Data2!$D$13,Data2!$D$14))))</f>
        <v/>
      </c>
      <c r="T28" s="144">
        <f t="shared" si="7"/>
        <v>0</v>
      </c>
      <c r="U28" s="144">
        <f t="shared" si="8"/>
        <v>0</v>
      </c>
      <c r="V28" s="144" t="str">
        <f t="shared" si="2"/>
        <v>Mulai berkembang</v>
      </c>
      <c r="W28" s="144" t="str">
        <f t="shared" si="3"/>
        <v>Mulai berkembang</v>
      </c>
      <c r="X28" s="144" t="e">
        <f t="shared" si="9"/>
        <v>#N/A</v>
      </c>
      <c r="Y28" s="145" t="e">
        <f t="shared" si="10"/>
        <v>#N/A</v>
      </c>
      <c r="Z28" s="218" t="str">
        <f>IF('PA-Non'!O28&lt;&gt;"",'PA-Non'!O28,IFERROR("Mempunyai kemampuan yang " &amp;IF(V28=W28,PROPER(W28)&amp;" dalam kompetensi "&amp;VLOOKUP(X28,$G$532:$I$539,3)&amp;" dan kompetensi "&amp;VLOOKUP(Y28,$G$532:$I$539,3),PROPER(V28)&amp;" dalam kompetensi "&amp;VLOOKUP(X28,$G$532:$I$539,3)&amp;" dan memiliki kemampuan yang "&amp;W28&amp;" pada kompetensi "&amp;VLOOKUP(Y28,$G$532:$I$539,3)),""))</f>
        <v/>
      </c>
      <c r="AA28" s="153"/>
      <c r="AB28" s="154"/>
      <c r="AC28" s="154"/>
      <c r="AD28" s="154"/>
      <c r="AE28" s="154"/>
      <c r="AF28" s="154"/>
      <c r="AG28" s="154"/>
      <c r="AH28" s="155"/>
      <c r="AI28" s="220" t="str">
        <f t="shared" si="11"/>
        <v/>
      </c>
      <c r="AJ28" s="160" t="str">
        <f>IF(AI28="","",IF(AI28&gt;Data2!$C$12,Data2!$D$11,IF(AI28&gt;Data2!$C$13,Data2!$D$12,IF(AI28&gt;Data2!$C$14,Data2!$D$13,Data2!$D$14))))</f>
        <v/>
      </c>
      <c r="AK28" s="146">
        <f t="shared" si="12"/>
        <v>0</v>
      </c>
      <c r="AL28" s="146">
        <f t="shared" si="13"/>
        <v>0</v>
      </c>
      <c r="AM28" s="147" t="str">
        <f t="shared" si="4"/>
        <v>Mulai meningkat</v>
      </c>
      <c r="AN28" s="147" t="str">
        <f t="shared" si="5"/>
        <v>Mulai meningkat</v>
      </c>
      <c r="AO28" s="146" t="e">
        <f t="shared" si="14"/>
        <v>#N/A</v>
      </c>
      <c r="AP28" s="148" t="e">
        <f t="shared" si="15"/>
        <v>#N/A</v>
      </c>
      <c r="AQ28" s="158" t="str">
        <f>IF('PA-Non'!V28&lt;&gt;"",'PA-Non'!V28,IFERROR("Mempunyai keterampilan yang "&amp;IF(AM28=AN28,PROPER(AN28)&amp;" dalam kompetensi "&amp;VLOOKUP(AO28,$AA$532:$AC$539,3)&amp;", demikian juga dalam kompetensi "&amp;VLOOKUP(AP28,$AA$532:$AC$539,3),PROPER(AM28)&amp;" dalam kompetensi "&amp;VLOOKUP(AO28,$AA$532:$AC$539,3)&amp;" dan "&amp;AN28&amp;" pada kompetensi "&amp;VLOOKUP(AP28,$AA$532:$AC$539,3)),""))</f>
        <v/>
      </c>
      <c r="AR28" s="188"/>
    </row>
    <row r="29" spans="2:44" ht="27.9" customHeight="1" thickBot="1" x14ac:dyDescent="0.35">
      <c r="B29" s="226" t="s">
        <v>28</v>
      </c>
      <c r="C29" s="149">
        <f t="shared" si="16"/>
        <v>20</v>
      </c>
      <c r="D29" s="150" t="str">
        <f>IF(Data!F24="","",Data!F24)</f>
        <v>03576</v>
      </c>
      <c r="E29" s="151" t="str">
        <f>IF(Data!H24="","",Data!H24)</f>
        <v>Muhammad Azzam Sholahuddin Askari</v>
      </c>
      <c r="F29" s="152" t="str">
        <f>IF(Data!I24="","",Data!I24)</f>
        <v>Laki-laki</v>
      </c>
      <c r="G29" s="153"/>
      <c r="H29" s="154"/>
      <c r="I29" s="154"/>
      <c r="J29" s="154"/>
      <c r="K29" s="154"/>
      <c r="L29" s="154"/>
      <c r="M29" s="154"/>
      <c r="N29" s="155"/>
      <c r="O29" s="157" t="str">
        <f t="shared" si="6"/>
        <v/>
      </c>
      <c r="P29" s="154"/>
      <c r="Q29" s="156"/>
      <c r="R29" s="157" t="str">
        <f t="shared" si="17"/>
        <v/>
      </c>
      <c r="S29" s="159" t="str">
        <f>IF(R29="","",IF(R29&gt;Data2!$C$12,Data2!$D$11,IF(R29&gt;Data2!$C$13,Data2!$D$12,IF(R29&gt;Data2!$C$14,Data2!$D$13,Data2!$D$14))))</f>
        <v/>
      </c>
      <c r="T29" s="144">
        <f t="shared" si="7"/>
        <v>0</v>
      </c>
      <c r="U29" s="144">
        <f t="shared" si="8"/>
        <v>0</v>
      </c>
      <c r="V29" s="144" t="str">
        <f t="shared" si="2"/>
        <v>Mulai berkembang</v>
      </c>
      <c r="W29" s="144" t="str">
        <f t="shared" si="3"/>
        <v>Mulai berkembang</v>
      </c>
      <c r="X29" s="144" t="e">
        <f t="shared" si="9"/>
        <v>#N/A</v>
      </c>
      <c r="Y29" s="145" t="e">
        <f t="shared" si="10"/>
        <v>#N/A</v>
      </c>
      <c r="Z29" s="218" t="str">
        <f>IF('PA-Non'!O29&lt;&gt;"",'PA-Non'!O29,IFERROR("Mempunyai kemampuan yang " &amp;IF(V29=W29,PROPER(W29)&amp;" dalam kompetensi "&amp;VLOOKUP(X29,$G$532:$I$539,3)&amp;" dan kompetensi "&amp;VLOOKUP(Y29,$G$532:$I$539,3),PROPER(V29)&amp;" dalam kompetensi "&amp;VLOOKUP(X29,$G$532:$I$539,3)&amp;" dan memiliki kemampuan yang "&amp;W29&amp;" pada kompetensi "&amp;VLOOKUP(Y29,$G$532:$I$539,3)),""))</f>
        <v/>
      </c>
      <c r="AA29" s="153"/>
      <c r="AB29" s="154"/>
      <c r="AC29" s="154"/>
      <c r="AD29" s="154"/>
      <c r="AE29" s="154"/>
      <c r="AF29" s="154"/>
      <c r="AG29" s="154"/>
      <c r="AH29" s="155"/>
      <c r="AI29" s="220" t="str">
        <f t="shared" si="11"/>
        <v/>
      </c>
      <c r="AJ29" s="160" t="str">
        <f>IF(AI29="","",IF(AI29&gt;Data2!$C$12,Data2!$D$11,IF(AI29&gt;Data2!$C$13,Data2!$D$12,IF(AI29&gt;Data2!$C$14,Data2!$D$13,Data2!$D$14))))</f>
        <v/>
      </c>
      <c r="AK29" s="146">
        <f t="shared" si="12"/>
        <v>0</v>
      </c>
      <c r="AL29" s="146">
        <f t="shared" si="13"/>
        <v>0</v>
      </c>
      <c r="AM29" s="147" t="str">
        <f t="shared" si="4"/>
        <v>Mulai meningkat</v>
      </c>
      <c r="AN29" s="147" t="str">
        <f t="shared" si="5"/>
        <v>Mulai meningkat</v>
      </c>
      <c r="AO29" s="146" t="e">
        <f t="shared" si="14"/>
        <v>#N/A</v>
      </c>
      <c r="AP29" s="148" t="e">
        <f t="shared" si="15"/>
        <v>#N/A</v>
      </c>
      <c r="AQ29" s="158" t="str">
        <f>IF('PA-Non'!V29&lt;&gt;"",'PA-Non'!V29,IFERROR("Mempunyai keterampilan yang "&amp;IF(AM29=AN29,PROPER(AN29)&amp;" dalam kompetensi "&amp;VLOOKUP(AO29,$AA$532:$AC$539,3)&amp;", demikian juga dalam kompetensi "&amp;VLOOKUP(AP29,$AA$532:$AC$539,3),PROPER(AM29)&amp;" dalam kompetensi "&amp;VLOOKUP(AO29,$AA$532:$AC$539,3)&amp;" dan "&amp;AN29&amp;" pada kompetensi "&amp;VLOOKUP(AP29,$AA$532:$AC$539,3)),""))</f>
        <v/>
      </c>
      <c r="AR29" s="188"/>
    </row>
    <row r="30" spans="2:44" ht="27.9" customHeight="1" thickBot="1" x14ac:dyDescent="0.35">
      <c r="B30" s="226" t="s">
        <v>28</v>
      </c>
      <c r="C30" s="149">
        <f t="shared" si="16"/>
        <v>21</v>
      </c>
      <c r="D30" s="150" t="str">
        <f>IF(Data!F25="","",Data!F25)</f>
        <v>03578</v>
      </c>
      <c r="E30" s="151" t="str">
        <f>IF(Data!H25="","",Data!H25)</f>
        <v>Muhammad Dzaky Alif Al-Abiyu</v>
      </c>
      <c r="F30" s="152" t="str">
        <f>IF(Data!I25="","",Data!I25)</f>
        <v>Laki-laki</v>
      </c>
      <c r="G30" s="153"/>
      <c r="H30" s="154"/>
      <c r="I30" s="154"/>
      <c r="J30" s="154"/>
      <c r="K30" s="154"/>
      <c r="L30" s="154"/>
      <c r="M30" s="154"/>
      <c r="N30" s="155"/>
      <c r="O30" s="157" t="str">
        <f t="shared" si="6"/>
        <v/>
      </c>
      <c r="P30" s="154"/>
      <c r="Q30" s="156"/>
      <c r="R30" s="157" t="str">
        <f t="shared" si="17"/>
        <v/>
      </c>
      <c r="S30" s="159" t="str">
        <f>IF(R30="","",IF(R30&gt;Data2!$C$12,Data2!$D$11,IF(R30&gt;Data2!$C$13,Data2!$D$12,IF(R30&gt;Data2!$C$14,Data2!$D$13,Data2!$D$14))))</f>
        <v/>
      </c>
      <c r="T30" s="144">
        <f t="shared" si="7"/>
        <v>0</v>
      </c>
      <c r="U30" s="144">
        <f t="shared" si="8"/>
        <v>0</v>
      </c>
      <c r="V30" s="144" t="str">
        <f t="shared" si="2"/>
        <v>Mulai berkembang</v>
      </c>
      <c r="W30" s="144" t="str">
        <f t="shared" si="3"/>
        <v>Mulai berkembang</v>
      </c>
      <c r="X30" s="144" t="e">
        <f t="shared" si="9"/>
        <v>#N/A</v>
      </c>
      <c r="Y30" s="145" t="e">
        <f t="shared" si="10"/>
        <v>#N/A</v>
      </c>
      <c r="Z30" s="218" t="str">
        <f>IF('PA-Non'!O30&lt;&gt;"",'PA-Non'!O30,IFERROR("Mempunyai kemampuan yang " &amp;IF(V30=W30,PROPER(W30)&amp;" dalam kompetensi "&amp;VLOOKUP(X30,$G$532:$I$539,3)&amp;" dan kompetensi "&amp;VLOOKUP(Y30,$G$532:$I$539,3),PROPER(V30)&amp;" dalam kompetensi "&amp;VLOOKUP(X30,$G$532:$I$539,3)&amp;" dan memiliki kemampuan yang "&amp;W30&amp;" pada kompetensi "&amp;VLOOKUP(Y30,$G$532:$I$539,3)),""))</f>
        <v/>
      </c>
      <c r="AA30" s="153"/>
      <c r="AB30" s="154"/>
      <c r="AC30" s="154"/>
      <c r="AD30" s="154"/>
      <c r="AE30" s="154"/>
      <c r="AF30" s="154"/>
      <c r="AG30" s="154"/>
      <c r="AH30" s="155"/>
      <c r="AI30" s="220" t="str">
        <f t="shared" si="11"/>
        <v/>
      </c>
      <c r="AJ30" s="160" t="str">
        <f>IF(AI30="","",IF(AI30&gt;Data2!$C$12,Data2!$D$11,IF(AI30&gt;Data2!$C$13,Data2!$D$12,IF(AI30&gt;Data2!$C$14,Data2!$D$13,Data2!$D$14))))</f>
        <v/>
      </c>
      <c r="AK30" s="146">
        <f t="shared" si="12"/>
        <v>0</v>
      </c>
      <c r="AL30" s="146">
        <f t="shared" si="13"/>
        <v>0</v>
      </c>
      <c r="AM30" s="147" t="str">
        <f t="shared" si="4"/>
        <v>Mulai meningkat</v>
      </c>
      <c r="AN30" s="147" t="str">
        <f t="shared" si="5"/>
        <v>Mulai meningkat</v>
      </c>
      <c r="AO30" s="146" t="e">
        <f t="shared" si="14"/>
        <v>#N/A</v>
      </c>
      <c r="AP30" s="148" t="e">
        <f t="shared" si="15"/>
        <v>#N/A</v>
      </c>
      <c r="AQ30" s="158" t="str">
        <f>IF('PA-Non'!V30&lt;&gt;"",'PA-Non'!V30,IFERROR("Mempunyai keterampilan yang "&amp;IF(AM30=AN30,PROPER(AN30)&amp;" dalam kompetensi "&amp;VLOOKUP(AO30,$AA$532:$AC$539,3)&amp;", demikian juga dalam kompetensi "&amp;VLOOKUP(AP30,$AA$532:$AC$539,3),PROPER(AM30)&amp;" dalam kompetensi "&amp;VLOOKUP(AO30,$AA$532:$AC$539,3)&amp;" dan "&amp;AN30&amp;" pada kompetensi "&amp;VLOOKUP(AP30,$AA$532:$AC$539,3)),""))</f>
        <v/>
      </c>
      <c r="AR30" s="188"/>
    </row>
    <row r="31" spans="2:44" ht="27.9" customHeight="1" thickBot="1" x14ac:dyDescent="0.35">
      <c r="B31" s="226" t="s">
        <v>28</v>
      </c>
      <c r="C31" s="149">
        <f t="shared" si="16"/>
        <v>22</v>
      </c>
      <c r="D31" s="150" t="str">
        <f>IF(Data!F26="","",Data!F26)</f>
        <v>03581</v>
      </c>
      <c r="E31" s="151" t="str">
        <f>IF(Data!H26="","",Data!H26)</f>
        <v>Muhammad Hubby Izzul Haq</v>
      </c>
      <c r="F31" s="152" t="str">
        <f>IF(Data!I26="","",Data!I26)</f>
        <v>Laki-laki</v>
      </c>
      <c r="G31" s="153"/>
      <c r="H31" s="154"/>
      <c r="I31" s="154"/>
      <c r="J31" s="154"/>
      <c r="K31" s="154"/>
      <c r="L31" s="154"/>
      <c r="M31" s="154"/>
      <c r="N31" s="155"/>
      <c r="O31" s="157" t="str">
        <f t="shared" si="6"/>
        <v/>
      </c>
      <c r="P31" s="154"/>
      <c r="Q31" s="156"/>
      <c r="R31" s="157" t="str">
        <f t="shared" si="17"/>
        <v/>
      </c>
      <c r="S31" s="159" t="str">
        <f>IF(R31="","",IF(R31&gt;Data2!$C$12,Data2!$D$11,IF(R31&gt;Data2!$C$13,Data2!$D$12,IF(R31&gt;Data2!$C$14,Data2!$D$13,Data2!$D$14))))</f>
        <v/>
      </c>
      <c r="T31" s="144">
        <f t="shared" si="7"/>
        <v>0</v>
      </c>
      <c r="U31" s="144">
        <f t="shared" si="8"/>
        <v>0</v>
      </c>
      <c r="V31" s="144" t="str">
        <f t="shared" si="2"/>
        <v>Mulai berkembang</v>
      </c>
      <c r="W31" s="144" t="str">
        <f t="shared" si="3"/>
        <v>Mulai berkembang</v>
      </c>
      <c r="X31" s="144" t="e">
        <f t="shared" si="9"/>
        <v>#N/A</v>
      </c>
      <c r="Y31" s="145" t="e">
        <f t="shared" si="10"/>
        <v>#N/A</v>
      </c>
      <c r="Z31" s="218" t="str">
        <f>IF('PA-Non'!O31&lt;&gt;"",'PA-Non'!O31,IFERROR("Mempunyai kemampuan yang " &amp;IF(V31=W31,PROPER(W31)&amp;" dalam kompetensi "&amp;VLOOKUP(X31,$G$532:$I$539,3)&amp;" dan kompetensi "&amp;VLOOKUP(Y31,$G$532:$I$539,3),PROPER(V31)&amp;" dalam kompetensi "&amp;VLOOKUP(X31,$G$532:$I$539,3)&amp;" dan memiliki kemampuan yang "&amp;W31&amp;" pada kompetensi "&amp;VLOOKUP(Y31,$G$532:$I$539,3)),""))</f>
        <v/>
      </c>
      <c r="AA31" s="153"/>
      <c r="AB31" s="154"/>
      <c r="AC31" s="154"/>
      <c r="AD31" s="154"/>
      <c r="AE31" s="154"/>
      <c r="AF31" s="154"/>
      <c r="AG31" s="154"/>
      <c r="AH31" s="155"/>
      <c r="AI31" s="220" t="str">
        <f t="shared" si="11"/>
        <v/>
      </c>
      <c r="AJ31" s="160" t="str">
        <f>IF(AI31="","",IF(AI31&gt;Data2!$C$12,Data2!$D$11,IF(AI31&gt;Data2!$C$13,Data2!$D$12,IF(AI31&gt;Data2!$C$14,Data2!$D$13,Data2!$D$14))))</f>
        <v/>
      </c>
      <c r="AK31" s="146">
        <f t="shared" si="12"/>
        <v>0</v>
      </c>
      <c r="AL31" s="146">
        <f t="shared" si="13"/>
        <v>0</v>
      </c>
      <c r="AM31" s="147" t="str">
        <f t="shared" si="4"/>
        <v>Mulai meningkat</v>
      </c>
      <c r="AN31" s="147" t="str">
        <f t="shared" si="5"/>
        <v>Mulai meningkat</v>
      </c>
      <c r="AO31" s="146" t="e">
        <f t="shared" si="14"/>
        <v>#N/A</v>
      </c>
      <c r="AP31" s="148" t="e">
        <f t="shared" si="15"/>
        <v>#N/A</v>
      </c>
      <c r="AQ31" s="158" t="str">
        <f>IF('PA-Non'!V31&lt;&gt;"",'PA-Non'!V31,IFERROR("Mempunyai keterampilan yang "&amp;IF(AM31=AN31,PROPER(AN31)&amp;" dalam kompetensi "&amp;VLOOKUP(AO31,$AA$532:$AC$539,3)&amp;", demikian juga dalam kompetensi "&amp;VLOOKUP(AP31,$AA$532:$AC$539,3),PROPER(AM31)&amp;" dalam kompetensi "&amp;VLOOKUP(AO31,$AA$532:$AC$539,3)&amp;" dan "&amp;AN31&amp;" pada kompetensi "&amp;VLOOKUP(AP31,$AA$532:$AC$539,3)),""))</f>
        <v/>
      </c>
      <c r="AR31" s="188"/>
    </row>
    <row r="32" spans="2:44" ht="27.9" customHeight="1" thickBot="1" x14ac:dyDescent="0.35">
      <c r="B32" s="226" t="s">
        <v>28</v>
      </c>
      <c r="C32" s="149">
        <f t="shared" si="16"/>
        <v>23</v>
      </c>
      <c r="D32" s="150" t="str">
        <f>IF(Data!F27="","",Data!F27)</f>
        <v>03582</v>
      </c>
      <c r="E32" s="151" t="str">
        <f>IF(Data!H27="","",Data!H27)</f>
        <v>Muhammad Ibnu 'Athoillah Masykur</v>
      </c>
      <c r="F32" s="152" t="str">
        <f>IF(Data!I27="","",Data!I27)</f>
        <v>Laki-laki</v>
      </c>
      <c r="G32" s="153"/>
      <c r="H32" s="154"/>
      <c r="I32" s="154"/>
      <c r="J32" s="154"/>
      <c r="K32" s="154"/>
      <c r="L32" s="154"/>
      <c r="M32" s="154"/>
      <c r="N32" s="155"/>
      <c r="O32" s="157" t="str">
        <f t="shared" si="6"/>
        <v/>
      </c>
      <c r="P32" s="154"/>
      <c r="Q32" s="156"/>
      <c r="R32" s="157" t="str">
        <f t="shared" si="17"/>
        <v/>
      </c>
      <c r="S32" s="159" t="str">
        <f>IF(R32="","",IF(R32&gt;Data2!$C$12,Data2!$D$11,IF(R32&gt;Data2!$C$13,Data2!$D$12,IF(R32&gt;Data2!$C$14,Data2!$D$13,Data2!$D$14))))</f>
        <v/>
      </c>
      <c r="T32" s="144">
        <f t="shared" si="7"/>
        <v>0</v>
      </c>
      <c r="U32" s="144">
        <f t="shared" si="8"/>
        <v>0</v>
      </c>
      <c r="V32" s="144" t="str">
        <f t="shared" si="2"/>
        <v>Mulai berkembang</v>
      </c>
      <c r="W32" s="144" t="str">
        <f t="shared" si="3"/>
        <v>Mulai berkembang</v>
      </c>
      <c r="X32" s="144" t="e">
        <f t="shared" si="9"/>
        <v>#N/A</v>
      </c>
      <c r="Y32" s="145" t="e">
        <f t="shared" si="10"/>
        <v>#N/A</v>
      </c>
      <c r="Z32" s="218" t="str">
        <f>IF('PA-Non'!O32&lt;&gt;"",'PA-Non'!O32,IFERROR("Mempunyai kemampuan yang " &amp;IF(V32=W32,PROPER(W32)&amp;" dalam kompetensi "&amp;VLOOKUP(X32,$G$532:$I$539,3)&amp;" dan kompetensi "&amp;VLOOKUP(Y32,$G$532:$I$539,3),PROPER(V32)&amp;" dalam kompetensi "&amp;VLOOKUP(X32,$G$532:$I$539,3)&amp;" dan memiliki kemampuan yang "&amp;W32&amp;" pada kompetensi "&amp;VLOOKUP(Y32,$G$532:$I$539,3)),""))</f>
        <v/>
      </c>
      <c r="AA32" s="153"/>
      <c r="AB32" s="154"/>
      <c r="AC32" s="154"/>
      <c r="AD32" s="154"/>
      <c r="AE32" s="154"/>
      <c r="AF32" s="154"/>
      <c r="AG32" s="154"/>
      <c r="AH32" s="155"/>
      <c r="AI32" s="220" t="str">
        <f t="shared" si="11"/>
        <v/>
      </c>
      <c r="AJ32" s="160" t="str">
        <f>IF(AI32="","",IF(AI32&gt;Data2!$C$12,Data2!$D$11,IF(AI32&gt;Data2!$C$13,Data2!$D$12,IF(AI32&gt;Data2!$C$14,Data2!$D$13,Data2!$D$14))))</f>
        <v/>
      </c>
      <c r="AK32" s="146">
        <f t="shared" si="12"/>
        <v>0</v>
      </c>
      <c r="AL32" s="146">
        <f t="shared" si="13"/>
        <v>0</v>
      </c>
      <c r="AM32" s="147" t="str">
        <f t="shared" si="4"/>
        <v>Mulai meningkat</v>
      </c>
      <c r="AN32" s="147" t="str">
        <f t="shared" si="5"/>
        <v>Mulai meningkat</v>
      </c>
      <c r="AO32" s="146" t="e">
        <f t="shared" si="14"/>
        <v>#N/A</v>
      </c>
      <c r="AP32" s="148" t="e">
        <f t="shared" si="15"/>
        <v>#N/A</v>
      </c>
      <c r="AQ32" s="158" t="str">
        <f>IF('PA-Non'!V32&lt;&gt;"",'PA-Non'!V32,IFERROR("Mempunyai keterampilan yang "&amp;IF(AM32=AN32,PROPER(AN32)&amp;" dalam kompetensi "&amp;VLOOKUP(AO32,$AA$532:$AC$539,3)&amp;", demikian juga dalam kompetensi "&amp;VLOOKUP(AP32,$AA$532:$AC$539,3),PROPER(AM32)&amp;" dalam kompetensi "&amp;VLOOKUP(AO32,$AA$532:$AC$539,3)&amp;" dan "&amp;AN32&amp;" pada kompetensi "&amp;VLOOKUP(AP32,$AA$532:$AC$539,3)),""))</f>
        <v/>
      </c>
      <c r="AR32" s="188"/>
    </row>
    <row r="33" spans="2:44" ht="27.9" customHeight="1" thickBot="1" x14ac:dyDescent="0.35">
      <c r="B33" s="226" t="s">
        <v>28</v>
      </c>
      <c r="C33" s="149">
        <f t="shared" si="16"/>
        <v>24</v>
      </c>
      <c r="D33" s="150" t="str">
        <f>IF(Data!F28="","",Data!F28)</f>
        <v>03584</v>
      </c>
      <c r="E33" s="151" t="str">
        <f>IF(Data!H28="","",Data!H28)</f>
        <v>Muhammad Iqbal Baha Rizki</v>
      </c>
      <c r="F33" s="152" t="str">
        <f>IF(Data!I28="","",Data!I28)</f>
        <v>Laki-laki</v>
      </c>
      <c r="G33" s="153"/>
      <c r="H33" s="154"/>
      <c r="I33" s="154"/>
      <c r="J33" s="154"/>
      <c r="K33" s="154"/>
      <c r="L33" s="154"/>
      <c r="M33" s="154"/>
      <c r="N33" s="155"/>
      <c r="O33" s="157" t="str">
        <f t="shared" si="6"/>
        <v/>
      </c>
      <c r="P33" s="154"/>
      <c r="Q33" s="156"/>
      <c r="R33" s="157" t="str">
        <f t="shared" si="17"/>
        <v/>
      </c>
      <c r="S33" s="159" t="str">
        <f>IF(R33="","",IF(R33&gt;Data2!$C$12,Data2!$D$11,IF(R33&gt;Data2!$C$13,Data2!$D$12,IF(R33&gt;Data2!$C$14,Data2!$D$13,Data2!$D$14))))</f>
        <v/>
      </c>
      <c r="T33" s="144">
        <f t="shared" si="7"/>
        <v>0</v>
      </c>
      <c r="U33" s="144">
        <f t="shared" si="8"/>
        <v>0</v>
      </c>
      <c r="V33" s="144" t="str">
        <f t="shared" si="2"/>
        <v>Mulai berkembang</v>
      </c>
      <c r="W33" s="144" t="str">
        <f t="shared" si="3"/>
        <v>Mulai berkembang</v>
      </c>
      <c r="X33" s="144" t="e">
        <f t="shared" si="9"/>
        <v>#N/A</v>
      </c>
      <c r="Y33" s="145" t="e">
        <f t="shared" si="10"/>
        <v>#N/A</v>
      </c>
      <c r="Z33" s="218" t="str">
        <f>IF('PA-Non'!O33&lt;&gt;"",'PA-Non'!O33,IFERROR("Mempunyai kemampuan yang " &amp;IF(V33=W33,PROPER(W33)&amp;" dalam kompetensi "&amp;VLOOKUP(X33,$G$532:$I$539,3)&amp;" dan kompetensi "&amp;VLOOKUP(Y33,$G$532:$I$539,3),PROPER(V33)&amp;" dalam kompetensi "&amp;VLOOKUP(X33,$G$532:$I$539,3)&amp;" dan memiliki kemampuan yang "&amp;W33&amp;" pada kompetensi "&amp;VLOOKUP(Y33,$G$532:$I$539,3)),""))</f>
        <v/>
      </c>
      <c r="AA33" s="153"/>
      <c r="AB33" s="154"/>
      <c r="AC33" s="154"/>
      <c r="AD33" s="154"/>
      <c r="AE33" s="154"/>
      <c r="AF33" s="154"/>
      <c r="AG33" s="154"/>
      <c r="AH33" s="155"/>
      <c r="AI33" s="220" t="str">
        <f t="shared" si="11"/>
        <v/>
      </c>
      <c r="AJ33" s="160" t="str">
        <f>IF(AI33="","",IF(AI33&gt;Data2!$C$12,Data2!$D$11,IF(AI33&gt;Data2!$C$13,Data2!$D$12,IF(AI33&gt;Data2!$C$14,Data2!$D$13,Data2!$D$14))))</f>
        <v/>
      </c>
      <c r="AK33" s="146">
        <f t="shared" si="12"/>
        <v>0</v>
      </c>
      <c r="AL33" s="146">
        <f t="shared" si="13"/>
        <v>0</v>
      </c>
      <c r="AM33" s="147" t="str">
        <f t="shared" si="4"/>
        <v>Mulai meningkat</v>
      </c>
      <c r="AN33" s="147" t="str">
        <f t="shared" si="5"/>
        <v>Mulai meningkat</v>
      </c>
      <c r="AO33" s="146" t="e">
        <f t="shared" si="14"/>
        <v>#N/A</v>
      </c>
      <c r="AP33" s="148" t="e">
        <f t="shared" si="15"/>
        <v>#N/A</v>
      </c>
      <c r="AQ33" s="158" t="str">
        <f>IF('PA-Non'!V33&lt;&gt;"",'PA-Non'!V33,IFERROR("Mempunyai keterampilan yang "&amp;IF(AM33=AN33,PROPER(AN33)&amp;" dalam kompetensi "&amp;VLOOKUP(AO33,$AA$532:$AC$539,3)&amp;", demikian juga dalam kompetensi "&amp;VLOOKUP(AP33,$AA$532:$AC$539,3),PROPER(AM33)&amp;" dalam kompetensi "&amp;VLOOKUP(AO33,$AA$532:$AC$539,3)&amp;" dan "&amp;AN33&amp;" pada kompetensi "&amp;VLOOKUP(AP33,$AA$532:$AC$539,3)),""))</f>
        <v/>
      </c>
      <c r="AR33" s="188"/>
    </row>
    <row r="34" spans="2:44" ht="27.9" customHeight="1" thickBot="1" x14ac:dyDescent="0.35">
      <c r="B34" s="226" t="s">
        <v>28</v>
      </c>
      <c r="C34" s="149">
        <f t="shared" si="16"/>
        <v>25</v>
      </c>
      <c r="D34" s="150" t="str">
        <f>IF(Data!F29="","",Data!F29)</f>
        <v>03590</v>
      </c>
      <c r="E34" s="151" t="str">
        <f>IF(Data!H29="","",Data!H29)</f>
        <v>Muhammad Keysha Ahsin Nafsaka</v>
      </c>
      <c r="F34" s="152" t="str">
        <f>IF(Data!I29="","",Data!I29)</f>
        <v>Laki-laki</v>
      </c>
      <c r="G34" s="153"/>
      <c r="H34" s="154"/>
      <c r="I34" s="154"/>
      <c r="J34" s="154"/>
      <c r="K34" s="154"/>
      <c r="L34" s="154"/>
      <c r="M34" s="154"/>
      <c r="N34" s="155"/>
      <c r="O34" s="157" t="str">
        <f t="shared" si="6"/>
        <v/>
      </c>
      <c r="P34" s="154"/>
      <c r="Q34" s="156"/>
      <c r="R34" s="157" t="str">
        <f t="shared" si="17"/>
        <v/>
      </c>
      <c r="S34" s="159" t="str">
        <f>IF(R34="","",IF(R34&gt;Data2!$C$12,Data2!$D$11,IF(R34&gt;Data2!$C$13,Data2!$D$12,IF(R34&gt;Data2!$C$14,Data2!$D$13,Data2!$D$14))))</f>
        <v/>
      </c>
      <c r="T34" s="144">
        <f t="shared" si="7"/>
        <v>0</v>
      </c>
      <c r="U34" s="144">
        <f t="shared" si="8"/>
        <v>0</v>
      </c>
      <c r="V34" s="144" t="str">
        <f t="shared" si="2"/>
        <v>Mulai berkembang</v>
      </c>
      <c r="W34" s="144" t="str">
        <f t="shared" si="3"/>
        <v>Mulai berkembang</v>
      </c>
      <c r="X34" s="144" t="e">
        <f t="shared" si="9"/>
        <v>#N/A</v>
      </c>
      <c r="Y34" s="145" t="e">
        <f t="shared" si="10"/>
        <v>#N/A</v>
      </c>
      <c r="Z34" s="218" t="str">
        <f>IF('PA-Non'!O34&lt;&gt;"",'PA-Non'!O34,IFERROR("Mempunyai kemampuan yang " &amp;IF(V34=W34,PROPER(W34)&amp;" dalam kompetensi "&amp;VLOOKUP(X34,$G$532:$I$539,3)&amp;" dan kompetensi "&amp;VLOOKUP(Y34,$G$532:$I$539,3),PROPER(V34)&amp;" dalam kompetensi "&amp;VLOOKUP(X34,$G$532:$I$539,3)&amp;" dan memiliki kemampuan yang "&amp;W34&amp;" pada kompetensi "&amp;VLOOKUP(Y34,$G$532:$I$539,3)),""))</f>
        <v/>
      </c>
      <c r="AA34" s="153"/>
      <c r="AB34" s="154"/>
      <c r="AC34" s="154"/>
      <c r="AD34" s="154"/>
      <c r="AE34" s="154"/>
      <c r="AF34" s="154"/>
      <c r="AG34" s="154"/>
      <c r="AH34" s="155"/>
      <c r="AI34" s="220" t="str">
        <f t="shared" si="11"/>
        <v/>
      </c>
      <c r="AJ34" s="160" t="str">
        <f>IF(AI34="","",IF(AI34&gt;Data2!$C$12,Data2!$D$11,IF(AI34&gt;Data2!$C$13,Data2!$D$12,IF(AI34&gt;Data2!$C$14,Data2!$D$13,Data2!$D$14))))</f>
        <v/>
      </c>
      <c r="AK34" s="146">
        <f t="shared" si="12"/>
        <v>0</v>
      </c>
      <c r="AL34" s="146">
        <f t="shared" si="13"/>
        <v>0</v>
      </c>
      <c r="AM34" s="147" t="str">
        <f t="shared" si="4"/>
        <v>Mulai meningkat</v>
      </c>
      <c r="AN34" s="147" t="str">
        <f t="shared" si="5"/>
        <v>Mulai meningkat</v>
      </c>
      <c r="AO34" s="146" t="e">
        <f t="shared" si="14"/>
        <v>#N/A</v>
      </c>
      <c r="AP34" s="148" t="e">
        <f t="shared" si="15"/>
        <v>#N/A</v>
      </c>
      <c r="AQ34" s="158" t="str">
        <f>IF('PA-Non'!V34&lt;&gt;"",'PA-Non'!V34,IFERROR("Mempunyai keterampilan yang "&amp;IF(AM34=AN34,PROPER(AN34)&amp;" dalam kompetensi "&amp;VLOOKUP(AO34,$AA$532:$AC$539,3)&amp;", demikian juga dalam kompetensi "&amp;VLOOKUP(AP34,$AA$532:$AC$539,3),PROPER(AM34)&amp;" dalam kompetensi "&amp;VLOOKUP(AO34,$AA$532:$AC$539,3)&amp;" dan "&amp;AN34&amp;" pada kompetensi "&amp;VLOOKUP(AP34,$AA$532:$AC$539,3)),""))</f>
        <v/>
      </c>
      <c r="AR34" s="188"/>
    </row>
    <row r="35" spans="2:44" ht="27.9" customHeight="1" thickBot="1" x14ac:dyDescent="0.35">
      <c r="B35" s="226" t="s">
        <v>28</v>
      </c>
      <c r="C35" s="149">
        <f t="shared" si="16"/>
        <v>26</v>
      </c>
      <c r="D35" s="150" t="str">
        <f>IF(Data!F30="","",Data!F30)</f>
        <v>03592</v>
      </c>
      <c r="E35" s="151" t="str">
        <f>IF(Data!H30="","",Data!H30)</f>
        <v>Muhammad Khozinatul Asrori</v>
      </c>
      <c r="F35" s="152" t="str">
        <f>IF(Data!I30="","",Data!I30)</f>
        <v>Laki-laki</v>
      </c>
      <c r="G35" s="153"/>
      <c r="H35" s="154"/>
      <c r="I35" s="154"/>
      <c r="J35" s="154"/>
      <c r="K35" s="154"/>
      <c r="L35" s="154"/>
      <c r="M35" s="154"/>
      <c r="N35" s="155"/>
      <c r="O35" s="157" t="str">
        <f t="shared" si="6"/>
        <v/>
      </c>
      <c r="P35" s="154"/>
      <c r="Q35" s="156"/>
      <c r="R35" s="157" t="str">
        <f t="shared" si="17"/>
        <v/>
      </c>
      <c r="S35" s="159" t="str">
        <f>IF(R35="","",IF(R35&gt;Data2!$C$12,Data2!$D$11,IF(R35&gt;Data2!$C$13,Data2!$D$12,IF(R35&gt;Data2!$C$14,Data2!$D$13,Data2!$D$14))))</f>
        <v/>
      </c>
      <c r="T35" s="144">
        <f t="shared" si="7"/>
        <v>0</v>
      </c>
      <c r="U35" s="144">
        <f t="shared" si="8"/>
        <v>0</v>
      </c>
      <c r="V35" s="144" t="str">
        <f t="shared" si="2"/>
        <v>Mulai berkembang</v>
      </c>
      <c r="W35" s="144" t="str">
        <f t="shared" si="3"/>
        <v>Mulai berkembang</v>
      </c>
      <c r="X35" s="144" t="e">
        <f t="shared" si="9"/>
        <v>#N/A</v>
      </c>
      <c r="Y35" s="145" t="e">
        <f t="shared" si="10"/>
        <v>#N/A</v>
      </c>
      <c r="Z35" s="218" t="str">
        <f>IF('PA-Non'!O35&lt;&gt;"",'PA-Non'!O35,IFERROR("Mempunyai kemampuan yang " &amp;IF(V35=W35,PROPER(W35)&amp;" dalam kompetensi "&amp;VLOOKUP(X35,$G$532:$I$539,3)&amp;" dan kompetensi "&amp;VLOOKUP(Y35,$G$532:$I$539,3),PROPER(V35)&amp;" dalam kompetensi "&amp;VLOOKUP(X35,$G$532:$I$539,3)&amp;" dan memiliki kemampuan yang "&amp;W35&amp;" pada kompetensi "&amp;VLOOKUP(Y35,$G$532:$I$539,3)),""))</f>
        <v/>
      </c>
      <c r="AA35" s="153"/>
      <c r="AB35" s="154"/>
      <c r="AC35" s="154"/>
      <c r="AD35" s="154"/>
      <c r="AE35" s="154"/>
      <c r="AF35" s="154"/>
      <c r="AG35" s="154"/>
      <c r="AH35" s="155"/>
      <c r="AI35" s="220" t="str">
        <f t="shared" si="11"/>
        <v/>
      </c>
      <c r="AJ35" s="160" t="str">
        <f>IF(AI35="","",IF(AI35&gt;Data2!$C$12,Data2!$D$11,IF(AI35&gt;Data2!$C$13,Data2!$D$12,IF(AI35&gt;Data2!$C$14,Data2!$D$13,Data2!$D$14))))</f>
        <v/>
      </c>
      <c r="AK35" s="146">
        <f t="shared" si="12"/>
        <v>0</v>
      </c>
      <c r="AL35" s="146">
        <f t="shared" si="13"/>
        <v>0</v>
      </c>
      <c r="AM35" s="147" t="str">
        <f t="shared" si="4"/>
        <v>Mulai meningkat</v>
      </c>
      <c r="AN35" s="147" t="str">
        <f t="shared" si="5"/>
        <v>Mulai meningkat</v>
      </c>
      <c r="AO35" s="146" t="e">
        <f t="shared" si="14"/>
        <v>#N/A</v>
      </c>
      <c r="AP35" s="148" t="e">
        <f t="shared" si="15"/>
        <v>#N/A</v>
      </c>
      <c r="AQ35" s="158" t="str">
        <f>IF('PA-Non'!V35&lt;&gt;"",'PA-Non'!V35,IFERROR("Mempunyai keterampilan yang "&amp;IF(AM35=AN35,PROPER(AN35)&amp;" dalam kompetensi "&amp;VLOOKUP(AO35,$AA$532:$AC$539,3)&amp;", demikian juga dalam kompetensi "&amp;VLOOKUP(AP35,$AA$532:$AC$539,3),PROPER(AM35)&amp;" dalam kompetensi "&amp;VLOOKUP(AO35,$AA$532:$AC$539,3)&amp;" dan "&amp;AN35&amp;" pada kompetensi "&amp;VLOOKUP(AP35,$AA$532:$AC$539,3)),""))</f>
        <v/>
      </c>
      <c r="AR35" s="188"/>
    </row>
    <row r="36" spans="2:44" ht="27.9" customHeight="1" thickBot="1" x14ac:dyDescent="0.35">
      <c r="B36" s="226" t="s">
        <v>28</v>
      </c>
      <c r="C36" s="149">
        <f t="shared" si="16"/>
        <v>27</v>
      </c>
      <c r="D36" s="150" t="str">
        <f>IF(Data!F31="","",Data!F31)</f>
        <v>03593</v>
      </c>
      <c r="E36" s="151" t="str">
        <f>IF(Data!H31="","",Data!H31)</f>
        <v>Muhammad Ma'ruf Rizky</v>
      </c>
      <c r="F36" s="152" t="str">
        <f>IF(Data!I31="","",Data!I31)</f>
        <v>Laki-laki</v>
      </c>
      <c r="G36" s="153"/>
      <c r="H36" s="154"/>
      <c r="I36" s="154"/>
      <c r="J36" s="154"/>
      <c r="K36" s="154"/>
      <c r="L36" s="154"/>
      <c r="M36" s="154"/>
      <c r="N36" s="155"/>
      <c r="O36" s="157" t="str">
        <f t="shared" si="6"/>
        <v/>
      </c>
      <c r="P36" s="154"/>
      <c r="Q36" s="156"/>
      <c r="R36" s="157" t="str">
        <f t="shared" si="17"/>
        <v/>
      </c>
      <c r="S36" s="159" t="str">
        <f>IF(R36="","",IF(R36&gt;Data2!$C$12,Data2!$D$11,IF(R36&gt;Data2!$C$13,Data2!$D$12,IF(R36&gt;Data2!$C$14,Data2!$D$13,Data2!$D$14))))</f>
        <v/>
      </c>
      <c r="T36" s="144">
        <f t="shared" si="7"/>
        <v>0</v>
      </c>
      <c r="U36" s="144">
        <f t="shared" si="8"/>
        <v>0</v>
      </c>
      <c r="V36" s="144" t="str">
        <f t="shared" si="2"/>
        <v>Mulai berkembang</v>
      </c>
      <c r="W36" s="144" t="str">
        <f t="shared" si="3"/>
        <v>Mulai berkembang</v>
      </c>
      <c r="X36" s="144" t="e">
        <f t="shared" si="9"/>
        <v>#N/A</v>
      </c>
      <c r="Y36" s="145" t="e">
        <f t="shared" si="10"/>
        <v>#N/A</v>
      </c>
      <c r="Z36" s="218" t="str">
        <f>IF('PA-Non'!O36&lt;&gt;"",'PA-Non'!O36,IFERROR("Mempunyai kemampuan yang " &amp;IF(V36=W36,PROPER(W36)&amp;" dalam kompetensi "&amp;VLOOKUP(X36,$G$532:$I$539,3)&amp;" dan kompetensi "&amp;VLOOKUP(Y36,$G$532:$I$539,3),PROPER(V36)&amp;" dalam kompetensi "&amp;VLOOKUP(X36,$G$532:$I$539,3)&amp;" dan memiliki kemampuan yang "&amp;W36&amp;" pada kompetensi "&amp;VLOOKUP(Y36,$G$532:$I$539,3)),""))</f>
        <v/>
      </c>
      <c r="AA36" s="153"/>
      <c r="AB36" s="154"/>
      <c r="AC36" s="154"/>
      <c r="AD36" s="154"/>
      <c r="AE36" s="154"/>
      <c r="AF36" s="154"/>
      <c r="AG36" s="154"/>
      <c r="AH36" s="155"/>
      <c r="AI36" s="220" t="str">
        <f t="shared" si="11"/>
        <v/>
      </c>
      <c r="AJ36" s="160" t="str">
        <f>IF(AI36="","",IF(AI36&gt;Data2!$C$12,Data2!$D$11,IF(AI36&gt;Data2!$C$13,Data2!$D$12,IF(AI36&gt;Data2!$C$14,Data2!$D$13,Data2!$D$14))))</f>
        <v/>
      </c>
      <c r="AK36" s="146">
        <f t="shared" si="12"/>
        <v>0</v>
      </c>
      <c r="AL36" s="146">
        <f t="shared" si="13"/>
        <v>0</v>
      </c>
      <c r="AM36" s="147" t="str">
        <f t="shared" si="4"/>
        <v>Mulai meningkat</v>
      </c>
      <c r="AN36" s="147" t="str">
        <f t="shared" si="5"/>
        <v>Mulai meningkat</v>
      </c>
      <c r="AO36" s="146" t="e">
        <f t="shared" si="14"/>
        <v>#N/A</v>
      </c>
      <c r="AP36" s="148" t="e">
        <f t="shared" si="15"/>
        <v>#N/A</v>
      </c>
      <c r="AQ36" s="158" t="str">
        <f>IF('PA-Non'!V36&lt;&gt;"",'PA-Non'!V36,IFERROR("Mempunyai keterampilan yang "&amp;IF(AM36=AN36,PROPER(AN36)&amp;" dalam kompetensi "&amp;VLOOKUP(AO36,$AA$532:$AC$539,3)&amp;", demikian juga dalam kompetensi "&amp;VLOOKUP(AP36,$AA$532:$AC$539,3),PROPER(AM36)&amp;" dalam kompetensi "&amp;VLOOKUP(AO36,$AA$532:$AC$539,3)&amp;" dan "&amp;AN36&amp;" pada kompetensi "&amp;VLOOKUP(AP36,$AA$532:$AC$539,3)),""))</f>
        <v/>
      </c>
      <c r="AR36" s="188"/>
    </row>
    <row r="37" spans="2:44" ht="27.9" customHeight="1" thickBot="1" x14ac:dyDescent="0.35">
      <c r="B37" s="226" t="s">
        <v>28</v>
      </c>
      <c r="C37" s="149">
        <f t="shared" si="16"/>
        <v>28</v>
      </c>
      <c r="D37" s="150" t="str">
        <f>IF(Data!F32="","",Data!F32)</f>
        <v>03604</v>
      </c>
      <c r="E37" s="151" t="str">
        <f>IF(Data!H32="","",Data!H32)</f>
        <v>Naufal Muqoddam Rafif</v>
      </c>
      <c r="F37" s="152" t="str">
        <f>IF(Data!I32="","",Data!I32)</f>
        <v>Laki-laki</v>
      </c>
      <c r="G37" s="153"/>
      <c r="H37" s="154"/>
      <c r="I37" s="154"/>
      <c r="J37" s="154"/>
      <c r="K37" s="154"/>
      <c r="L37" s="154"/>
      <c r="M37" s="154"/>
      <c r="N37" s="155"/>
      <c r="O37" s="157" t="str">
        <f t="shared" si="6"/>
        <v/>
      </c>
      <c r="P37" s="154"/>
      <c r="Q37" s="156"/>
      <c r="R37" s="157" t="str">
        <f t="shared" si="17"/>
        <v/>
      </c>
      <c r="S37" s="159" t="str">
        <f>IF(R37="","",IF(R37&gt;Data2!$C$12,Data2!$D$11,IF(R37&gt;Data2!$C$13,Data2!$D$12,IF(R37&gt;Data2!$C$14,Data2!$D$13,Data2!$D$14))))</f>
        <v/>
      </c>
      <c r="T37" s="144">
        <f t="shared" si="7"/>
        <v>0</v>
      </c>
      <c r="U37" s="144">
        <f t="shared" si="8"/>
        <v>0</v>
      </c>
      <c r="V37" s="144" t="str">
        <f t="shared" si="2"/>
        <v>Mulai berkembang</v>
      </c>
      <c r="W37" s="144" t="str">
        <f t="shared" si="3"/>
        <v>Mulai berkembang</v>
      </c>
      <c r="X37" s="144" t="e">
        <f t="shared" si="9"/>
        <v>#N/A</v>
      </c>
      <c r="Y37" s="145" t="e">
        <f t="shared" si="10"/>
        <v>#N/A</v>
      </c>
      <c r="Z37" s="218" t="str">
        <f>IF('PA-Non'!O37&lt;&gt;"",'PA-Non'!O37,IFERROR("Mempunyai kemampuan yang " &amp;IF(V37=W37,PROPER(W37)&amp;" dalam kompetensi "&amp;VLOOKUP(X37,$G$532:$I$539,3)&amp;" dan kompetensi "&amp;VLOOKUP(Y37,$G$532:$I$539,3),PROPER(V37)&amp;" dalam kompetensi "&amp;VLOOKUP(X37,$G$532:$I$539,3)&amp;" dan memiliki kemampuan yang "&amp;W37&amp;" pada kompetensi "&amp;VLOOKUP(Y37,$G$532:$I$539,3)),""))</f>
        <v/>
      </c>
      <c r="AA37" s="153"/>
      <c r="AB37" s="154"/>
      <c r="AC37" s="154"/>
      <c r="AD37" s="154"/>
      <c r="AE37" s="154"/>
      <c r="AF37" s="154"/>
      <c r="AG37" s="154"/>
      <c r="AH37" s="155"/>
      <c r="AI37" s="220" t="str">
        <f t="shared" si="11"/>
        <v/>
      </c>
      <c r="AJ37" s="160" t="str">
        <f>IF(AI37="","",IF(AI37&gt;Data2!$C$12,Data2!$D$11,IF(AI37&gt;Data2!$C$13,Data2!$D$12,IF(AI37&gt;Data2!$C$14,Data2!$D$13,Data2!$D$14))))</f>
        <v/>
      </c>
      <c r="AK37" s="146">
        <f t="shared" si="12"/>
        <v>0</v>
      </c>
      <c r="AL37" s="146">
        <f t="shared" si="13"/>
        <v>0</v>
      </c>
      <c r="AM37" s="147" t="str">
        <f t="shared" si="4"/>
        <v>Mulai meningkat</v>
      </c>
      <c r="AN37" s="147" t="str">
        <f t="shared" si="5"/>
        <v>Mulai meningkat</v>
      </c>
      <c r="AO37" s="146" t="e">
        <f t="shared" si="14"/>
        <v>#N/A</v>
      </c>
      <c r="AP37" s="148" t="e">
        <f t="shared" si="15"/>
        <v>#N/A</v>
      </c>
      <c r="AQ37" s="158" t="str">
        <f>IF('PA-Non'!V37&lt;&gt;"",'PA-Non'!V37,IFERROR("Mempunyai keterampilan yang "&amp;IF(AM37=AN37,PROPER(AN37)&amp;" dalam kompetensi "&amp;VLOOKUP(AO37,$AA$532:$AC$539,3)&amp;", demikian juga dalam kompetensi "&amp;VLOOKUP(AP37,$AA$532:$AC$539,3),PROPER(AM37)&amp;" dalam kompetensi "&amp;VLOOKUP(AO37,$AA$532:$AC$539,3)&amp;" dan "&amp;AN37&amp;" pada kompetensi "&amp;VLOOKUP(AP37,$AA$532:$AC$539,3)),""))</f>
        <v/>
      </c>
      <c r="AR37" s="188"/>
    </row>
    <row r="38" spans="2:44" ht="27.9" customHeight="1" thickBot="1" x14ac:dyDescent="0.35">
      <c r="B38" s="226" t="s">
        <v>28</v>
      </c>
      <c r="C38" s="149">
        <f t="shared" si="16"/>
        <v>29</v>
      </c>
      <c r="D38" s="150" t="str">
        <f>IF(Data!F33="","",Data!F33)</f>
        <v>03607</v>
      </c>
      <c r="E38" s="151" t="str">
        <f>IF(Data!H33="","",Data!H33)</f>
        <v>Oziel Bagas Nugroho</v>
      </c>
      <c r="F38" s="152" t="str">
        <f>IF(Data!I33="","",Data!I33)</f>
        <v>Laki-laki</v>
      </c>
      <c r="G38" s="153"/>
      <c r="H38" s="154"/>
      <c r="I38" s="154"/>
      <c r="J38" s="154"/>
      <c r="K38" s="154"/>
      <c r="L38" s="154"/>
      <c r="M38" s="154"/>
      <c r="N38" s="155"/>
      <c r="O38" s="157" t="str">
        <f t="shared" si="6"/>
        <v/>
      </c>
      <c r="P38" s="154"/>
      <c r="Q38" s="156"/>
      <c r="R38" s="157" t="str">
        <f t="shared" si="17"/>
        <v/>
      </c>
      <c r="S38" s="159" t="str">
        <f>IF(R38="","",IF(R38&gt;Data2!$C$12,Data2!$D$11,IF(R38&gt;Data2!$C$13,Data2!$D$12,IF(R38&gt;Data2!$C$14,Data2!$D$13,Data2!$D$14))))</f>
        <v/>
      </c>
      <c r="T38" s="144">
        <f t="shared" si="7"/>
        <v>0</v>
      </c>
      <c r="U38" s="144">
        <f t="shared" si="8"/>
        <v>0</v>
      </c>
      <c r="V38" s="144" t="str">
        <f t="shared" si="2"/>
        <v>Mulai berkembang</v>
      </c>
      <c r="W38" s="144" t="str">
        <f t="shared" si="3"/>
        <v>Mulai berkembang</v>
      </c>
      <c r="X38" s="144" t="e">
        <f t="shared" si="9"/>
        <v>#N/A</v>
      </c>
      <c r="Y38" s="145" t="e">
        <f t="shared" si="10"/>
        <v>#N/A</v>
      </c>
      <c r="Z38" s="218" t="str">
        <f>IF('PA-Non'!O38&lt;&gt;"",'PA-Non'!O38,IFERROR("Mempunyai kemampuan yang " &amp;IF(V38=W38,PROPER(W38)&amp;" dalam kompetensi "&amp;VLOOKUP(X38,$G$532:$I$539,3)&amp;" dan kompetensi "&amp;VLOOKUP(Y38,$G$532:$I$539,3),PROPER(V38)&amp;" dalam kompetensi "&amp;VLOOKUP(X38,$G$532:$I$539,3)&amp;" dan memiliki kemampuan yang "&amp;W38&amp;" pada kompetensi "&amp;VLOOKUP(Y38,$G$532:$I$539,3)),""))</f>
        <v/>
      </c>
      <c r="AA38" s="153"/>
      <c r="AB38" s="154"/>
      <c r="AC38" s="154"/>
      <c r="AD38" s="154"/>
      <c r="AE38" s="154"/>
      <c r="AF38" s="154"/>
      <c r="AG38" s="154"/>
      <c r="AH38" s="155"/>
      <c r="AI38" s="220" t="str">
        <f t="shared" si="11"/>
        <v/>
      </c>
      <c r="AJ38" s="160" t="str">
        <f>IF(AI38="","",IF(AI38&gt;Data2!$C$12,Data2!$D$11,IF(AI38&gt;Data2!$C$13,Data2!$D$12,IF(AI38&gt;Data2!$C$14,Data2!$D$13,Data2!$D$14))))</f>
        <v/>
      </c>
      <c r="AK38" s="146">
        <f t="shared" si="12"/>
        <v>0</v>
      </c>
      <c r="AL38" s="146">
        <f t="shared" si="13"/>
        <v>0</v>
      </c>
      <c r="AM38" s="147" t="str">
        <f t="shared" si="4"/>
        <v>Mulai meningkat</v>
      </c>
      <c r="AN38" s="147" t="str">
        <f t="shared" si="5"/>
        <v>Mulai meningkat</v>
      </c>
      <c r="AO38" s="146" t="e">
        <f t="shared" si="14"/>
        <v>#N/A</v>
      </c>
      <c r="AP38" s="148" t="e">
        <f t="shared" si="15"/>
        <v>#N/A</v>
      </c>
      <c r="AQ38" s="158" t="str">
        <f>IF('PA-Non'!V38&lt;&gt;"",'PA-Non'!V38,IFERROR("Mempunyai keterampilan yang "&amp;IF(AM38=AN38,PROPER(AN38)&amp;" dalam kompetensi "&amp;VLOOKUP(AO38,$AA$532:$AC$539,3)&amp;", demikian juga dalam kompetensi "&amp;VLOOKUP(AP38,$AA$532:$AC$539,3),PROPER(AM38)&amp;" dalam kompetensi "&amp;VLOOKUP(AO38,$AA$532:$AC$539,3)&amp;" dan "&amp;AN38&amp;" pada kompetensi "&amp;VLOOKUP(AP38,$AA$532:$AC$539,3)),""))</f>
        <v/>
      </c>
      <c r="AR38" s="188"/>
    </row>
    <row r="39" spans="2:44" ht="27.9" customHeight="1" thickBot="1" x14ac:dyDescent="0.35">
      <c r="B39" s="226" t="s">
        <v>28</v>
      </c>
      <c r="C39" s="149">
        <f t="shared" si="16"/>
        <v>30</v>
      </c>
      <c r="D39" s="150" t="str">
        <f>IF(Data!F34="","",Data!F34)</f>
        <v>03611</v>
      </c>
      <c r="E39" s="151" t="str">
        <f>IF(Data!H34="","",Data!H34)</f>
        <v>Rafka Ahmad Agus Prasetiyo</v>
      </c>
      <c r="F39" s="152" t="str">
        <f>IF(Data!I34="","",Data!I34)</f>
        <v>Laki-laki</v>
      </c>
      <c r="G39" s="153"/>
      <c r="H39" s="154"/>
      <c r="I39" s="154"/>
      <c r="J39" s="154"/>
      <c r="K39" s="154"/>
      <c r="L39" s="154"/>
      <c r="M39" s="154"/>
      <c r="N39" s="155"/>
      <c r="O39" s="157" t="str">
        <f t="shared" si="6"/>
        <v/>
      </c>
      <c r="P39" s="154"/>
      <c r="Q39" s="156"/>
      <c r="R39" s="157" t="str">
        <f t="shared" si="17"/>
        <v/>
      </c>
      <c r="S39" s="159" t="str">
        <f>IF(R39="","",IF(R39&gt;Data2!$C$12,Data2!$D$11,IF(R39&gt;Data2!$C$13,Data2!$D$12,IF(R39&gt;Data2!$C$14,Data2!$D$13,Data2!$D$14))))</f>
        <v/>
      </c>
      <c r="T39" s="144">
        <f t="shared" si="7"/>
        <v>0</v>
      </c>
      <c r="U39" s="144">
        <f t="shared" si="8"/>
        <v>0</v>
      </c>
      <c r="V39" s="144" t="str">
        <f t="shared" si="2"/>
        <v>Mulai berkembang</v>
      </c>
      <c r="W39" s="144" t="str">
        <f t="shared" si="3"/>
        <v>Mulai berkembang</v>
      </c>
      <c r="X39" s="144" t="e">
        <f t="shared" si="9"/>
        <v>#N/A</v>
      </c>
      <c r="Y39" s="145" t="e">
        <f t="shared" si="10"/>
        <v>#N/A</v>
      </c>
      <c r="Z39" s="218" t="str">
        <f>IF('PA-Non'!O39&lt;&gt;"",'PA-Non'!O39,IFERROR("Mempunyai kemampuan yang " &amp;IF(V39=W39,PROPER(W39)&amp;" dalam kompetensi "&amp;VLOOKUP(X39,$G$532:$I$539,3)&amp;" dan kompetensi "&amp;VLOOKUP(Y39,$G$532:$I$539,3),PROPER(V39)&amp;" dalam kompetensi "&amp;VLOOKUP(X39,$G$532:$I$539,3)&amp;" dan memiliki kemampuan yang "&amp;W39&amp;" pada kompetensi "&amp;VLOOKUP(Y39,$G$532:$I$539,3)),""))</f>
        <v/>
      </c>
      <c r="AA39" s="153"/>
      <c r="AB39" s="154"/>
      <c r="AC39" s="154"/>
      <c r="AD39" s="154"/>
      <c r="AE39" s="154"/>
      <c r="AF39" s="154"/>
      <c r="AG39" s="154"/>
      <c r="AH39" s="155"/>
      <c r="AI39" s="220" t="str">
        <f t="shared" si="11"/>
        <v/>
      </c>
      <c r="AJ39" s="160" t="str">
        <f>IF(AI39="","",IF(AI39&gt;Data2!$C$12,Data2!$D$11,IF(AI39&gt;Data2!$C$13,Data2!$D$12,IF(AI39&gt;Data2!$C$14,Data2!$D$13,Data2!$D$14))))</f>
        <v/>
      </c>
      <c r="AK39" s="146">
        <f t="shared" si="12"/>
        <v>0</v>
      </c>
      <c r="AL39" s="146">
        <f t="shared" si="13"/>
        <v>0</v>
      </c>
      <c r="AM39" s="147" t="str">
        <f t="shared" si="4"/>
        <v>Mulai meningkat</v>
      </c>
      <c r="AN39" s="147" t="str">
        <f t="shared" si="5"/>
        <v>Mulai meningkat</v>
      </c>
      <c r="AO39" s="146" t="e">
        <f t="shared" si="14"/>
        <v>#N/A</v>
      </c>
      <c r="AP39" s="148" t="e">
        <f t="shared" si="15"/>
        <v>#N/A</v>
      </c>
      <c r="AQ39" s="158" t="str">
        <f>IF('PA-Non'!V39&lt;&gt;"",'PA-Non'!V39,IFERROR("Mempunyai keterampilan yang "&amp;IF(AM39=AN39,PROPER(AN39)&amp;" dalam kompetensi "&amp;VLOOKUP(AO39,$AA$532:$AC$539,3)&amp;", demikian juga dalam kompetensi "&amp;VLOOKUP(AP39,$AA$532:$AC$539,3),PROPER(AM39)&amp;" dalam kompetensi "&amp;VLOOKUP(AO39,$AA$532:$AC$539,3)&amp;" dan "&amp;AN39&amp;" pada kompetensi "&amp;VLOOKUP(AP39,$AA$532:$AC$539,3)),""))</f>
        <v/>
      </c>
      <c r="AR39" s="188"/>
    </row>
    <row r="40" spans="2:44" ht="27.9" customHeight="1" thickBot="1" x14ac:dyDescent="0.35">
      <c r="B40" s="226" t="s">
        <v>28</v>
      </c>
      <c r="C40" s="149">
        <f t="shared" si="16"/>
        <v>31</v>
      </c>
      <c r="D40" s="150" t="str">
        <f>IF(Data!F35="","",Data!F35)</f>
        <v>03614</v>
      </c>
      <c r="E40" s="151" t="str">
        <f>IF(Data!H35="","",Data!H35)</f>
        <v>Reyza Azka Kristiansyah</v>
      </c>
      <c r="F40" s="152" t="str">
        <f>IF(Data!I35="","",Data!I35)</f>
        <v>Laki-laki</v>
      </c>
      <c r="G40" s="153"/>
      <c r="H40" s="154"/>
      <c r="I40" s="154"/>
      <c r="J40" s="154"/>
      <c r="K40" s="154"/>
      <c r="L40" s="154"/>
      <c r="M40" s="154"/>
      <c r="N40" s="155"/>
      <c r="O40" s="157" t="str">
        <f t="shared" si="6"/>
        <v/>
      </c>
      <c r="P40" s="154"/>
      <c r="Q40" s="156"/>
      <c r="R40" s="157" t="str">
        <f t="shared" si="17"/>
        <v/>
      </c>
      <c r="S40" s="159" t="str">
        <f>IF(R40="","",IF(R40&gt;Data2!$C$12,Data2!$D$11,IF(R40&gt;Data2!$C$13,Data2!$D$12,IF(R40&gt;Data2!$C$14,Data2!$D$13,Data2!$D$14))))</f>
        <v/>
      </c>
      <c r="T40" s="144">
        <f t="shared" si="7"/>
        <v>0</v>
      </c>
      <c r="U40" s="144">
        <f t="shared" si="8"/>
        <v>0</v>
      </c>
      <c r="V40" s="144" t="str">
        <f t="shared" si="2"/>
        <v>Mulai berkembang</v>
      </c>
      <c r="W40" s="144" t="str">
        <f t="shared" si="3"/>
        <v>Mulai berkembang</v>
      </c>
      <c r="X40" s="144" t="e">
        <f t="shared" si="9"/>
        <v>#N/A</v>
      </c>
      <c r="Y40" s="145" t="e">
        <f t="shared" si="10"/>
        <v>#N/A</v>
      </c>
      <c r="Z40" s="218" t="str">
        <f>IF('PA-Non'!O40&lt;&gt;"",'PA-Non'!O40,IFERROR("Mempunyai kemampuan yang " &amp;IF(V40=W40,PROPER(W40)&amp;" dalam kompetensi "&amp;VLOOKUP(X40,$G$532:$I$539,3)&amp;" dan kompetensi "&amp;VLOOKUP(Y40,$G$532:$I$539,3),PROPER(V40)&amp;" dalam kompetensi "&amp;VLOOKUP(X40,$G$532:$I$539,3)&amp;" dan memiliki kemampuan yang "&amp;W40&amp;" pada kompetensi "&amp;VLOOKUP(Y40,$G$532:$I$539,3)),""))</f>
        <v/>
      </c>
      <c r="AA40" s="153"/>
      <c r="AB40" s="154"/>
      <c r="AC40" s="154"/>
      <c r="AD40" s="154"/>
      <c r="AE40" s="154"/>
      <c r="AF40" s="154"/>
      <c r="AG40" s="154"/>
      <c r="AH40" s="155"/>
      <c r="AI40" s="220" t="str">
        <f t="shared" si="11"/>
        <v/>
      </c>
      <c r="AJ40" s="160" t="str">
        <f>IF(AI40="","",IF(AI40&gt;Data2!$C$12,Data2!$D$11,IF(AI40&gt;Data2!$C$13,Data2!$D$12,IF(AI40&gt;Data2!$C$14,Data2!$D$13,Data2!$D$14))))</f>
        <v/>
      </c>
      <c r="AK40" s="146">
        <f t="shared" si="12"/>
        <v>0</v>
      </c>
      <c r="AL40" s="146">
        <f t="shared" si="13"/>
        <v>0</v>
      </c>
      <c r="AM40" s="147" t="str">
        <f t="shared" si="4"/>
        <v>Mulai meningkat</v>
      </c>
      <c r="AN40" s="147" t="str">
        <f t="shared" si="5"/>
        <v>Mulai meningkat</v>
      </c>
      <c r="AO40" s="146" t="e">
        <f t="shared" si="14"/>
        <v>#N/A</v>
      </c>
      <c r="AP40" s="148" t="e">
        <f t="shared" si="15"/>
        <v>#N/A</v>
      </c>
      <c r="AQ40" s="158" t="str">
        <f>IF('PA-Non'!V40&lt;&gt;"",'PA-Non'!V40,IFERROR("Mempunyai keterampilan yang "&amp;IF(AM40=AN40,PROPER(AN40)&amp;" dalam kompetensi "&amp;VLOOKUP(AO40,$AA$532:$AC$539,3)&amp;", demikian juga dalam kompetensi "&amp;VLOOKUP(AP40,$AA$532:$AC$539,3),PROPER(AM40)&amp;" dalam kompetensi "&amp;VLOOKUP(AO40,$AA$532:$AC$539,3)&amp;" dan "&amp;AN40&amp;" pada kompetensi "&amp;VLOOKUP(AP40,$AA$532:$AC$539,3)),""))</f>
        <v/>
      </c>
      <c r="AR40" s="188"/>
    </row>
    <row r="41" spans="2:44" ht="27.9" customHeight="1" thickBot="1" x14ac:dyDescent="0.35">
      <c r="B41" s="226" t="s">
        <v>28</v>
      </c>
      <c r="C41" s="149">
        <f t="shared" si="16"/>
        <v>32</v>
      </c>
      <c r="D41" s="150" t="str">
        <f>IF(Data!F36="","",Data!F36)</f>
        <v>03623</v>
      </c>
      <c r="E41" s="151" t="str">
        <f>IF(Data!H36="","",Data!H36)</f>
        <v>Yazid Ali Rohmatulloh</v>
      </c>
      <c r="F41" s="152" t="str">
        <f>IF(Data!I36="","",Data!I36)</f>
        <v>Laki-laki</v>
      </c>
      <c r="G41" s="153"/>
      <c r="H41" s="154"/>
      <c r="I41" s="154"/>
      <c r="J41" s="154"/>
      <c r="K41" s="154"/>
      <c r="L41" s="154"/>
      <c r="M41" s="154"/>
      <c r="N41" s="155"/>
      <c r="O41" s="157" t="str">
        <f t="shared" si="6"/>
        <v/>
      </c>
      <c r="P41" s="154"/>
      <c r="Q41" s="156"/>
      <c r="R41" s="157" t="str">
        <f t="shared" si="17"/>
        <v/>
      </c>
      <c r="S41" s="159" t="str">
        <f>IF(R41="","",IF(R41&gt;Data2!$C$12,Data2!$D$11,IF(R41&gt;Data2!$C$13,Data2!$D$12,IF(R41&gt;Data2!$C$14,Data2!$D$13,Data2!$D$14))))</f>
        <v/>
      </c>
      <c r="T41" s="144">
        <f t="shared" si="7"/>
        <v>0</v>
      </c>
      <c r="U41" s="144">
        <f t="shared" si="8"/>
        <v>0</v>
      </c>
      <c r="V41" s="144" t="str">
        <f t="shared" si="2"/>
        <v>Mulai berkembang</v>
      </c>
      <c r="W41" s="144" t="str">
        <f t="shared" si="3"/>
        <v>Mulai berkembang</v>
      </c>
      <c r="X41" s="144" t="e">
        <f t="shared" si="9"/>
        <v>#N/A</v>
      </c>
      <c r="Y41" s="145" t="e">
        <f t="shared" si="10"/>
        <v>#N/A</v>
      </c>
      <c r="Z41" s="218" t="str">
        <f>IF('PA-Non'!O41&lt;&gt;"",'PA-Non'!O41,IFERROR("Mempunyai kemampuan yang " &amp;IF(V41=W41,PROPER(W41)&amp;" dalam kompetensi "&amp;VLOOKUP(X41,$G$532:$I$539,3)&amp;" dan kompetensi "&amp;VLOOKUP(Y41,$G$532:$I$539,3),PROPER(V41)&amp;" dalam kompetensi "&amp;VLOOKUP(X41,$G$532:$I$539,3)&amp;" dan memiliki kemampuan yang "&amp;W41&amp;" pada kompetensi "&amp;VLOOKUP(Y41,$G$532:$I$539,3)),""))</f>
        <v/>
      </c>
      <c r="AA41" s="153"/>
      <c r="AB41" s="154"/>
      <c r="AC41" s="154"/>
      <c r="AD41" s="154"/>
      <c r="AE41" s="154"/>
      <c r="AF41" s="154"/>
      <c r="AG41" s="154"/>
      <c r="AH41" s="155"/>
      <c r="AI41" s="220" t="str">
        <f t="shared" si="11"/>
        <v/>
      </c>
      <c r="AJ41" s="160" t="str">
        <f>IF(AI41="","",IF(AI41&gt;Data2!$C$12,Data2!$D$11,IF(AI41&gt;Data2!$C$13,Data2!$D$12,IF(AI41&gt;Data2!$C$14,Data2!$D$13,Data2!$D$14))))</f>
        <v/>
      </c>
      <c r="AK41" s="146">
        <f t="shared" si="12"/>
        <v>0</v>
      </c>
      <c r="AL41" s="146">
        <f t="shared" si="13"/>
        <v>0</v>
      </c>
      <c r="AM41" s="147" t="str">
        <f t="shared" si="4"/>
        <v>Mulai meningkat</v>
      </c>
      <c r="AN41" s="147" t="str">
        <f t="shared" si="5"/>
        <v>Mulai meningkat</v>
      </c>
      <c r="AO41" s="146" t="e">
        <f t="shared" si="14"/>
        <v>#N/A</v>
      </c>
      <c r="AP41" s="148" t="e">
        <f t="shared" si="15"/>
        <v>#N/A</v>
      </c>
      <c r="AQ41" s="158" t="str">
        <f>IF('PA-Non'!V41&lt;&gt;"",'PA-Non'!V41,IFERROR("Mempunyai keterampilan yang "&amp;IF(AM41=AN41,PROPER(AN41)&amp;" dalam kompetensi "&amp;VLOOKUP(AO41,$AA$532:$AC$539,3)&amp;", demikian juga dalam kompetensi "&amp;VLOOKUP(AP41,$AA$532:$AC$539,3),PROPER(AM41)&amp;" dalam kompetensi "&amp;VLOOKUP(AO41,$AA$532:$AC$539,3)&amp;" dan "&amp;AN41&amp;" pada kompetensi "&amp;VLOOKUP(AP41,$AA$532:$AC$539,3)),""))</f>
        <v/>
      </c>
      <c r="AR41" s="188"/>
    </row>
    <row r="42" spans="2:44" ht="27.9" customHeight="1" thickBot="1" x14ac:dyDescent="0.35">
      <c r="B42" s="226" t="s">
        <v>28</v>
      </c>
      <c r="C42" s="149" t="str">
        <f t="shared" si="16"/>
        <v/>
      </c>
      <c r="D42" s="150" t="str">
        <f>IF(Data!F37="","",Data!F37)</f>
        <v/>
      </c>
      <c r="E42" s="151" t="str">
        <f>IF(Data!H37="","",Data!H37)</f>
        <v/>
      </c>
      <c r="F42" s="152" t="str">
        <f>IF(Data!I37="","",Data!I37)</f>
        <v/>
      </c>
      <c r="G42" s="153"/>
      <c r="H42" s="154"/>
      <c r="I42" s="154"/>
      <c r="J42" s="154"/>
      <c r="K42" s="154"/>
      <c r="L42" s="154"/>
      <c r="M42" s="154"/>
      <c r="N42" s="155"/>
      <c r="O42" s="157" t="str">
        <f t="shared" si="6"/>
        <v/>
      </c>
      <c r="P42" s="154"/>
      <c r="Q42" s="156"/>
      <c r="R42" s="157" t="str">
        <f t="shared" si="17"/>
        <v/>
      </c>
      <c r="S42" s="159" t="str">
        <f>IF(R42="","",IF(R42&gt;Data2!$C$12,Data2!$D$11,IF(R42&gt;Data2!$C$13,Data2!$D$12,IF(R42&gt;Data2!$C$14,Data2!$D$13,Data2!$D$14))))</f>
        <v/>
      </c>
      <c r="T42" s="144">
        <f t="shared" si="7"/>
        <v>0</v>
      </c>
      <c r="U42" s="144">
        <f t="shared" si="8"/>
        <v>0</v>
      </c>
      <c r="V42" s="144" t="str">
        <f t="shared" si="2"/>
        <v>Mulai berkembang</v>
      </c>
      <c r="W42" s="144" t="str">
        <f t="shared" si="3"/>
        <v>Mulai berkembang</v>
      </c>
      <c r="X42" s="144" t="e">
        <f t="shared" si="9"/>
        <v>#N/A</v>
      </c>
      <c r="Y42" s="145" t="e">
        <f t="shared" si="10"/>
        <v>#N/A</v>
      </c>
      <c r="Z42" s="218" t="str">
        <f>IF('PA-Non'!O42&lt;&gt;"",'PA-Non'!O42,IFERROR("Mempunyai kemampuan yang " &amp;IF(V42=W42,PROPER(W42)&amp;" dalam kompetensi "&amp;VLOOKUP(X42,$G$532:$I$539,3)&amp;" dan kompetensi "&amp;VLOOKUP(Y42,$G$532:$I$539,3),PROPER(V42)&amp;" dalam kompetensi "&amp;VLOOKUP(X42,$G$532:$I$539,3)&amp;" dan memiliki kemampuan yang "&amp;W42&amp;" pada kompetensi "&amp;VLOOKUP(Y42,$G$532:$I$539,3)),""))</f>
        <v/>
      </c>
      <c r="AA42" s="153"/>
      <c r="AB42" s="154"/>
      <c r="AC42" s="154"/>
      <c r="AD42" s="154"/>
      <c r="AE42" s="154"/>
      <c r="AF42" s="154"/>
      <c r="AG42" s="154"/>
      <c r="AH42" s="155"/>
      <c r="AI42" s="220" t="str">
        <f t="shared" si="11"/>
        <v/>
      </c>
      <c r="AJ42" s="160" t="str">
        <f>IF(AI42="","",IF(AI42&gt;Data2!$C$12,Data2!$D$11,IF(AI42&gt;Data2!$C$13,Data2!$D$12,IF(AI42&gt;Data2!$C$14,Data2!$D$13,Data2!$D$14))))</f>
        <v/>
      </c>
      <c r="AK42" s="146">
        <f t="shared" si="12"/>
        <v>0</v>
      </c>
      <c r="AL42" s="146">
        <f t="shared" si="13"/>
        <v>0</v>
      </c>
      <c r="AM42" s="147" t="str">
        <f t="shared" si="4"/>
        <v>Mulai meningkat</v>
      </c>
      <c r="AN42" s="147" t="str">
        <f t="shared" si="5"/>
        <v>Mulai meningkat</v>
      </c>
      <c r="AO42" s="146" t="e">
        <f t="shared" si="14"/>
        <v>#N/A</v>
      </c>
      <c r="AP42" s="148" t="e">
        <f t="shared" si="15"/>
        <v>#N/A</v>
      </c>
      <c r="AQ42" s="158" t="str">
        <f>IF('PA-Non'!V42&lt;&gt;"",'PA-Non'!V42,IFERROR("Mempunyai keterampilan yang "&amp;IF(AM42=AN42,PROPER(AN42)&amp;" dalam kompetensi "&amp;VLOOKUP(AO42,$AA$532:$AC$539,3)&amp;", demikian juga dalam kompetensi "&amp;VLOOKUP(AP42,$AA$532:$AC$539,3),PROPER(AM42)&amp;" dalam kompetensi "&amp;VLOOKUP(AO42,$AA$532:$AC$539,3)&amp;" dan "&amp;AN42&amp;" pada kompetensi "&amp;VLOOKUP(AP42,$AA$532:$AC$539,3)),""))</f>
        <v/>
      </c>
      <c r="AR42" s="188"/>
    </row>
    <row r="43" spans="2:44" ht="27.9" customHeight="1" thickBot="1" x14ac:dyDescent="0.35">
      <c r="B43" s="226" t="s">
        <v>28</v>
      </c>
      <c r="C43" s="149" t="str">
        <f t="shared" si="16"/>
        <v/>
      </c>
      <c r="D43" s="150" t="str">
        <f>IF(Data!F38="","",Data!F38)</f>
        <v/>
      </c>
      <c r="E43" s="151" t="str">
        <f>IF(Data!H38="","",Data!H38)</f>
        <v/>
      </c>
      <c r="F43" s="152" t="str">
        <f>IF(Data!I38="","",Data!I38)</f>
        <v/>
      </c>
      <c r="G43" s="153"/>
      <c r="H43" s="154"/>
      <c r="I43" s="154"/>
      <c r="J43" s="154"/>
      <c r="K43" s="154"/>
      <c r="L43" s="154"/>
      <c r="M43" s="154"/>
      <c r="N43" s="155"/>
      <c r="O43" s="157" t="str">
        <f t="shared" si="6"/>
        <v/>
      </c>
      <c r="P43" s="154"/>
      <c r="Q43" s="156"/>
      <c r="R43" s="157" t="str">
        <f t="shared" si="17"/>
        <v/>
      </c>
      <c r="S43" s="159" t="str">
        <f>IF(R43="","",IF(R43&gt;Data2!$C$12,Data2!$D$11,IF(R43&gt;Data2!$C$13,Data2!$D$12,IF(R43&gt;Data2!$C$14,Data2!$D$13,Data2!$D$14))))</f>
        <v/>
      </c>
      <c r="T43" s="144">
        <f t="shared" si="7"/>
        <v>0</v>
      </c>
      <c r="U43" s="144">
        <f t="shared" si="8"/>
        <v>0</v>
      </c>
      <c r="V43" s="144" t="str">
        <f t="shared" si="2"/>
        <v>Mulai berkembang</v>
      </c>
      <c r="W43" s="144" t="str">
        <f t="shared" si="3"/>
        <v>Mulai berkembang</v>
      </c>
      <c r="X43" s="144" t="e">
        <f t="shared" si="9"/>
        <v>#N/A</v>
      </c>
      <c r="Y43" s="145" t="e">
        <f t="shared" si="10"/>
        <v>#N/A</v>
      </c>
      <c r="Z43" s="218" t="str">
        <f>IF('PA-Non'!O43&lt;&gt;"",'PA-Non'!O43,IFERROR("Mempunyai kemampuan yang " &amp;IF(V43=W43,PROPER(W43)&amp;" dalam kompetensi "&amp;VLOOKUP(X43,$G$532:$I$539,3)&amp;" dan kompetensi "&amp;VLOOKUP(Y43,$G$532:$I$539,3),PROPER(V43)&amp;" dalam kompetensi "&amp;VLOOKUP(X43,$G$532:$I$539,3)&amp;" dan memiliki kemampuan yang "&amp;W43&amp;" pada kompetensi "&amp;VLOOKUP(Y43,$G$532:$I$539,3)),""))</f>
        <v/>
      </c>
      <c r="AA43" s="153"/>
      <c r="AB43" s="154"/>
      <c r="AC43" s="154"/>
      <c r="AD43" s="154"/>
      <c r="AE43" s="154"/>
      <c r="AF43" s="154"/>
      <c r="AG43" s="154"/>
      <c r="AH43" s="155"/>
      <c r="AI43" s="220" t="str">
        <f t="shared" si="11"/>
        <v/>
      </c>
      <c r="AJ43" s="160" t="str">
        <f>IF(AI43="","",IF(AI43&gt;Data2!$C$12,Data2!$D$11,IF(AI43&gt;Data2!$C$13,Data2!$D$12,IF(AI43&gt;Data2!$C$14,Data2!$D$13,Data2!$D$14))))</f>
        <v/>
      </c>
      <c r="AK43" s="146">
        <f t="shared" si="12"/>
        <v>0</v>
      </c>
      <c r="AL43" s="146">
        <f t="shared" si="13"/>
        <v>0</v>
      </c>
      <c r="AM43" s="147" t="str">
        <f t="shared" si="4"/>
        <v>Mulai meningkat</v>
      </c>
      <c r="AN43" s="147" t="str">
        <f t="shared" si="5"/>
        <v>Mulai meningkat</v>
      </c>
      <c r="AO43" s="146" t="e">
        <f t="shared" si="14"/>
        <v>#N/A</v>
      </c>
      <c r="AP43" s="148" t="e">
        <f t="shared" si="15"/>
        <v>#N/A</v>
      </c>
      <c r="AQ43" s="158" t="str">
        <f>IF('PA-Non'!V43&lt;&gt;"",'PA-Non'!V43,IFERROR("Mempunyai keterampilan yang "&amp;IF(AM43=AN43,PROPER(AN43)&amp;" dalam kompetensi "&amp;VLOOKUP(AO43,$AA$532:$AC$539,3)&amp;", demikian juga dalam kompetensi "&amp;VLOOKUP(AP43,$AA$532:$AC$539,3),PROPER(AM43)&amp;" dalam kompetensi "&amp;VLOOKUP(AO43,$AA$532:$AC$539,3)&amp;" dan "&amp;AN43&amp;" pada kompetensi "&amp;VLOOKUP(AP43,$AA$532:$AC$539,3)),""))</f>
        <v/>
      </c>
      <c r="AR43" s="188"/>
    </row>
    <row r="44" spans="2:44" ht="27.9" customHeight="1" thickBot="1" x14ac:dyDescent="0.35">
      <c r="B44" s="226" t="s">
        <v>28</v>
      </c>
      <c r="C44" s="149" t="str">
        <f t="shared" si="16"/>
        <v/>
      </c>
      <c r="D44" s="150" t="str">
        <f>IF(Data!F39="","",Data!F39)</f>
        <v/>
      </c>
      <c r="E44" s="151" t="str">
        <f>IF(Data!H39="","",Data!H39)</f>
        <v/>
      </c>
      <c r="F44" s="152" t="str">
        <f>IF(Data!I39="","",Data!I39)</f>
        <v/>
      </c>
      <c r="G44" s="153"/>
      <c r="H44" s="154"/>
      <c r="I44" s="154"/>
      <c r="J44" s="154"/>
      <c r="K44" s="154"/>
      <c r="L44" s="154"/>
      <c r="M44" s="154"/>
      <c r="N44" s="155"/>
      <c r="O44" s="157" t="str">
        <f t="shared" si="6"/>
        <v/>
      </c>
      <c r="P44" s="154"/>
      <c r="Q44" s="156"/>
      <c r="R44" s="157" t="str">
        <f t="shared" si="17"/>
        <v/>
      </c>
      <c r="S44" s="159" t="str">
        <f>IF(R44="","",IF(R44&gt;Data2!$C$12,Data2!$D$11,IF(R44&gt;Data2!$C$13,Data2!$D$12,IF(R44&gt;Data2!$C$14,Data2!$D$13,Data2!$D$14))))</f>
        <v/>
      </c>
      <c r="T44" s="144">
        <f t="shared" si="7"/>
        <v>0</v>
      </c>
      <c r="U44" s="144">
        <f t="shared" si="8"/>
        <v>0</v>
      </c>
      <c r="V44" s="144" t="str">
        <f t="shared" si="2"/>
        <v>Mulai berkembang</v>
      </c>
      <c r="W44" s="144" t="str">
        <f t="shared" si="3"/>
        <v>Mulai berkembang</v>
      </c>
      <c r="X44" s="144" t="e">
        <f t="shared" si="9"/>
        <v>#N/A</v>
      </c>
      <c r="Y44" s="145" t="e">
        <f t="shared" si="10"/>
        <v>#N/A</v>
      </c>
      <c r="Z44" s="218" t="str">
        <f>IF('PA-Non'!O44&lt;&gt;"",'PA-Non'!O44,IFERROR("Mempunyai kemampuan yang " &amp;IF(V44=W44,PROPER(W44)&amp;" dalam kompetensi "&amp;VLOOKUP(X44,$G$532:$I$539,3)&amp;" dan kompetensi "&amp;VLOOKUP(Y44,$G$532:$I$539,3),PROPER(V44)&amp;" dalam kompetensi "&amp;VLOOKUP(X44,$G$532:$I$539,3)&amp;" dan memiliki kemampuan yang "&amp;W44&amp;" pada kompetensi "&amp;VLOOKUP(Y44,$G$532:$I$539,3)),""))</f>
        <v/>
      </c>
      <c r="AA44" s="153"/>
      <c r="AB44" s="154"/>
      <c r="AC44" s="154"/>
      <c r="AD44" s="154"/>
      <c r="AE44" s="154"/>
      <c r="AF44" s="154"/>
      <c r="AG44" s="154"/>
      <c r="AH44" s="155"/>
      <c r="AI44" s="220" t="str">
        <f t="shared" si="11"/>
        <v/>
      </c>
      <c r="AJ44" s="160" t="str">
        <f>IF(AI44="","",IF(AI44&gt;Data2!$C$12,Data2!$D$11,IF(AI44&gt;Data2!$C$13,Data2!$D$12,IF(AI44&gt;Data2!$C$14,Data2!$D$13,Data2!$D$14))))</f>
        <v/>
      </c>
      <c r="AK44" s="146">
        <f t="shared" si="12"/>
        <v>0</v>
      </c>
      <c r="AL44" s="146">
        <f t="shared" si="13"/>
        <v>0</v>
      </c>
      <c r="AM44" s="147" t="str">
        <f t="shared" si="4"/>
        <v>Mulai meningkat</v>
      </c>
      <c r="AN44" s="147" t="str">
        <f t="shared" si="5"/>
        <v>Mulai meningkat</v>
      </c>
      <c r="AO44" s="146" t="e">
        <f t="shared" si="14"/>
        <v>#N/A</v>
      </c>
      <c r="AP44" s="148" t="e">
        <f t="shared" si="15"/>
        <v>#N/A</v>
      </c>
      <c r="AQ44" s="158" t="str">
        <f>IF('PA-Non'!V44&lt;&gt;"",'PA-Non'!V44,IFERROR("Mempunyai keterampilan yang "&amp;IF(AM44=AN44,PROPER(AN44)&amp;" dalam kompetensi "&amp;VLOOKUP(AO44,$AA$532:$AC$539,3)&amp;", demikian juga dalam kompetensi "&amp;VLOOKUP(AP44,$AA$532:$AC$539,3),PROPER(AM44)&amp;" dalam kompetensi "&amp;VLOOKUP(AO44,$AA$532:$AC$539,3)&amp;" dan "&amp;AN44&amp;" pada kompetensi "&amp;VLOOKUP(AP44,$AA$532:$AC$539,3)),""))</f>
        <v/>
      </c>
      <c r="AR44" s="188"/>
    </row>
    <row r="45" spans="2:44" ht="27.9" customHeight="1" thickBot="1" x14ac:dyDescent="0.35">
      <c r="B45" s="226" t="s">
        <v>28</v>
      </c>
      <c r="C45" s="149" t="str">
        <f t="shared" ref="C45:C49" si="18">IF(E45="","",C44+1)</f>
        <v/>
      </c>
      <c r="D45" s="150" t="str">
        <f>IF(Data!F40="","",Data!F40)</f>
        <v/>
      </c>
      <c r="E45" s="151" t="str">
        <f>IF(Data!H40="","",Data!H40)</f>
        <v/>
      </c>
      <c r="F45" s="152" t="str">
        <f>IF(Data!I40="","",Data!I40)</f>
        <v/>
      </c>
      <c r="G45" s="153"/>
      <c r="H45" s="154"/>
      <c r="I45" s="154"/>
      <c r="J45" s="154"/>
      <c r="K45" s="154"/>
      <c r="L45" s="154"/>
      <c r="M45" s="154"/>
      <c r="N45" s="155"/>
      <c r="O45" s="157" t="str">
        <f t="shared" ref="O45:O49" si="19">IF(COUNT(G45:N45)&lt;3,"",ROUND(SUM(G45:N45)/$O$6,0))</f>
        <v/>
      </c>
      <c r="P45" s="154"/>
      <c r="Q45" s="156"/>
      <c r="R45" s="157" t="str">
        <f t="shared" ref="R45:R49" si="20">IFERROR(IF(OR(P45="",Q45=""),"",ROUND(((O45*$O$8)+(P45*$P$8)+(Q45*$Q$8))/$Q$6,0)),"")</f>
        <v/>
      </c>
      <c r="S45" s="159" t="str">
        <f>IF(R45="","",IF(R45&gt;Data2!$C$12,Data2!$D$11,IF(R45&gt;Data2!$C$13,Data2!$D$12,IF(R45&gt;Data2!$C$14,Data2!$D$13,Data2!$D$14))))</f>
        <v/>
      </c>
      <c r="T45" s="144">
        <f t="shared" ref="T45:T49" si="21">MAX(G45:N45)</f>
        <v>0</v>
      </c>
      <c r="U45" s="144">
        <f t="shared" ref="U45:U49" si="22">MIN(G45:N45)</f>
        <v>0</v>
      </c>
      <c r="V45" s="144" t="str">
        <f t="shared" si="2"/>
        <v>Mulai berkembang</v>
      </c>
      <c r="W45" s="144" t="str">
        <f t="shared" si="3"/>
        <v>Mulai berkembang</v>
      </c>
      <c r="X45" s="144" t="e">
        <f t="shared" ref="X45:X49" si="23">MATCH(T45,G45:N45,0)</f>
        <v>#N/A</v>
      </c>
      <c r="Y45" s="145" t="e">
        <f t="shared" ref="Y45:Y49" si="24">MATCH(U45,G45:N45,0)</f>
        <v>#N/A</v>
      </c>
      <c r="Z45" s="218" t="str">
        <f>IF('PA-Non'!O45&lt;&gt;"",'PA-Non'!O45,IFERROR("Mempunyai kemampuan yang " &amp;IF(V45=W45,PROPER(W45)&amp;" dalam kompetensi "&amp;VLOOKUP(X45,$G$532:$I$539,3)&amp;" dan kompetensi "&amp;VLOOKUP(Y45,$G$532:$I$539,3),PROPER(V45)&amp;" dalam kompetensi "&amp;VLOOKUP(X45,$G$532:$I$539,3)&amp;" dan memiliki kemampuan yang "&amp;W45&amp;" pada kompetensi "&amp;VLOOKUP(Y45,$G$532:$I$539,3)),""))</f>
        <v/>
      </c>
      <c r="AA45" s="153"/>
      <c r="AB45" s="154"/>
      <c r="AC45" s="154"/>
      <c r="AD45" s="154"/>
      <c r="AE45" s="154"/>
      <c r="AF45" s="154"/>
      <c r="AG45" s="154"/>
      <c r="AH45" s="155"/>
      <c r="AI45" s="220" t="str">
        <f t="shared" ref="AI45:AI49" si="25">IF(COUNT(AA45:AH45)&lt;3,"",ROUND(((AA45*$AA$8)+(AB45*$AB$8)+(AC45*$AC$8)+(AD45*$AD$8)+(AE45*$AE$8)+(AF45*$AF$8)+(AG45*$AG$8)+(AH45*$AH$8))/$AI$6,0))</f>
        <v/>
      </c>
      <c r="AJ45" s="160" t="str">
        <f>IF(AI45="","",IF(AI45&gt;Data2!$C$12,Data2!$D$11,IF(AI45&gt;Data2!$C$13,Data2!$D$12,IF(AI45&gt;Data2!$C$14,Data2!$D$13,Data2!$D$14))))</f>
        <v/>
      </c>
      <c r="AK45" s="146">
        <f t="shared" ref="AK45:AK49" si="26">MAX(AA45:AH45)</f>
        <v>0</v>
      </c>
      <c r="AL45" s="146">
        <f t="shared" ref="AL45:AL49" si="27">MIN(AA45:AH45)</f>
        <v>0</v>
      </c>
      <c r="AM45" s="147" t="str">
        <f t="shared" si="4"/>
        <v>Mulai meningkat</v>
      </c>
      <c r="AN45" s="147" t="str">
        <f t="shared" si="5"/>
        <v>Mulai meningkat</v>
      </c>
      <c r="AO45" s="146" t="e">
        <f t="shared" ref="AO45:AO49" si="28">MATCH(AK45,AA45:AH45,0)</f>
        <v>#N/A</v>
      </c>
      <c r="AP45" s="148" t="e">
        <f t="shared" ref="AP45:AP49" si="29">MATCH(AL45,AA45:AH45,0)</f>
        <v>#N/A</v>
      </c>
      <c r="AQ45" s="158" t="str">
        <f>IF('PA-Non'!V45&lt;&gt;"",'PA-Non'!V45,IFERROR("Mempunyai keterampilan yang "&amp;IF(AM45=AN45,PROPER(AN45)&amp;" dalam kompetensi "&amp;VLOOKUP(AO45,$AA$532:$AC$539,3)&amp;", demikian juga dalam kompetensi "&amp;VLOOKUP(AP45,$AA$532:$AC$539,3),PROPER(AM45)&amp;" dalam kompetensi "&amp;VLOOKUP(AO45,$AA$532:$AC$539,3)&amp;" dan "&amp;AN45&amp;" pada kompetensi "&amp;VLOOKUP(AP45,$AA$532:$AC$539,3)),""))</f>
        <v/>
      </c>
      <c r="AR45" s="188"/>
    </row>
    <row r="46" spans="2:44" ht="27.9" customHeight="1" thickBot="1" x14ac:dyDescent="0.35">
      <c r="B46" s="226" t="s">
        <v>28</v>
      </c>
      <c r="C46" s="149" t="str">
        <f t="shared" si="18"/>
        <v/>
      </c>
      <c r="D46" s="150" t="str">
        <f>IF(Data!F41="","",Data!F41)</f>
        <v/>
      </c>
      <c r="E46" s="151" t="str">
        <f>IF(Data!H41="","",Data!H41)</f>
        <v/>
      </c>
      <c r="F46" s="152" t="str">
        <f>IF(Data!I41="","",Data!I41)</f>
        <v/>
      </c>
      <c r="G46" s="153"/>
      <c r="H46" s="154"/>
      <c r="I46" s="154"/>
      <c r="J46" s="154"/>
      <c r="K46" s="154"/>
      <c r="L46" s="154"/>
      <c r="M46" s="154"/>
      <c r="N46" s="155"/>
      <c r="O46" s="157" t="str">
        <f t="shared" si="19"/>
        <v/>
      </c>
      <c r="P46" s="154"/>
      <c r="Q46" s="156"/>
      <c r="R46" s="157" t="str">
        <f t="shared" si="20"/>
        <v/>
      </c>
      <c r="S46" s="159" t="str">
        <f>IF(R46="","",IF(R46&gt;Data2!$C$12,Data2!$D$11,IF(R46&gt;Data2!$C$13,Data2!$D$12,IF(R46&gt;Data2!$C$14,Data2!$D$13,Data2!$D$14))))</f>
        <v/>
      </c>
      <c r="T46" s="144">
        <f t="shared" si="21"/>
        <v>0</v>
      </c>
      <c r="U46" s="144">
        <f t="shared" si="22"/>
        <v>0</v>
      </c>
      <c r="V46" s="144" t="str">
        <f t="shared" si="2"/>
        <v>Mulai berkembang</v>
      </c>
      <c r="W46" s="144" t="str">
        <f t="shared" si="3"/>
        <v>Mulai berkembang</v>
      </c>
      <c r="X46" s="144" t="e">
        <f t="shared" si="23"/>
        <v>#N/A</v>
      </c>
      <c r="Y46" s="145" t="e">
        <f t="shared" si="24"/>
        <v>#N/A</v>
      </c>
      <c r="Z46" s="218" t="str">
        <f>IF('PA-Non'!O46&lt;&gt;"",'PA-Non'!O46,IFERROR("Mempunyai kemampuan yang " &amp;IF(V46=W46,PROPER(W46)&amp;" dalam kompetensi "&amp;VLOOKUP(X46,$G$532:$I$539,3)&amp;" dan kompetensi "&amp;VLOOKUP(Y46,$G$532:$I$539,3),PROPER(V46)&amp;" dalam kompetensi "&amp;VLOOKUP(X46,$G$532:$I$539,3)&amp;" dan memiliki kemampuan yang "&amp;W46&amp;" pada kompetensi "&amp;VLOOKUP(Y46,$G$532:$I$539,3)),""))</f>
        <v/>
      </c>
      <c r="AA46" s="153"/>
      <c r="AB46" s="154"/>
      <c r="AC46" s="154"/>
      <c r="AD46" s="154"/>
      <c r="AE46" s="154"/>
      <c r="AF46" s="154"/>
      <c r="AG46" s="154"/>
      <c r="AH46" s="155"/>
      <c r="AI46" s="220" t="str">
        <f t="shared" si="25"/>
        <v/>
      </c>
      <c r="AJ46" s="160" t="str">
        <f>IF(AI46="","",IF(AI46&gt;Data2!$C$12,Data2!$D$11,IF(AI46&gt;Data2!$C$13,Data2!$D$12,IF(AI46&gt;Data2!$C$14,Data2!$D$13,Data2!$D$14))))</f>
        <v/>
      </c>
      <c r="AK46" s="146">
        <f t="shared" si="26"/>
        <v>0</v>
      </c>
      <c r="AL46" s="146">
        <f t="shared" si="27"/>
        <v>0</v>
      </c>
      <c r="AM46" s="147" t="str">
        <f t="shared" si="4"/>
        <v>Mulai meningkat</v>
      </c>
      <c r="AN46" s="147" t="str">
        <f t="shared" si="5"/>
        <v>Mulai meningkat</v>
      </c>
      <c r="AO46" s="146" t="e">
        <f t="shared" si="28"/>
        <v>#N/A</v>
      </c>
      <c r="AP46" s="148" t="e">
        <f t="shared" si="29"/>
        <v>#N/A</v>
      </c>
      <c r="AQ46" s="158" t="str">
        <f>IF('PA-Non'!V46&lt;&gt;"",'PA-Non'!V46,IFERROR("Mempunyai keterampilan yang "&amp;IF(AM46=AN46,PROPER(AN46)&amp;" dalam kompetensi "&amp;VLOOKUP(AO46,$AA$532:$AC$539,3)&amp;", demikian juga dalam kompetensi "&amp;VLOOKUP(AP46,$AA$532:$AC$539,3),PROPER(AM46)&amp;" dalam kompetensi "&amp;VLOOKUP(AO46,$AA$532:$AC$539,3)&amp;" dan "&amp;AN46&amp;" pada kompetensi "&amp;VLOOKUP(AP46,$AA$532:$AC$539,3)),""))</f>
        <v/>
      </c>
      <c r="AR46" s="188"/>
    </row>
    <row r="47" spans="2:44" ht="27.9" customHeight="1" thickBot="1" x14ac:dyDescent="0.35">
      <c r="B47" s="226" t="s">
        <v>28</v>
      </c>
      <c r="C47" s="149" t="str">
        <f t="shared" si="18"/>
        <v/>
      </c>
      <c r="D47" s="150" t="str">
        <f>IF(Data!F42="","",Data!F42)</f>
        <v/>
      </c>
      <c r="E47" s="151" t="str">
        <f>IF(Data!H42="","",Data!H42)</f>
        <v/>
      </c>
      <c r="F47" s="152" t="str">
        <f>IF(Data!I42="","",Data!I42)</f>
        <v/>
      </c>
      <c r="G47" s="153"/>
      <c r="H47" s="154"/>
      <c r="I47" s="154"/>
      <c r="J47" s="154"/>
      <c r="K47" s="154"/>
      <c r="L47" s="154"/>
      <c r="M47" s="154"/>
      <c r="N47" s="155"/>
      <c r="O47" s="157" t="str">
        <f t="shared" si="19"/>
        <v/>
      </c>
      <c r="P47" s="154"/>
      <c r="Q47" s="156"/>
      <c r="R47" s="157" t="str">
        <f t="shared" si="20"/>
        <v/>
      </c>
      <c r="S47" s="159" t="str">
        <f>IF(R47="","",IF(R47&gt;Data2!$C$12,Data2!$D$11,IF(R47&gt;Data2!$C$13,Data2!$D$12,IF(R47&gt;Data2!$C$14,Data2!$D$13,Data2!$D$14))))</f>
        <v/>
      </c>
      <c r="T47" s="144">
        <f t="shared" si="21"/>
        <v>0</v>
      </c>
      <c r="U47" s="144">
        <f t="shared" si="22"/>
        <v>0</v>
      </c>
      <c r="V47" s="144" t="str">
        <f t="shared" si="2"/>
        <v>Mulai berkembang</v>
      </c>
      <c r="W47" s="144" t="str">
        <f t="shared" si="3"/>
        <v>Mulai berkembang</v>
      </c>
      <c r="X47" s="144" t="e">
        <f t="shared" si="23"/>
        <v>#N/A</v>
      </c>
      <c r="Y47" s="145" t="e">
        <f t="shared" si="24"/>
        <v>#N/A</v>
      </c>
      <c r="Z47" s="218" t="str">
        <f>IF('PA-Non'!O47&lt;&gt;"",'PA-Non'!O47,IFERROR("Mempunyai kemampuan yang " &amp;IF(V47=W47,PROPER(W47)&amp;" dalam kompetensi "&amp;VLOOKUP(X47,$G$532:$I$539,3)&amp;" dan kompetensi "&amp;VLOOKUP(Y47,$G$532:$I$539,3),PROPER(V47)&amp;" dalam kompetensi "&amp;VLOOKUP(X47,$G$532:$I$539,3)&amp;" dan memiliki kemampuan yang "&amp;W47&amp;" pada kompetensi "&amp;VLOOKUP(Y47,$G$532:$I$539,3)),""))</f>
        <v/>
      </c>
      <c r="AA47" s="153"/>
      <c r="AB47" s="154"/>
      <c r="AC47" s="154"/>
      <c r="AD47" s="154"/>
      <c r="AE47" s="154"/>
      <c r="AF47" s="154"/>
      <c r="AG47" s="154"/>
      <c r="AH47" s="155"/>
      <c r="AI47" s="220" t="str">
        <f t="shared" si="25"/>
        <v/>
      </c>
      <c r="AJ47" s="160" t="str">
        <f>IF(AI47="","",IF(AI47&gt;Data2!$C$12,Data2!$D$11,IF(AI47&gt;Data2!$C$13,Data2!$D$12,IF(AI47&gt;Data2!$C$14,Data2!$D$13,Data2!$D$14))))</f>
        <v/>
      </c>
      <c r="AK47" s="146">
        <f t="shared" si="26"/>
        <v>0</v>
      </c>
      <c r="AL47" s="146">
        <f t="shared" si="27"/>
        <v>0</v>
      </c>
      <c r="AM47" s="147" t="str">
        <f t="shared" si="4"/>
        <v>Mulai meningkat</v>
      </c>
      <c r="AN47" s="147" t="str">
        <f t="shared" si="5"/>
        <v>Mulai meningkat</v>
      </c>
      <c r="AO47" s="146" t="e">
        <f t="shared" si="28"/>
        <v>#N/A</v>
      </c>
      <c r="AP47" s="148" t="e">
        <f t="shared" si="29"/>
        <v>#N/A</v>
      </c>
      <c r="AQ47" s="158" t="str">
        <f>IF('PA-Non'!V47&lt;&gt;"",'PA-Non'!V47,IFERROR("Mempunyai keterampilan yang "&amp;IF(AM47=AN47,PROPER(AN47)&amp;" dalam kompetensi "&amp;VLOOKUP(AO47,$AA$532:$AC$539,3)&amp;", demikian juga dalam kompetensi "&amp;VLOOKUP(AP47,$AA$532:$AC$539,3),PROPER(AM47)&amp;" dalam kompetensi "&amp;VLOOKUP(AO47,$AA$532:$AC$539,3)&amp;" dan "&amp;AN47&amp;" pada kompetensi "&amp;VLOOKUP(AP47,$AA$532:$AC$539,3)),""))</f>
        <v/>
      </c>
      <c r="AR47" s="188"/>
    </row>
    <row r="48" spans="2:44" ht="27.9" customHeight="1" x14ac:dyDescent="0.3">
      <c r="B48" s="386" t="s">
        <v>28</v>
      </c>
      <c r="C48" s="387" t="str">
        <f t="shared" si="18"/>
        <v/>
      </c>
      <c r="D48" s="51" t="str">
        <f>IF(Data!F43="","",Data!F43)</f>
        <v/>
      </c>
      <c r="E48" s="91" t="str">
        <f>IF(Data!H43="","",Data!H43)</f>
        <v/>
      </c>
      <c r="F48" s="52" t="str">
        <f>IF(Data!I43="","",Data!I43)</f>
        <v/>
      </c>
      <c r="G48" s="388"/>
      <c r="H48" s="389"/>
      <c r="I48" s="389"/>
      <c r="J48" s="389"/>
      <c r="K48" s="389"/>
      <c r="L48" s="389"/>
      <c r="M48" s="389"/>
      <c r="N48" s="390"/>
      <c r="O48" s="391" t="str">
        <f t="shared" si="19"/>
        <v/>
      </c>
      <c r="P48" s="389"/>
      <c r="Q48" s="392"/>
      <c r="R48" s="391" t="str">
        <f t="shared" si="20"/>
        <v/>
      </c>
      <c r="S48" s="393" t="str">
        <f>IF(R48="","",IF(R48&gt;Data2!$C$12,Data2!$D$11,IF(R48&gt;Data2!$C$13,Data2!$D$12,IF(R48&gt;Data2!$C$14,Data2!$D$13,Data2!$D$14))))</f>
        <v/>
      </c>
      <c r="T48" s="394">
        <f t="shared" si="21"/>
        <v>0</v>
      </c>
      <c r="U48" s="394">
        <f t="shared" si="22"/>
        <v>0</v>
      </c>
      <c r="V48" s="394" t="str">
        <f t="shared" si="2"/>
        <v>Mulai berkembang</v>
      </c>
      <c r="W48" s="394" t="str">
        <f t="shared" si="3"/>
        <v>Mulai berkembang</v>
      </c>
      <c r="X48" s="394" t="e">
        <f t="shared" si="23"/>
        <v>#N/A</v>
      </c>
      <c r="Y48" s="395" t="e">
        <f t="shared" si="24"/>
        <v>#N/A</v>
      </c>
      <c r="Z48" s="396" t="str">
        <f>IF('PA-Non'!O48&lt;&gt;"",'PA-Non'!O48,IFERROR("Mempunyai kemampuan yang " &amp;IF(V48=W48,PROPER(W48)&amp;" dalam kompetensi "&amp;VLOOKUP(X48,$G$532:$I$539,3)&amp;" dan kompetensi "&amp;VLOOKUP(Y48,$G$532:$I$539,3),PROPER(V48)&amp;" dalam kompetensi "&amp;VLOOKUP(X48,$G$532:$I$539,3)&amp;" dan memiliki kemampuan yang "&amp;W48&amp;" pada kompetensi "&amp;VLOOKUP(Y48,$G$532:$I$539,3)),""))</f>
        <v/>
      </c>
      <c r="AA48" s="388"/>
      <c r="AB48" s="389"/>
      <c r="AC48" s="389"/>
      <c r="AD48" s="389"/>
      <c r="AE48" s="389"/>
      <c r="AF48" s="389"/>
      <c r="AG48" s="389"/>
      <c r="AH48" s="390"/>
      <c r="AI48" s="397" t="str">
        <f t="shared" si="25"/>
        <v/>
      </c>
      <c r="AJ48" s="398" t="str">
        <f>IF(AI48="","",IF(AI48&gt;Data2!$C$12,Data2!$D$11,IF(AI48&gt;Data2!$C$13,Data2!$D$12,IF(AI48&gt;Data2!$C$14,Data2!$D$13,Data2!$D$14))))</f>
        <v/>
      </c>
      <c r="AK48" s="399">
        <f t="shared" si="26"/>
        <v>0</v>
      </c>
      <c r="AL48" s="399">
        <f t="shared" si="27"/>
        <v>0</v>
      </c>
      <c r="AM48" s="400" t="str">
        <f t="shared" si="4"/>
        <v>Mulai meningkat</v>
      </c>
      <c r="AN48" s="400" t="str">
        <f t="shared" si="5"/>
        <v>Mulai meningkat</v>
      </c>
      <c r="AO48" s="399" t="e">
        <f t="shared" si="28"/>
        <v>#N/A</v>
      </c>
      <c r="AP48" s="401" t="e">
        <f t="shared" si="29"/>
        <v>#N/A</v>
      </c>
      <c r="AQ48" s="402" t="str">
        <f>IF('PA-Non'!V48&lt;&gt;"",'PA-Non'!V48,IFERROR("Mempunyai keterampilan yang "&amp;IF(AM48=AN48,PROPER(AN48)&amp;" dalam kompetensi "&amp;VLOOKUP(AO48,$AA$532:$AC$539,3)&amp;", demikian juga dalam kompetensi "&amp;VLOOKUP(AP48,$AA$532:$AC$539,3),PROPER(AM48)&amp;" dalam kompetensi "&amp;VLOOKUP(AO48,$AA$532:$AC$539,3)&amp;" dan "&amp;AN48&amp;" pada kompetensi "&amp;VLOOKUP(AP48,$AA$532:$AC$539,3)),""))</f>
        <v/>
      </c>
      <c r="AR48" s="188"/>
    </row>
    <row r="49" spans="2:44" ht="27.9" customHeight="1" thickBot="1" x14ac:dyDescent="0.35">
      <c r="B49" s="365" t="s">
        <v>28</v>
      </c>
      <c r="C49" s="366" t="str">
        <f t="shared" si="18"/>
        <v/>
      </c>
      <c r="D49" s="367" t="str">
        <f>IF(Data!F44="","",Data!F44)</f>
        <v/>
      </c>
      <c r="E49" s="368" t="str">
        <f>IF(Data!H44="","",Data!H44)</f>
        <v/>
      </c>
      <c r="F49" s="369" t="str">
        <f>IF(Data!I44="","",Data!I44)</f>
        <v/>
      </c>
      <c r="G49" s="370"/>
      <c r="H49" s="371"/>
      <c r="I49" s="371"/>
      <c r="J49" s="371"/>
      <c r="K49" s="371"/>
      <c r="L49" s="371"/>
      <c r="M49" s="371"/>
      <c r="N49" s="372"/>
      <c r="O49" s="373" t="str">
        <f t="shared" si="19"/>
        <v/>
      </c>
      <c r="P49" s="371"/>
      <c r="Q49" s="374"/>
      <c r="R49" s="373" t="str">
        <f t="shared" si="20"/>
        <v/>
      </c>
      <c r="S49" s="375" t="str">
        <f>IF(R49="","",IF(R49&gt;Data2!$C$12,Data2!$D$11,IF(R49&gt;Data2!$C$13,Data2!$D$12,IF(R49&gt;Data2!$C$14,Data2!$D$13,Data2!$D$14))))</f>
        <v/>
      </c>
      <c r="T49" s="404">
        <f t="shared" si="21"/>
        <v>0</v>
      </c>
      <c r="U49" s="404">
        <f t="shared" si="22"/>
        <v>0</v>
      </c>
      <c r="V49" s="404" t="str">
        <f t="shared" si="2"/>
        <v>Mulai berkembang</v>
      </c>
      <c r="W49" s="404" t="str">
        <f t="shared" si="3"/>
        <v>Mulai berkembang</v>
      </c>
      <c r="X49" s="404" t="e">
        <f t="shared" si="23"/>
        <v>#N/A</v>
      </c>
      <c r="Y49" s="405" t="e">
        <f t="shared" si="24"/>
        <v>#N/A</v>
      </c>
      <c r="Z49" s="376" t="str">
        <f>IF('PA-Non'!O49&lt;&gt;"",'PA-Non'!O49,IFERROR("Mempunyai kemampuan yang " &amp;IF(V49=W49,PROPER(W49)&amp;" dalam kompetensi "&amp;VLOOKUP(X49,$G$532:$I$539,3)&amp;" dan kompetensi "&amp;VLOOKUP(Y49,$G$532:$I$539,3),PROPER(V49)&amp;" dalam kompetensi "&amp;VLOOKUP(X49,$G$532:$I$539,3)&amp;" dan memiliki kemampuan yang "&amp;W49&amp;" pada kompetensi "&amp;VLOOKUP(Y49,$G$532:$I$539,3)),""))</f>
        <v/>
      </c>
      <c r="AA49" s="370"/>
      <c r="AB49" s="371"/>
      <c r="AC49" s="371"/>
      <c r="AD49" s="371"/>
      <c r="AE49" s="371"/>
      <c r="AF49" s="371"/>
      <c r="AG49" s="371"/>
      <c r="AH49" s="372"/>
      <c r="AI49" s="377" t="str">
        <f t="shared" si="25"/>
        <v/>
      </c>
      <c r="AJ49" s="378" t="str">
        <f>IF(AI49="","",IF(AI49&gt;Data2!$C$12,Data2!$D$11,IF(AI49&gt;Data2!$C$13,Data2!$D$12,IF(AI49&gt;Data2!$C$14,Data2!$D$13,Data2!$D$14))))</f>
        <v/>
      </c>
      <c r="AK49" s="406">
        <f t="shared" si="26"/>
        <v>0</v>
      </c>
      <c r="AL49" s="406">
        <f t="shared" si="27"/>
        <v>0</v>
      </c>
      <c r="AM49" s="407" t="str">
        <f t="shared" si="4"/>
        <v>Mulai meningkat</v>
      </c>
      <c r="AN49" s="407" t="str">
        <f t="shared" si="5"/>
        <v>Mulai meningkat</v>
      </c>
      <c r="AO49" s="406" t="e">
        <f t="shared" si="28"/>
        <v>#N/A</v>
      </c>
      <c r="AP49" s="408" t="e">
        <f t="shared" si="29"/>
        <v>#N/A</v>
      </c>
      <c r="AQ49" s="409" t="str">
        <f>IF('PA-Non'!V49&lt;&gt;"",'PA-Non'!V49,IFERROR("Mempunyai keterampilan yang "&amp;IF(AM49=AN49,PROPER(AN49)&amp;" dalam kompetensi "&amp;VLOOKUP(AO49,$AA$532:$AC$539,3)&amp;", demikian juga dalam kompetensi "&amp;VLOOKUP(AP49,$AA$532:$AC$539,3),PROPER(AM49)&amp;" dalam kompetensi "&amp;VLOOKUP(AO49,$AA$532:$AC$539,3)&amp;" dan "&amp;AN49&amp;" pada kompetensi "&amp;VLOOKUP(AP49,$AA$532:$AC$539,3)),""))</f>
        <v/>
      </c>
      <c r="AR49" s="188"/>
    </row>
    <row r="50" spans="2:44" ht="27.9" customHeight="1" thickBot="1" x14ac:dyDescent="0.35">
      <c r="B50" s="383" t="s">
        <v>29</v>
      </c>
      <c r="C50" s="347">
        <v>1</v>
      </c>
      <c r="D50" s="348" t="str">
        <f>IF(Data!F45="","",Data!F45)</f>
        <v>03501</v>
      </c>
      <c r="E50" s="349" t="str">
        <f>IF(Data!H45="","",Data!H45)</f>
        <v>Ach. Fajruddhuha Ramadhan</v>
      </c>
      <c r="F50" s="350" t="str">
        <f>IF(Data!I45="","",Data!I45)</f>
        <v>Laki-laki</v>
      </c>
      <c r="G50" s="351"/>
      <c r="H50" s="352"/>
      <c r="I50" s="352"/>
      <c r="J50" s="352"/>
      <c r="K50" s="352"/>
      <c r="L50" s="352"/>
      <c r="M50" s="352"/>
      <c r="N50" s="353"/>
      <c r="O50" s="354" t="str">
        <f t="shared" si="6"/>
        <v/>
      </c>
      <c r="P50" s="352"/>
      <c r="Q50" s="355"/>
      <c r="R50" s="354" t="str">
        <f t="shared" si="17"/>
        <v/>
      </c>
      <c r="S50" s="356" t="str">
        <f>IF(R50="","",IF(R50&gt;Data2!$C$12,Data2!$D$11,IF(R50&gt;Data2!$C$13,Data2!$D$12,IF(R50&gt;Data2!$C$14,Data2!$D$13,Data2!$D$14))))</f>
        <v/>
      </c>
      <c r="T50" s="357">
        <f t="shared" si="7"/>
        <v>0</v>
      </c>
      <c r="U50" s="357">
        <f t="shared" si="8"/>
        <v>0</v>
      </c>
      <c r="V50" s="357" t="str">
        <f t="shared" si="2"/>
        <v>Mulai berkembang</v>
      </c>
      <c r="W50" s="357" t="str">
        <f t="shared" si="3"/>
        <v>Mulai berkembang</v>
      </c>
      <c r="X50" s="357" t="e">
        <f t="shared" si="9"/>
        <v>#N/A</v>
      </c>
      <c r="Y50" s="358" t="e">
        <f t="shared" si="10"/>
        <v>#N/A</v>
      </c>
      <c r="Z50" s="359" t="str">
        <f>IF('PA-Non'!O50&lt;&gt;"",'PA-Non'!O50,IFERROR("Mempunyai kemampuan yang " &amp;IF(V50=W50,PROPER(W50)&amp;" dalam kompetensi "&amp;VLOOKUP(X50,$G$532:$I$539,3)&amp;" dan kompetensi "&amp;VLOOKUP(Y50,$G$532:$I$539,3),PROPER(V50)&amp;" dalam kompetensi "&amp;VLOOKUP(X50,$G$532:$I$539,3)&amp;" dan memiliki kemampuan yang "&amp;W50&amp;" pada kompetensi "&amp;VLOOKUP(Y50,$G$532:$I$539,3)),""))</f>
        <v/>
      </c>
      <c r="AA50" s="351"/>
      <c r="AB50" s="352"/>
      <c r="AC50" s="352"/>
      <c r="AD50" s="352"/>
      <c r="AE50" s="352"/>
      <c r="AF50" s="352"/>
      <c r="AG50" s="352"/>
      <c r="AH50" s="353"/>
      <c r="AI50" s="360" t="str">
        <f t="shared" si="11"/>
        <v/>
      </c>
      <c r="AJ50" s="361" t="str">
        <f>IF(AI50="","",IF(AI50&gt;Data2!$C$12,Data2!$D$11,IF(AI50&gt;Data2!$C$13,Data2!$D$12,IF(AI50&gt;Data2!$C$14,Data2!$D$13,Data2!$D$14))))</f>
        <v/>
      </c>
      <c r="AK50" s="362">
        <f t="shared" si="12"/>
        <v>0</v>
      </c>
      <c r="AL50" s="362">
        <f t="shared" si="13"/>
        <v>0</v>
      </c>
      <c r="AM50" s="363" t="str">
        <f t="shared" si="4"/>
        <v>Mulai meningkat</v>
      </c>
      <c r="AN50" s="363" t="str">
        <f t="shared" si="5"/>
        <v>Mulai meningkat</v>
      </c>
      <c r="AO50" s="362" t="e">
        <f t="shared" si="14"/>
        <v>#N/A</v>
      </c>
      <c r="AP50" s="364" t="e">
        <f t="shared" si="15"/>
        <v>#N/A</v>
      </c>
      <c r="AQ50" s="403" t="str">
        <f>IF('PA-Non'!V50&lt;&gt;"",'PA-Non'!V50,IFERROR("Mempunyai keterampilan yang "&amp;IF(AM50=AN50,PROPER(AN50)&amp;" dalam kompetensi "&amp;VLOOKUP(AO50,$AA$532:$AC$539,3)&amp;", demikian juga dalam kompetensi "&amp;VLOOKUP(AP50,$AA$532:$AC$539,3),PROPER(AM50)&amp;" dalam kompetensi "&amp;VLOOKUP(AO50,$AA$532:$AC$539,3)&amp;" dan "&amp;AN50&amp;" pada kompetensi "&amp;VLOOKUP(AP50,$AA$532:$AC$539,3)),""))</f>
        <v/>
      </c>
      <c r="AR50" s="188"/>
    </row>
    <row r="51" spans="2:44" ht="27.9" customHeight="1" thickBot="1" x14ac:dyDescent="0.35">
      <c r="B51" s="384" t="s">
        <v>29</v>
      </c>
      <c r="C51" s="149">
        <f>IF(E51="","",C50+1)</f>
        <v>2</v>
      </c>
      <c r="D51" s="150" t="str">
        <f>IF(Data!F46="","",Data!F46)</f>
        <v>03504</v>
      </c>
      <c r="E51" s="151" t="str">
        <f>IF(Data!H46="","",Data!H46)</f>
        <v>Achmad Fatkhur Rozi</v>
      </c>
      <c r="F51" s="152" t="str">
        <f>IF(Data!I46="","",Data!I46)</f>
        <v>Laki-laki</v>
      </c>
      <c r="G51" s="343"/>
      <c r="H51" s="344"/>
      <c r="I51" s="344"/>
      <c r="J51" s="344"/>
      <c r="K51" s="344"/>
      <c r="L51" s="344"/>
      <c r="M51" s="344"/>
      <c r="N51" s="345"/>
      <c r="O51" s="157" t="str">
        <f t="shared" si="6"/>
        <v/>
      </c>
      <c r="P51" s="344"/>
      <c r="Q51" s="346"/>
      <c r="R51" s="157" t="str">
        <f t="shared" si="17"/>
        <v/>
      </c>
      <c r="S51" s="159" t="str">
        <f>IF(R51="","",IF(R51&gt;Data2!$C$12,Data2!$D$11,IF(R51&gt;Data2!$C$13,Data2!$D$12,IF(R51&gt;Data2!$C$14,Data2!$D$13,Data2!$D$14))))</f>
        <v/>
      </c>
      <c r="T51" s="144">
        <f t="shared" si="7"/>
        <v>0</v>
      </c>
      <c r="U51" s="144">
        <f t="shared" si="8"/>
        <v>0</v>
      </c>
      <c r="V51" s="144" t="str">
        <f t="shared" si="2"/>
        <v>Mulai berkembang</v>
      </c>
      <c r="W51" s="144" t="str">
        <f t="shared" si="3"/>
        <v>Mulai berkembang</v>
      </c>
      <c r="X51" s="144" t="e">
        <f t="shared" si="9"/>
        <v>#N/A</v>
      </c>
      <c r="Y51" s="145" t="e">
        <f t="shared" si="10"/>
        <v>#N/A</v>
      </c>
      <c r="Z51" s="218" t="str">
        <f>IF('PA-Non'!O51&lt;&gt;"",'PA-Non'!O51,IFERROR("Mempunyai kemampuan yang " &amp;IF(V51=W51,PROPER(W51)&amp;" dalam kompetensi "&amp;VLOOKUP(X51,$G$532:$I$539,3)&amp;" dan kompetensi "&amp;VLOOKUP(Y51,$G$532:$I$539,3),PROPER(V51)&amp;" dalam kompetensi "&amp;VLOOKUP(X51,$G$532:$I$539,3)&amp;" dan memiliki kemampuan yang "&amp;W51&amp;" pada kompetensi "&amp;VLOOKUP(Y51,$G$532:$I$539,3)),""))</f>
        <v/>
      </c>
      <c r="AA51" s="343"/>
      <c r="AB51" s="344"/>
      <c r="AC51" s="344"/>
      <c r="AD51" s="344"/>
      <c r="AE51" s="344"/>
      <c r="AF51" s="344"/>
      <c r="AG51" s="344"/>
      <c r="AH51" s="345"/>
      <c r="AI51" s="220" t="str">
        <f t="shared" si="11"/>
        <v/>
      </c>
      <c r="AJ51" s="160" t="str">
        <f>IF(AI51="","",IF(AI51&gt;Data2!$C$12,Data2!$D$11,IF(AI51&gt;Data2!$C$13,Data2!$D$12,IF(AI51&gt;Data2!$C$14,Data2!$D$13,Data2!$D$14))))</f>
        <v/>
      </c>
      <c r="AK51" s="146">
        <f t="shared" si="12"/>
        <v>0</v>
      </c>
      <c r="AL51" s="146">
        <f t="shared" si="13"/>
        <v>0</v>
      </c>
      <c r="AM51" s="147" t="str">
        <f t="shared" si="4"/>
        <v>Mulai meningkat</v>
      </c>
      <c r="AN51" s="147" t="str">
        <f t="shared" si="5"/>
        <v>Mulai meningkat</v>
      </c>
      <c r="AO51" s="146" t="e">
        <f t="shared" si="14"/>
        <v>#N/A</v>
      </c>
      <c r="AP51" s="148" t="e">
        <f t="shared" si="15"/>
        <v>#N/A</v>
      </c>
      <c r="AQ51" s="158" t="str">
        <f>IF('PA-Non'!V51&lt;&gt;"",'PA-Non'!V51,IFERROR("Mempunyai keterampilan yang "&amp;IF(AM51=AN51,PROPER(AN51)&amp;" dalam kompetensi "&amp;VLOOKUP(AO51,$AA$532:$AC$539,3)&amp;", demikian juga dalam kompetensi "&amp;VLOOKUP(AP51,$AA$532:$AC$539,3),PROPER(AM51)&amp;" dalam kompetensi "&amp;VLOOKUP(AO51,$AA$532:$AC$539,3)&amp;" dan "&amp;AN51&amp;" pada kompetensi "&amp;VLOOKUP(AP51,$AA$532:$AC$539,3)),""))</f>
        <v/>
      </c>
      <c r="AR51" s="188"/>
    </row>
    <row r="52" spans="2:44" ht="27.9" customHeight="1" thickBot="1" x14ac:dyDescent="0.35">
      <c r="B52" s="384" t="s">
        <v>29</v>
      </c>
      <c r="C52" s="149">
        <f t="shared" si="16"/>
        <v>3</v>
      </c>
      <c r="D52" s="150" t="str">
        <f>IF(Data!F47="","",Data!F47)</f>
        <v>03507</v>
      </c>
      <c r="E52" s="151" t="str">
        <f>IF(Data!H47="","",Data!H47)</f>
        <v>Afwan Minan Rohman</v>
      </c>
      <c r="F52" s="152" t="str">
        <f>IF(Data!I47="","",Data!I47)</f>
        <v>Laki-laki</v>
      </c>
      <c r="G52" s="343"/>
      <c r="H52" s="344"/>
      <c r="I52" s="344"/>
      <c r="J52" s="344"/>
      <c r="K52" s="344"/>
      <c r="L52" s="344"/>
      <c r="M52" s="344"/>
      <c r="N52" s="345"/>
      <c r="O52" s="157" t="str">
        <f t="shared" si="6"/>
        <v/>
      </c>
      <c r="P52" s="344"/>
      <c r="Q52" s="346"/>
      <c r="R52" s="157" t="str">
        <f t="shared" si="17"/>
        <v/>
      </c>
      <c r="S52" s="159" t="str">
        <f>IF(R52="","",IF(R52&gt;Data2!$C$12,Data2!$D$11,IF(R52&gt;Data2!$C$13,Data2!$D$12,IF(R52&gt;Data2!$C$14,Data2!$D$13,Data2!$D$14))))</f>
        <v/>
      </c>
      <c r="T52" s="144">
        <f t="shared" si="7"/>
        <v>0</v>
      </c>
      <c r="U52" s="144">
        <f t="shared" si="8"/>
        <v>0</v>
      </c>
      <c r="V52" s="144" t="str">
        <f t="shared" si="2"/>
        <v>Mulai berkembang</v>
      </c>
      <c r="W52" s="144" t="str">
        <f t="shared" si="3"/>
        <v>Mulai berkembang</v>
      </c>
      <c r="X52" s="144" t="e">
        <f t="shared" si="9"/>
        <v>#N/A</v>
      </c>
      <c r="Y52" s="145" t="e">
        <f t="shared" si="10"/>
        <v>#N/A</v>
      </c>
      <c r="Z52" s="218" t="str">
        <f>IF('PA-Non'!O52&lt;&gt;"",'PA-Non'!O52,IFERROR("Mempunyai kemampuan yang " &amp;IF(V52=W52,PROPER(W52)&amp;" dalam kompetensi "&amp;VLOOKUP(X52,$G$532:$I$539,3)&amp;" dan kompetensi "&amp;VLOOKUP(Y52,$G$532:$I$539,3),PROPER(V52)&amp;" dalam kompetensi "&amp;VLOOKUP(X52,$G$532:$I$539,3)&amp;" dan memiliki kemampuan yang "&amp;W52&amp;" pada kompetensi "&amp;VLOOKUP(Y52,$G$532:$I$539,3)),""))</f>
        <v/>
      </c>
      <c r="AA52" s="343"/>
      <c r="AB52" s="344"/>
      <c r="AC52" s="344"/>
      <c r="AD52" s="344"/>
      <c r="AE52" s="344"/>
      <c r="AF52" s="344"/>
      <c r="AG52" s="344"/>
      <c r="AH52" s="345"/>
      <c r="AI52" s="220" t="str">
        <f t="shared" si="11"/>
        <v/>
      </c>
      <c r="AJ52" s="160" t="str">
        <f>IF(AI52="","",IF(AI52&gt;Data2!$C$12,Data2!$D$11,IF(AI52&gt;Data2!$C$13,Data2!$D$12,IF(AI52&gt;Data2!$C$14,Data2!$D$13,Data2!$D$14))))</f>
        <v/>
      </c>
      <c r="AK52" s="146">
        <f t="shared" si="12"/>
        <v>0</v>
      </c>
      <c r="AL52" s="146">
        <f t="shared" si="13"/>
        <v>0</v>
      </c>
      <c r="AM52" s="147" t="str">
        <f t="shared" si="4"/>
        <v>Mulai meningkat</v>
      </c>
      <c r="AN52" s="147" t="str">
        <f t="shared" si="5"/>
        <v>Mulai meningkat</v>
      </c>
      <c r="AO52" s="146" t="e">
        <f t="shared" si="14"/>
        <v>#N/A</v>
      </c>
      <c r="AP52" s="148" t="e">
        <f t="shared" si="15"/>
        <v>#N/A</v>
      </c>
      <c r="AQ52" s="158" t="str">
        <f>IF('PA-Non'!V52&lt;&gt;"",'PA-Non'!V52,IFERROR("Mempunyai keterampilan yang "&amp;IF(AM52=AN52,PROPER(AN52)&amp;" dalam kompetensi "&amp;VLOOKUP(AO52,$AA$532:$AC$539,3)&amp;", demikian juga dalam kompetensi "&amp;VLOOKUP(AP52,$AA$532:$AC$539,3),PROPER(AM52)&amp;" dalam kompetensi "&amp;VLOOKUP(AO52,$AA$532:$AC$539,3)&amp;" dan "&amp;AN52&amp;" pada kompetensi "&amp;VLOOKUP(AP52,$AA$532:$AC$539,3)),""))</f>
        <v/>
      </c>
      <c r="AR52" s="188"/>
    </row>
    <row r="53" spans="2:44" ht="27.9" customHeight="1" thickBot="1" x14ac:dyDescent="0.35">
      <c r="B53" s="384" t="s">
        <v>29</v>
      </c>
      <c r="C53" s="149">
        <f t="shared" si="16"/>
        <v>4</v>
      </c>
      <c r="D53" s="150" t="str">
        <f>IF(Data!F48="","",Data!F48)</f>
        <v>03508</v>
      </c>
      <c r="E53" s="151" t="str">
        <f>IF(Data!H48="","",Data!H48)</f>
        <v>Ahdaniel Jamil Fiddin</v>
      </c>
      <c r="F53" s="152" t="str">
        <f>IF(Data!I48="","",Data!I48)</f>
        <v>Laki-laki</v>
      </c>
      <c r="G53" s="343"/>
      <c r="H53" s="344"/>
      <c r="I53" s="344"/>
      <c r="J53" s="344"/>
      <c r="K53" s="344"/>
      <c r="L53" s="344"/>
      <c r="M53" s="344"/>
      <c r="N53" s="345"/>
      <c r="O53" s="157" t="str">
        <f t="shared" si="6"/>
        <v/>
      </c>
      <c r="P53" s="344"/>
      <c r="Q53" s="346"/>
      <c r="R53" s="157" t="str">
        <f t="shared" si="17"/>
        <v/>
      </c>
      <c r="S53" s="159" t="str">
        <f>IF(R53="","",IF(R53&gt;Data2!$C$12,Data2!$D$11,IF(R53&gt;Data2!$C$13,Data2!$D$12,IF(R53&gt;Data2!$C$14,Data2!$D$13,Data2!$D$14))))</f>
        <v/>
      </c>
      <c r="T53" s="144">
        <f t="shared" si="7"/>
        <v>0</v>
      </c>
      <c r="U53" s="144">
        <f t="shared" si="8"/>
        <v>0</v>
      </c>
      <c r="V53" s="144" t="str">
        <f t="shared" si="2"/>
        <v>Mulai berkembang</v>
      </c>
      <c r="W53" s="144" t="str">
        <f t="shared" si="3"/>
        <v>Mulai berkembang</v>
      </c>
      <c r="X53" s="144" t="e">
        <f t="shared" si="9"/>
        <v>#N/A</v>
      </c>
      <c r="Y53" s="145" t="e">
        <f t="shared" si="10"/>
        <v>#N/A</v>
      </c>
      <c r="Z53" s="218" t="str">
        <f>IF('PA-Non'!O53&lt;&gt;"",'PA-Non'!O53,IFERROR("Mempunyai kemampuan yang " &amp;IF(V53=W53,PROPER(W53)&amp;" dalam kompetensi "&amp;VLOOKUP(X53,$G$532:$I$539,3)&amp;" dan kompetensi "&amp;VLOOKUP(Y53,$G$532:$I$539,3),PROPER(V53)&amp;" dalam kompetensi "&amp;VLOOKUP(X53,$G$532:$I$539,3)&amp;" dan memiliki kemampuan yang "&amp;W53&amp;" pada kompetensi "&amp;VLOOKUP(Y53,$G$532:$I$539,3)),""))</f>
        <v/>
      </c>
      <c r="AA53" s="343"/>
      <c r="AB53" s="344"/>
      <c r="AC53" s="344"/>
      <c r="AD53" s="344"/>
      <c r="AE53" s="344"/>
      <c r="AF53" s="344"/>
      <c r="AG53" s="344"/>
      <c r="AH53" s="345"/>
      <c r="AI53" s="220" t="str">
        <f t="shared" si="11"/>
        <v/>
      </c>
      <c r="AJ53" s="160" t="str">
        <f>IF(AI53="","",IF(AI53&gt;Data2!$C$12,Data2!$D$11,IF(AI53&gt;Data2!$C$13,Data2!$D$12,IF(AI53&gt;Data2!$C$14,Data2!$D$13,Data2!$D$14))))</f>
        <v/>
      </c>
      <c r="AK53" s="146">
        <f t="shared" si="12"/>
        <v>0</v>
      </c>
      <c r="AL53" s="146">
        <f t="shared" si="13"/>
        <v>0</v>
      </c>
      <c r="AM53" s="147" t="str">
        <f t="shared" si="4"/>
        <v>Mulai meningkat</v>
      </c>
      <c r="AN53" s="147" t="str">
        <f t="shared" si="5"/>
        <v>Mulai meningkat</v>
      </c>
      <c r="AO53" s="146" t="e">
        <f t="shared" si="14"/>
        <v>#N/A</v>
      </c>
      <c r="AP53" s="148" t="e">
        <f t="shared" si="15"/>
        <v>#N/A</v>
      </c>
      <c r="AQ53" s="158" t="str">
        <f>IF('PA-Non'!V53&lt;&gt;"",'PA-Non'!V53,IFERROR("Mempunyai keterampilan yang "&amp;IF(AM53=AN53,PROPER(AN53)&amp;" dalam kompetensi "&amp;VLOOKUP(AO53,$AA$532:$AC$539,3)&amp;", demikian juga dalam kompetensi "&amp;VLOOKUP(AP53,$AA$532:$AC$539,3),PROPER(AM53)&amp;" dalam kompetensi "&amp;VLOOKUP(AO53,$AA$532:$AC$539,3)&amp;" dan "&amp;AN53&amp;" pada kompetensi "&amp;VLOOKUP(AP53,$AA$532:$AC$539,3)),""))</f>
        <v/>
      </c>
      <c r="AR53" s="188"/>
    </row>
    <row r="54" spans="2:44" ht="27.9" customHeight="1" thickBot="1" x14ac:dyDescent="0.35">
      <c r="B54" s="384" t="s">
        <v>29</v>
      </c>
      <c r="C54" s="149">
        <f t="shared" si="16"/>
        <v>5</v>
      </c>
      <c r="D54" s="150" t="str">
        <f>IF(Data!F49="","",Data!F49)</f>
        <v>03509</v>
      </c>
      <c r="E54" s="151" t="str">
        <f>IF(Data!H49="","",Data!H49)</f>
        <v>Ahmad Abiya Nur Na'im</v>
      </c>
      <c r="F54" s="152" t="str">
        <f>IF(Data!I49="","",Data!I49)</f>
        <v>Laki-laki</v>
      </c>
      <c r="G54" s="343"/>
      <c r="H54" s="344"/>
      <c r="I54" s="344"/>
      <c r="J54" s="344"/>
      <c r="K54" s="344"/>
      <c r="L54" s="344"/>
      <c r="M54" s="344"/>
      <c r="N54" s="345"/>
      <c r="O54" s="157" t="str">
        <f t="shared" si="6"/>
        <v/>
      </c>
      <c r="P54" s="344"/>
      <c r="Q54" s="346"/>
      <c r="R54" s="157" t="str">
        <f t="shared" si="17"/>
        <v/>
      </c>
      <c r="S54" s="159" t="str">
        <f>IF(R54="","",IF(R54&gt;Data2!$C$12,Data2!$D$11,IF(R54&gt;Data2!$C$13,Data2!$D$12,IF(R54&gt;Data2!$C$14,Data2!$D$13,Data2!$D$14))))</f>
        <v/>
      </c>
      <c r="T54" s="144">
        <f t="shared" si="7"/>
        <v>0</v>
      </c>
      <c r="U54" s="144">
        <f t="shared" si="8"/>
        <v>0</v>
      </c>
      <c r="V54" s="144" t="str">
        <f t="shared" si="2"/>
        <v>Mulai berkembang</v>
      </c>
      <c r="W54" s="144" t="str">
        <f t="shared" si="3"/>
        <v>Mulai berkembang</v>
      </c>
      <c r="X54" s="144" t="e">
        <f t="shared" si="9"/>
        <v>#N/A</v>
      </c>
      <c r="Y54" s="145" t="e">
        <f t="shared" si="10"/>
        <v>#N/A</v>
      </c>
      <c r="Z54" s="218" t="str">
        <f>IF('PA-Non'!O54&lt;&gt;"",'PA-Non'!O54,IFERROR("Mempunyai kemampuan yang " &amp;IF(V54=W54,PROPER(W54)&amp;" dalam kompetensi "&amp;VLOOKUP(X54,$G$532:$I$539,3)&amp;" dan kompetensi "&amp;VLOOKUP(Y54,$G$532:$I$539,3),PROPER(V54)&amp;" dalam kompetensi "&amp;VLOOKUP(X54,$G$532:$I$539,3)&amp;" dan memiliki kemampuan yang "&amp;W54&amp;" pada kompetensi "&amp;VLOOKUP(Y54,$G$532:$I$539,3)),""))</f>
        <v/>
      </c>
      <c r="AA54" s="343"/>
      <c r="AB54" s="344"/>
      <c r="AC54" s="344"/>
      <c r="AD54" s="344"/>
      <c r="AE54" s="344"/>
      <c r="AF54" s="344"/>
      <c r="AG54" s="344"/>
      <c r="AH54" s="345"/>
      <c r="AI54" s="220" t="str">
        <f t="shared" si="11"/>
        <v/>
      </c>
      <c r="AJ54" s="160" t="str">
        <f>IF(AI54="","",IF(AI54&gt;Data2!$C$12,Data2!$D$11,IF(AI54&gt;Data2!$C$13,Data2!$D$12,IF(AI54&gt;Data2!$C$14,Data2!$D$13,Data2!$D$14))))</f>
        <v/>
      </c>
      <c r="AK54" s="146">
        <f t="shared" si="12"/>
        <v>0</v>
      </c>
      <c r="AL54" s="146">
        <f t="shared" si="13"/>
        <v>0</v>
      </c>
      <c r="AM54" s="147" t="str">
        <f t="shared" si="4"/>
        <v>Mulai meningkat</v>
      </c>
      <c r="AN54" s="147" t="str">
        <f t="shared" si="5"/>
        <v>Mulai meningkat</v>
      </c>
      <c r="AO54" s="146" t="e">
        <f t="shared" si="14"/>
        <v>#N/A</v>
      </c>
      <c r="AP54" s="148" t="e">
        <f t="shared" si="15"/>
        <v>#N/A</v>
      </c>
      <c r="AQ54" s="158" t="str">
        <f>IF('PA-Non'!V54&lt;&gt;"",'PA-Non'!V54,IFERROR("Mempunyai keterampilan yang "&amp;IF(AM54=AN54,PROPER(AN54)&amp;" dalam kompetensi "&amp;VLOOKUP(AO54,$AA$532:$AC$539,3)&amp;", demikian juga dalam kompetensi "&amp;VLOOKUP(AP54,$AA$532:$AC$539,3),PROPER(AM54)&amp;" dalam kompetensi "&amp;VLOOKUP(AO54,$AA$532:$AC$539,3)&amp;" dan "&amp;AN54&amp;" pada kompetensi "&amp;VLOOKUP(AP54,$AA$532:$AC$539,3)),""))</f>
        <v/>
      </c>
      <c r="AR54" s="188"/>
    </row>
    <row r="55" spans="2:44" ht="27.9" customHeight="1" thickBot="1" x14ac:dyDescent="0.35">
      <c r="B55" s="384" t="s">
        <v>29</v>
      </c>
      <c r="C55" s="149">
        <f t="shared" si="16"/>
        <v>6</v>
      </c>
      <c r="D55" s="150" t="str">
        <f>IF(Data!F50="","",Data!F50)</f>
        <v>03520</v>
      </c>
      <c r="E55" s="151" t="str">
        <f>IF(Data!H50="","",Data!H50)</f>
        <v>Ahmad Iqbal Maulana</v>
      </c>
      <c r="F55" s="152" t="str">
        <f>IF(Data!I50="","",Data!I50)</f>
        <v>Laki-laki</v>
      </c>
      <c r="G55" s="343"/>
      <c r="H55" s="344"/>
      <c r="I55" s="344"/>
      <c r="J55" s="344"/>
      <c r="K55" s="344"/>
      <c r="L55" s="344"/>
      <c r="M55" s="344"/>
      <c r="N55" s="345"/>
      <c r="O55" s="157" t="str">
        <f t="shared" si="6"/>
        <v/>
      </c>
      <c r="P55" s="344"/>
      <c r="Q55" s="346"/>
      <c r="R55" s="157" t="str">
        <f t="shared" si="17"/>
        <v/>
      </c>
      <c r="S55" s="159" t="str">
        <f>IF(R55="","",IF(R55&gt;Data2!$C$12,Data2!$D$11,IF(R55&gt;Data2!$C$13,Data2!$D$12,IF(R55&gt;Data2!$C$14,Data2!$D$13,Data2!$D$14))))</f>
        <v/>
      </c>
      <c r="T55" s="144">
        <f t="shared" si="7"/>
        <v>0</v>
      </c>
      <c r="U55" s="144">
        <f t="shared" si="8"/>
        <v>0</v>
      </c>
      <c r="V55" s="144" t="str">
        <f t="shared" si="2"/>
        <v>Mulai berkembang</v>
      </c>
      <c r="W55" s="144" t="str">
        <f t="shared" si="3"/>
        <v>Mulai berkembang</v>
      </c>
      <c r="X55" s="144" t="e">
        <f t="shared" si="9"/>
        <v>#N/A</v>
      </c>
      <c r="Y55" s="145" t="e">
        <f t="shared" si="10"/>
        <v>#N/A</v>
      </c>
      <c r="Z55" s="218" t="str">
        <f>IF('PA-Non'!O55&lt;&gt;"",'PA-Non'!O55,IFERROR("Mempunyai kemampuan yang " &amp;IF(V55=W55,PROPER(W55)&amp;" dalam kompetensi "&amp;VLOOKUP(X55,$G$532:$I$539,3)&amp;" dan kompetensi "&amp;VLOOKUP(Y55,$G$532:$I$539,3),PROPER(V55)&amp;" dalam kompetensi "&amp;VLOOKUP(X55,$G$532:$I$539,3)&amp;" dan memiliki kemampuan yang "&amp;W55&amp;" pada kompetensi "&amp;VLOOKUP(Y55,$G$532:$I$539,3)),""))</f>
        <v/>
      </c>
      <c r="AA55" s="343"/>
      <c r="AB55" s="344"/>
      <c r="AC55" s="344"/>
      <c r="AD55" s="344"/>
      <c r="AE55" s="344"/>
      <c r="AF55" s="344"/>
      <c r="AG55" s="344"/>
      <c r="AH55" s="345"/>
      <c r="AI55" s="220" t="str">
        <f t="shared" si="11"/>
        <v/>
      </c>
      <c r="AJ55" s="160" t="str">
        <f>IF(AI55="","",IF(AI55&gt;Data2!$C$12,Data2!$D$11,IF(AI55&gt;Data2!$C$13,Data2!$D$12,IF(AI55&gt;Data2!$C$14,Data2!$D$13,Data2!$D$14))))</f>
        <v/>
      </c>
      <c r="AK55" s="146">
        <f t="shared" si="12"/>
        <v>0</v>
      </c>
      <c r="AL55" s="146">
        <f t="shared" si="13"/>
        <v>0</v>
      </c>
      <c r="AM55" s="147" t="str">
        <f t="shared" si="4"/>
        <v>Mulai meningkat</v>
      </c>
      <c r="AN55" s="147" t="str">
        <f t="shared" si="5"/>
        <v>Mulai meningkat</v>
      </c>
      <c r="AO55" s="146" t="e">
        <f t="shared" si="14"/>
        <v>#N/A</v>
      </c>
      <c r="AP55" s="148" t="e">
        <f t="shared" si="15"/>
        <v>#N/A</v>
      </c>
      <c r="AQ55" s="158" t="str">
        <f>IF('PA-Non'!V55&lt;&gt;"",'PA-Non'!V55,IFERROR("Mempunyai keterampilan yang "&amp;IF(AM55=AN55,PROPER(AN55)&amp;" dalam kompetensi "&amp;VLOOKUP(AO55,$AA$532:$AC$539,3)&amp;", demikian juga dalam kompetensi "&amp;VLOOKUP(AP55,$AA$532:$AC$539,3),PROPER(AM55)&amp;" dalam kompetensi "&amp;VLOOKUP(AO55,$AA$532:$AC$539,3)&amp;" dan "&amp;AN55&amp;" pada kompetensi "&amp;VLOOKUP(AP55,$AA$532:$AC$539,3)),""))</f>
        <v/>
      </c>
      <c r="AR55" s="188"/>
    </row>
    <row r="56" spans="2:44" ht="27.9" customHeight="1" thickBot="1" x14ac:dyDescent="0.35">
      <c r="B56" s="384" t="s">
        <v>29</v>
      </c>
      <c r="C56" s="149">
        <f t="shared" si="16"/>
        <v>7</v>
      </c>
      <c r="D56" s="150" t="str">
        <f>IF(Data!F51="","",Data!F51)</f>
        <v>03522</v>
      </c>
      <c r="E56" s="151" t="str">
        <f>IF(Data!H51="","",Data!H51)</f>
        <v>Ahmad Nafis An Nafi'</v>
      </c>
      <c r="F56" s="152" t="str">
        <f>IF(Data!I51="","",Data!I51)</f>
        <v>Laki-laki</v>
      </c>
      <c r="G56" s="343"/>
      <c r="H56" s="344"/>
      <c r="I56" s="344"/>
      <c r="J56" s="344"/>
      <c r="K56" s="344"/>
      <c r="L56" s="344"/>
      <c r="M56" s="344"/>
      <c r="N56" s="345"/>
      <c r="O56" s="157" t="str">
        <f t="shared" si="6"/>
        <v/>
      </c>
      <c r="P56" s="344"/>
      <c r="Q56" s="346"/>
      <c r="R56" s="157" t="str">
        <f t="shared" si="17"/>
        <v/>
      </c>
      <c r="S56" s="159" t="str">
        <f>IF(R56="","",IF(R56&gt;Data2!$C$12,Data2!$D$11,IF(R56&gt;Data2!$C$13,Data2!$D$12,IF(R56&gt;Data2!$C$14,Data2!$D$13,Data2!$D$14))))</f>
        <v/>
      </c>
      <c r="T56" s="144">
        <f t="shared" si="7"/>
        <v>0</v>
      </c>
      <c r="U56" s="144">
        <f t="shared" si="8"/>
        <v>0</v>
      </c>
      <c r="V56" s="144" t="str">
        <f t="shared" si="2"/>
        <v>Mulai berkembang</v>
      </c>
      <c r="W56" s="144" t="str">
        <f t="shared" si="3"/>
        <v>Mulai berkembang</v>
      </c>
      <c r="X56" s="144" t="e">
        <f t="shared" si="9"/>
        <v>#N/A</v>
      </c>
      <c r="Y56" s="145" t="e">
        <f t="shared" si="10"/>
        <v>#N/A</v>
      </c>
      <c r="Z56" s="218" t="str">
        <f>IF('PA-Non'!O56&lt;&gt;"",'PA-Non'!O56,IFERROR("Mempunyai kemampuan yang " &amp;IF(V56=W56,PROPER(W56)&amp;" dalam kompetensi "&amp;VLOOKUP(X56,$G$532:$I$539,3)&amp;" dan kompetensi "&amp;VLOOKUP(Y56,$G$532:$I$539,3),PROPER(V56)&amp;" dalam kompetensi "&amp;VLOOKUP(X56,$G$532:$I$539,3)&amp;" dan memiliki kemampuan yang "&amp;W56&amp;" pada kompetensi "&amp;VLOOKUP(Y56,$G$532:$I$539,3)),""))</f>
        <v/>
      </c>
      <c r="AA56" s="343"/>
      <c r="AB56" s="344"/>
      <c r="AC56" s="344"/>
      <c r="AD56" s="344"/>
      <c r="AE56" s="344"/>
      <c r="AF56" s="344"/>
      <c r="AG56" s="344"/>
      <c r="AH56" s="345"/>
      <c r="AI56" s="220" t="str">
        <f t="shared" si="11"/>
        <v/>
      </c>
      <c r="AJ56" s="160" t="str">
        <f>IF(AI56="","",IF(AI56&gt;Data2!$C$12,Data2!$D$11,IF(AI56&gt;Data2!$C$13,Data2!$D$12,IF(AI56&gt;Data2!$C$14,Data2!$D$13,Data2!$D$14))))</f>
        <v/>
      </c>
      <c r="AK56" s="146">
        <f t="shared" si="12"/>
        <v>0</v>
      </c>
      <c r="AL56" s="146">
        <f t="shared" si="13"/>
        <v>0</v>
      </c>
      <c r="AM56" s="147" t="str">
        <f t="shared" si="4"/>
        <v>Mulai meningkat</v>
      </c>
      <c r="AN56" s="147" t="str">
        <f t="shared" si="5"/>
        <v>Mulai meningkat</v>
      </c>
      <c r="AO56" s="146" t="e">
        <f t="shared" si="14"/>
        <v>#N/A</v>
      </c>
      <c r="AP56" s="148" t="e">
        <f t="shared" si="15"/>
        <v>#N/A</v>
      </c>
      <c r="AQ56" s="158" t="str">
        <f>IF('PA-Non'!V56&lt;&gt;"",'PA-Non'!V56,IFERROR("Mempunyai keterampilan yang "&amp;IF(AM56=AN56,PROPER(AN56)&amp;" dalam kompetensi "&amp;VLOOKUP(AO56,$AA$532:$AC$539,3)&amp;", demikian juga dalam kompetensi "&amp;VLOOKUP(AP56,$AA$532:$AC$539,3),PROPER(AM56)&amp;" dalam kompetensi "&amp;VLOOKUP(AO56,$AA$532:$AC$539,3)&amp;" dan "&amp;AN56&amp;" pada kompetensi "&amp;VLOOKUP(AP56,$AA$532:$AC$539,3)),""))</f>
        <v/>
      </c>
      <c r="AR56" s="188"/>
    </row>
    <row r="57" spans="2:44" ht="27.9" customHeight="1" thickBot="1" x14ac:dyDescent="0.35">
      <c r="B57" s="384" t="s">
        <v>29</v>
      </c>
      <c r="C57" s="149">
        <f t="shared" si="16"/>
        <v>8</v>
      </c>
      <c r="D57" s="150" t="str">
        <f>IF(Data!F52="","",Data!F52)</f>
        <v>03523</v>
      </c>
      <c r="E57" s="151" t="str">
        <f>IF(Data!H52="","",Data!H52)</f>
        <v>Ahmad Naufal Miftakhul Ulum</v>
      </c>
      <c r="F57" s="152" t="str">
        <f>IF(Data!I52="","",Data!I52)</f>
        <v>Laki-laki</v>
      </c>
      <c r="G57" s="343"/>
      <c r="H57" s="344"/>
      <c r="I57" s="344"/>
      <c r="J57" s="344"/>
      <c r="K57" s="344"/>
      <c r="L57" s="344"/>
      <c r="M57" s="344"/>
      <c r="N57" s="345"/>
      <c r="O57" s="157" t="str">
        <f t="shared" si="6"/>
        <v/>
      </c>
      <c r="P57" s="344"/>
      <c r="Q57" s="346"/>
      <c r="R57" s="157" t="str">
        <f t="shared" si="17"/>
        <v/>
      </c>
      <c r="S57" s="159" t="str">
        <f>IF(R57="","",IF(R57&gt;Data2!$C$12,Data2!$D$11,IF(R57&gt;Data2!$C$13,Data2!$D$12,IF(R57&gt;Data2!$C$14,Data2!$D$13,Data2!$D$14))))</f>
        <v/>
      </c>
      <c r="T57" s="144">
        <f t="shared" si="7"/>
        <v>0</v>
      </c>
      <c r="U57" s="144">
        <f t="shared" si="8"/>
        <v>0</v>
      </c>
      <c r="V57" s="144" t="str">
        <f t="shared" si="2"/>
        <v>Mulai berkembang</v>
      </c>
      <c r="W57" s="144" t="str">
        <f t="shared" si="3"/>
        <v>Mulai berkembang</v>
      </c>
      <c r="X57" s="144" t="e">
        <f t="shared" si="9"/>
        <v>#N/A</v>
      </c>
      <c r="Y57" s="145" t="e">
        <f t="shared" si="10"/>
        <v>#N/A</v>
      </c>
      <c r="Z57" s="218" t="str">
        <f>IF('PA-Non'!O57&lt;&gt;"",'PA-Non'!O57,IFERROR("Mempunyai kemampuan yang " &amp;IF(V57=W57,PROPER(W57)&amp;" dalam kompetensi "&amp;VLOOKUP(X57,$G$532:$I$539,3)&amp;" dan kompetensi "&amp;VLOOKUP(Y57,$G$532:$I$539,3),PROPER(V57)&amp;" dalam kompetensi "&amp;VLOOKUP(X57,$G$532:$I$539,3)&amp;" dan memiliki kemampuan yang "&amp;W57&amp;" pada kompetensi "&amp;VLOOKUP(Y57,$G$532:$I$539,3)),""))</f>
        <v/>
      </c>
      <c r="AA57" s="343"/>
      <c r="AB57" s="344"/>
      <c r="AC57" s="344"/>
      <c r="AD57" s="344"/>
      <c r="AE57" s="344"/>
      <c r="AF57" s="344"/>
      <c r="AG57" s="344"/>
      <c r="AH57" s="345"/>
      <c r="AI57" s="220" t="str">
        <f t="shared" si="11"/>
        <v/>
      </c>
      <c r="AJ57" s="160" t="str">
        <f>IF(AI57="","",IF(AI57&gt;Data2!$C$12,Data2!$D$11,IF(AI57&gt;Data2!$C$13,Data2!$D$12,IF(AI57&gt;Data2!$C$14,Data2!$D$13,Data2!$D$14))))</f>
        <v/>
      </c>
      <c r="AK57" s="146">
        <f t="shared" si="12"/>
        <v>0</v>
      </c>
      <c r="AL57" s="146">
        <f t="shared" si="13"/>
        <v>0</v>
      </c>
      <c r="AM57" s="147" t="str">
        <f t="shared" si="4"/>
        <v>Mulai meningkat</v>
      </c>
      <c r="AN57" s="147" t="str">
        <f t="shared" si="5"/>
        <v>Mulai meningkat</v>
      </c>
      <c r="AO57" s="146" t="e">
        <f t="shared" si="14"/>
        <v>#N/A</v>
      </c>
      <c r="AP57" s="148" t="e">
        <f t="shared" si="15"/>
        <v>#N/A</v>
      </c>
      <c r="AQ57" s="158" t="str">
        <f>IF('PA-Non'!V57&lt;&gt;"",'PA-Non'!V57,IFERROR("Mempunyai keterampilan yang "&amp;IF(AM57=AN57,PROPER(AN57)&amp;" dalam kompetensi "&amp;VLOOKUP(AO57,$AA$532:$AC$539,3)&amp;", demikian juga dalam kompetensi "&amp;VLOOKUP(AP57,$AA$532:$AC$539,3),PROPER(AM57)&amp;" dalam kompetensi "&amp;VLOOKUP(AO57,$AA$532:$AC$539,3)&amp;" dan "&amp;AN57&amp;" pada kompetensi "&amp;VLOOKUP(AP57,$AA$532:$AC$539,3)),""))</f>
        <v/>
      </c>
      <c r="AR57" s="188"/>
    </row>
    <row r="58" spans="2:44" ht="27.9" customHeight="1" thickBot="1" x14ac:dyDescent="0.35">
      <c r="B58" s="384" t="s">
        <v>29</v>
      </c>
      <c r="C58" s="149">
        <f t="shared" si="16"/>
        <v>9</v>
      </c>
      <c r="D58" s="150" t="str">
        <f>IF(Data!F53="","",Data!F53)</f>
        <v>03526</v>
      </c>
      <c r="E58" s="151" t="str">
        <f>IF(Data!H53="","",Data!H53)</f>
        <v>Ahmad Syauqi Mushoffa</v>
      </c>
      <c r="F58" s="152" t="str">
        <f>IF(Data!I53="","",Data!I53)</f>
        <v>Laki-laki</v>
      </c>
      <c r="G58" s="343"/>
      <c r="H58" s="344"/>
      <c r="I58" s="344"/>
      <c r="J58" s="344"/>
      <c r="K58" s="344"/>
      <c r="L58" s="344"/>
      <c r="M58" s="344"/>
      <c r="N58" s="345"/>
      <c r="O58" s="157" t="str">
        <f t="shared" si="6"/>
        <v/>
      </c>
      <c r="P58" s="344"/>
      <c r="Q58" s="346"/>
      <c r="R58" s="157" t="str">
        <f t="shared" si="17"/>
        <v/>
      </c>
      <c r="S58" s="159" t="str">
        <f>IF(R58="","",IF(R58&gt;Data2!$C$12,Data2!$D$11,IF(R58&gt;Data2!$C$13,Data2!$D$12,IF(R58&gt;Data2!$C$14,Data2!$D$13,Data2!$D$14))))</f>
        <v/>
      </c>
      <c r="T58" s="144">
        <f t="shared" si="7"/>
        <v>0</v>
      </c>
      <c r="U58" s="144">
        <f t="shared" si="8"/>
        <v>0</v>
      </c>
      <c r="V58" s="144" t="str">
        <f t="shared" si="2"/>
        <v>Mulai berkembang</v>
      </c>
      <c r="W58" s="144" t="str">
        <f t="shared" si="3"/>
        <v>Mulai berkembang</v>
      </c>
      <c r="X58" s="144" t="e">
        <f t="shared" si="9"/>
        <v>#N/A</v>
      </c>
      <c r="Y58" s="145" t="e">
        <f t="shared" si="10"/>
        <v>#N/A</v>
      </c>
      <c r="Z58" s="218" t="str">
        <f>IF('PA-Non'!O58&lt;&gt;"",'PA-Non'!O58,IFERROR("Mempunyai kemampuan yang " &amp;IF(V58=W58,PROPER(W58)&amp;" dalam kompetensi "&amp;VLOOKUP(X58,$G$532:$I$539,3)&amp;" dan kompetensi "&amp;VLOOKUP(Y58,$G$532:$I$539,3),PROPER(V58)&amp;" dalam kompetensi "&amp;VLOOKUP(X58,$G$532:$I$539,3)&amp;" dan memiliki kemampuan yang "&amp;W58&amp;" pada kompetensi "&amp;VLOOKUP(Y58,$G$532:$I$539,3)),""))</f>
        <v/>
      </c>
      <c r="AA58" s="343"/>
      <c r="AB58" s="344"/>
      <c r="AC58" s="344"/>
      <c r="AD58" s="344"/>
      <c r="AE58" s="344"/>
      <c r="AF58" s="344"/>
      <c r="AG58" s="344"/>
      <c r="AH58" s="345"/>
      <c r="AI58" s="220" t="str">
        <f t="shared" si="11"/>
        <v/>
      </c>
      <c r="AJ58" s="160" t="str">
        <f>IF(AI58="","",IF(AI58&gt;Data2!$C$12,Data2!$D$11,IF(AI58&gt;Data2!$C$13,Data2!$D$12,IF(AI58&gt;Data2!$C$14,Data2!$D$13,Data2!$D$14))))</f>
        <v/>
      </c>
      <c r="AK58" s="146">
        <f t="shared" si="12"/>
        <v>0</v>
      </c>
      <c r="AL58" s="146">
        <f t="shared" si="13"/>
        <v>0</v>
      </c>
      <c r="AM58" s="147" t="str">
        <f t="shared" si="4"/>
        <v>Mulai meningkat</v>
      </c>
      <c r="AN58" s="147" t="str">
        <f t="shared" si="5"/>
        <v>Mulai meningkat</v>
      </c>
      <c r="AO58" s="146" t="e">
        <f t="shared" si="14"/>
        <v>#N/A</v>
      </c>
      <c r="AP58" s="148" t="e">
        <f t="shared" si="15"/>
        <v>#N/A</v>
      </c>
      <c r="AQ58" s="158" t="str">
        <f>IF('PA-Non'!V58&lt;&gt;"",'PA-Non'!V58,IFERROR("Mempunyai keterampilan yang "&amp;IF(AM58=AN58,PROPER(AN58)&amp;" dalam kompetensi "&amp;VLOOKUP(AO58,$AA$532:$AC$539,3)&amp;", demikian juga dalam kompetensi "&amp;VLOOKUP(AP58,$AA$532:$AC$539,3),PROPER(AM58)&amp;" dalam kompetensi "&amp;VLOOKUP(AO58,$AA$532:$AC$539,3)&amp;" dan "&amp;AN58&amp;" pada kompetensi "&amp;VLOOKUP(AP58,$AA$532:$AC$539,3)),""))</f>
        <v/>
      </c>
      <c r="AR58" s="188"/>
    </row>
    <row r="59" spans="2:44" ht="27.9" customHeight="1" thickBot="1" x14ac:dyDescent="0.35">
      <c r="B59" s="384" t="s">
        <v>29</v>
      </c>
      <c r="C59" s="149">
        <f t="shared" si="16"/>
        <v>10</v>
      </c>
      <c r="D59" s="150" t="str">
        <f>IF(Data!F54="","",Data!F54)</f>
        <v>03531</v>
      </c>
      <c r="E59" s="151" t="str">
        <f>IF(Data!H54="","",Data!H54)</f>
        <v>Alvin Zakaria</v>
      </c>
      <c r="F59" s="152" t="str">
        <f>IF(Data!I54="","",Data!I54)</f>
        <v>Laki-laki</v>
      </c>
      <c r="G59" s="343"/>
      <c r="H59" s="344"/>
      <c r="I59" s="344"/>
      <c r="J59" s="344"/>
      <c r="K59" s="344"/>
      <c r="L59" s="344"/>
      <c r="M59" s="344"/>
      <c r="N59" s="345"/>
      <c r="O59" s="157" t="str">
        <f t="shared" si="6"/>
        <v/>
      </c>
      <c r="P59" s="344"/>
      <c r="Q59" s="346"/>
      <c r="R59" s="157" t="str">
        <f t="shared" si="17"/>
        <v/>
      </c>
      <c r="S59" s="159" t="str">
        <f>IF(R59="","",IF(R59&gt;Data2!$C$12,Data2!$D$11,IF(R59&gt;Data2!$C$13,Data2!$D$12,IF(R59&gt;Data2!$C$14,Data2!$D$13,Data2!$D$14))))</f>
        <v/>
      </c>
      <c r="T59" s="144">
        <f t="shared" si="7"/>
        <v>0</v>
      </c>
      <c r="U59" s="144">
        <f t="shared" si="8"/>
        <v>0</v>
      </c>
      <c r="V59" s="144" t="str">
        <f t="shared" si="2"/>
        <v>Mulai berkembang</v>
      </c>
      <c r="W59" s="144" t="str">
        <f t="shared" si="3"/>
        <v>Mulai berkembang</v>
      </c>
      <c r="X59" s="144" t="e">
        <f t="shared" si="9"/>
        <v>#N/A</v>
      </c>
      <c r="Y59" s="145" t="e">
        <f t="shared" si="10"/>
        <v>#N/A</v>
      </c>
      <c r="Z59" s="218" t="str">
        <f>IF('PA-Non'!O59&lt;&gt;"",'PA-Non'!O59,IFERROR("Mempunyai kemampuan yang " &amp;IF(V59=W59,PROPER(W59)&amp;" dalam kompetensi "&amp;VLOOKUP(X59,$G$532:$I$539,3)&amp;" dan kompetensi "&amp;VLOOKUP(Y59,$G$532:$I$539,3),PROPER(V59)&amp;" dalam kompetensi "&amp;VLOOKUP(X59,$G$532:$I$539,3)&amp;" dan memiliki kemampuan yang "&amp;W59&amp;" pada kompetensi "&amp;VLOOKUP(Y59,$G$532:$I$539,3)),""))</f>
        <v/>
      </c>
      <c r="AA59" s="343"/>
      <c r="AB59" s="344"/>
      <c r="AC59" s="344"/>
      <c r="AD59" s="344"/>
      <c r="AE59" s="344"/>
      <c r="AF59" s="344"/>
      <c r="AG59" s="344"/>
      <c r="AH59" s="345"/>
      <c r="AI59" s="220" t="str">
        <f t="shared" si="11"/>
        <v/>
      </c>
      <c r="AJ59" s="160" t="str">
        <f>IF(AI59="","",IF(AI59&gt;Data2!$C$12,Data2!$D$11,IF(AI59&gt;Data2!$C$13,Data2!$D$12,IF(AI59&gt;Data2!$C$14,Data2!$D$13,Data2!$D$14))))</f>
        <v/>
      </c>
      <c r="AK59" s="146">
        <f t="shared" si="12"/>
        <v>0</v>
      </c>
      <c r="AL59" s="146">
        <f t="shared" si="13"/>
        <v>0</v>
      </c>
      <c r="AM59" s="147" t="str">
        <f t="shared" si="4"/>
        <v>Mulai meningkat</v>
      </c>
      <c r="AN59" s="147" t="str">
        <f t="shared" si="5"/>
        <v>Mulai meningkat</v>
      </c>
      <c r="AO59" s="146" t="e">
        <f t="shared" si="14"/>
        <v>#N/A</v>
      </c>
      <c r="AP59" s="148" t="e">
        <f t="shared" si="15"/>
        <v>#N/A</v>
      </c>
      <c r="AQ59" s="158" t="str">
        <f>IF('PA-Non'!V59&lt;&gt;"",'PA-Non'!V59,IFERROR("Mempunyai keterampilan yang "&amp;IF(AM59=AN59,PROPER(AN59)&amp;" dalam kompetensi "&amp;VLOOKUP(AO59,$AA$532:$AC$539,3)&amp;", demikian juga dalam kompetensi "&amp;VLOOKUP(AP59,$AA$532:$AC$539,3),PROPER(AM59)&amp;" dalam kompetensi "&amp;VLOOKUP(AO59,$AA$532:$AC$539,3)&amp;" dan "&amp;AN59&amp;" pada kompetensi "&amp;VLOOKUP(AP59,$AA$532:$AC$539,3)),""))</f>
        <v/>
      </c>
      <c r="AR59" s="188"/>
    </row>
    <row r="60" spans="2:44" ht="27.9" customHeight="1" thickBot="1" x14ac:dyDescent="0.35">
      <c r="B60" s="384" t="s">
        <v>29</v>
      </c>
      <c r="C60" s="149">
        <f t="shared" si="16"/>
        <v>11</v>
      </c>
      <c r="D60" s="150" t="str">
        <f>IF(Data!F55="","",Data!F55)</f>
        <v>03534</v>
      </c>
      <c r="E60" s="151" t="str">
        <f>IF(Data!H55="","",Data!H55)</f>
        <v>Aufal Fadhol Al-Hariry</v>
      </c>
      <c r="F60" s="152" t="str">
        <f>IF(Data!I55="","",Data!I55)</f>
        <v>Laki-laki</v>
      </c>
      <c r="G60" s="343"/>
      <c r="H60" s="344"/>
      <c r="I60" s="344"/>
      <c r="J60" s="344"/>
      <c r="K60" s="344"/>
      <c r="L60" s="344"/>
      <c r="M60" s="344"/>
      <c r="N60" s="345"/>
      <c r="O60" s="157" t="str">
        <f t="shared" si="6"/>
        <v/>
      </c>
      <c r="P60" s="344"/>
      <c r="Q60" s="346"/>
      <c r="R60" s="157" t="str">
        <f t="shared" si="17"/>
        <v/>
      </c>
      <c r="S60" s="159" t="str">
        <f>IF(R60="","",IF(R60&gt;Data2!$C$12,Data2!$D$11,IF(R60&gt;Data2!$C$13,Data2!$D$12,IF(R60&gt;Data2!$C$14,Data2!$D$13,Data2!$D$14))))</f>
        <v/>
      </c>
      <c r="T60" s="144">
        <f t="shared" si="7"/>
        <v>0</v>
      </c>
      <c r="U60" s="144">
        <f t="shared" si="8"/>
        <v>0</v>
      </c>
      <c r="V60" s="144" t="str">
        <f t="shared" si="2"/>
        <v>Mulai berkembang</v>
      </c>
      <c r="W60" s="144" t="str">
        <f t="shared" si="3"/>
        <v>Mulai berkembang</v>
      </c>
      <c r="X60" s="144" t="e">
        <f t="shared" si="9"/>
        <v>#N/A</v>
      </c>
      <c r="Y60" s="145" t="e">
        <f t="shared" si="10"/>
        <v>#N/A</v>
      </c>
      <c r="Z60" s="218" t="str">
        <f>IF('PA-Non'!O60&lt;&gt;"",'PA-Non'!O60,IFERROR("Mempunyai kemampuan yang " &amp;IF(V60=W60,PROPER(W60)&amp;" dalam kompetensi "&amp;VLOOKUP(X60,$G$532:$I$539,3)&amp;" dan kompetensi "&amp;VLOOKUP(Y60,$G$532:$I$539,3),PROPER(V60)&amp;" dalam kompetensi "&amp;VLOOKUP(X60,$G$532:$I$539,3)&amp;" dan memiliki kemampuan yang "&amp;W60&amp;" pada kompetensi "&amp;VLOOKUP(Y60,$G$532:$I$539,3)),""))</f>
        <v/>
      </c>
      <c r="AA60" s="343"/>
      <c r="AB60" s="344"/>
      <c r="AC60" s="344"/>
      <c r="AD60" s="344"/>
      <c r="AE60" s="344"/>
      <c r="AF60" s="344"/>
      <c r="AG60" s="344"/>
      <c r="AH60" s="345"/>
      <c r="AI60" s="220" t="str">
        <f t="shared" si="11"/>
        <v/>
      </c>
      <c r="AJ60" s="160" t="str">
        <f>IF(AI60="","",IF(AI60&gt;Data2!$C$12,Data2!$D$11,IF(AI60&gt;Data2!$C$13,Data2!$D$12,IF(AI60&gt;Data2!$C$14,Data2!$D$13,Data2!$D$14))))</f>
        <v/>
      </c>
      <c r="AK60" s="146">
        <f t="shared" si="12"/>
        <v>0</v>
      </c>
      <c r="AL60" s="146">
        <f t="shared" si="13"/>
        <v>0</v>
      </c>
      <c r="AM60" s="147" t="str">
        <f t="shared" si="4"/>
        <v>Mulai meningkat</v>
      </c>
      <c r="AN60" s="147" t="str">
        <f t="shared" si="5"/>
        <v>Mulai meningkat</v>
      </c>
      <c r="AO60" s="146" t="e">
        <f t="shared" si="14"/>
        <v>#N/A</v>
      </c>
      <c r="AP60" s="148" t="e">
        <f t="shared" si="15"/>
        <v>#N/A</v>
      </c>
      <c r="AQ60" s="158" t="str">
        <f>IF('PA-Non'!V60&lt;&gt;"",'PA-Non'!V60,IFERROR("Mempunyai keterampilan yang "&amp;IF(AM60=AN60,PROPER(AN60)&amp;" dalam kompetensi "&amp;VLOOKUP(AO60,$AA$532:$AC$539,3)&amp;", demikian juga dalam kompetensi "&amp;VLOOKUP(AP60,$AA$532:$AC$539,3),PROPER(AM60)&amp;" dalam kompetensi "&amp;VLOOKUP(AO60,$AA$532:$AC$539,3)&amp;" dan "&amp;AN60&amp;" pada kompetensi "&amp;VLOOKUP(AP60,$AA$532:$AC$539,3)),""))</f>
        <v/>
      </c>
      <c r="AR60" s="188"/>
    </row>
    <row r="61" spans="2:44" ht="27.9" customHeight="1" thickBot="1" x14ac:dyDescent="0.35">
      <c r="B61" s="384" t="s">
        <v>29</v>
      </c>
      <c r="C61" s="149">
        <f t="shared" si="16"/>
        <v>12</v>
      </c>
      <c r="D61" s="150" t="str">
        <f>IF(Data!F56="","",Data!F56)</f>
        <v>03535</v>
      </c>
      <c r="E61" s="151" t="str">
        <f>IF(Data!H56="","",Data!H56)</f>
        <v>Azka Naufal Pratama</v>
      </c>
      <c r="F61" s="152" t="str">
        <f>IF(Data!I56="","",Data!I56)</f>
        <v>Laki-laki</v>
      </c>
      <c r="G61" s="343"/>
      <c r="H61" s="344"/>
      <c r="I61" s="344"/>
      <c r="J61" s="344"/>
      <c r="K61" s="344"/>
      <c r="L61" s="344"/>
      <c r="M61" s="344"/>
      <c r="N61" s="345"/>
      <c r="O61" s="157" t="str">
        <f t="shared" si="6"/>
        <v/>
      </c>
      <c r="P61" s="344"/>
      <c r="Q61" s="346"/>
      <c r="R61" s="157" t="str">
        <f t="shared" si="17"/>
        <v/>
      </c>
      <c r="S61" s="159" t="str">
        <f>IF(R61="","",IF(R61&gt;Data2!$C$12,Data2!$D$11,IF(R61&gt;Data2!$C$13,Data2!$D$12,IF(R61&gt;Data2!$C$14,Data2!$D$13,Data2!$D$14))))</f>
        <v/>
      </c>
      <c r="T61" s="144">
        <f t="shared" si="7"/>
        <v>0</v>
      </c>
      <c r="U61" s="144">
        <f t="shared" si="8"/>
        <v>0</v>
      </c>
      <c r="V61" s="144" t="str">
        <f t="shared" si="2"/>
        <v>Mulai berkembang</v>
      </c>
      <c r="W61" s="144" t="str">
        <f t="shared" si="3"/>
        <v>Mulai berkembang</v>
      </c>
      <c r="X61" s="144" t="e">
        <f t="shared" si="9"/>
        <v>#N/A</v>
      </c>
      <c r="Y61" s="145" t="e">
        <f t="shared" si="10"/>
        <v>#N/A</v>
      </c>
      <c r="Z61" s="218" t="str">
        <f>IF('PA-Non'!O61&lt;&gt;"",'PA-Non'!O61,IFERROR("Mempunyai kemampuan yang " &amp;IF(V61=W61,PROPER(W61)&amp;" dalam kompetensi "&amp;VLOOKUP(X61,$G$532:$I$539,3)&amp;" dan kompetensi "&amp;VLOOKUP(Y61,$G$532:$I$539,3),PROPER(V61)&amp;" dalam kompetensi "&amp;VLOOKUP(X61,$G$532:$I$539,3)&amp;" dan memiliki kemampuan yang "&amp;W61&amp;" pada kompetensi "&amp;VLOOKUP(Y61,$G$532:$I$539,3)),""))</f>
        <v/>
      </c>
      <c r="AA61" s="343"/>
      <c r="AB61" s="344"/>
      <c r="AC61" s="344"/>
      <c r="AD61" s="344"/>
      <c r="AE61" s="344"/>
      <c r="AF61" s="344"/>
      <c r="AG61" s="344"/>
      <c r="AH61" s="345"/>
      <c r="AI61" s="220" t="str">
        <f t="shared" si="11"/>
        <v/>
      </c>
      <c r="AJ61" s="160" t="str">
        <f>IF(AI61="","",IF(AI61&gt;Data2!$C$12,Data2!$D$11,IF(AI61&gt;Data2!$C$13,Data2!$D$12,IF(AI61&gt;Data2!$C$14,Data2!$D$13,Data2!$D$14))))</f>
        <v/>
      </c>
      <c r="AK61" s="146">
        <f t="shared" si="12"/>
        <v>0</v>
      </c>
      <c r="AL61" s="146">
        <f t="shared" si="13"/>
        <v>0</v>
      </c>
      <c r="AM61" s="147" t="str">
        <f t="shared" si="4"/>
        <v>Mulai meningkat</v>
      </c>
      <c r="AN61" s="147" t="str">
        <f t="shared" si="5"/>
        <v>Mulai meningkat</v>
      </c>
      <c r="AO61" s="146" t="e">
        <f t="shared" si="14"/>
        <v>#N/A</v>
      </c>
      <c r="AP61" s="148" t="e">
        <f t="shared" si="15"/>
        <v>#N/A</v>
      </c>
      <c r="AQ61" s="158" t="str">
        <f>IF('PA-Non'!V61&lt;&gt;"",'PA-Non'!V61,IFERROR("Mempunyai keterampilan yang "&amp;IF(AM61=AN61,PROPER(AN61)&amp;" dalam kompetensi "&amp;VLOOKUP(AO61,$AA$532:$AC$539,3)&amp;", demikian juga dalam kompetensi "&amp;VLOOKUP(AP61,$AA$532:$AC$539,3),PROPER(AM61)&amp;" dalam kompetensi "&amp;VLOOKUP(AO61,$AA$532:$AC$539,3)&amp;" dan "&amp;AN61&amp;" pada kompetensi "&amp;VLOOKUP(AP61,$AA$532:$AC$539,3)),""))</f>
        <v/>
      </c>
      <c r="AR61" s="188"/>
    </row>
    <row r="62" spans="2:44" ht="27.9" customHeight="1" thickBot="1" x14ac:dyDescent="0.35">
      <c r="B62" s="384" t="s">
        <v>29</v>
      </c>
      <c r="C62" s="149">
        <f t="shared" si="16"/>
        <v>13</v>
      </c>
      <c r="D62" s="150" t="str">
        <f>IF(Data!F57="","",Data!F57)</f>
        <v>03546</v>
      </c>
      <c r="E62" s="151" t="str">
        <f>IF(Data!H57="","",Data!H57)</f>
        <v>Ghyna Dzakiya Ucchaishthana</v>
      </c>
      <c r="F62" s="152" t="str">
        <f>IF(Data!I57="","",Data!I57)</f>
        <v>Laki-laki</v>
      </c>
      <c r="G62" s="343"/>
      <c r="H62" s="344"/>
      <c r="I62" s="344"/>
      <c r="J62" s="344"/>
      <c r="K62" s="344"/>
      <c r="L62" s="344"/>
      <c r="M62" s="344"/>
      <c r="N62" s="345"/>
      <c r="O62" s="157" t="str">
        <f t="shared" si="6"/>
        <v/>
      </c>
      <c r="P62" s="344"/>
      <c r="Q62" s="346"/>
      <c r="R62" s="157" t="str">
        <f t="shared" si="17"/>
        <v/>
      </c>
      <c r="S62" s="159" t="str">
        <f>IF(R62="","",IF(R62&gt;Data2!$C$12,Data2!$D$11,IF(R62&gt;Data2!$C$13,Data2!$D$12,IF(R62&gt;Data2!$C$14,Data2!$D$13,Data2!$D$14))))</f>
        <v/>
      </c>
      <c r="T62" s="144">
        <f t="shared" si="7"/>
        <v>0</v>
      </c>
      <c r="U62" s="144">
        <f t="shared" si="8"/>
        <v>0</v>
      </c>
      <c r="V62" s="144" t="str">
        <f t="shared" si="2"/>
        <v>Mulai berkembang</v>
      </c>
      <c r="W62" s="144" t="str">
        <f t="shared" si="3"/>
        <v>Mulai berkembang</v>
      </c>
      <c r="X62" s="144" t="e">
        <f t="shared" si="9"/>
        <v>#N/A</v>
      </c>
      <c r="Y62" s="145" t="e">
        <f t="shared" si="10"/>
        <v>#N/A</v>
      </c>
      <c r="Z62" s="218" t="str">
        <f>IF('PA-Non'!O62&lt;&gt;"",'PA-Non'!O62,IFERROR("Mempunyai kemampuan yang " &amp;IF(V62=W62,PROPER(W62)&amp;" dalam kompetensi "&amp;VLOOKUP(X62,$G$532:$I$539,3)&amp;" dan kompetensi "&amp;VLOOKUP(Y62,$G$532:$I$539,3),PROPER(V62)&amp;" dalam kompetensi "&amp;VLOOKUP(X62,$G$532:$I$539,3)&amp;" dan memiliki kemampuan yang "&amp;W62&amp;" pada kompetensi "&amp;VLOOKUP(Y62,$G$532:$I$539,3)),""))</f>
        <v/>
      </c>
      <c r="AA62" s="343"/>
      <c r="AB62" s="344"/>
      <c r="AC62" s="344"/>
      <c r="AD62" s="344"/>
      <c r="AE62" s="344"/>
      <c r="AF62" s="344"/>
      <c r="AG62" s="344"/>
      <c r="AH62" s="345"/>
      <c r="AI62" s="220" t="str">
        <f t="shared" si="11"/>
        <v/>
      </c>
      <c r="AJ62" s="160" t="str">
        <f>IF(AI62="","",IF(AI62&gt;Data2!$C$12,Data2!$D$11,IF(AI62&gt;Data2!$C$13,Data2!$D$12,IF(AI62&gt;Data2!$C$14,Data2!$D$13,Data2!$D$14))))</f>
        <v/>
      </c>
      <c r="AK62" s="146">
        <f t="shared" si="12"/>
        <v>0</v>
      </c>
      <c r="AL62" s="146">
        <f t="shared" si="13"/>
        <v>0</v>
      </c>
      <c r="AM62" s="147" t="str">
        <f t="shared" si="4"/>
        <v>Mulai meningkat</v>
      </c>
      <c r="AN62" s="147" t="str">
        <f t="shared" si="5"/>
        <v>Mulai meningkat</v>
      </c>
      <c r="AO62" s="146" t="e">
        <f t="shared" si="14"/>
        <v>#N/A</v>
      </c>
      <c r="AP62" s="148" t="e">
        <f t="shared" si="15"/>
        <v>#N/A</v>
      </c>
      <c r="AQ62" s="158" t="str">
        <f>IF('PA-Non'!V62&lt;&gt;"",'PA-Non'!V62,IFERROR("Mempunyai keterampilan yang "&amp;IF(AM62=AN62,PROPER(AN62)&amp;" dalam kompetensi "&amp;VLOOKUP(AO62,$AA$532:$AC$539,3)&amp;", demikian juga dalam kompetensi "&amp;VLOOKUP(AP62,$AA$532:$AC$539,3),PROPER(AM62)&amp;" dalam kompetensi "&amp;VLOOKUP(AO62,$AA$532:$AC$539,3)&amp;" dan "&amp;AN62&amp;" pada kompetensi "&amp;VLOOKUP(AP62,$AA$532:$AC$539,3)),""))</f>
        <v/>
      </c>
      <c r="AR62" s="188"/>
    </row>
    <row r="63" spans="2:44" ht="27.9" customHeight="1" thickBot="1" x14ac:dyDescent="0.35">
      <c r="B63" s="384" t="s">
        <v>29</v>
      </c>
      <c r="C63" s="149">
        <f t="shared" si="16"/>
        <v>14</v>
      </c>
      <c r="D63" s="150" t="str">
        <f>IF(Data!F58="","",Data!F58)</f>
        <v>03547</v>
      </c>
      <c r="E63" s="151" t="str">
        <f>IF(Data!H58="","",Data!H58)</f>
        <v>Gyo Ibnu Maskur</v>
      </c>
      <c r="F63" s="152" t="str">
        <f>IF(Data!I58="","",Data!I58)</f>
        <v>Laki-laki</v>
      </c>
      <c r="G63" s="343"/>
      <c r="H63" s="344"/>
      <c r="I63" s="344"/>
      <c r="J63" s="344"/>
      <c r="K63" s="344"/>
      <c r="L63" s="344"/>
      <c r="M63" s="344"/>
      <c r="N63" s="345"/>
      <c r="O63" s="157" t="str">
        <f t="shared" si="6"/>
        <v/>
      </c>
      <c r="P63" s="344"/>
      <c r="Q63" s="346"/>
      <c r="R63" s="157" t="str">
        <f t="shared" si="17"/>
        <v/>
      </c>
      <c r="S63" s="159" t="str">
        <f>IF(R63="","",IF(R63&gt;Data2!$C$12,Data2!$D$11,IF(R63&gt;Data2!$C$13,Data2!$D$12,IF(R63&gt;Data2!$C$14,Data2!$D$13,Data2!$D$14))))</f>
        <v/>
      </c>
      <c r="T63" s="144">
        <f t="shared" si="7"/>
        <v>0</v>
      </c>
      <c r="U63" s="144">
        <f t="shared" si="8"/>
        <v>0</v>
      </c>
      <c r="V63" s="144" t="str">
        <f t="shared" si="2"/>
        <v>Mulai berkembang</v>
      </c>
      <c r="W63" s="144" t="str">
        <f t="shared" si="3"/>
        <v>Mulai berkembang</v>
      </c>
      <c r="X63" s="144" t="e">
        <f t="shared" si="9"/>
        <v>#N/A</v>
      </c>
      <c r="Y63" s="145" t="e">
        <f t="shared" si="10"/>
        <v>#N/A</v>
      </c>
      <c r="Z63" s="218" t="str">
        <f>IF('PA-Non'!O63&lt;&gt;"",'PA-Non'!O63,IFERROR("Mempunyai kemampuan yang " &amp;IF(V63=W63,PROPER(W63)&amp;" dalam kompetensi "&amp;VLOOKUP(X63,$G$532:$I$539,3)&amp;" dan kompetensi "&amp;VLOOKUP(Y63,$G$532:$I$539,3),PROPER(V63)&amp;" dalam kompetensi "&amp;VLOOKUP(X63,$G$532:$I$539,3)&amp;" dan memiliki kemampuan yang "&amp;W63&amp;" pada kompetensi "&amp;VLOOKUP(Y63,$G$532:$I$539,3)),""))</f>
        <v/>
      </c>
      <c r="AA63" s="343"/>
      <c r="AB63" s="344"/>
      <c r="AC63" s="344"/>
      <c r="AD63" s="344"/>
      <c r="AE63" s="344"/>
      <c r="AF63" s="344"/>
      <c r="AG63" s="344"/>
      <c r="AH63" s="345"/>
      <c r="AI63" s="220" t="str">
        <f t="shared" si="11"/>
        <v/>
      </c>
      <c r="AJ63" s="160" t="str">
        <f>IF(AI63="","",IF(AI63&gt;Data2!$C$12,Data2!$D$11,IF(AI63&gt;Data2!$C$13,Data2!$D$12,IF(AI63&gt;Data2!$C$14,Data2!$D$13,Data2!$D$14))))</f>
        <v/>
      </c>
      <c r="AK63" s="146">
        <f t="shared" si="12"/>
        <v>0</v>
      </c>
      <c r="AL63" s="146">
        <f t="shared" si="13"/>
        <v>0</v>
      </c>
      <c r="AM63" s="147" t="str">
        <f t="shared" si="4"/>
        <v>Mulai meningkat</v>
      </c>
      <c r="AN63" s="147" t="str">
        <f t="shared" si="5"/>
        <v>Mulai meningkat</v>
      </c>
      <c r="AO63" s="146" t="e">
        <f t="shared" si="14"/>
        <v>#N/A</v>
      </c>
      <c r="AP63" s="148" t="e">
        <f t="shared" si="15"/>
        <v>#N/A</v>
      </c>
      <c r="AQ63" s="158" t="str">
        <f>IF('PA-Non'!V63&lt;&gt;"",'PA-Non'!V63,IFERROR("Mempunyai keterampilan yang "&amp;IF(AM63=AN63,PROPER(AN63)&amp;" dalam kompetensi "&amp;VLOOKUP(AO63,$AA$532:$AC$539,3)&amp;", demikian juga dalam kompetensi "&amp;VLOOKUP(AP63,$AA$532:$AC$539,3),PROPER(AM63)&amp;" dalam kompetensi "&amp;VLOOKUP(AO63,$AA$532:$AC$539,3)&amp;" dan "&amp;AN63&amp;" pada kompetensi "&amp;VLOOKUP(AP63,$AA$532:$AC$539,3)),""))</f>
        <v/>
      </c>
      <c r="AR63" s="188"/>
    </row>
    <row r="64" spans="2:44" ht="27.9" customHeight="1" thickBot="1" x14ac:dyDescent="0.35">
      <c r="B64" s="384" t="s">
        <v>29</v>
      </c>
      <c r="C64" s="149">
        <f t="shared" si="16"/>
        <v>15</v>
      </c>
      <c r="D64" s="150" t="str">
        <f>IF(Data!F59="","",Data!F59)</f>
        <v>03548</v>
      </c>
      <c r="E64" s="151" t="str">
        <f>IF(Data!H59="","",Data!H59)</f>
        <v>Hamizan Raihan Azka</v>
      </c>
      <c r="F64" s="152" t="str">
        <f>IF(Data!I59="","",Data!I59)</f>
        <v>Laki-laki</v>
      </c>
      <c r="G64" s="343"/>
      <c r="H64" s="344"/>
      <c r="I64" s="344"/>
      <c r="J64" s="344"/>
      <c r="K64" s="344"/>
      <c r="L64" s="344"/>
      <c r="M64" s="344"/>
      <c r="N64" s="345"/>
      <c r="O64" s="157" t="str">
        <f t="shared" si="6"/>
        <v/>
      </c>
      <c r="P64" s="344"/>
      <c r="Q64" s="346"/>
      <c r="R64" s="157" t="str">
        <f t="shared" si="17"/>
        <v/>
      </c>
      <c r="S64" s="159" t="str">
        <f>IF(R64="","",IF(R64&gt;Data2!$C$12,Data2!$D$11,IF(R64&gt;Data2!$C$13,Data2!$D$12,IF(R64&gt;Data2!$C$14,Data2!$D$13,Data2!$D$14))))</f>
        <v/>
      </c>
      <c r="T64" s="144">
        <f t="shared" si="7"/>
        <v>0</v>
      </c>
      <c r="U64" s="144">
        <f t="shared" si="8"/>
        <v>0</v>
      </c>
      <c r="V64" s="144" t="str">
        <f t="shared" si="2"/>
        <v>Mulai berkembang</v>
      </c>
      <c r="W64" s="144" t="str">
        <f t="shared" si="3"/>
        <v>Mulai berkembang</v>
      </c>
      <c r="X64" s="144" t="e">
        <f t="shared" si="9"/>
        <v>#N/A</v>
      </c>
      <c r="Y64" s="145" t="e">
        <f t="shared" si="10"/>
        <v>#N/A</v>
      </c>
      <c r="Z64" s="218" t="str">
        <f>IF('PA-Non'!O64&lt;&gt;"",'PA-Non'!O64,IFERROR("Mempunyai kemampuan yang " &amp;IF(V64=W64,PROPER(W64)&amp;" dalam kompetensi "&amp;VLOOKUP(X64,$G$532:$I$539,3)&amp;" dan kompetensi "&amp;VLOOKUP(Y64,$G$532:$I$539,3),PROPER(V64)&amp;" dalam kompetensi "&amp;VLOOKUP(X64,$G$532:$I$539,3)&amp;" dan memiliki kemampuan yang "&amp;W64&amp;" pada kompetensi "&amp;VLOOKUP(Y64,$G$532:$I$539,3)),""))</f>
        <v/>
      </c>
      <c r="AA64" s="343"/>
      <c r="AB64" s="344"/>
      <c r="AC64" s="344"/>
      <c r="AD64" s="344"/>
      <c r="AE64" s="344"/>
      <c r="AF64" s="344"/>
      <c r="AG64" s="344"/>
      <c r="AH64" s="345"/>
      <c r="AI64" s="220" t="str">
        <f t="shared" si="11"/>
        <v/>
      </c>
      <c r="AJ64" s="160" t="str">
        <f>IF(AI64="","",IF(AI64&gt;Data2!$C$12,Data2!$D$11,IF(AI64&gt;Data2!$C$13,Data2!$D$12,IF(AI64&gt;Data2!$C$14,Data2!$D$13,Data2!$D$14))))</f>
        <v/>
      </c>
      <c r="AK64" s="146">
        <f t="shared" si="12"/>
        <v>0</v>
      </c>
      <c r="AL64" s="146">
        <f t="shared" si="13"/>
        <v>0</v>
      </c>
      <c r="AM64" s="147" t="str">
        <f t="shared" si="4"/>
        <v>Mulai meningkat</v>
      </c>
      <c r="AN64" s="147" t="str">
        <f t="shared" si="5"/>
        <v>Mulai meningkat</v>
      </c>
      <c r="AO64" s="146" t="e">
        <f t="shared" si="14"/>
        <v>#N/A</v>
      </c>
      <c r="AP64" s="148" t="e">
        <f t="shared" si="15"/>
        <v>#N/A</v>
      </c>
      <c r="AQ64" s="158" t="str">
        <f>IF('PA-Non'!V64&lt;&gt;"",'PA-Non'!V64,IFERROR("Mempunyai keterampilan yang "&amp;IF(AM64=AN64,PROPER(AN64)&amp;" dalam kompetensi "&amp;VLOOKUP(AO64,$AA$532:$AC$539,3)&amp;", demikian juga dalam kompetensi "&amp;VLOOKUP(AP64,$AA$532:$AC$539,3),PROPER(AM64)&amp;" dalam kompetensi "&amp;VLOOKUP(AO64,$AA$532:$AC$539,3)&amp;" dan "&amp;AN64&amp;" pada kompetensi "&amp;VLOOKUP(AP64,$AA$532:$AC$539,3)),""))</f>
        <v/>
      </c>
      <c r="AR64" s="188"/>
    </row>
    <row r="65" spans="2:44" ht="27.9" customHeight="1" thickBot="1" x14ac:dyDescent="0.35">
      <c r="B65" s="384" t="s">
        <v>29</v>
      </c>
      <c r="C65" s="149">
        <f t="shared" si="16"/>
        <v>16</v>
      </c>
      <c r="D65" s="150" t="str">
        <f>IF(Data!F60="","",Data!F60)</f>
        <v>03549</v>
      </c>
      <c r="E65" s="151" t="str">
        <f>IF(Data!H60="","",Data!H60)</f>
        <v>Ja'Far Zainal Kafi Ma'Ruf</v>
      </c>
      <c r="F65" s="152" t="str">
        <f>IF(Data!I60="","",Data!I60)</f>
        <v>Laki-laki</v>
      </c>
      <c r="G65" s="343"/>
      <c r="H65" s="344"/>
      <c r="I65" s="344"/>
      <c r="J65" s="344"/>
      <c r="K65" s="344"/>
      <c r="L65" s="344"/>
      <c r="M65" s="344"/>
      <c r="N65" s="345"/>
      <c r="O65" s="157" t="str">
        <f t="shared" si="6"/>
        <v/>
      </c>
      <c r="P65" s="344"/>
      <c r="Q65" s="346"/>
      <c r="R65" s="157" t="str">
        <f t="shared" si="17"/>
        <v/>
      </c>
      <c r="S65" s="159" t="str">
        <f>IF(R65="","",IF(R65&gt;Data2!$C$12,Data2!$D$11,IF(R65&gt;Data2!$C$13,Data2!$D$12,IF(R65&gt;Data2!$C$14,Data2!$D$13,Data2!$D$14))))</f>
        <v/>
      </c>
      <c r="T65" s="144">
        <f t="shared" si="7"/>
        <v>0</v>
      </c>
      <c r="U65" s="144">
        <f t="shared" si="8"/>
        <v>0</v>
      </c>
      <c r="V65" s="144" t="str">
        <f t="shared" si="2"/>
        <v>Mulai berkembang</v>
      </c>
      <c r="W65" s="144" t="str">
        <f t="shared" si="3"/>
        <v>Mulai berkembang</v>
      </c>
      <c r="X65" s="144" t="e">
        <f t="shared" si="9"/>
        <v>#N/A</v>
      </c>
      <c r="Y65" s="145" t="e">
        <f t="shared" si="10"/>
        <v>#N/A</v>
      </c>
      <c r="Z65" s="218" t="str">
        <f>IF('PA-Non'!O65&lt;&gt;"",'PA-Non'!O65,IFERROR("Mempunyai kemampuan yang " &amp;IF(V65=W65,PROPER(W65)&amp;" dalam kompetensi "&amp;VLOOKUP(X65,$G$532:$I$539,3)&amp;" dan kompetensi "&amp;VLOOKUP(Y65,$G$532:$I$539,3),PROPER(V65)&amp;" dalam kompetensi "&amp;VLOOKUP(X65,$G$532:$I$539,3)&amp;" dan memiliki kemampuan yang "&amp;W65&amp;" pada kompetensi "&amp;VLOOKUP(Y65,$G$532:$I$539,3)),""))</f>
        <v/>
      </c>
      <c r="AA65" s="343"/>
      <c r="AB65" s="344"/>
      <c r="AC65" s="344"/>
      <c r="AD65" s="344"/>
      <c r="AE65" s="344"/>
      <c r="AF65" s="344"/>
      <c r="AG65" s="344"/>
      <c r="AH65" s="345"/>
      <c r="AI65" s="220" t="str">
        <f t="shared" si="11"/>
        <v/>
      </c>
      <c r="AJ65" s="160" t="str">
        <f>IF(AI65="","",IF(AI65&gt;Data2!$C$12,Data2!$D$11,IF(AI65&gt;Data2!$C$13,Data2!$D$12,IF(AI65&gt;Data2!$C$14,Data2!$D$13,Data2!$D$14))))</f>
        <v/>
      </c>
      <c r="AK65" s="146">
        <f t="shared" si="12"/>
        <v>0</v>
      </c>
      <c r="AL65" s="146">
        <f t="shared" si="13"/>
        <v>0</v>
      </c>
      <c r="AM65" s="147" t="str">
        <f t="shared" si="4"/>
        <v>Mulai meningkat</v>
      </c>
      <c r="AN65" s="147" t="str">
        <f t="shared" si="5"/>
        <v>Mulai meningkat</v>
      </c>
      <c r="AO65" s="146" t="e">
        <f t="shared" si="14"/>
        <v>#N/A</v>
      </c>
      <c r="AP65" s="148" t="e">
        <f t="shared" si="15"/>
        <v>#N/A</v>
      </c>
      <c r="AQ65" s="158" t="str">
        <f>IF('PA-Non'!V65&lt;&gt;"",'PA-Non'!V65,IFERROR("Mempunyai keterampilan yang "&amp;IF(AM65=AN65,PROPER(AN65)&amp;" dalam kompetensi "&amp;VLOOKUP(AO65,$AA$532:$AC$539,3)&amp;", demikian juga dalam kompetensi "&amp;VLOOKUP(AP65,$AA$532:$AC$539,3),PROPER(AM65)&amp;" dalam kompetensi "&amp;VLOOKUP(AO65,$AA$532:$AC$539,3)&amp;" dan "&amp;AN65&amp;" pada kompetensi "&amp;VLOOKUP(AP65,$AA$532:$AC$539,3)),""))</f>
        <v/>
      </c>
      <c r="AR65" s="188"/>
    </row>
    <row r="66" spans="2:44" ht="27.9" customHeight="1" thickBot="1" x14ac:dyDescent="0.35">
      <c r="B66" s="384" t="s">
        <v>29</v>
      </c>
      <c r="C66" s="149">
        <f t="shared" si="16"/>
        <v>17</v>
      </c>
      <c r="D66" s="150" t="str">
        <f>IF(Data!F61="","",Data!F61)</f>
        <v>03553</v>
      </c>
      <c r="E66" s="151" t="str">
        <f>IF(Data!H61="","",Data!H61)</f>
        <v>Luthfi Adhyaksa Tamam Ramadhan</v>
      </c>
      <c r="F66" s="152" t="str">
        <f>IF(Data!I61="","",Data!I61)</f>
        <v>Laki-laki</v>
      </c>
      <c r="G66" s="343"/>
      <c r="H66" s="344"/>
      <c r="I66" s="344"/>
      <c r="J66" s="344"/>
      <c r="K66" s="344"/>
      <c r="L66" s="344"/>
      <c r="M66" s="344"/>
      <c r="N66" s="345"/>
      <c r="O66" s="157" t="str">
        <f t="shared" si="6"/>
        <v/>
      </c>
      <c r="P66" s="344"/>
      <c r="Q66" s="346"/>
      <c r="R66" s="157" t="str">
        <f t="shared" si="17"/>
        <v/>
      </c>
      <c r="S66" s="159" t="str">
        <f>IF(R66="","",IF(R66&gt;Data2!$C$12,Data2!$D$11,IF(R66&gt;Data2!$C$13,Data2!$D$12,IF(R66&gt;Data2!$C$14,Data2!$D$13,Data2!$D$14))))</f>
        <v/>
      </c>
      <c r="T66" s="144">
        <f t="shared" si="7"/>
        <v>0</v>
      </c>
      <c r="U66" s="144">
        <f t="shared" si="8"/>
        <v>0</v>
      </c>
      <c r="V66" s="144" t="str">
        <f t="shared" si="2"/>
        <v>Mulai berkembang</v>
      </c>
      <c r="W66" s="144" t="str">
        <f t="shared" si="3"/>
        <v>Mulai berkembang</v>
      </c>
      <c r="X66" s="144" t="e">
        <f t="shared" si="9"/>
        <v>#N/A</v>
      </c>
      <c r="Y66" s="145" t="e">
        <f t="shared" si="10"/>
        <v>#N/A</v>
      </c>
      <c r="Z66" s="218" t="str">
        <f>IF('PA-Non'!O66&lt;&gt;"",'PA-Non'!O66,IFERROR("Mempunyai kemampuan yang " &amp;IF(V66=W66,PROPER(W66)&amp;" dalam kompetensi "&amp;VLOOKUP(X66,$G$532:$I$539,3)&amp;" dan kompetensi "&amp;VLOOKUP(Y66,$G$532:$I$539,3),PROPER(V66)&amp;" dalam kompetensi "&amp;VLOOKUP(X66,$G$532:$I$539,3)&amp;" dan memiliki kemampuan yang "&amp;W66&amp;" pada kompetensi "&amp;VLOOKUP(Y66,$G$532:$I$539,3)),""))</f>
        <v/>
      </c>
      <c r="AA66" s="343"/>
      <c r="AB66" s="344"/>
      <c r="AC66" s="344"/>
      <c r="AD66" s="344"/>
      <c r="AE66" s="344"/>
      <c r="AF66" s="344"/>
      <c r="AG66" s="344"/>
      <c r="AH66" s="345"/>
      <c r="AI66" s="220" t="str">
        <f t="shared" si="11"/>
        <v/>
      </c>
      <c r="AJ66" s="160" t="str">
        <f>IF(AI66="","",IF(AI66&gt;Data2!$C$12,Data2!$D$11,IF(AI66&gt;Data2!$C$13,Data2!$D$12,IF(AI66&gt;Data2!$C$14,Data2!$D$13,Data2!$D$14))))</f>
        <v/>
      </c>
      <c r="AK66" s="146">
        <f t="shared" si="12"/>
        <v>0</v>
      </c>
      <c r="AL66" s="146">
        <f t="shared" si="13"/>
        <v>0</v>
      </c>
      <c r="AM66" s="147" t="str">
        <f t="shared" si="4"/>
        <v>Mulai meningkat</v>
      </c>
      <c r="AN66" s="147" t="str">
        <f t="shared" si="5"/>
        <v>Mulai meningkat</v>
      </c>
      <c r="AO66" s="146" t="e">
        <f t="shared" si="14"/>
        <v>#N/A</v>
      </c>
      <c r="AP66" s="148" t="e">
        <f t="shared" si="15"/>
        <v>#N/A</v>
      </c>
      <c r="AQ66" s="158" t="str">
        <f>IF('PA-Non'!V66&lt;&gt;"",'PA-Non'!V66,IFERROR("Mempunyai keterampilan yang "&amp;IF(AM66=AN66,PROPER(AN66)&amp;" dalam kompetensi "&amp;VLOOKUP(AO66,$AA$532:$AC$539,3)&amp;", demikian juga dalam kompetensi "&amp;VLOOKUP(AP66,$AA$532:$AC$539,3),PROPER(AM66)&amp;" dalam kompetensi "&amp;VLOOKUP(AO66,$AA$532:$AC$539,3)&amp;" dan "&amp;AN66&amp;" pada kompetensi "&amp;VLOOKUP(AP66,$AA$532:$AC$539,3)),""))</f>
        <v/>
      </c>
      <c r="AR66" s="188"/>
    </row>
    <row r="67" spans="2:44" ht="27.9" customHeight="1" thickBot="1" x14ac:dyDescent="0.35">
      <c r="B67" s="384" t="s">
        <v>29</v>
      </c>
      <c r="C67" s="149">
        <f t="shared" si="16"/>
        <v>18</v>
      </c>
      <c r="D67" s="150" t="str">
        <f>IF(Data!F62="","",Data!F62)</f>
        <v>03556</v>
      </c>
      <c r="E67" s="151" t="str">
        <f>IF(Data!H62="","",Data!H62)</f>
        <v>M. Sa'id Abdullah</v>
      </c>
      <c r="F67" s="152" t="str">
        <f>IF(Data!I62="","",Data!I62)</f>
        <v>Laki-laki</v>
      </c>
      <c r="G67" s="343"/>
      <c r="H67" s="344"/>
      <c r="I67" s="344"/>
      <c r="J67" s="344"/>
      <c r="K67" s="344"/>
      <c r="L67" s="344"/>
      <c r="M67" s="344"/>
      <c r="N67" s="345"/>
      <c r="O67" s="157" t="str">
        <f t="shared" si="6"/>
        <v/>
      </c>
      <c r="P67" s="344"/>
      <c r="Q67" s="346"/>
      <c r="R67" s="157" t="str">
        <f t="shared" si="17"/>
        <v/>
      </c>
      <c r="S67" s="159" t="str">
        <f>IF(R67="","",IF(R67&gt;Data2!$C$12,Data2!$D$11,IF(R67&gt;Data2!$C$13,Data2!$D$12,IF(R67&gt;Data2!$C$14,Data2!$D$13,Data2!$D$14))))</f>
        <v/>
      </c>
      <c r="T67" s="144">
        <f t="shared" si="7"/>
        <v>0</v>
      </c>
      <c r="U67" s="144">
        <f t="shared" si="8"/>
        <v>0</v>
      </c>
      <c r="V67" s="144" t="str">
        <f t="shared" si="2"/>
        <v>Mulai berkembang</v>
      </c>
      <c r="W67" s="144" t="str">
        <f t="shared" si="3"/>
        <v>Mulai berkembang</v>
      </c>
      <c r="X67" s="144" t="e">
        <f t="shared" si="9"/>
        <v>#N/A</v>
      </c>
      <c r="Y67" s="145" t="e">
        <f t="shared" si="10"/>
        <v>#N/A</v>
      </c>
      <c r="Z67" s="218" t="str">
        <f>IF('PA-Non'!O67&lt;&gt;"",'PA-Non'!O67,IFERROR("Mempunyai kemampuan yang " &amp;IF(V67=W67,PROPER(W67)&amp;" dalam kompetensi "&amp;VLOOKUP(X67,$G$532:$I$539,3)&amp;" dan kompetensi "&amp;VLOOKUP(Y67,$G$532:$I$539,3),PROPER(V67)&amp;" dalam kompetensi "&amp;VLOOKUP(X67,$G$532:$I$539,3)&amp;" dan memiliki kemampuan yang "&amp;W67&amp;" pada kompetensi "&amp;VLOOKUP(Y67,$G$532:$I$539,3)),""))</f>
        <v/>
      </c>
      <c r="AA67" s="343"/>
      <c r="AB67" s="344"/>
      <c r="AC67" s="344"/>
      <c r="AD67" s="344"/>
      <c r="AE67" s="344"/>
      <c r="AF67" s="344"/>
      <c r="AG67" s="344"/>
      <c r="AH67" s="345"/>
      <c r="AI67" s="220" t="str">
        <f t="shared" si="11"/>
        <v/>
      </c>
      <c r="AJ67" s="160" t="str">
        <f>IF(AI67="","",IF(AI67&gt;Data2!$C$12,Data2!$D$11,IF(AI67&gt;Data2!$C$13,Data2!$D$12,IF(AI67&gt;Data2!$C$14,Data2!$D$13,Data2!$D$14))))</f>
        <v/>
      </c>
      <c r="AK67" s="146">
        <f t="shared" si="12"/>
        <v>0</v>
      </c>
      <c r="AL67" s="146">
        <f t="shared" si="13"/>
        <v>0</v>
      </c>
      <c r="AM67" s="147" t="str">
        <f t="shared" si="4"/>
        <v>Mulai meningkat</v>
      </c>
      <c r="AN67" s="147" t="str">
        <f t="shared" si="5"/>
        <v>Mulai meningkat</v>
      </c>
      <c r="AO67" s="146" t="e">
        <f t="shared" si="14"/>
        <v>#N/A</v>
      </c>
      <c r="AP67" s="148" t="e">
        <f t="shared" si="15"/>
        <v>#N/A</v>
      </c>
      <c r="AQ67" s="158" t="str">
        <f>IF('PA-Non'!V67&lt;&gt;"",'PA-Non'!V67,IFERROR("Mempunyai keterampilan yang "&amp;IF(AM67=AN67,PROPER(AN67)&amp;" dalam kompetensi "&amp;VLOOKUP(AO67,$AA$532:$AC$539,3)&amp;", demikian juga dalam kompetensi "&amp;VLOOKUP(AP67,$AA$532:$AC$539,3),PROPER(AM67)&amp;" dalam kompetensi "&amp;VLOOKUP(AO67,$AA$532:$AC$539,3)&amp;" dan "&amp;AN67&amp;" pada kompetensi "&amp;VLOOKUP(AP67,$AA$532:$AC$539,3)),""))</f>
        <v/>
      </c>
      <c r="AR67" s="188"/>
    </row>
    <row r="68" spans="2:44" ht="27.9" customHeight="1" thickBot="1" x14ac:dyDescent="0.35">
      <c r="B68" s="384" t="s">
        <v>29</v>
      </c>
      <c r="C68" s="149">
        <f t="shared" si="16"/>
        <v>19</v>
      </c>
      <c r="D68" s="150" t="str">
        <f>IF(Data!F63="","",Data!F63)</f>
        <v>03562</v>
      </c>
      <c r="E68" s="151" t="str">
        <f>IF(Data!H63="","",Data!H63)</f>
        <v>Mohamad Faiza Firjatulloh Azza</v>
      </c>
      <c r="F68" s="152" t="str">
        <f>IF(Data!I63="","",Data!I63)</f>
        <v>Laki-laki</v>
      </c>
      <c r="G68" s="343"/>
      <c r="H68" s="344"/>
      <c r="I68" s="344"/>
      <c r="J68" s="344"/>
      <c r="K68" s="344"/>
      <c r="L68" s="344"/>
      <c r="M68" s="344"/>
      <c r="N68" s="345"/>
      <c r="O68" s="157" t="str">
        <f t="shared" si="6"/>
        <v/>
      </c>
      <c r="P68" s="344"/>
      <c r="Q68" s="346"/>
      <c r="R68" s="157" t="str">
        <f t="shared" si="17"/>
        <v/>
      </c>
      <c r="S68" s="159" t="str">
        <f>IF(R68="","",IF(R68&gt;Data2!$C$12,Data2!$D$11,IF(R68&gt;Data2!$C$13,Data2!$D$12,IF(R68&gt;Data2!$C$14,Data2!$D$13,Data2!$D$14))))</f>
        <v/>
      </c>
      <c r="T68" s="144">
        <f t="shared" si="7"/>
        <v>0</v>
      </c>
      <c r="U68" s="144">
        <f t="shared" si="8"/>
        <v>0</v>
      </c>
      <c r="V68" s="144" t="str">
        <f t="shared" si="2"/>
        <v>Mulai berkembang</v>
      </c>
      <c r="W68" s="144" t="str">
        <f t="shared" si="3"/>
        <v>Mulai berkembang</v>
      </c>
      <c r="X68" s="144" t="e">
        <f t="shared" si="9"/>
        <v>#N/A</v>
      </c>
      <c r="Y68" s="145" t="e">
        <f t="shared" si="10"/>
        <v>#N/A</v>
      </c>
      <c r="Z68" s="218" t="str">
        <f>IF('PA-Non'!O68&lt;&gt;"",'PA-Non'!O68,IFERROR("Mempunyai kemampuan yang " &amp;IF(V68=W68,PROPER(W68)&amp;" dalam kompetensi "&amp;VLOOKUP(X68,$G$532:$I$539,3)&amp;" dan kompetensi "&amp;VLOOKUP(Y68,$G$532:$I$539,3),PROPER(V68)&amp;" dalam kompetensi "&amp;VLOOKUP(X68,$G$532:$I$539,3)&amp;" dan memiliki kemampuan yang "&amp;W68&amp;" pada kompetensi "&amp;VLOOKUP(Y68,$G$532:$I$539,3)),""))</f>
        <v/>
      </c>
      <c r="AA68" s="343"/>
      <c r="AB68" s="344"/>
      <c r="AC68" s="344"/>
      <c r="AD68" s="344"/>
      <c r="AE68" s="344"/>
      <c r="AF68" s="344"/>
      <c r="AG68" s="344"/>
      <c r="AH68" s="345"/>
      <c r="AI68" s="220" t="str">
        <f t="shared" si="11"/>
        <v/>
      </c>
      <c r="AJ68" s="160" t="str">
        <f>IF(AI68="","",IF(AI68&gt;Data2!$C$12,Data2!$D$11,IF(AI68&gt;Data2!$C$13,Data2!$D$12,IF(AI68&gt;Data2!$C$14,Data2!$D$13,Data2!$D$14))))</f>
        <v/>
      </c>
      <c r="AK68" s="146">
        <f t="shared" si="12"/>
        <v>0</v>
      </c>
      <c r="AL68" s="146">
        <f t="shared" si="13"/>
        <v>0</v>
      </c>
      <c r="AM68" s="147" t="str">
        <f t="shared" si="4"/>
        <v>Mulai meningkat</v>
      </c>
      <c r="AN68" s="147" t="str">
        <f t="shared" si="5"/>
        <v>Mulai meningkat</v>
      </c>
      <c r="AO68" s="146" t="e">
        <f t="shared" si="14"/>
        <v>#N/A</v>
      </c>
      <c r="AP68" s="148" t="e">
        <f t="shared" si="15"/>
        <v>#N/A</v>
      </c>
      <c r="AQ68" s="158" t="str">
        <f>IF('PA-Non'!V68&lt;&gt;"",'PA-Non'!V68,IFERROR("Mempunyai keterampilan yang "&amp;IF(AM68=AN68,PROPER(AN68)&amp;" dalam kompetensi "&amp;VLOOKUP(AO68,$AA$532:$AC$539,3)&amp;", demikian juga dalam kompetensi "&amp;VLOOKUP(AP68,$AA$532:$AC$539,3),PROPER(AM68)&amp;" dalam kompetensi "&amp;VLOOKUP(AO68,$AA$532:$AC$539,3)&amp;" dan "&amp;AN68&amp;" pada kompetensi "&amp;VLOOKUP(AP68,$AA$532:$AC$539,3)),""))</f>
        <v/>
      </c>
      <c r="AR68" s="188"/>
    </row>
    <row r="69" spans="2:44" ht="27.9" customHeight="1" thickBot="1" x14ac:dyDescent="0.35">
      <c r="B69" s="384" t="s">
        <v>29</v>
      </c>
      <c r="C69" s="149">
        <f t="shared" si="16"/>
        <v>20</v>
      </c>
      <c r="D69" s="150" t="str">
        <f>IF(Data!F64="","",Data!F64)</f>
        <v>03564</v>
      </c>
      <c r="E69" s="151" t="str">
        <f>IF(Data!H64="","",Data!H64)</f>
        <v>Mohammad Ammar Syihabuddin</v>
      </c>
      <c r="F69" s="152" t="str">
        <f>IF(Data!I64="","",Data!I64)</f>
        <v>Laki-laki</v>
      </c>
      <c r="G69" s="343"/>
      <c r="H69" s="344"/>
      <c r="I69" s="344"/>
      <c r="J69" s="344"/>
      <c r="K69" s="344"/>
      <c r="L69" s="344"/>
      <c r="M69" s="344"/>
      <c r="N69" s="345"/>
      <c r="O69" s="157" t="str">
        <f t="shared" si="6"/>
        <v/>
      </c>
      <c r="P69" s="344"/>
      <c r="Q69" s="346"/>
      <c r="R69" s="157" t="str">
        <f t="shared" si="17"/>
        <v/>
      </c>
      <c r="S69" s="159" t="str">
        <f>IF(R69="","",IF(R69&gt;Data2!$C$12,Data2!$D$11,IF(R69&gt;Data2!$C$13,Data2!$D$12,IF(R69&gt;Data2!$C$14,Data2!$D$13,Data2!$D$14))))</f>
        <v/>
      </c>
      <c r="T69" s="144">
        <f t="shared" si="7"/>
        <v>0</v>
      </c>
      <c r="U69" s="144">
        <f t="shared" si="8"/>
        <v>0</v>
      </c>
      <c r="V69" s="144" t="str">
        <f t="shared" si="2"/>
        <v>Mulai berkembang</v>
      </c>
      <c r="W69" s="144" t="str">
        <f t="shared" si="3"/>
        <v>Mulai berkembang</v>
      </c>
      <c r="X69" s="144" t="e">
        <f t="shared" si="9"/>
        <v>#N/A</v>
      </c>
      <c r="Y69" s="145" t="e">
        <f t="shared" si="10"/>
        <v>#N/A</v>
      </c>
      <c r="Z69" s="218" t="str">
        <f>IF('PA-Non'!O69&lt;&gt;"",'PA-Non'!O69,IFERROR("Mempunyai kemampuan yang " &amp;IF(V69=W69,PROPER(W69)&amp;" dalam kompetensi "&amp;VLOOKUP(X69,$G$532:$I$539,3)&amp;" dan kompetensi "&amp;VLOOKUP(Y69,$G$532:$I$539,3),PROPER(V69)&amp;" dalam kompetensi "&amp;VLOOKUP(X69,$G$532:$I$539,3)&amp;" dan memiliki kemampuan yang "&amp;W69&amp;" pada kompetensi "&amp;VLOOKUP(Y69,$G$532:$I$539,3)),""))</f>
        <v/>
      </c>
      <c r="AA69" s="343"/>
      <c r="AB69" s="344"/>
      <c r="AC69" s="344"/>
      <c r="AD69" s="344"/>
      <c r="AE69" s="344"/>
      <c r="AF69" s="344"/>
      <c r="AG69" s="344"/>
      <c r="AH69" s="345"/>
      <c r="AI69" s="220" t="str">
        <f t="shared" si="11"/>
        <v/>
      </c>
      <c r="AJ69" s="160" t="str">
        <f>IF(AI69="","",IF(AI69&gt;Data2!$C$12,Data2!$D$11,IF(AI69&gt;Data2!$C$13,Data2!$D$12,IF(AI69&gt;Data2!$C$14,Data2!$D$13,Data2!$D$14))))</f>
        <v/>
      </c>
      <c r="AK69" s="146">
        <f t="shared" si="12"/>
        <v>0</v>
      </c>
      <c r="AL69" s="146">
        <f t="shared" si="13"/>
        <v>0</v>
      </c>
      <c r="AM69" s="147" t="str">
        <f t="shared" si="4"/>
        <v>Mulai meningkat</v>
      </c>
      <c r="AN69" s="147" t="str">
        <f t="shared" si="5"/>
        <v>Mulai meningkat</v>
      </c>
      <c r="AO69" s="146" t="e">
        <f t="shared" si="14"/>
        <v>#N/A</v>
      </c>
      <c r="AP69" s="148" t="e">
        <f t="shared" si="15"/>
        <v>#N/A</v>
      </c>
      <c r="AQ69" s="158" t="str">
        <f>IF('PA-Non'!V69&lt;&gt;"",'PA-Non'!V69,IFERROR("Mempunyai keterampilan yang "&amp;IF(AM69=AN69,PROPER(AN69)&amp;" dalam kompetensi "&amp;VLOOKUP(AO69,$AA$532:$AC$539,3)&amp;", demikian juga dalam kompetensi "&amp;VLOOKUP(AP69,$AA$532:$AC$539,3),PROPER(AM69)&amp;" dalam kompetensi "&amp;VLOOKUP(AO69,$AA$532:$AC$539,3)&amp;" dan "&amp;AN69&amp;" pada kompetensi "&amp;VLOOKUP(AP69,$AA$532:$AC$539,3)),""))</f>
        <v/>
      </c>
      <c r="AR69" s="188"/>
    </row>
    <row r="70" spans="2:44" ht="27.9" customHeight="1" thickBot="1" x14ac:dyDescent="0.35">
      <c r="B70" s="384" t="s">
        <v>29</v>
      </c>
      <c r="C70" s="149">
        <f t="shared" si="16"/>
        <v>21</v>
      </c>
      <c r="D70" s="150" t="str">
        <f>IF(Data!F65="","",Data!F65)</f>
        <v>03570</v>
      </c>
      <c r="E70" s="151" t="str">
        <f>IF(Data!H65="","",Data!H65)</f>
        <v>Muhammad Adi Chandra Pratama</v>
      </c>
      <c r="F70" s="152" t="str">
        <f>IF(Data!I65="","",Data!I65)</f>
        <v>Laki-laki</v>
      </c>
      <c r="G70" s="343"/>
      <c r="H70" s="344"/>
      <c r="I70" s="344"/>
      <c r="J70" s="344"/>
      <c r="K70" s="344"/>
      <c r="L70" s="344"/>
      <c r="M70" s="344"/>
      <c r="N70" s="345"/>
      <c r="O70" s="157" t="str">
        <f t="shared" si="6"/>
        <v/>
      </c>
      <c r="P70" s="344"/>
      <c r="Q70" s="346"/>
      <c r="R70" s="157" t="str">
        <f t="shared" si="17"/>
        <v/>
      </c>
      <c r="S70" s="159" t="str">
        <f>IF(R70="","",IF(R70&gt;Data2!$C$12,Data2!$D$11,IF(R70&gt;Data2!$C$13,Data2!$D$12,IF(R70&gt;Data2!$C$14,Data2!$D$13,Data2!$D$14))))</f>
        <v/>
      </c>
      <c r="T70" s="144">
        <f t="shared" si="7"/>
        <v>0</v>
      </c>
      <c r="U70" s="144">
        <f t="shared" si="8"/>
        <v>0</v>
      </c>
      <c r="V70" s="144" t="str">
        <f t="shared" si="2"/>
        <v>Mulai berkembang</v>
      </c>
      <c r="W70" s="144" t="str">
        <f t="shared" si="3"/>
        <v>Mulai berkembang</v>
      </c>
      <c r="X70" s="144" t="e">
        <f t="shared" si="9"/>
        <v>#N/A</v>
      </c>
      <c r="Y70" s="145" t="e">
        <f t="shared" si="10"/>
        <v>#N/A</v>
      </c>
      <c r="Z70" s="218" t="str">
        <f>IF('PA-Non'!O70&lt;&gt;"",'PA-Non'!O70,IFERROR("Mempunyai kemampuan yang " &amp;IF(V70=W70,PROPER(W70)&amp;" dalam kompetensi "&amp;VLOOKUP(X70,$G$532:$I$539,3)&amp;" dan kompetensi "&amp;VLOOKUP(Y70,$G$532:$I$539,3),PROPER(V70)&amp;" dalam kompetensi "&amp;VLOOKUP(X70,$G$532:$I$539,3)&amp;" dan memiliki kemampuan yang "&amp;W70&amp;" pada kompetensi "&amp;VLOOKUP(Y70,$G$532:$I$539,3)),""))</f>
        <v/>
      </c>
      <c r="AA70" s="343"/>
      <c r="AB70" s="344"/>
      <c r="AC70" s="344"/>
      <c r="AD70" s="344"/>
      <c r="AE70" s="344"/>
      <c r="AF70" s="344"/>
      <c r="AG70" s="344"/>
      <c r="AH70" s="345"/>
      <c r="AI70" s="220" t="str">
        <f t="shared" si="11"/>
        <v/>
      </c>
      <c r="AJ70" s="160" t="str">
        <f>IF(AI70="","",IF(AI70&gt;Data2!$C$12,Data2!$D$11,IF(AI70&gt;Data2!$C$13,Data2!$D$12,IF(AI70&gt;Data2!$C$14,Data2!$D$13,Data2!$D$14))))</f>
        <v/>
      </c>
      <c r="AK70" s="146">
        <f t="shared" si="12"/>
        <v>0</v>
      </c>
      <c r="AL70" s="146">
        <f t="shared" si="13"/>
        <v>0</v>
      </c>
      <c r="AM70" s="147" t="str">
        <f t="shared" si="4"/>
        <v>Mulai meningkat</v>
      </c>
      <c r="AN70" s="147" t="str">
        <f t="shared" si="5"/>
        <v>Mulai meningkat</v>
      </c>
      <c r="AO70" s="146" t="e">
        <f t="shared" si="14"/>
        <v>#N/A</v>
      </c>
      <c r="AP70" s="148" t="e">
        <f t="shared" si="15"/>
        <v>#N/A</v>
      </c>
      <c r="AQ70" s="158" t="str">
        <f>IF('PA-Non'!V70&lt;&gt;"",'PA-Non'!V70,IFERROR("Mempunyai keterampilan yang "&amp;IF(AM70=AN70,PROPER(AN70)&amp;" dalam kompetensi "&amp;VLOOKUP(AO70,$AA$532:$AC$539,3)&amp;", demikian juga dalam kompetensi "&amp;VLOOKUP(AP70,$AA$532:$AC$539,3),PROPER(AM70)&amp;" dalam kompetensi "&amp;VLOOKUP(AO70,$AA$532:$AC$539,3)&amp;" dan "&amp;AN70&amp;" pada kompetensi "&amp;VLOOKUP(AP70,$AA$532:$AC$539,3)),""))</f>
        <v/>
      </c>
      <c r="AR70" s="188"/>
    </row>
    <row r="71" spans="2:44" ht="27.9" customHeight="1" thickBot="1" x14ac:dyDescent="0.35">
      <c r="B71" s="384" t="s">
        <v>29</v>
      </c>
      <c r="C71" s="149">
        <f t="shared" si="16"/>
        <v>22</v>
      </c>
      <c r="D71" s="150" t="str">
        <f>IF(Data!F66="","",Data!F66)</f>
        <v>03573</v>
      </c>
      <c r="E71" s="151" t="str">
        <f>IF(Data!H66="","",Data!H66)</f>
        <v>Muhammad Alif Rahman</v>
      </c>
      <c r="F71" s="152" t="str">
        <f>IF(Data!I66="","",Data!I66)</f>
        <v>Laki-laki</v>
      </c>
      <c r="G71" s="343"/>
      <c r="H71" s="344"/>
      <c r="I71" s="344"/>
      <c r="J71" s="344"/>
      <c r="K71" s="344"/>
      <c r="L71" s="344"/>
      <c r="M71" s="344"/>
      <c r="N71" s="345"/>
      <c r="O71" s="157" t="str">
        <f t="shared" si="6"/>
        <v/>
      </c>
      <c r="P71" s="344"/>
      <c r="Q71" s="346"/>
      <c r="R71" s="157" t="str">
        <f t="shared" si="17"/>
        <v/>
      </c>
      <c r="S71" s="159" t="str">
        <f>IF(R71="","",IF(R71&gt;Data2!$C$12,Data2!$D$11,IF(R71&gt;Data2!$C$13,Data2!$D$12,IF(R71&gt;Data2!$C$14,Data2!$D$13,Data2!$D$14))))</f>
        <v/>
      </c>
      <c r="T71" s="144">
        <f t="shared" si="7"/>
        <v>0</v>
      </c>
      <c r="U71" s="144">
        <f t="shared" si="8"/>
        <v>0</v>
      </c>
      <c r="V71" s="144" t="str">
        <f t="shared" si="2"/>
        <v>Mulai berkembang</v>
      </c>
      <c r="W71" s="144" t="str">
        <f t="shared" si="3"/>
        <v>Mulai berkembang</v>
      </c>
      <c r="X71" s="144" t="e">
        <f t="shared" si="9"/>
        <v>#N/A</v>
      </c>
      <c r="Y71" s="145" t="e">
        <f t="shared" si="10"/>
        <v>#N/A</v>
      </c>
      <c r="Z71" s="218" t="str">
        <f>IF('PA-Non'!O71&lt;&gt;"",'PA-Non'!O71,IFERROR("Mempunyai kemampuan yang " &amp;IF(V71=W71,PROPER(W71)&amp;" dalam kompetensi "&amp;VLOOKUP(X71,$G$532:$I$539,3)&amp;" dan kompetensi "&amp;VLOOKUP(Y71,$G$532:$I$539,3),PROPER(V71)&amp;" dalam kompetensi "&amp;VLOOKUP(X71,$G$532:$I$539,3)&amp;" dan memiliki kemampuan yang "&amp;W71&amp;" pada kompetensi "&amp;VLOOKUP(Y71,$G$532:$I$539,3)),""))</f>
        <v/>
      </c>
      <c r="AA71" s="343"/>
      <c r="AB71" s="344"/>
      <c r="AC71" s="344"/>
      <c r="AD71" s="344"/>
      <c r="AE71" s="344"/>
      <c r="AF71" s="344"/>
      <c r="AG71" s="344"/>
      <c r="AH71" s="345"/>
      <c r="AI71" s="220" t="str">
        <f t="shared" si="11"/>
        <v/>
      </c>
      <c r="AJ71" s="160" t="str">
        <f>IF(AI71="","",IF(AI71&gt;Data2!$C$12,Data2!$D$11,IF(AI71&gt;Data2!$C$13,Data2!$D$12,IF(AI71&gt;Data2!$C$14,Data2!$D$13,Data2!$D$14))))</f>
        <v/>
      </c>
      <c r="AK71" s="146">
        <f t="shared" si="12"/>
        <v>0</v>
      </c>
      <c r="AL71" s="146">
        <f t="shared" si="13"/>
        <v>0</v>
      </c>
      <c r="AM71" s="147" t="str">
        <f t="shared" si="4"/>
        <v>Mulai meningkat</v>
      </c>
      <c r="AN71" s="147" t="str">
        <f t="shared" si="5"/>
        <v>Mulai meningkat</v>
      </c>
      <c r="AO71" s="146" t="e">
        <f t="shared" si="14"/>
        <v>#N/A</v>
      </c>
      <c r="AP71" s="148" t="e">
        <f t="shared" si="15"/>
        <v>#N/A</v>
      </c>
      <c r="AQ71" s="158" t="str">
        <f>IF('PA-Non'!V71&lt;&gt;"",'PA-Non'!V71,IFERROR("Mempunyai keterampilan yang "&amp;IF(AM71=AN71,PROPER(AN71)&amp;" dalam kompetensi "&amp;VLOOKUP(AO71,$AA$532:$AC$539,3)&amp;", demikian juga dalam kompetensi "&amp;VLOOKUP(AP71,$AA$532:$AC$539,3),PROPER(AM71)&amp;" dalam kompetensi "&amp;VLOOKUP(AO71,$AA$532:$AC$539,3)&amp;" dan "&amp;AN71&amp;" pada kompetensi "&amp;VLOOKUP(AP71,$AA$532:$AC$539,3)),""))</f>
        <v/>
      </c>
      <c r="AR71" s="188"/>
    </row>
    <row r="72" spans="2:44" ht="27.9" customHeight="1" thickBot="1" x14ac:dyDescent="0.35">
      <c r="B72" s="384" t="s">
        <v>29</v>
      </c>
      <c r="C72" s="149">
        <f t="shared" si="16"/>
        <v>23</v>
      </c>
      <c r="D72" s="150" t="str">
        <f>IF(Data!F67="","",Data!F67)</f>
        <v>03579</v>
      </c>
      <c r="E72" s="151" t="str">
        <f>IF(Data!H67="","",Data!H67)</f>
        <v>Muhammad Fahri Setio Budi</v>
      </c>
      <c r="F72" s="152" t="str">
        <f>IF(Data!I67="","",Data!I67)</f>
        <v>Laki-laki</v>
      </c>
      <c r="G72" s="343"/>
      <c r="H72" s="344"/>
      <c r="I72" s="344"/>
      <c r="J72" s="344"/>
      <c r="K72" s="344"/>
      <c r="L72" s="344"/>
      <c r="M72" s="344"/>
      <c r="N72" s="345"/>
      <c r="O72" s="157" t="str">
        <f t="shared" si="6"/>
        <v/>
      </c>
      <c r="P72" s="344"/>
      <c r="Q72" s="346"/>
      <c r="R72" s="157" t="str">
        <f t="shared" si="17"/>
        <v/>
      </c>
      <c r="S72" s="159" t="str">
        <f>IF(R72="","",IF(R72&gt;Data2!$C$12,Data2!$D$11,IF(R72&gt;Data2!$C$13,Data2!$D$12,IF(R72&gt;Data2!$C$14,Data2!$D$13,Data2!$D$14))))</f>
        <v/>
      </c>
      <c r="T72" s="144">
        <f t="shared" si="7"/>
        <v>0</v>
      </c>
      <c r="U72" s="144">
        <f t="shared" si="8"/>
        <v>0</v>
      </c>
      <c r="V72" s="144" t="str">
        <f t="shared" si="2"/>
        <v>Mulai berkembang</v>
      </c>
      <c r="W72" s="144" t="str">
        <f t="shared" si="3"/>
        <v>Mulai berkembang</v>
      </c>
      <c r="X72" s="144" t="e">
        <f t="shared" si="9"/>
        <v>#N/A</v>
      </c>
      <c r="Y72" s="145" t="e">
        <f t="shared" si="10"/>
        <v>#N/A</v>
      </c>
      <c r="Z72" s="218" t="str">
        <f>IF('PA-Non'!O72&lt;&gt;"",'PA-Non'!O72,IFERROR("Mempunyai kemampuan yang " &amp;IF(V72=W72,PROPER(W72)&amp;" dalam kompetensi "&amp;VLOOKUP(X72,$G$532:$I$539,3)&amp;" dan kompetensi "&amp;VLOOKUP(Y72,$G$532:$I$539,3),PROPER(V72)&amp;" dalam kompetensi "&amp;VLOOKUP(X72,$G$532:$I$539,3)&amp;" dan memiliki kemampuan yang "&amp;W72&amp;" pada kompetensi "&amp;VLOOKUP(Y72,$G$532:$I$539,3)),""))</f>
        <v/>
      </c>
      <c r="AA72" s="343"/>
      <c r="AB72" s="344"/>
      <c r="AC72" s="344"/>
      <c r="AD72" s="344"/>
      <c r="AE72" s="344"/>
      <c r="AF72" s="344"/>
      <c r="AG72" s="344"/>
      <c r="AH72" s="345"/>
      <c r="AI72" s="220" t="str">
        <f t="shared" si="11"/>
        <v/>
      </c>
      <c r="AJ72" s="160" t="str">
        <f>IF(AI72="","",IF(AI72&gt;Data2!$C$12,Data2!$D$11,IF(AI72&gt;Data2!$C$13,Data2!$D$12,IF(AI72&gt;Data2!$C$14,Data2!$D$13,Data2!$D$14))))</f>
        <v/>
      </c>
      <c r="AK72" s="146">
        <f t="shared" si="12"/>
        <v>0</v>
      </c>
      <c r="AL72" s="146">
        <f t="shared" si="13"/>
        <v>0</v>
      </c>
      <c r="AM72" s="147" t="str">
        <f t="shared" si="4"/>
        <v>Mulai meningkat</v>
      </c>
      <c r="AN72" s="147" t="str">
        <f t="shared" si="5"/>
        <v>Mulai meningkat</v>
      </c>
      <c r="AO72" s="146" t="e">
        <f t="shared" si="14"/>
        <v>#N/A</v>
      </c>
      <c r="AP72" s="148" t="e">
        <f t="shared" si="15"/>
        <v>#N/A</v>
      </c>
      <c r="AQ72" s="158" t="str">
        <f>IF('PA-Non'!V72&lt;&gt;"",'PA-Non'!V72,IFERROR("Mempunyai keterampilan yang "&amp;IF(AM72=AN72,PROPER(AN72)&amp;" dalam kompetensi "&amp;VLOOKUP(AO72,$AA$532:$AC$539,3)&amp;", demikian juga dalam kompetensi "&amp;VLOOKUP(AP72,$AA$532:$AC$539,3),PROPER(AM72)&amp;" dalam kompetensi "&amp;VLOOKUP(AO72,$AA$532:$AC$539,3)&amp;" dan "&amp;AN72&amp;" pada kompetensi "&amp;VLOOKUP(AP72,$AA$532:$AC$539,3)),""))</f>
        <v/>
      </c>
      <c r="AR72" s="188"/>
    </row>
    <row r="73" spans="2:44" ht="27.9" customHeight="1" thickBot="1" x14ac:dyDescent="0.35">
      <c r="B73" s="384" t="s">
        <v>29</v>
      </c>
      <c r="C73" s="149">
        <f t="shared" si="16"/>
        <v>24</v>
      </c>
      <c r="D73" s="150" t="str">
        <f>IF(Data!F68="","",Data!F68)</f>
        <v>03580</v>
      </c>
      <c r="E73" s="151" t="str">
        <f>IF(Data!H68="","",Data!H68)</f>
        <v>Muhammad Fasil Raja</v>
      </c>
      <c r="F73" s="152" t="str">
        <f>IF(Data!I68="","",Data!I68)</f>
        <v>Laki-laki</v>
      </c>
      <c r="G73" s="343"/>
      <c r="H73" s="344"/>
      <c r="I73" s="344"/>
      <c r="J73" s="344"/>
      <c r="K73" s="344"/>
      <c r="L73" s="344"/>
      <c r="M73" s="344"/>
      <c r="N73" s="345"/>
      <c r="O73" s="157" t="str">
        <f t="shared" si="6"/>
        <v/>
      </c>
      <c r="P73" s="344"/>
      <c r="Q73" s="346"/>
      <c r="R73" s="157" t="str">
        <f t="shared" si="17"/>
        <v/>
      </c>
      <c r="S73" s="159" t="str">
        <f>IF(R73="","",IF(R73&gt;Data2!$C$12,Data2!$D$11,IF(R73&gt;Data2!$C$13,Data2!$D$12,IF(R73&gt;Data2!$C$14,Data2!$D$13,Data2!$D$14))))</f>
        <v/>
      </c>
      <c r="T73" s="144">
        <f t="shared" si="7"/>
        <v>0</v>
      </c>
      <c r="U73" s="144">
        <f t="shared" si="8"/>
        <v>0</v>
      </c>
      <c r="V73" s="144" t="str">
        <f t="shared" si="2"/>
        <v>Mulai berkembang</v>
      </c>
      <c r="W73" s="144" t="str">
        <f t="shared" si="3"/>
        <v>Mulai berkembang</v>
      </c>
      <c r="X73" s="144" t="e">
        <f t="shared" si="9"/>
        <v>#N/A</v>
      </c>
      <c r="Y73" s="145" t="e">
        <f t="shared" si="10"/>
        <v>#N/A</v>
      </c>
      <c r="Z73" s="218" t="str">
        <f>IF('PA-Non'!O73&lt;&gt;"",'PA-Non'!O73,IFERROR("Mempunyai kemampuan yang " &amp;IF(V73=W73,PROPER(W73)&amp;" dalam kompetensi "&amp;VLOOKUP(X73,$G$532:$I$539,3)&amp;" dan kompetensi "&amp;VLOOKUP(Y73,$G$532:$I$539,3),PROPER(V73)&amp;" dalam kompetensi "&amp;VLOOKUP(X73,$G$532:$I$539,3)&amp;" dan memiliki kemampuan yang "&amp;W73&amp;" pada kompetensi "&amp;VLOOKUP(Y73,$G$532:$I$539,3)),""))</f>
        <v/>
      </c>
      <c r="AA73" s="343"/>
      <c r="AB73" s="344"/>
      <c r="AC73" s="344"/>
      <c r="AD73" s="344"/>
      <c r="AE73" s="344"/>
      <c r="AF73" s="344"/>
      <c r="AG73" s="344"/>
      <c r="AH73" s="345"/>
      <c r="AI73" s="220" t="str">
        <f t="shared" si="11"/>
        <v/>
      </c>
      <c r="AJ73" s="160" t="str">
        <f>IF(AI73="","",IF(AI73&gt;Data2!$C$12,Data2!$D$11,IF(AI73&gt;Data2!$C$13,Data2!$D$12,IF(AI73&gt;Data2!$C$14,Data2!$D$13,Data2!$D$14))))</f>
        <v/>
      </c>
      <c r="AK73" s="146">
        <f t="shared" si="12"/>
        <v>0</v>
      </c>
      <c r="AL73" s="146">
        <f t="shared" si="13"/>
        <v>0</v>
      </c>
      <c r="AM73" s="147" t="str">
        <f t="shared" si="4"/>
        <v>Mulai meningkat</v>
      </c>
      <c r="AN73" s="147" t="str">
        <f t="shared" si="5"/>
        <v>Mulai meningkat</v>
      </c>
      <c r="AO73" s="146" t="e">
        <f t="shared" si="14"/>
        <v>#N/A</v>
      </c>
      <c r="AP73" s="148" t="e">
        <f t="shared" si="15"/>
        <v>#N/A</v>
      </c>
      <c r="AQ73" s="158" t="str">
        <f>IF('PA-Non'!V73&lt;&gt;"",'PA-Non'!V73,IFERROR("Mempunyai keterampilan yang "&amp;IF(AM73=AN73,PROPER(AN73)&amp;" dalam kompetensi "&amp;VLOOKUP(AO73,$AA$532:$AC$539,3)&amp;", demikian juga dalam kompetensi "&amp;VLOOKUP(AP73,$AA$532:$AC$539,3),PROPER(AM73)&amp;" dalam kompetensi "&amp;VLOOKUP(AO73,$AA$532:$AC$539,3)&amp;" dan "&amp;AN73&amp;" pada kompetensi "&amp;VLOOKUP(AP73,$AA$532:$AC$539,3)),""))</f>
        <v/>
      </c>
      <c r="AR73" s="188"/>
    </row>
    <row r="74" spans="2:44" ht="27.9" customHeight="1" thickBot="1" x14ac:dyDescent="0.35">
      <c r="B74" s="384" t="s">
        <v>29</v>
      </c>
      <c r="C74" s="149">
        <f t="shared" si="16"/>
        <v>25</v>
      </c>
      <c r="D74" s="150" t="str">
        <f>IF(Data!F69="","",Data!F69)</f>
        <v>03583</v>
      </c>
      <c r="E74" s="151" t="str">
        <f>IF(Data!H69="","",Data!H69)</f>
        <v>Muhammad Ilham Fahrizal</v>
      </c>
      <c r="F74" s="152" t="str">
        <f>IF(Data!I69="","",Data!I69)</f>
        <v>Laki-laki</v>
      </c>
      <c r="G74" s="343"/>
      <c r="H74" s="344"/>
      <c r="I74" s="344"/>
      <c r="J74" s="344"/>
      <c r="K74" s="344"/>
      <c r="L74" s="344"/>
      <c r="M74" s="344"/>
      <c r="N74" s="345"/>
      <c r="O74" s="157" t="str">
        <f t="shared" si="6"/>
        <v/>
      </c>
      <c r="P74" s="344"/>
      <c r="Q74" s="346"/>
      <c r="R74" s="157" t="str">
        <f t="shared" si="17"/>
        <v/>
      </c>
      <c r="S74" s="159" t="str">
        <f>IF(R74="","",IF(R74&gt;Data2!$C$12,Data2!$D$11,IF(R74&gt;Data2!$C$13,Data2!$D$12,IF(R74&gt;Data2!$C$14,Data2!$D$13,Data2!$D$14))))</f>
        <v/>
      </c>
      <c r="T74" s="144">
        <f t="shared" si="7"/>
        <v>0</v>
      </c>
      <c r="U74" s="144">
        <f t="shared" si="8"/>
        <v>0</v>
      </c>
      <c r="V74" s="144" t="str">
        <f t="shared" ref="V74:V137" si="30">IF(T74&gt;$I$560,$J$559,IF(T74&gt;$I$561,$J$560,IF(T74&gt;$I$562,$J$561,$J$562)))</f>
        <v>Mulai berkembang</v>
      </c>
      <c r="W74" s="144" t="str">
        <f t="shared" ref="W74:W137" si="31">IF(U74&gt;$I$560,$J$559,IF(U74&gt;$I$561,$J$560,IF(U74&gt;$I$562,$J$561,$J$562)))</f>
        <v>Mulai berkembang</v>
      </c>
      <c r="X74" s="144" t="e">
        <f t="shared" si="9"/>
        <v>#N/A</v>
      </c>
      <c r="Y74" s="145" t="e">
        <f t="shared" si="10"/>
        <v>#N/A</v>
      </c>
      <c r="Z74" s="218" t="str">
        <f>IF('PA-Non'!O74&lt;&gt;"",'PA-Non'!O74,IFERROR("Mempunyai kemampuan yang " &amp;IF(V74=W74,PROPER(W74)&amp;" dalam kompetensi "&amp;VLOOKUP(X74,$G$532:$I$539,3)&amp;" dan kompetensi "&amp;VLOOKUP(Y74,$G$532:$I$539,3),PROPER(V74)&amp;" dalam kompetensi "&amp;VLOOKUP(X74,$G$532:$I$539,3)&amp;" dan memiliki kemampuan yang "&amp;W74&amp;" pada kompetensi "&amp;VLOOKUP(Y74,$G$532:$I$539,3)),""))</f>
        <v/>
      </c>
      <c r="AA74" s="343"/>
      <c r="AB74" s="344"/>
      <c r="AC74" s="344"/>
      <c r="AD74" s="344"/>
      <c r="AE74" s="344"/>
      <c r="AF74" s="344"/>
      <c r="AG74" s="344"/>
      <c r="AH74" s="345"/>
      <c r="AI74" s="220" t="str">
        <f t="shared" si="11"/>
        <v/>
      </c>
      <c r="AJ74" s="160" t="str">
        <f>IF(AI74="","",IF(AI74&gt;Data2!$C$12,Data2!$D$11,IF(AI74&gt;Data2!$C$13,Data2!$D$12,IF(AI74&gt;Data2!$C$14,Data2!$D$13,Data2!$D$14))))</f>
        <v/>
      </c>
      <c r="AK74" s="146">
        <f t="shared" si="12"/>
        <v>0</v>
      </c>
      <c r="AL74" s="146">
        <f t="shared" si="13"/>
        <v>0</v>
      </c>
      <c r="AM74" s="147" t="str">
        <f t="shared" ref="AM74:AM137" si="32">IF(AK74&gt;$I$560,$AD$559,IF(AK74&gt;$I$561,$AD$560,IF(AK74&gt;$I$562,$AD$561,$AD$562)))</f>
        <v>Mulai meningkat</v>
      </c>
      <c r="AN74" s="147" t="str">
        <f t="shared" ref="AN74:AN137" si="33">IF(AL74&gt;$I$560,$AD$559,IF(AL74&gt;$I$561,$AD$560,IF(AL74&gt;$I$562,$AD$561,$AD$562)))</f>
        <v>Mulai meningkat</v>
      </c>
      <c r="AO74" s="146" t="e">
        <f t="shared" si="14"/>
        <v>#N/A</v>
      </c>
      <c r="AP74" s="148" t="e">
        <f t="shared" si="15"/>
        <v>#N/A</v>
      </c>
      <c r="AQ74" s="158" t="str">
        <f>IF('PA-Non'!V74&lt;&gt;"",'PA-Non'!V74,IFERROR("Mempunyai keterampilan yang "&amp;IF(AM74=AN74,PROPER(AN74)&amp;" dalam kompetensi "&amp;VLOOKUP(AO74,$AA$532:$AC$539,3)&amp;", demikian juga dalam kompetensi "&amp;VLOOKUP(AP74,$AA$532:$AC$539,3),PROPER(AM74)&amp;" dalam kompetensi "&amp;VLOOKUP(AO74,$AA$532:$AC$539,3)&amp;" dan "&amp;AN74&amp;" pada kompetensi "&amp;VLOOKUP(AP74,$AA$532:$AC$539,3)),""))</f>
        <v/>
      </c>
      <c r="AR74" s="188"/>
    </row>
    <row r="75" spans="2:44" ht="27.9" customHeight="1" thickBot="1" x14ac:dyDescent="0.35">
      <c r="B75" s="384" t="s">
        <v>29</v>
      </c>
      <c r="C75" s="149">
        <f t="shared" si="16"/>
        <v>26</v>
      </c>
      <c r="D75" s="150" t="str">
        <f>IF(Data!F70="","",Data!F70)</f>
        <v>03586</v>
      </c>
      <c r="E75" s="151" t="str">
        <f>IF(Data!H70="","",Data!H70)</f>
        <v>Muhammad Iqbal Habibi</v>
      </c>
      <c r="F75" s="152" t="str">
        <f>IF(Data!I70="","",Data!I70)</f>
        <v>Laki-laki</v>
      </c>
      <c r="G75" s="343"/>
      <c r="H75" s="344"/>
      <c r="I75" s="344"/>
      <c r="J75" s="344"/>
      <c r="K75" s="344"/>
      <c r="L75" s="344"/>
      <c r="M75" s="344"/>
      <c r="N75" s="345"/>
      <c r="O75" s="157" t="str">
        <f t="shared" ref="O75:O138" si="34">IF(COUNT(G75:N75)&lt;3,"",ROUND(SUM(G75:N75)/$O$6,0))</f>
        <v/>
      </c>
      <c r="P75" s="344"/>
      <c r="Q75" s="346"/>
      <c r="R75" s="157" t="str">
        <f t="shared" si="17"/>
        <v/>
      </c>
      <c r="S75" s="159" t="str">
        <f>IF(R75="","",IF(R75&gt;Data2!$C$12,Data2!$D$11,IF(R75&gt;Data2!$C$13,Data2!$D$12,IF(R75&gt;Data2!$C$14,Data2!$D$13,Data2!$D$14))))</f>
        <v/>
      </c>
      <c r="T75" s="144">
        <f t="shared" ref="T75:T138" si="35">MAX(G75:N75)</f>
        <v>0</v>
      </c>
      <c r="U75" s="144">
        <f t="shared" ref="U75:U138" si="36">MIN(G75:N75)</f>
        <v>0</v>
      </c>
      <c r="V75" s="144" t="str">
        <f t="shared" si="30"/>
        <v>Mulai berkembang</v>
      </c>
      <c r="W75" s="144" t="str">
        <f t="shared" si="31"/>
        <v>Mulai berkembang</v>
      </c>
      <c r="X75" s="144" t="e">
        <f t="shared" ref="X75:X138" si="37">MATCH(T75,G75:N75,0)</f>
        <v>#N/A</v>
      </c>
      <c r="Y75" s="145" t="e">
        <f t="shared" ref="Y75:Y138" si="38">MATCH(U75,G75:N75,0)</f>
        <v>#N/A</v>
      </c>
      <c r="Z75" s="218" t="str">
        <f>IF('PA-Non'!O75&lt;&gt;"",'PA-Non'!O75,IFERROR("Mempunyai kemampuan yang " &amp;IF(V75=W75,PROPER(W75)&amp;" dalam kompetensi "&amp;VLOOKUP(X75,$G$532:$I$539,3)&amp;" dan kompetensi "&amp;VLOOKUP(Y75,$G$532:$I$539,3),PROPER(V75)&amp;" dalam kompetensi "&amp;VLOOKUP(X75,$G$532:$I$539,3)&amp;" dan memiliki kemampuan yang "&amp;W75&amp;" pada kompetensi "&amp;VLOOKUP(Y75,$G$532:$I$539,3)),""))</f>
        <v/>
      </c>
      <c r="AA75" s="343"/>
      <c r="AB75" s="344"/>
      <c r="AC75" s="344"/>
      <c r="AD75" s="344"/>
      <c r="AE75" s="344"/>
      <c r="AF75" s="344"/>
      <c r="AG75" s="344"/>
      <c r="AH75" s="345"/>
      <c r="AI75" s="220" t="str">
        <f t="shared" ref="AI75:AI138" si="39">IF(COUNT(AA75:AH75)&lt;3,"",ROUND(((AA75*$AA$8)+(AB75*$AB$8)+(AC75*$AC$8)+(AD75*$AD$8)+(AE75*$AE$8)+(AF75*$AF$8)+(AG75*$AG$8)+(AH75*$AH$8))/$AI$6,0))</f>
        <v/>
      </c>
      <c r="AJ75" s="160" t="str">
        <f>IF(AI75="","",IF(AI75&gt;Data2!$C$12,Data2!$D$11,IF(AI75&gt;Data2!$C$13,Data2!$D$12,IF(AI75&gt;Data2!$C$14,Data2!$D$13,Data2!$D$14))))</f>
        <v/>
      </c>
      <c r="AK75" s="146">
        <f t="shared" ref="AK75:AK138" si="40">MAX(AA75:AH75)</f>
        <v>0</v>
      </c>
      <c r="AL75" s="146">
        <f t="shared" ref="AL75:AL138" si="41">MIN(AA75:AH75)</f>
        <v>0</v>
      </c>
      <c r="AM75" s="147" t="str">
        <f t="shared" si="32"/>
        <v>Mulai meningkat</v>
      </c>
      <c r="AN75" s="147" t="str">
        <f t="shared" si="33"/>
        <v>Mulai meningkat</v>
      </c>
      <c r="AO75" s="146" t="e">
        <f t="shared" ref="AO75:AO138" si="42">MATCH(AK75,AA75:AH75,0)</f>
        <v>#N/A</v>
      </c>
      <c r="AP75" s="148" t="e">
        <f t="shared" ref="AP75:AP138" si="43">MATCH(AL75,AA75:AH75,0)</f>
        <v>#N/A</v>
      </c>
      <c r="AQ75" s="158" t="str">
        <f>IF('PA-Non'!V75&lt;&gt;"",'PA-Non'!V75,IFERROR("Mempunyai keterampilan yang "&amp;IF(AM75=AN75,PROPER(AN75)&amp;" dalam kompetensi "&amp;VLOOKUP(AO75,$AA$532:$AC$539,3)&amp;", demikian juga dalam kompetensi "&amp;VLOOKUP(AP75,$AA$532:$AC$539,3),PROPER(AM75)&amp;" dalam kompetensi "&amp;VLOOKUP(AO75,$AA$532:$AC$539,3)&amp;" dan "&amp;AN75&amp;" pada kompetensi "&amp;VLOOKUP(AP75,$AA$532:$AC$539,3)),""))</f>
        <v/>
      </c>
      <c r="AR75" s="188"/>
    </row>
    <row r="76" spans="2:44" ht="27.9" customHeight="1" thickBot="1" x14ac:dyDescent="0.35">
      <c r="B76" s="384" t="s">
        <v>29</v>
      </c>
      <c r="C76" s="149">
        <f t="shared" ref="C76:C139" si="44">IF(E76="","",C75+1)</f>
        <v>27</v>
      </c>
      <c r="D76" s="150" t="str">
        <f>IF(Data!F71="","",Data!F71)</f>
        <v>03599</v>
      </c>
      <c r="E76" s="151" t="str">
        <f>IF(Data!H71="","",Data!H71)</f>
        <v>Muhammad Raffandi</v>
      </c>
      <c r="F76" s="152" t="str">
        <f>IF(Data!I71="","",Data!I71)</f>
        <v>Laki-laki</v>
      </c>
      <c r="G76" s="343"/>
      <c r="H76" s="344"/>
      <c r="I76" s="344"/>
      <c r="J76" s="344"/>
      <c r="K76" s="344"/>
      <c r="L76" s="344"/>
      <c r="M76" s="344"/>
      <c r="N76" s="345"/>
      <c r="O76" s="157" t="str">
        <f t="shared" si="34"/>
        <v/>
      </c>
      <c r="P76" s="344"/>
      <c r="Q76" s="346"/>
      <c r="R76" s="157" t="str">
        <f t="shared" ref="R76:R139" si="45">IFERROR(IF(OR(P76="",Q76=""),"",ROUND(((O76*$O$8)+(P76*$P$8)+(Q76*$Q$8))/$Q$6,0)),"")</f>
        <v/>
      </c>
      <c r="S76" s="159" t="str">
        <f>IF(R76="","",IF(R76&gt;Data2!$C$12,Data2!$D$11,IF(R76&gt;Data2!$C$13,Data2!$D$12,IF(R76&gt;Data2!$C$14,Data2!$D$13,Data2!$D$14))))</f>
        <v/>
      </c>
      <c r="T76" s="144">
        <f t="shared" si="35"/>
        <v>0</v>
      </c>
      <c r="U76" s="144">
        <f t="shared" si="36"/>
        <v>0</v>
      </c>
      <c r="V76" s="144" t="str">
        <f t="shared" si="30"/>
        <v>Mulai berkembang</v>
      </c>
      <c r="W76" s="144" t="str">
        <f t="shared" si="31"/>
        <v>Mulai berkembang</v>
      </c>
      <c r="X76" s="144" t="e">
        <f t="shared" si="37"/>
        <v>#N/A</v>
      </c>
      <c r="Y76" s="145" t="e">
        <f t="shared" si="38"/>
        <v>#N/A</v>
      </c>
      <c r="Z76" s="218" t="str">
        <f>IF('PA-Non'!O76&lt;&gt;"",'PA-Non'!O76,IFERROR("Mempunyai kemampuan yang " &amp;IF(V76=W76,PROPER(W76)&amp;" dalam kompetensi "&amp;VLOOKUP(X76,$G$532:$I$539,3)&amp;" dan kompetensi "&amp;VLOOKUP(Y76,$G$532:$I$539,3),PROPER(V76)&amp;" dalam kompetensi "&amp;VLOOKUP(X76,$G$532:$I$539,3)&amp;" dan memiliki kemampuan yang "&amp;W76&amp;" pada kompetensi "&amp;VLOOKUP(Y76,$G$532:$I$539,3)),""))</f>
        <v/>
      </c>
      <c r="AA76" s="343"/>
      <c r="AB76" s="344"/>
      <c r="AC76" s="344"/>
      <c r="AD76" s="344"/>
      <c r="AE76" s="344"/>
      <c r="AF76" s="344"/>
      <c r="AG76" s="344"/>
      <c r="AH76" s="345"/>
      <c r="AI76" s="220" t="str">
        <f t="shared" si="39"/>
        <v/>
      </c>
      <c r="AJ76" s="160" t="str">
        <f>IF(AI76="","",IF(AI76&gt;Data2!$C$12,Data2!$D$11,IF(AI76&gt;Data2!$C$13,Data2!$D$12,IF(AI76&gt;Data2!$C$14,Data2!$D$13,Data2!$D$14))))</f>
        <v/>
      </c>
      <c r="AK76" s="146">
        <f t="shared" si="40"/>
        <v>0</v>
      </c>
      <c r="AL76" s="146">
        <f t="shared" si="41"/>
        <v>0</v>
      </c>
      <c r="AM76" s="147" t="str">
        <f t="shared" si="32"/>
        <v>Mulai meningkat</v>
      </c>
      <c r="AN76" s="147" t="str">
        <f t="shared" si="33"/>
        <v>Mulai meningkat</v>
      </c>
      <c r="AO76" s="146" t="e">
        <f t="shared" si="42"/>
        <v>#N/A</v>
      </c>
      <c r="AP76" s="148" t="e">
        <f t="shared" si="43"/>
        <v>#N/A</v>
      </c>
      <c r="AQ76" s="158" t="str">
        <f>IF('PA-Non'!V76&lt;&gt;"",'PA-Non'!V76,IFERROR("Mempunyai keterampilan yang "&amp;IF(AM76=AN76,PROPER(AN76)&amp;" dalam kompetensi "&amp;VLOOKUP(AO76,$AA$532:$AC$539,3)&amp;", demikian juga dalam kompetensi "&amp;VLOOKUP(AP76,$AA$532:$AC$539,3),PROPER(AM76)&amp;" dalam kompetensi "&amp;VLOOKUP(AO76,$AA$532:$AC$539,3)&amp;" dan "&amp;AN76&amp;" pada kompetensi "&amp;VLOOKUP(AP76,$AA$532:$AC$539,3)),""))</f>
        <v/>
      </c>
      <c r="AR76" s="188"/>
    </row>
    <row r="77" spans="2:44" ht="27.9" customHeight="1" thickBot="1" x14ac:dyDescent="0.35">
      <c r="B77" s="384" t="s">
        <v>29</v>
      </c>
      <c r="C77" s="149">
        <f t="shared" si="44"/>
        <v>28</v>
      </c>
      <c r="D77" s="150" t="str">
        <f>IF(Data!F72="","",Data!F72)</f>
        <v>03609</v>
      </c>
      <c r="E77" s="151" t="str">
        <f>IF(Data!H72="","",Data!H72)</f>
        <v>Raffa Ar Rasyid</v>
      </c>
      <c r="F77" s="152" t="str">
        <f>IF(Data!I72="","",Data!I72)</f>
        <v>Laki-laki</v>
      </c>
      <c r="G77" s="343"/>
      <c r="H77" s="344"/>
      <c r="I77" s="344"/>
      <c r="J77" s="344"/>
      <c r="K77" s="344"/>
      <c r="L77" s="344"/>
      <c r="M77" s="344"/>
      <c r="N77" s="345"/>
      <c r="O77" s="157" t="str">
        <f t="shared" si="34"/>
        <v/>
      </c>
      <c r="P77" s="344"/>
      <c r="Q77" s="346"/>
      <c r="R77" s="157" t="str">
        <f t="shared" si="45"/>
        <v/>
      </c>
      <c r="S77" s="159" t="str">
        <f>IF(R77="","",IF(R77&gt;Data2!$C$12,Data2!$D$11,IF(R77&gt;Data2!$C$13,Data2!$D$12,IF(R77&gt;Data2!$C$14,Data2!$D$13,Data2!$D$14))))</f>
        <v/>
      </c>
      <c r="T77" s="144">
        <f t="shared" si="35"/>
        <v>0</v>
      </c>
      <c r="U77" s="144">
        <f t="shared" si="36"/>
        <v>0</v>
      </c>
      <c r="V77" s="144" t="str">
        <f t="shared" si="30"/>
        <v>Mulai berkembang</v>
      </c>
      <c r="W77" s="144" t="str">
        <f t="shared" si="31"/>
        <v>Mulai berkembang</v>
      </c>
      <c r="X77" s="144" t="e">
        <f t="shared" si="37"/>
        <v>#N/A</v>
      </c>
      <c r="Y77" s="145" t="e">
        <f t="shared" si="38"/>
        <v>#N/A</v>
      </c>
      <c r="Z77" s="218" t="str">
        <f>IF('PA-Non'!O77&lt;&gt;"",'PA-Non'!O77,IFERROR("Mempunyai kemampuan yang " &amp;IF(V77=W77,PROPER(W77)&amp;" dalam kompetensi "&amp;VLOOKUP(X77,$G$532:$I$539,3)&amp;" dan kompetensi "&amp;VLOOKUP(Y77,$G$532:$I$539,3),PROPER(V77)&amp;" dalam kompetensi "&amp;VLOOKUP(X77,$G$532:$I$539,3)&amp;" dan memiliki kemampuan yang "&amp;W77&amp;" pada kompetensi "&amp;VLOOKUP(Y77,$G$532:$I$539,3)),""))</f>
        <v/>
      </c>
      <c r="AA77" s="343"/>
      <c r="AB77" s="344"/>
      <c r="AC77" s="344"/>
      <c r="AD77" s="344"/>
      <c r="AE77" s="344"/>
      <c r="AF77" s="344"/>
      <c r="AG77" s="344"/>
      <c r="AH77" s="345"/>
      <c r="AI77" s="220" t="str">
        <f t="shared" si="39"/>
        <v/>
      </c>
      <c r="AJ77" s="160" t="str">
        <f>IF(AI77="","",IF(AI77&gt;Data2!$C$12,Data2!$D$11,IF(AI77&gt;Data2!$C$13,Data2!$D$12,IF(AI77&gt;Data2!$C$14,Data2!$D$13,Data2!$D$14))))</f>
        <v/>
      </c>
      <c r="AK77" s="146">
        <f t="shared" si="40"/>
        <v>0</v>
      </c>
      <c r="AL77" s="146">
        <f t="shared" si="41"/>
        <v>0</v>
      </c>
      <c r="AM77" s="147" t="str">
        <f t="shared" si="32"/>
        <v>Mulai meningkat</v>
      </c>
      <c r="AN77" s="147" t="str">
        <f t="shared" si="33"/>
        <v>Mulai meningkat</v>
      </c>
      <c r="AO77" s="146" t="e">
        <f t="shared" si="42"/>
        <v>#N/A</v>
      </c>
      <c r="AP77" s="148" t="e">
        <f t="shared" si="43"/>
        <v>#N/A</v>
      </c>
      <c r="AQ77" s="158" t="str">
        <f>IF('PA-Non'!V77&lt;&gt;"",'PA-Non'!V77,IFERROR("Mempunyai keterampilan yang "&amp;IF(AM77=AN77,PROPER(AN77)&amp;" dalam kompetensi "&amp;VLOOKUP(AO77,$AA$532:$AC$539,3)&amp;", demikian juga dalam kompetensi "&amp;VLOOKUP(AP77,$AA$532:$AC$539,3),PROPER(AM77)&amp;" dalam kompetensi "&amp;VLOOKUP(AO77,$AA$532:$AC$539,3)&amp;" dan "&amp;AN77&amp;" pada kompetensi "&amp;VLOOKUP(AP77,$AA$532:$AC$539,3)),""))</f>
        <v/>
      </c>
      <c r="AR77" s="188"/>
    </row>
    <row r="78" spans="2:44" ht="27.9" customHeight="1" thickBot="1" x14ac:dyDescent="0.35">
      <c r="B78" s="384" t="s">
        <v>29</v>
      </c>
      <c r="C78" s="149">
        <f t="shared" si="44"/>
        <v>29</v>
      </c>
      <c r="D78" s="150" t="str">
        <f>IF(Data!F73="","",Data!F73)</f>
        <v>03613</v>
      </c>
      <c r="E78" s="151" t="str">
        <f>IF(Data!H73="","",Data!H73)</f>
        <v>Rayyandra Arfa Keanu Bagaskara</v>
      </c>
      <c r="F78" s="152" t="str">
        <f>IF(Data!I73="","",Data!I73)</f>
        <v>Laki-laki</v>
      </c>
      <c r="G78" s="343"/>
      <c r="H78" s="344"/>
      <c r="I78" s="344"/>
      <c r="J78" s="344"/>
      <c r="K78" s="344"/>
      <c r="L78" s="344"/>
      <c r="M78" s="344"/>
      <c r="N78" s="345"/>
      <c r="O78" s="157" t="str">
        <f t="shared" si="34"/>
        <v/>
      </c>
      <c r="P78" s="344"/>
      <c r="Q78" s="346"/>
      <c r="R78" s="157" t="str">
        <f t="shared" si="45"/>
        <v/>
      </c>
      <c r="S78" s="159" t="str">
        <f>IF(R78="","",IF(R78&gt;Data2!$C$12,Data2!$D$11,IF(R78&gt;Data2!$C$13,Data2!$D$12,IF(R78&gt;Data2!$C$14,Data2!$D$13,Data2!$D$14))))</f>
        <v/>
      </c>
      <c r="T78" s="144">
        <f t="shared" si="35"/>
        <v>0</v>
      </c>
      <c r="U78" s="144">
        <f t="shared" si="36"/>
        <v>0</v>
      </c>
      <c r="V78" s="144" t="str">
        <f t="shared" si="30"/>
        <v>Mulai berkembang</v>
      </c>
      <c r="W78" s="144" t="str">
        <f t="shared" si="31"/>
        <v>Mulai berkembang</v>
      </c>
      <c r="X78" s="144" t="e">
        <f t="shared" si="37"/>
        <v>#N/A</v>
      </c>
      <c r="Y78" s="145" t="e">
        <f t="shared" si="38"/>
        <v>#N/A</v>
      </c>
      <c r="Z78" s="218" t="str">
        <f>IF('PA-Non'!O78&lt;&gt;"",'PA-Non'!O78,IFERROR("Mempunyai kemampuan yang " &amp;IF(V78=W78,PROPER(W78)&amp;" dalam kompetensi "&amp;VLOOKUP(X78,$G$532:$I$539,3)&amp;" dan kompetensi "&amp;VLOOKUP(Y78,$G$532:$I$539,3),PROPER(V78)&amp;" dalam kompetensi "&amp;VLOOKUP(X78,$G$532:$I$539,3)&amp;" dan memiliki kemampuan yang "&amp;W78&amp;" pada kompetensi "&amp;VLOOKUP(Y78,$G$532:$I$539,3)),""))</f>
        <v/>
      </c>
      <c r="AA78" s="343"/>
      <c r="AB78" s="344"/>
      <c r="AC78" s="344"/>
      <c r="AD78" s="344"/>
      <c r="AE78" s="344"/>
      <c r="AF78" s="344"/>
      <c r="AG78" s="344"/>
      <c r="AH78" s="345"/>
      <c r="AI78" s="220" t="str">
        <f t="shared" si="39"/>
        <v/>
      </c>
      <c r="AJ78" s="160" t="str">
        <f>IF(AI78="","",IF(AI78&gt;Data2!$C$12,Data2!$D$11,IF(AI78&gt;Data2!$C$13,Data2!$D$12,IF(AI78&gt;Data2!$C$14,Data2!$D$13,Data2!$D$14))))</f>
        <v/>
      </c>
      <c r="AK78" s="146">
        <f t="shared" si="40"/>
        <v>0</v>
      </c>
      <c r="AL78" s="146">
        <f t="shared" si="41"/>
        <v>0</v>
      </c>
      <c r="AM78" s="147" t="str">
        <f t="shared" si="32"/>
        <v>Mulai meningkat</v>
      </c>
      <c r="AN78" s="147" t="str">
        <f t="shared" si="33"/>
        <v>Mulai meningkat</v>
      </c>
      <c r="AO78" s="146" t="e">
        <f t="shared" si="42"/>
        <v>#N/A</v>
      </c>
      <c r="AP78" s="148" t="e">
        <f t="shared" si="43"/>
        <v>#N/A</v>
      </c>
      <c r="AQ78" s="158" t="str">
        <f>IF('PA-Non'!V78&lt;&gt;"",'PA-Non'!V78,IFERROR("Mempunyai keterampilan yang "&amp;IF(AM78=AN78,PROPER(AN78)&amp;" dalam kompetensi "&amp;VLOOKUP(AO78,$AA$532:$AC$539,3)&amp;", demikian juga dalam kompetensi "&amp;VLOOKUP(AP78,$AA$532:$AC$539,3),PROPER(AM78)&amp;" dalam kompetensi "&amp;VLOOKUP(AO78,$AA$532:$AC$539,3)&amp;" dan "&amp;AN78&amp;" pada kompetensi "&amp;VLOOKUP(AP78,$AA$532:$AC$539,3)),""))</f>
        <v/>
      </c>
      <c r="AR78" s="188"/>
    </row>
    <row r="79" spans="2:44" ht="27.9" customHeight="1" thickBot="1" x14ac:dyDescent="0.35">
      <c r="B79" s="384" t="s">
        <v>29</v>
      </c>
      <c r="C79" s="149">
        <f t="shared" si="44"/>
        <v>30</v>
      </c>
      <c r="D79" s="150" t="str">
        <f>IF(Data!F74="","",Data!F74)</f>
        <v>03616</v>
      </c>
      <c r="E79" s="151" t="str">
        <f>IF(Data!H74="","",Data!H74)</f>
        <v>Shofiyul Azka Mubarok</v>
      </c>
      <c r="F79" s="152" t="str">
        <f>IF(Data!I74="","",Data!I74)</f>
        <v>Laki-laki</v>
      </c>
      <c r="G79" s="343"/>
      <c r="H79" s="344"/>
      <c r="I79" s="344"/>
      <c r="J79" s="344"/>
      <c r="K79" s="344"/>
      <c r="L79" s="344"/>
      <c r="M79" s="344"/>
      <c r="N79" s="345"/>
      <c r="O79" s="157" t="str">
        <f t="shared" si="34"/>
        <v/>
      </c>
      <c r="P79" s="344"/>
      <c r="Q79" s="346"/>
      <c r="R79" s="157" t="str">
        <f t="shared" si="45"/>
        <v/>
      </c>
      <c r="S79" s="159" t="str">
        <f>IF(R79="","",IF(R79&gt;Data2!$C$12,Data2!$D$11,IF(R79&gt;Data2!$C$13,Data2!$D$12,IF(R79&gt;Data2!$C$14,Data2!$D$13,Data2!$D$14))))</f>
        <v/>
      </c>
      <c r="T79" s="144">
        <f t="shared" si="35"/>
        <v>0</v>
      </c>
      <c r="U79" s="144">
        <f t="shared" si="36"/>
        <v>0</v>
      </c>
      <c r="V79" s="144" t="str">
        <f t="shared" si="30"/>
        <v>Mulai berkembang</v>
      </c>
      <c r="W79" s="144" t="str">
        <f t="shared" si="31"/>
        <v>Mulai berkembang</v>
      </c>
      <c r="X79" s="144" t="e">
        <f t="shared" si="37"/>
        <v>#N/A</v>
      </c>
      <c r="Y79" s="145" t="e">
        <f t="shared" si="38"/>
        <v>#N/A</v>
      </c>
      <c r="Z79" s="218" t="str">
        <f>IF('PA-Non'!O79&lt;&gt;"",'PA-Non'!O79,IFERROR("Mempunyai kemampuan yang " &amp;IF(V79=W79,PROPER(W79)&amp;" dalam kompetensi "&amp;VLOOKUP(X79,$G$532:$I$539,3)&amp;" dan kompetensi "&amp;VLOOKUP(Y79,$G$532:$I$539,3),PROPER(V79)&amp;" dalam kompetensi "&amp;VLOOKUP(X79,$G$532:$I$539,3)&amp;" dan memiliki kemampuan yang "&amp;W79&amp;" pada kompetensi "&amp;VLOOKUP(Y79,$G$532:$I$539,3)),""))</f>
        <v/>
      </c>
      <c r="AA79" s="343"/>
      <c r="AB79" s="344"/>
      <c r="AC79" s="344"/>
      <c r="AD79" s="344"/>
      <c r="AE79" s="344"/>
      <c r="AF79" s="344"/>
      <c r="AG79" s="344"/>
      <c r="AH79" s="345"/>
      <c r="AI79" s="220" t="str">
        <f t="shared" si="39"/>
        <v/>
      </c>
      <c r="AJ79" s="160" t="str">
        <f>IF(AI79="","",IF(AI79&gt;Data2!$C$12,Data2!$D$11,IF(AI79&gt;Data2!$C$13,Data2!$D$12,IF(AI79&gt;Data2!$C$14,Data2!$D$13,Data2!$D$14))))</f>
        <v/>
      </c>
      <c r="AK79" s="146">
        <f t="shared" si="40"/>
        <v>0</v>
      </c>
      <c r="AL79" s="146">
        <f t="shared" si="41"/>
        <v>0</v>
      </c>
      <c r="AM79" s="147" t="str">
        <f t="shared" si="32"/>
        <v>Mulai meningkat</v>
      </c>
      <c r="AN79" s="147" t="str">
        <f t="shared" si="33"/>
        <v>Mulai meningkat</v>
      </c>
      <c r="AO79" s="146" t="e">
        <f t="shared" si="42"/>
        <v>#N/A</v>
      </c>
      <c r="AP79" s="148" t="e">
        <f t="shared" si="43"/>
        <v>#N/A</v>
      </c>
      <c r="AQ79" s="158" t="str">
        <f>IF('PA-Non'!V79&lt;&gt;"",'PA-Non'!V79,IFERROR("Mempunyai keterampilan yang "&amp;IF(AM79=AN79,PROPER(AN79)&amp;" dalam kompetensi "&amp;VLOOKUP(AO79,$AA$532:$AC$539,3)&amp;", demikian juga dalam kompetensi "&amp;VLOOKUP(AP79,$AA$532:$AC$539,3),PROPER(AM79)&amp;" dalam kompetensi "&amp;VLOOKUP(AO79,$AA$532:$AC$539,3)&amp;" dan "&amp;AN79&amp;" pada kompetensi "&amp;VLOOKUP(AP79,$AA$532:$AC$539,3)),""))</f>
        <v/>
      </c>
      <c r="AR79" s="188"/>
    </row>
    <row r="80" spans="2:44" ht="27.9" customHeight="1" thickBot="1" x14ac:dyDescent="0.35">
      <c r="B80" s="384" t="s">
        <v>29</v>
      </c>
      <c r="C80" s="149">
        <f t="shared" si="44"/>
        <v>31</v>
      </c>
      <c r="D80" s="150" t="str">
        <f>IF(Data!F75="","",Data!F75)</f>
        <v>03617</v>
      </c>
      <c r="E80" s="151" t="str">
        <f>IF(Data!H75="","",Data!H75)</f>
        <v>Syarifuddin Zhafran</v>
      </c>
      <c r="F80" s="152" t="str">
        <f>IF(Data!I75="","",Data!I75)</f>
        <v>Laki-laki</v>
      </c>
      <c r="G80" s="343"/>
      <c r="H80" s="344"/>
      <c r="I80" s="344"/>
      <c r="J80" s="344"/>
      <c r="K80" s="344"/>
      <c r="L80" s="344"/>
      <c r="M80" s="344"/>
      <c r="N80" s="345"/>
      <c r="O80" s="157" t="str">
        <f t="shared" si="34"/>
        <v/>
      </c>
      <c r="P80" s="344"/>
      <c r="Q80" s="346"/>
      <c r="R80" s="157" t="str">
        <f t="shared" si="45"/>
        <v/>
      </c>
      <c r="S80" s="159" t="str">
        <f>IF(R80="","",IF(R80&gt;Data2!$C$12,Data2!$D$11,IF(R80&gt;Data2!$C$13,Data2!$D$12,IF(R80&gt;Data2!$C$14,Data2!$D$13,Data2!$D$14))))</f>
        <v/>
      </c>
      <c r="T80" s="144">
        <f t="shared" si="35"/>
        <v>0</v>
      </c>
      <c r="U80" s="144">
        <f t="shared" si="36"/>
        <v>0</v>
      </c>
      <c r="V80" s="144" t="str">
        <f t="shared" si="30"/>
        <v>Mulai berkembang</v>
      </c>
      <c r="W80" s="144" t="str">
        <f t="shared" si="31"/>
        <v>Mulai berkembang</v>
      </c>
      <c r="X80" s="144" t="e">
        <f t="shared" si="37"/>
        <v>#N/A</v>
      </c>
      <c r="Y80" s="145" t="e">
        <f t="shared" si="38"/>
        <v>#N/A</v>
      </c>
      <c r="Z80" s="218" t="str">
        <f>IF('PA-Non'!O80&lt;&gt;"",'PA-Non'!O80,IFERROR("Mempunyai kemampuan yang " &amp;IF(V80=W80,PROPER(W80)&amp;" dalam kompetensi "&amp;VLOOKUP(X80,$G$532:$I$539,3)&amp;" dan kompetensi "&amp;VLOOKUP(Y80,$G$532:$I$539,3),PROPER(V80)&amp;" dalam kompetensi "&amp;VLOOKUP(X80,$G$532:$I$539,3)&amp;" dan memiliki kemampuan yang "&amp;W80&amp;" pada kompetensi "&amp;VLOOKUP(Y80,$G$532:$I$539,3)),""))</f>
        <v/>
      </c>
      <c r="AA80" s="343"/>
      <c r="AB80" s="344"/>
      <c r="AC80" s="344"/>
      <c r="AD80" s="344"/>
      <c r="AE80" s="344"/>
      <c r="AF80" s="344"/>
      <c r="AG80" s="344"/>
      <c r="AH80" s="345"/>
      <c r="AI80" s="220" t="str">
        <f t="shared" si="39"/>
        <v/>
      </c>
      <c r="AJ80" s="160" t="str">
        <f>IF(AI80="","",IF(AI80&gt;Data2!$C$12,Data2!$D$11,IF(AI80&gt;Data2!$C$13,Data2!$D$12,IF(AI80&gt;Data2!$C$14,Data2!$D$13,Data2!$D$14))))</f>
        <v/>
      </c>
      <c r="AK80" s="146">
        <f t="shared" si="40"/>
        <v>0</v>
      </c>
      <c r="AL80" s="146">
        <f t="shared" si="41"/>
        <v>0</v>
      </c>
      <c r="AM80" s="147" t="str">
        <f t="shared" si="32"/>
        <v>Mulai meningkat</v>
      </c>
      <c r="AN80" s="147" t="str">
        <f t="shared" si="33"/>
        <v>Mulai meningkat</v>
      </c>
      <c r="AO80" s="146" t="e">
        <f t="shared" si="42"/>
        <v>#N/A</v>
      </c>
      <c r="AP80" s="148" t="e">
        <f t="shared" si="43"/>
        <v>#N/A</v>
      </c>
      <c r="AQ80" s="158" t="str">
        <f>IF('PA-Non'!V80&lt;&gt;"",'PA-Non'!V80,IFERROR("Mempunyai keterampilan yang "&amp;IF(AM80=AN80,PROPER(AN80)&amp;" dalam kompetensi "&amp;VLOOKUP(AO80,$AA$532:$AC$539,3)&amp;", demikian juga dalam kompetensi "&amp;VLOOKUP(AP80,$AA$532:$AC$539,3),PROPER(AM80)&amp;" dalam kompetensi "&amp;VLOOKUP(AO80,$AA$532:$AC$539,3)&amp;" dan "&amp;AN80&amp;" pada kompetensi "&amp;VLOOKUP(AP80,$AA$532:$AC$539,3)),""))</f>
        <v/>
      </c>
      <c r="AR80" s="188"/>
    </row>
    <row r="81" spans="2:44" ht="27.9" customHeight="1" thickBot="1" x14ac:dyDescent="0.35">
      <c r="B81" s="384" t="s">
        <v>29</v>
      </c>
      <c r="C81" s="149">
        <f t="shared" ref="C81:C84" si="46">IF(E81="","",C80+1)</f>
        <v>32</v>
      </c>
      <c r="D81" s="150" t="str">
        <f>IF(Data!F76="","",Data!F76)</f>
        <v>03624</v>
      </c>
      <c r="E81" s="151" t="str">
        <f>IF(Data!H76="","",Data!H76)</f>
        <v>Yusril Mirza Farendra</v>
      </c>
      <c r="F81" s="152" t="str">
        <f>IF(Data!I76="","",Data!I76)</f>
        <v>Laki-laki</v>
      </c>
      <c r="G81" s="343"/>
      <c r="H81" s="344"/>
      <c r="I81" s="344"/>
      <c r="J81" s="344"/>
      <c r="K81" s="344"/>
      <c r="L81" s="344"/>
      <c r="M81" s="344"/>
      <c r="N81" s="345"/>
      <c r="O81" s="157" t="str">
        <f t="shared" ref="O81:O84" si="47">IF(COUNT(G81:N81)&lt;3,"",ROUND(SUM(G81:N81)/$O$6,0))</f>
        <v/>
      </c>
      <c r="P81" s="344"/>
      <c r="Q81" s="346"/>
      <c r="R81" s="157" t="str">
        <f t="shared" ref="R81:R84" si="48">IFERROR(IF(OR(P81="",Q81=""),"",ROUND(((O81*$O$8)+(P81*$P$8)+(Q81*$Q$8))/$Q$6,0)),"")</f>
        <v/>
      </c>
      <c r="S81" s="159" t="str">
        <f>IF(R81="","",IF(R81&gt;Data2!$C$12,Data2!$D$11,IF(R81&gt;Data2!$C$13,Data2!$D$12,IF(R81&gt;Data2!$C$14,Data2!$D$13,Data2!$D$14))))</f>
        <v/>
      </c>
      <c r="T81" s="144">
        <f t="shared" ref="T81:T84" si="49">MAX(G81:N81)</f>
        <v>0</v>
      </c>
      <c r="U81" s="144">
        <f t="shared" ref="U81:U84" si="50">MIN(G81:N81)</f>
        <v>0</v>
      </c>
      <c r="V81" s="144" t="str">
        <f t="shared" si="30"/>
        <v>Mulai berkembang</v>
      </c>
      <c r="W81" s="144" t="str">
        <f t="shared" si="31"/>
        <v>Mulai berkembang</v>
      </c>
      <c r="X81" s="144" t="e">
        <f t="shared" ref="X81:X84" si="51">MATCH(T81,G81:N81,0)</f>
        <v>#N/A</v>
      </c>
      <c r="Y81" s="145" t="e">
        <f t="shared" ref="Y81:Y84" si="52">MATCH(U81,G81:N81,0)</f>
        <v>#N/A</v>
      </c>
      <c r="Z81" s="218" t="str">
        <f>IF('PA-Non'!O81&lt;&gt;"",'PA-Non'!O81,IFERROR("Mempunyai kemampuan yang " &amp;IF(V81=W81,PROPER(W81)&amp;" dalam kompetensi "&amp;VLOOKUP(X81,$G$532:$I$539,3)&amp;" dan kompetensi "&amp;VLOOKUP(Y81,$G$532:$I$539,3),PROPER(V81)&amp;" dalam kompetensi "&amp;VLOOKUP(X81,$G$532:$I$539,3)&amp;" dan memiliki kemampuan yang "&amp;W81&amp;" pada kompetensi "&amp;VLOOKUP(Y81,$G$532:$I$539,3)),""))</f>
        <v/>
      </c>
      <c r="AA81" s="343"/>
      <c r="AB81" s="344"/>
      <c r="AC81" s="344"/>
      <c r="AD81" s="344"/>
      <c r="AE81" s="344"/>
      <c r="AF81" s="344"/>
      <c r="AG81" s="344"/>
      <c r="AH81" s="345"/>
      <c r="AI81" s="220" t="str">
        <f t="shared" ref="AI81:AI84" si="53">IF(COUNT(AA81:AH81)&lt;3,"",ROUND(((AA81*$AA$8)+(AB81*$AB$8)+(AC81*$AC$8)+(AD81*$AD$8)+(AE81*$AE$8)+(AF81*$AF$8)+(AG81*$AG$8)+(AH81*$AH$8))/$AI$6,0))</f>
        <v/>
      </c>
      <c r="AJ81" s="160" t="str">
        <f>IF(AI81="","",IF(AI81&gt;Data2!$C$12,Data2!$D$11,IF(AI81&gt;Data2!$C$13,Data2!$D$12,IF(AI81&gt;Data2!$C$14,Data2!$D$13,Data2!$D$14))))</f>
        <v/>
      </c>
      <c r="AK81" s="146">
        <f t="shared" ref="AK81:AK84" si="54">MAX(AA81:AH81)</f>
        <v>0</v>
      </c>
      <c r="AL81" s="146">
        <f t="shared" ref="AL81:AL84" si="55">MIN(AA81:AH81)</f>
        <v>0</v>
      </c>
      <c r="AM81" s="147" t="str">
        <f t="shared" si="32"/>
        <v>Mulai meningkat</v>
      </c>
      <c r="AN81" s="147" t="str">
        <f t="shared" si="33"/>
        <v>Mulai meningkat</v>
      </c>
      <c r="AO81" s="146" t="e">
        <f t="shared" ref="AO81:AO84" si="56">MATCH(AK81,AA81:AH81,0)</f>
        <v>#N/A</v>
      </c>
      <c r="AP81" s="148" t="e">
        <f t="shared" ref="AP81:AP84" si="57">MATCH(AL81,AA81:AH81,0)</f>
        <v>#N/A</v>
      </c>
      <c r="AQ81" s="158" t="str">
        <f>IF('PA-Non'!V81&lt;&gt;"",'PA-Non'!V81,IFERROR("Mempunyai keterampilan yang "&amp;IF(AM81=AN81,PROPER(AN81)&amp;" dalam kompetensi "&amp;VLOOKUP(AO81,$AA$532:$AC$539,3)&amp;", demikian juga dalam kompetensi "&amp;VLOOKUP(AP81,$AA$532:$AC$539,3),PROPER(AM81)&amp;" dalam kompetensi "&amp;VLOOKUP(AO81,$AA$532:$AC$539,3)&amp;" dan "&amp;AN81&amp;" pada kompetensi "&amp;VLOOKUP(AP81,$AA$532:$AC$539,3)),""))</f>
        <v/>
      </c>
      <c r="AR81" s="188"/>
    </row>
    <row r="82" spans="2:44" ht="27.9" customHeight="1" thickBot="1" x14ac:dyDescent="0.35">
      <c r="B82" s="384" t="s">
        <v>29</v>
      </c>
      <c r="C82" s="149">
        <f t="shared" si="46"/>
        <v>33</v>
      </c>
      <c r="D82" s="150" t="str">
        <f>IF(Data!F77="","",Data!F77)</f>
        <v>03626</v>
      </c>
      <c r="E82" s="151" t="str">
        <f>IF(Data!H77="","",Data!H77)</f>
        <v>Zulmi Fajar Habibie</v>
      </c>
      <c r="F82" s="152" t="str">
        <f>IF(Data!I77="","",Data!I77)</f>
        <v>Laki-laki</v>
      </c>
      <c r="G82" s="343"/>
      <c r="H82" s="344"/>
      <c r="I82" s="344"/>
      <c r="J82" s="344"/>
      <c r="K82" s="344"/>
      <c r="L82" s="344"/>
      <c r="M82" s="344"/>
      <c r="N82" s="345"/>
      <c r="O82" s="157" t="str">
        <f t="shared" si="47"/>
        <v/>
      </c>
      <c r="P82" s="344"/>
      <c r="Q82" s="346"/>
      <c r="R82" s="157" t="str">
        <f t="shared" si="48"/>
        <v/>
      </c>
      <c r="S82" s="159" t="str">
        <f>IF(R82="","",IF(R82&gt;Data2!$C$12,Data2!$D$11,IF(R82&gt;Data2!$C$13,Data2!$D$12,IF(R82&gt;Data2!$C$14,Data2!$D$13,Data2!$D$14))))</f>
        <v/>
      </c>
      <c r="T82" s="144">
        <f t="shared" si="49"/>
        <v>0</v>
      </c>
      <c r="U82" s="144">
        <f t="shared" si="50"/>
        <v>0</v>
      </c>
      <c r="V82" s="144" t="str">
        <f t="shared" si="30"/>
        <v>Mulai berkembang</v>
      </c>
      <c r="W82" s="144" t="str">
        <f t="shared" si="31"/>
        <v>Mulai berkembang</v>
      </c>
      <c r="X82" s="144" t="e">
        <f t="shared" si="51"/>
        <v>#N/A</v>
      </c>
      <c r="Y82" s="145" t="e">
        <f t="shared" si="52"/>
        <v>#N/A</v>
      </c>
      <c r="Z82" s="218" t="str">
        <f>IF('PA-Non'!O82&lt;&gt;"",'PA-Non'!O82,IFERROR("Mempunyai kemampuan yang " &amp;IF(V82=W82,PROPER(W82)&amp;" dalam kompetensi "&amp;VLOOKUP(X82,$G$532:$I$539,3)&amp;" dan kompetensi "&amp;VLOOKUP(Y82,$G$532:$I$539,3),PROPER(V82)&amp;" dalam kompetensi "&amp;VLOOKUP(X82,$G$532:$I$539,3)&amp;" dan memiliki kemampuan yang "&amp;W82&amp;" pada kompetensi "&amp;VLOOKUP(Y82,$G$532:$I$539,3)),""))</f>
        <v/>
      </c>
      <c r="AA82" s="343"/>
      <c r="AB82" s="344"/>
      <c r="AC82" s="344"/>
      <c r="AD82" s="344"/>
      <c r="AE82" s="344"/>
      <c r="AF82" s="344"/>
      <c r="AG82" s="344"/>
      <c r="AH82" s="345"/>
      <c r="AI82" s="220" t="str">
        <f t="shared" si="53"/>
        <v/>
      </c>
      <c r="AJ82" s="160" t="str">
        <f>IF(AI82="","",IF(AI82&gt;Data2!$C$12,Data2!$D$11,IF(AI82&gt;Data2!$C$13,Data2!$D$12,IF(AI82&gt;Data2!$C$14,Data2!$D$13,Data2!$D$14))))</f>
        <v/>
      </c>
      <c r="AK82" s="146">
        <f t="shared" si="54"/>
        <v>0</v>
      </c>
      <c r="AL82" s="146">
        <f t="shared" si="55"/>
        <v>0</v>
      </c>
      <c r="AM82" s="147" t="str">
        <f t="shared" si="32"/>
        <v>Mulai meningkat</v>
      </c>
      <c r="AN82" s="147" t="str">
        <f t="shared" si="33"/>
        <v>Mulai meningkat</v>
      </c>
      <c r="AO82" s="146" t="e">
        <f t="shared" si="56"/>
        <v>#N/A</v>
      </c>
      <c r="AP82" s="148" t="e">
        <f t="shared" si="57"/>
        <v>#N/A</v>
      </c>
      <c r="AQ82" s="158" t="str">
        <f>IF('PA-Non'!V82&lt;&gt;"",'PA-Non'!V82,IFERROR("Mempunyai keterampilan yang "&amp;IF(AM82=AN82,PROPER(AN82)&amp;" dalam kompetensi "&amp;VLOOKUP(AO82,$AA$532:$AC$539,3)&amp;", demikian juga dalam kompetensi "&amp;VLOOKUP(AP82,$AA$532:$AC$539,3),PROPER(AM82)&amp;" dalam kompetensi "&amp;VLOOKUP(AO82,$AA$532:$AC$539,3)&amp;" dan "&amp;AN82&amp;" pada kompetensi "&amp;VLOOKUP(AP82,$AA$532:$AC$539,3)),""))</f>
        <v/>
      </c>
      <c r="AR82" s="188"/>
    </row>
    <row r="83" spans="2:44" ht="27.9" customHeight="1" thickBot="1" x14ac:dyDescent="0.35">
      <c r="B83" s="384" t="s">
        <v>29</v>
      </c>
      <c r="C83" s="149">
        <f t="shared" si="46"/>
        <v>34</v>
      </c>
      <c r="D83" s="150" t="str">
        <f>IF(Data!F78="","",Data!F78)</f>
        <v>03755</v>
      </c>
      <c r="E83" s="151" t="str">
        <f>IF(Data!H78="","",Data!H78)</f>
        <v>Wafiq Azwar Abbasy</v>
      </c>
      <c r="F83" s="152" t="str">
        <f>IF(Data!I78="","",Data!I78)</f>
        <v>Laki-laki</v>
      </c>
      <c r="G83" s="343"/>
      <c r="H83" s="344"/>
      <c r="I83" s="344"/>
      <c r="J83" s="344"/>
      <c r="K83" s="344"/>
      <c r="L83" s="344"/>
      <c r="M83" s="344"/>
      <c r="N83" s="345"/>
      <c r="O83" s="157" t="str">
        <f t="shared" si="47"/>
        <v/>
      </c>
      <c r="P83" s="344"/>
      <c r="Q83" s="346"/>
      <c r="R83" s="157" t="str">
        <f t="shared" si="48"/>
        <v/>
      </c>
      <c r="S83" s="159" t="str">
        <f>IF(R83="","",IF(R83&gt;Data2!$C$12,Data2!$D$11,IF(R83&gt;Data2!$C$13,Data2!$D$12,IF(R83&gt;Data2!$C$14,Data2!$D$13,Data2!$D$14))))</f>
        <v/>
      </c>
      <c r="T83" s="144">
        <f t="shared" si="49"/>
        <v>0</v>
      </c>
      <c r="U83" s="144">
        <f t="shared" si="50"/>
        <v>0</v>
      </c>
      <c r="V83" s="144" t="str">
        <f t="shared" si="30"/>
        <v>Mulai berkembang</v>
      </c>
      <c r="W83" s="144" t="str">
        <f t="shared" si="31"/>
        <v>Mulai berkembang</v>
      </c>
      <c r="X83" s="144" t="e">
        <f t="shared" si="51"/>
        <v>#N/A</v>
      </c>
      <c r="Y83" s="145" t="e">
        <f t="shared" si="52"/>
        <v>#N/A</v>
      </c>
      <c r="Z83" s="218" t="str">
        <f>IF('PA-Non'!O83&lt;&gt;"",'PA-Non'!O83,IFERROR("Mempunyai kemampuan yang " &amp;IF(V83=W83,PROPER(W83)&amp;" dalam kompetensi "&amp;VLOOKUP(X83,$G$532:$I$539,3)&amp;" dan kompetensi "&amp;VLOOKUP(Y83,$G$532:$I$539,3),PROPER(V83)&amp;" dalam kompetensi "&amp;VLOOKUP(X83,$G$532:$I$539,3)&amp;" dan memiliki kemampuan yang "&amp;W83&amp;" pada kompetensi "&amp;VLOOKUP(Y83,$G$532:$I$539,3)),""))</f>
        <v/>
      </c>
      <c r="AA83" s="343"/>
      <c r="AB83" s="344"/>
      <c r="AC83" s="344"/>
      <c r="AD83" s="344"/>
      <c r="AE83" s="344"/>
      <c r="AF83" s="344"/>
      <c r="AG83" s="344"/>
      <c r="AH83" s="345"/>
      <c r="AI83" s="220" t="str">
        <f t="shared" si="53"/>
        <v/>
      </c>
      <c r="AJ83" s="160" t="str">
        <f>IF(AI83="","",IF(AI83&gt;Data2!$C$12,Data2!$D$11,IF(AI83&gt;Data2!$C$13,Data2!$D$12,IF(AI83&gt;Data2!$C$14,Data2!$D$13,Data2!$D$14))))</f>
        <v/>
      </c>
      <c r="AK83" s="146">
        <f t="shared" si="54"/>
        <v>0</v>
      </c>
      <c r="AL83" s="146">
        <f t="shared" si="55"/>
        <v>0</v>
      </c>
      <c r="AM83" s="147" t="str">
        <f t="shared" si="32"/>
        <v>Mulai meningkat</v>
      </c>
      <c r="AN83" s="147" t="str">
        <f t="shared" si="33"/>
        <v>Mulai meningkat</v>
      </c>
      <c r="AO83" s="146" t="e">
        <f t="shared" si="56"/>
        <v>#N/A</v>
      </c>
      <c r="AP83" s="148" t="e">
        <f t="shared" si="57"/>
        <v>#N/A</v>
      </c>
      <c r="AQ83" s="158" t="str">
        <f>IF('PA-Non'!V83&lt;&gt;"",'PA-Non'!V83,IFERROR("Mempunyai keterampilan yang "&amp;IF(AM83=AN83,PROPER(AN83)&amp;" dalam kompetensi "&amp;VLOOKUP(AO83,$AA$532:$AC$539,3)&amp;", demikian juga dalam kompetensi "&amp;VLOOKUP(AP83,$AA$532:$AC$539,3),PROPER(AM83)&amp;" dalam kompetensi "&amp;VLOOKUP(AO83,$AA$532:$AC$539,3)&amp;" dan "&amp;AN83&amp;" pada kompetensi "&amp;VLOOKUP(AP83,$AA$532:$AC$539,3)),""))</f>
        <v/>
      </c>
      <c r="AR83" s="188"/>
    </row>
    <row r="84" spans="2:44" ht="27.9" customHeight="1" thickBot="1" x14ac:dyDescent="0.35">
      <c r="B84" s="384" t="s">
        <v>29</v>
      </c>
      <c r="C84" s="149" t="str">
        <f t="shared" si="46"/>
        <v/>
      </c>
      <c r="D84" s="150" t="str">
        <f>IF(Data!F79="","",Data!F79)</f>
        <v/>
      </c>
      <c r="E84" s="151" t="str">
        <f>IF(Data!H79="","",Data!H79)</f>
        <v/>
      </c>
      <c r="F84" s="152" t="str">
        <f>IF(Data!I79="","",Data!I79)</f>
        <v/>
      </c>
      <c r="G84" s="343"/>
      <c r="H84" s="344"/>
      <c r="I84" s="344"/>
      <c r="J84" s="344"/>
      <c r="K84" s="344"/>
      <c r="L84" s="344"/>
      <c r="M84" s="344"/>
      <c r="N84" s="345"/>
      <c r="O84" s="157" t="str">
        <f t="shared" si="47"/>
        <v/>
      </c>
      <c r="P84" s="344"/>
      <c r="Q84" s="346"/>
      <c r="R84" s="157" t="str">
        <f t="shared" si="48"/>
        <v/>
      </c>
      <c r="S84" s="159" t="str">
        <f>IF(R84="","",IF(R84&gt;Data2!$C$12,Data2!$D$11,IF(R84&gt;Data2!$C$13,Data2!$D$12,IF(R84&gt;Data2!$C$14,Data2!$D$13,Data2!$D$14))))</f>
        <v/>
      </c>
      <c r="T84" s="144">
        <f t="shared" si="49"/>
        <v>0</v>
      </c>
      <c r="U84" s="144">
        <f t="shared" si="50"/>
        <v>0</v>
      </c>
      <c r="V84" s="144" t="str">
        <f t="shared" si="30"/>
        <v>Mulai berkembang</v>
      </c>
      <c r="W84" s="144" t="str">
        <f t="shared" si="31"/>
        <v>Mulai berkembang</v>
      </c>
      <c r="X84" s="144" t="e">
        <f t="shared" si="51"/>
        <v>#N/A</v>
      </c>
      <c r="Y84" s="145" t="e">
        <f t="shared" si="52"/>
        <v>#N/A</v>
      </c>
      <c r="Z84" s="218" t="str">
        <f>IF('PA-Non'!O84&lt;&gt;"",'PA-Non'!O84,IFERROR("Mempunyai kemampuan yang " &amp;IF(V84=W84,PROPER(W84)&amp;" dalam kompetensi "&amp;VLOOKUP(X84,$G$532:$I$539,3)&amp;" dan kompetensi "&amp;VLOOKUP(Y84,$G$532:$I$539,3),PROPER(V84)&amp;" dalam kompetensi "&amp;VLOOKUP(X84,$G$532:$I$539,3)&amp;" dan memiliki kemampuan yang "&amp;W84&amp;" pada kompetensi "&amp;VLOOKUP(Y84,$G$532:$I$539,3)),""))</f>
        <v/>
      </c>
      <c r="AA84" s="343"/>
      <c r="AB84" s="344"/>
      <c r="AC84" s="344"/>
      <c r="AD84" s="344"/>
      <c r="AE84" s="344"/>
      <c r="AF84" s="344"/>
      <c r="AG84" s="344"/>
      <c r="AH84" s="345"/>
      <c r="AI84" s="220" t="str">
        <f t="shared" si="53"/>
        <v/>
      </c>
      <c r="AJ84" s="160" t="str">
        <f>IF(AI84="","",IF(AI84&gt;Data2!$C$12,Data2!$D$11,IF(AI84&gt;Data2!$C$13,Data2!$D$12,IF(AI84&gt;Data2!$C$14,Data2!$D$13,Data2!$D$14))))</f>
        <v/>
      </c>
      <c r="AK84" s="146">
        <f t="shared" si="54"/>
        <v>0</v>
      </c>
      <c r="AL84" s="146">
        <f t="shared" si="55"/>
        <v>0</v>
      </c>
      <c r="AM84" s="147" t="str">
        <f t="shared" si="32"/>
        <v>Mulai meningkat</v>
      </c>
      <c r="AN84" s="147" t="str">
        <f t="shared" si="33"/>
        <v>Mulai meningkat</v>
      </c>
      <c r="AO84" s="146" t="e">
        <f t="shared" si="56"/>
        <v>#N/A</v>
      </c>
      <c r="AP84" s="148" t="e">
        <f t="shared" si="57"/>
        <v>#N/A</v>
      </c>
      <c r="AQ84" s="158" t="str">
        <f>IF('PA-Non'!V84&lt;&gt;"",'PA-Non'!V84,IFERROR("Mempunyai keterampilan yang "&amp;IF(AM84=AN84,PROPER(AN84)&amp;" dalam kompetensi "&amp;VLOOKUP(AO84,$AA$532:$AC$539,3)&amp;", demikian juga dalam kompetensi "&amp;VLOOKUP(AP84,$AA$532:$AC$539,3),PROPER(AM84)&amp;" dalam kompetensi "&amp;VLOOKUP(AO84,$AA$532:$AC$539,3)&amp;" dan "&amp;AN84&amp;" pada kompetensi "&amp;VLOOKUP(AP84,$AA$532:$AC$539,3)),""))</f>
        <v/>
      </c>
      <c r="AR84" s="188"/>
    </row>
    <row r="85" spans="2:44" ht="27.9" customHeight="1" thickBot="1" x14ac:dyDescent="0.35">
      <c r="B85" s="384" t="s">
        <v>29</v>
      </c>
      <c r="C85" s="149" t="str">
        <f t="shared" ref="C85:C89" si="58">IF(E85="","",C84+1)</f>
        <v/>
      </c>
      <c r="D85" s="150" t="str">
        <f>IF(Data!F80="","",Data!F80)</f>
        <v/>
      </c>
      <c r="E85" s="151" t="str">
        <f>IF(Data!H80="","",Data!H80)</f>
        <v/>
      </c>
      <c r="F85" s="152" t="str">
        <f>IF(Data!I80="","",Data!I80)</f>
        <v/>
      </c>
      <c r="G85" s="343"/>
      <c r="H85" s="344"/>
      <c r="I85" s="344"/>
      <c r="J85" s="344"/>
      <c r="K85" s="344"/>
      <c r="L85" s="344"/>
      <c r="M85" s="344"/>
      <c r="N85" s="345"/>
      <c r="O85" s="157" t="str">
        <f t="shared" ref="O85:O89" si="59">IF(COUNT(G85:N85)&lt;3,"",ROUND(SUM(G85:N85)/$O$6,0))</f>
        <v/>
      </c>
      <c r="P85" s="344"/>
      <c r="Q85" s="346"/>
      <c r="R85" s="157" t="str">
        <f t="shared" ref="R85:R89" si="60">IFERROR(IF(OR(P85="",Q85=""),"",ROUND(((O85*$O$8)+(P85*$P$8)+(Q85*$Q$8))/$Q$6,0)),"")</f>
        <v/>
      </c>
      <c r="S85" s="159" t="str">
        <f>IF(R85="","",IF(R85&gt;Data2!$C$12,Data2!$D$11,IF(R85&gt;Data2!$C$13,Data2!$D$12,IF(R85&gt;Data2!$C$14,Data2!$D$13,Data2!$D$14))))</f>
        <v/>
      </c>
      <c r="T85" s="144">
        <f t="shared" ref="T85:T89" si="61">MAX(G85:N85)</f>
        <v>0</v>
      </c>
      <c r="U85" s="144">
        <f t="shared" ref="U85:U89" si="62">MIN(G85:N85)</f>
        <v>0</v>
      </c>
      <c r="V85" s="144" t="str">
        <f t="shared" si="30"/>
        <v>Mulai berkembang</v>
      </c>
      <c r="W85" s="144" t="str">
        <f t="shared" si="31"/>
        <v>Mulai berkembang</v>
      </c>
      <c r="X85" s="144" t="e">
        <f t="shared" ref="X85:X89" si="63">MATCH(T85,G85:N85,0)</f>
        <v>#N/A</v>
      </c>
      <c r="Y85" s="145" t="e">
        <f t="shared" ref="Y85:Y89" si="64">MATCH(U85,G85:N85,0)</f>
        <v>#N/A</v>
      </c>
      <c r="Z85" s="218" t="str">
        <f>IF('PA-Non'!O85&lt;&gt;"",'PA-Non'!O85,IFERROR("Mempunyai kemampuan yang " &amp;IF(V85=W85,PROPER(W85)&amp;" dalam kompetensi "&amp;VLOOKUP(X85,$G$532:$I$539,3)&amp;" dan kompetensi "&amp;VLOOKUP(Y85,$G$532:$I$539,3),PROPER(V85)&amp;" dalam kompetensi "&amp;VLOOKUP(X85,$G$532:$I$539,3)&amp;" dan memiliki kemampuan yang "&amp;W85&amp;" pada kompetensi "&amp;VLOOKUP(Y85,$G$532:$I$539,3)),""))</f>
        <v/>
      </c>
      <c r="AA85" s="343"/>
      <c r="AB85" s="344"/>
      <c r="AC85" s="344"/>
      <c r="AD85" s="344"/>
      <c r="AE85" s="344"/>
      <c r="AF85" s="344"/>
      <c r="AG85" s="344"/>
      <c r="AH85" s="345"/>
      <c r="AI85" s="220" t="str">
        <f t="shared" ref="AI85:AI89" si="65">IF(COUNT(AA85:AH85)&lt;3,"",ROUND(((AA85*$AA$8)+(AB85*$AB$8)+(AC85*$AC$8)+(AD85*$AD$8)+(AE85*$AE$8)+(AF85*$AF$8)+(AG85*$AG$8)+(AH85*$AH$8))/$AI$6,0))</f>
        <v/>
      </c>
      <c r="AJ85" s="160" t="str">
        <f>IF(AI85="","",IF(AI85&gt;Data2!$C$12,Data2!$D$11,IF(AI85&gt;Data2!$C$13,Data2!$D$12,IF(AI85&gt;Data2!$C$14,Data2!$D$13,Data2!$D$14))))</f>
        <v/>
      </c>
      <c r="AK85" s="146">
        <f t="shared" ref="AK85:AK89" si="66">MAX(AA85:AH85)</f>
        <v>0</v>
      </c>
      <c r="AL85" s="146">
        <f t="shared" ref="AL85:AL89" si="67">MIN(AA85:AH85)</f>
        <v>0</v>
      </c>
      <c r="AM85" s="147" t="str">
        <f t="shared" si="32"/>
        <v>Mulai meningkat</v>
      </c>
      <c r="AN85" s="147" t="str">
        <f t="shared" si="33"/>
        <v>Mulai meningkat</v>
      </c>
      <c r="AO85" s="146" t="e">
        <f t="shared" ref="AO85:AO89" si="68">MATCH(AK85,AA85:AH85,0)</f>
        <v>#N/A</v>
      </c>
      <c r="AP85" s="148" t="e">
        <f t="shared" ref="AP85:AP89" si="69">MATCH(AL85,AA85:AH85,0)</f>
        <v>#N/A</v>
      </c>
      <c r="AQ85" s="158" t="str">
        <f>IF('PA-Non'!V85&lt;&gt;"",'PA-Non'!V85,IFERROR("Mempunyai keterampilan yang "&amp;IF(AM85=AN85,PROPER(AN85)&amp;" dalam kompetensi "&amp;VLOOKUP(AO85,$AA$532:$AC$539,3)&amp;", demikian juga dalam kompetensi "&amp;VLOOKUP(AP85,$AA$532:$AC$539,3),PROPER(AM85)&amp;" dalam kompetensi "&amp;VLOOKUP(AO85,$AA$532:$AC$539,3)&amp;" dan "&amp;AN85&amp;" pada kompetensi "&amp;VLOOKUP(AP85,$AA$532:$AC$539,3)),""))</f>
        <v/>
      </c>
      <c r="AR85" s="188"/>
    </row>
    <row r="86" spans="2:44" ht="27.9" customHeight="1" thickBot="1" x14ac:dyDescent="0.35">
      <c r="B86" s="384" t="s">
        <v>29</v>
      </c>
      <c r="C86" s="149" t="str">
        <f t="shared" si="58"/>
        <v/>
      </c>
      <c r="D86" s="150" t="str">
        <f>IF(Data!F81="","",Data!F81)</f>
        <v/>
      </c>
      <c r="E86" s="151" t="str">
        <f>IF(Data!H81="","",Data!H81)</f>
        <v/>
      </c>
      <c r="F86" s="152" t="str">
        <f>IF(Data!I81="","",Data!I81)</f>
        <v/>
      </c>
      <c r="G86" s="343"/>
      <c r="H86" s="344"/>
      <c r="I86" s="344"/>
      <c r="J86" s="344"/>
      <c r="K86" s="344"/>
      <c r="L86" s="344"/>
      <c r="M86" s="344"/>
      <c r="N86" s="345"/>
      <c r="O86" s="157" t="str">
        <f t="shared" si="59"/>
        <v/>
      </c>
      <c r="P86" s="344"/>
      <c r="Q86" s="346"/>
      <c r="R86" s="157" t="str">
        <f t="shared" si="60"/>
        <v/>
      </c>
      <c r="S86" s="159" t="str">
        <f>IF(R86="","",IF(R86&gt;Data2!$C$12,Data2!$D$11,IF(R86&gt;Data2!$C$13,Data2!$D$12,IF(R86&gt;Data2!$C$14,Data2!$D$13,Data2!$D$14))))</f>
        <v/>
      </c>
      <c r="T86" s="144">
        <f t="shared" si="61"/>
        <v>0</v>
      </c>
      <c r="U86" s="144">
        <f t="shared" si="62"/>
        <v>0</v>
      </c>
      <c r="V86" s="144" t="str">
        <f t="shared" si="30"/>
        <v>Mulai berkembang</v>
      </c>
      <c r="W86" s="144" t="str">
        <f t="shared" si="31"/>
        <v>Mulai berkembang</v>
      </c>
      <c r="X86" s="144" t="e">
        <f t="shared" si="63"/>
        <v>#N/A</v>
      </c>
      <c r="Y86" s="145" t="e">
        <f t="shared" si="64"/>
        <v>#N/A</v>
      </c>
      <c r="Z86" s="218" t="str">
        <f>IF('PA-Non'!O86&lt;&gt;"",'PA-Non'!O86,IFERROR("Mempunyai kemampuan yang " &amp;IF(V86=W86,PROPER(W86)&amp;" dalam kompetensi "&amp;VLOOKUP(X86,$G$532:$I$539,3)&amp;" dan kompetensi "&amp;VLOOKUP(Y86,$G$532:$I$539,3),PROPER(V86)&amp;" dalam kompetensi "&amp;VLOOKUP(X86,$G$532:$I$539,3)&amp;" dan memiliki kemampuan yang "&amp;W86&amp;" pada kompetensi "&amp;VLOOKUP(Y86,$G$532:$I$539,3)),""))</f>
        <v/>
      </c>
      <c r="AA86" s="343"/>
      <c r="AB86" s="344"/>
      <c r="AC86" s="344"/>
      <c r="AD86" s="344"/>
      <c r="AE86" s="344"/>
      <c r="AF86" s="344"/>
      <c r="AG86" s="344"/>
      <c r="AH86" s="345"/>
      <c r="AI86" s="220" t="str">
        <f t="shared" si="65"/>
        <v/>
      </c>
      <c r="AJ86" s="160" t="str">
        <f>IF(AI86="","",IF(AI86&gt;Data2!$C$12,Data2!$D$11,IF(AI86&gt;Data2!$C$13,Data2!$D$12,IF(AI86&gt;Data2!$C$14,Data2!$D$13,Data2!$D$14))))</f>
        <v/>
      </c>
      <c r="AK86" s="146">
        <f t="shared" si="66"/>
        <v>0</v>
      </c>
      <c r="AL86" s="146">
        <f t="shared" si="67"/>
        <v>0</v>
      </c>
      <c r="AM86" s="147" t="str">
        <f t="shared" si="32"/>
        <v>Mulai meningkat</v>
      </c>
      <c r="AN86" s="147" t="str">
        <f t="shared" si="33"/>
        <v>Mulai meningkat</v>
      </c>
      <c r="AO86" s="146" t="e">
        <f t="shared" si="68"/>
        <v>#N/A</v>
      </c>
      <c r="AP86" s="148" t="e">
        <f t="shared" si="69"/>
        <v>#N/A</v>
      </c>
      <c r="AQ86" s="158" t="str">
        <f>IF('PA-Non'!V86&lt;&gt;"",'PA-Non'!V86,IFERROR("Mempunyai keterampilan yang "&amp;IF(AM86=AN86,PROPER(AN86)&amp;" dalam kompetensi "&amp;VLOOKUP(AO86,$AA$532:$AC$539,3)&amp;", demikian juga dalam kompetensi "&amp;VLOOKUP(AP86,$AA$532:$AC$539,3),PROPER(AM86)&amp;" dalam kompetensi "&amp;VLOOKUP(AO86,$AA$532:$AC$539,3)&amp;" dan "&amp;AN86&amp;" pada kompetensi "&amp;VLOOKUP(AP86,$AA$532:$AC$539,3)),""))</f>
        <v/>
      </c>
      <c r="AR86" s="188"/>
    </row>
    <row r="87" spans="2:44" ht="27.9" customHeight="1" thickBot="1" x14ac:dyDescent="0.35">
      <c r="B87" s="384" t="s">
        <v>29</v>
      </c>
      <c r="C87" s="149" t="str">
        <f t="shared" si="58"/>
        <v/>
      </c>
      <c r="D87" s="150" t="str">
        <f>IF(Data!F82="","",Data!F82)</f>
        <v/>
      </c>
      <c r="E87" s="151" t="str">
        <f>IF(Data!H82="","",Data!H82)</f>
        <v/>
      </c>
      <c r="F87" s="152" t="str">
        <f>IF(Data!I82="","",Data!I82)</f>
        <v/>
      </c>
      <c r="G87" s="343"/>
      <c r="H87" s="344"/>
      <c r="I87" s="344"/>
      <c r="J87" s="344"/>
      <c r="K87" s="344"/>
      <c r="L87" s="344"/>
      <c r="M87" s="344"/>
      <c r="N87" s="345"/>
      <c r="O87" s="157" t="str">
        <f t="shared" si="59"/>
        <v/>
      </c>
      <c r="P87" s="344"/>
      <c r="Q87" s="346"/>
      <c r="R87" s="157" t="str">
        <f t="shared" si="60"/>
        <v/>
      </c>
      <c r="S87" s="159" t="str">
        <f>IF(R87="","",IF(R87&gt;Data2!$C$12,Data2!$D$11,IF(R87&gt;Data2!$C$13,Data2!$D$12,IF(R87&gt;Data2!$C$14,Data2!$D$13,Data2!$D$14))))</f>
        <v/>
      </c>
      <c r="T87" s="144">
        <f t="shared" si="61"/>
        <v>0</v>
      </c>
      <c r="U87" s="144">
        <f t="shared" si="62"/>
        <v>0</v>
      </c>
      <c r="V87" s="144" t="str">
        <f t="shared" si="30"/>
        <v>Mulai berkembang</v>
      </c>
      <c r="W87" s="144" t="str">
        <f t="shared" si="31"/>
        <v>Mulai berkembang</v>
      </c>
      <c r="X87" s="144" t="e">
        <f t="shared" si="63"/>
        <v>#N/A</v>
      </c>
      <c r="Y87" s="145" t="e">
        <f t="shared" si="64"/>
        <v>#N/A</v>
      </c>
      <c r="Z87" s="218" t="str">
        <f>IF('PA-Non'!O87&lt;&gt;"",'PA-Non'!O87,IFERROR("Mempunyai kemampuan yang " &amp;IF(V87=W87,PROPER(W87)&amp;" dalam kompetensi "&amp;VLOOKUP(X87,$G$532:$I$539,3)&amp;" dan kompetensi "&amp;VLOOKUP(Y87,$G$532:$I$539,3),PROPER(V87)&amp;" dalam kompetensi "&amp;VLOOKUP(X87,$G$532:$I$539,3)&amp;" dan memiliki kemampuan yang "&amp;W87&amp;" pada kompetensi "&amp;VLOOKUP(Y87,$G$532:$I$539,3)),""))</f>
        <v/>
      </c>
      <c r="AA87" s="343"/>
      <c r="AB87" s="344"/>
      <c r="AC87" s="344"/>
      <c r="AD87" s="344"/>
      <c r="AE87" s="344"/>
      <c r="AF87" s="344"/>
      <c r="AG87" s="344"/>
      <c r="AH87" s="345"/>
      <c r="AI87" s="220" t="str">
        <f t="shared" si="65"/>
        <v/>
      </c>
      <c r="AJ87" s="160" t="str">
        <f>IF(AI87="","",IF(AI87&gt;Data2!$C$12,Data2!$D$11,IF(AI87&gt;Data2!$C$13,Data2!$D$12,IF(AI87&gt;Data2!$C$14,Data2!$D$13,Data2!$D$14))))</f>
        <v/>
      </c>
      <c r="AK87" s="146">
        <f t="shared" si="66"/>
        <v>0</v>
      </c>
      <c r="AL87" s="146">
        <f t="shared" si="67"/>
        <v>0</v>
      </c>
      <c r="AM87" s="147" t="str">
        <f t="shared" si="32"/>
        <v>Mulai meningkat</v>
      </c>
      <c r="AN87" s="147" t="str">
        <f t="shared" si="33"/>
        <v>Mulai meningkat</v>
      </c>
      <c r="AO87" s="146" t="e">
        <f t="shared" si="68"/>
        <v>#N/A</v>
      </c>
      <c r="AP87" s="148" t="e">
        <f t="shared" si="69"/>
        <v>#N/A</v>
      </c>
      <c r="AQ87" s="158" t="str">
        <f>IF('PA-Non'!V87&lt;&gt;"",'PA-Non'!V87,IFERROR("Mempunyai keterampilan yang "&amp;IF(AM87=AN87,PROPER(AN87)&amp;" dalam kompetensi "&amp;VLOOKUP(AO87,$AA$532:$AC$539,3)&amp;", demikian juga dalam kompetensi "&amp;VLOOKUP(AP87,$AA$532:$AC$539,3),PROPER(AM87)&amp;" dalam kompetensi "&amp;VLOOKUP(AO87,$AA$532:$AC$539,3)&amp;" dan "&amp;AN87&amp;" pada kompetensi "&amp;VLOOKUP(AP87,$AA$532:$AC$539,3)),""))</f>
        <v/>
      </c>
      <c r="AR87" s="188"/>
    </row>
    <row r="88" spans="2:44" ht="27.9" customHeight="1" x14ac:dyDescent="0.3">
      <c r="B88" s="410" t="s">
        <v>29</v>
      </c>
      <c r="C88" s="387" t="str">
        <f t="shared" si="58"/>
        <v/>
      </c>
      <c r="D88" s="51" t="str">
        <f>IF(Data!F83="","",Data!F83)</f>
        <v/>
      </c>
      <c r="E88" s="91" t="str">
        <f>IF(Data!H83="","",Data!H83)</f>
        <v/>
      </c>
      <c r="F88" s="52" t="str">
        <f>IF(Data!I83="","",Data!I83)</f>
        <v/>
      </c>
      <c r="G88" s="411"/>
      <c r="H88" s="412"/>
      <c r="I88" s="412"/>
      <c r="J88" s="412"/>
      <c r="K88" s="412"/>
      <c r="L88" s="412"/>
      <c r="M88" s="412"/>
      <c r="N88" s="413"/>
      <c r="O88" s="391" t="str">
        <f t="shared" si="59"/>
        <v/>
      </c>
      <c r="P88" s="412"/>
      <c r="Q88" s="414"/>
      <c r="R88" s="391" t="str">
        <f t="shared" si="60"/>
        <v/>
      </c>
      <c r="S88" s="393" t="str">
        <f>IF(R88="","",IF(R88&gt;Data2!$C$12,Data2!$D$11,IF(R88&gt;Data2!$C$13,Data2!$D$12,IF(R88&gt;Data2!$C$14,Data2!$D$13,Data2!$D$14))))</f>
        <v/>
      </c>
      <c r="T88" s="394">
        <f t="shared" si="61"/>
        <v>0</v>
      </c>
      <c r="U88" s="394">
        <f t="shared" si="62"/>
        <v>0</v>
      </c>
      <c r="V88" s="394" t="str">
        <f t="shared" si="30"/>
        <v>Mulai berkembang</v>
      </c>
      <c r="W88" s="394" t="str">
        <f t="shared" si="31"/>
        <v>Mulai berkembang</v>
      </c>
      <c r="X88" s="394" t="e">
        <f t="shared" si="63"/>
        <v>#N/A</v>
      </c>
      <c r="Y88" s="395" t="e">
        <f t="shared" si="64"/>
        <v>#N/A</v>
      </c>
      <c r="Z88" s="396" t="str">
        <f>IF('PA-Non'!O88&lt;&gt;"",'PA-Non'!O88,IFERROR("Mempunyai kemampuan yang " &amp;IF(V88=W88,PROPER(W88)&amp;" dalam kompetensi "&amp;VLOOKUP(X88,$G$532:$I$539,3)&amp;" dan kompetensi "&amp;VLOOKUP(Y88,$G$532:$I$539,3),PROPER(V88)&amp;" dalam kompetensi "&amp;VLOOKUP(X88,$G$532:$I$539,3)&amp;" dan memiliki kemampuan yang "&amp;W88&amp;" pada kompetensi "&amp;VLOOKUP(Y88,$G$532:$I$539,3)),""))</f>
        <v/>
      </c>
      <c r="AA88" s="411"/>
      <c r="AB88" s="412"/>
      <c r="AC88" s="412"/>
      <c r="AD88" s="412"/>
      <c r="AE88" s="412"/>
      <c r="AF88" s="412"/>
      <c r="AG88" s="412"/>
      <c r="AH88" s="413"/>
      <c r="AI88" s="397" t="str">
        <f t="shared" si="65"/>
        <v/>
      </c>
      <c r="AJ88" s="398" t="str">
        <f>IF(AI88="","",IF(AI88&gt;Data2!$C$12,Data2!$D$11,IF(AI88&gt;Data2!$C$13,Data2!$D$12,IF(AI88&gt;Data2!$C$14,Data2!$D$13,Data2!$D$14))))</f>
        <v/>
      </c>
      <c r="AK88" s="399">
        <f t="shared" si="66"/>
        <v>0</v>
      </c>
      <c r="AL88" s="399">
        <f t="shared" si="67"/>
        <v>0</v>
      </c>
      <c r="AM88" s="400" t="str">
        <f t="shared" si="32"/>
        <v>Mulai meningkat</v>
      </c>
      <c r="AN88" s="400" t="str">
        <f t="shared" si="33"/>
        <v>Mulai meningkat</v>
      </c>
      <c r="AO88" s="399" t="e">
        <f t="shared" si="68"/>
        <v>#N/A</v>
      </c>
      <c r="AP88" s="401" t="e">
        <f t="shared" si="69"/>
        <v>#N/A</v>
      </c>
      <c r="AQ88" s="402" t="str">
        <f>IF('PA-Non'!V88&lt;&gt;"",'PA-Non'!V88,IFERROR("Mempunyai keterampilan yang "&amp;IF(AM88=AN88,PROPER(AN88)&amp;" dalam kompetensi "&amp;VLOOKUP(AO88,$AA$532:$AC$539,3)&amp;", demikian juga dalam kompetensi "&amp;VLOOKUP(AP88,$AA$532:$AC$539,3),PROPER(AM88)&amp;" dalam kompetensi "&amp;VLOOKUP(AO88,$AA$532:$AC$539,3)&amp;" dan "&amp;AN88&amp;" pada kompetensi "&amp;VLOOKUP(AP88,$AA$532:$AC$539,3)),""))</f>
        <v/>
      </c>
      <c r="AR88" s="188"/>
    </row>
    <row r="89" spans="2:44" ht="27.9" customHeight="1" thickBot="1" x14ac:dyDescent="0.35">
      <c r="B89" s="385" t="s">
        <v>29</v>
      </c>
      <c r="C89" s="366" t="str">
        <f t="shared" si="58"/>
        <v/>
      </c>
      <c r="D89" s="367" t="str">
        <f>IF(Data!F84="","",Data!F84)</f>
        <v/>
      </c>
      <c r="E89" s="368" t="str">
        <f>IF(Data!H84="","",Data!H84)</f>
        <v/>
      </c>
      <c r="F89" s="369" t="str">
        <f>IF(Data!I84="","",Data!I84)</f>
        <v/>
      </c>
      <c r="G89" s="379"/>
      <c r="H89" s="380"/>
      <c r="I89" s="380"/>
      <c r="J89" s="380"/>
      <c r="K89" s="380"/>
      <c r="L89" s="380"/>
      <c r="M89" s="380"/>
      <c r="N89" s="381"/>
      <c r="O89" s="373" t="str">
        <f t="shared" si="59"/>
        <v/>
      </c>
      <c r="P89" s="380"/>
      <c r="Q89" s="382"/>
      <c r="R89" s="373" t="str">
        <f t="shared" si="60"/>
        <v/>
      </c>
      <c r="S89" s="375" t="str">
        <f>IF(R89="","",IF(R89&gt;Data2!$C$12,Data2!$D$11,IF(R89&gt;Data2!$C$13,Data2!$D$12,IF(R89&gt;Data2!$C$14,Data2!$D$13,Data2!$D$14))))</f>
        <v/>
      </c>
      <c r="T89" s="404">
        <f t="shared" si="61"/>
        <v>0</v>
      </c>
      <c r="U89" s="404">
        <f t="shared" si="62"/>
        <v>0</v>
      </c>
      <c r="V89" s="404" t="str">
        <f t="shared" si="30"/>
        <v>Mulai berkembang</v>
      </c>
      <c r="W89" s="404" t="str">
        <f t="shared" si="31"/>
        <v>Mulai berkembang</v>
      </c>
      <c r="X89" s="404" t="e">
        <f t="shared" si="63"/>
        <v>#N/A</v>
      </c>
      <c r="Y89" s="405" t="e">
        <f t="shared" si="64"/>
        <v>#N/A</v>
      </c>
      <c r="Z89" s="376" t="str">
        <f>IF('PA-Non'!O89&lt;&gt;"",'PA-Non'!O89,IFERROR("Mempunyai kemampuan yang " &amp;IF(V89=W89,PROPER(W89)&amp;" dalam kompetensi "&amp;VLOOKUP(X89,$G$532:$I$539,3)&amp;" dan kompetensi "&amp;VLOOKUP(Y89,$G$532:$I$539,3),PROPER(V89)&amp;" dalam kompetensi "&amp;VLOOKUP(X89,$G$532:$I$539,3)&amp;" dan memiliki kemampuan yang "&amp;W89&amp;" pada kompetensi "&amp;VLOOKUP(Y89,$G$532:$I$539,3)),""))</f>
        <v/>
      </c>
      <c r="AA89" s="379"/>
      <c r="AB89" s="380"/>
      <c r="AC89" s="380"/>
      <c r="AD89" s="380"/>
      <c r="AE89" s="380"/>
      <c r="AF89" s="380"/>
      <c r="AG89" s="380"/>
      <c r="AH89" s="381"/>
      <c r="AI89" s="377" t="str">
        <f t="shared" si="65"/>
        <v/>
      </c>
      <c r="AJ89" s="378" t="str">
        <f>IF(AI89="","",IF(AI89&gt;Data2!$C$12,Data2!$D$11,IF(AI89&gt;Data2!$C$13,Data2!$D$12,IF(AI89&gt;Data2!$C$14,Data2!$D$13,Data2!$D$14))))</f>
        <v/>
      </c>
      <c r="AK89" s="406">
        <f t="shared" si="66"/>
        <v>0</v>
      </c>
      <c r="AL89" s="406">
        <f t="shared" si="67"/>
        <v>0</v>
      </c>
      <c r="AM89" s="407" t="str">
        <f t="shared" si="32"/>
        <v>Mulai meningkat</v>
      </c>
      <c r="AN89" s="407" t="str">
        <f t="shared" si="33"/>
        <v>Mulai meningkat</v>
      </c>
      <c r="AO89" s="406" t="e">
        <f t="shared" si="68"/>
        <v>#N/A</v>
      </c>
      <c r="AP89" s="408" t="e">
        <f t="shared" si="69"/>
        <v>#N/A</v>
      </c>
      <c r="AQ89" s="409" t="str">
        <f>IF('PA-Non'!V89&lt;&gt;"",'PA-Non'!V89,IFERROR("Mempunyai keterampilan yang "&amp;IF(AM89=AN89,PROPER(AN89)&amp;" dalam kompetensi "&amp;VLOOKUP(AO89,$AA$532:$AC$539,3)&amp;", demikian juga dalam kompetensi "&amp;VLOOKUP(AP89,$AA$532:$AC$539,3),PROPER(AM89)&amp;" dalam kompetensi "&amp;VLOOKUP(AO89,$AA$532:$AC$539,3)&amp;" dan "&amp;AN89&amp;" pada kompetensi "&amp;VLOOKUP(AP89,$AA$532:$AC$539,3)),""))</f>
        <v/>
      </c>
      <c r="AR89" s="188"/>
    </row>
    <row r="90" spans="2:44" ht="27.75" customHeight="1" thickBot="1" x14ac:dyDescent="0.35">
      <c r="B90" s="226" t="s">
        <v>30</v>
      </c>
      <c r="C90" s="137">
        <v>1</v>
      </c>
      <c r="D90" s="138" t="str">
        <f>IF(Data!F85="","",Data!F85)</f>
        <v>03510</v>
      </c>
      <c r="E90" s="139" t="str">
        <f>IF(Data!H85="","",Data!H85)</f>
        <v>Ahmad Affan Abqory</v>
      </c>
      <c r="F90" s="140" t="str">
        <f>IF(Data!I85="","",Data!I85)</f>
        <v>Laki-laki</v>
      </c>
      <c r="G90" s="153"/>
      <c r="H90" s="154"/>
      <c r="I90" s="154"/>
      <c r="J90" s="154"/>
      <c r="K90" s="154"/>
      <c r="L90" s="154"/>
      <c r="M90" s="154"/>
      <c r="N90" s="155"/>
      <c r="O90" s="143" t="str">
        <f t="shared" si="34"/>
        <v/>
      </c>
      <c r="P90" s="141"/>
      <c r="Q90" s="142"/>
      <c r="R90" s="143" t="str">
        <f t="shared" si="45"/>
        <v/>
      </c>
      <c r="S90" s="159" t="str">
        <f>IF(R90="","",IF(R90&gt;Data2!$C$12,Data2!$D$11,IF(R90&gt;Data2!$C$13,Data2!$D$12,IF(R90&gt;Data2!$C$14,Data2!$D$13,Data2!$D$14))))</f>
        <v/>
      </c>
      <c r="T90" s="144">
        <f t="shared" si="35"/>
        <v>0</v>
      </c>
      <c r="U90" s="144">
        <f t="shared" si="36"/>
        <v>0</v>
      </c>
      <c r="V90" s="144" t="str">
        <f t="shared" si="30"/>
        <v>Mulai berkembang</v>
      </c>
      <c r="W90" s="144" t="str">
        <f t="shared" si="31"/>
        <v>Mulai berkembang</v>
      </c>
      <c r="X90" s="144" t="e">
        <f t="shared" si="37"/>
        <v>#N/A</v>
      </c>
      <c r="Y90" s="145" t="e">
        <f t="shared" si="38"/>
        <v>#N/A</v>
      </c>
      <c r="Z90" s="218" t="str">
        <f>IF('PA-Non'!O90&lt;&gt;"",'PA-Non'!O90,IFERROR("Mempunyai kemampuan yang " &amp;IF(V90=W90,PROPER(W90)&amp;" dalam kompetensi "&amp;VLOOKUP(X90,$G$532:$I$539,3)&amp;" dan kompetensi "&amp;VLOOKUP(Y90,$G$532:$I$539,3),PROPER(V90)&amp;" dalam kompetensi "&amp;VLOOKUP(X90,$G$532:$I$539,3)&amp;" dan memiliki kemampuan yang "&amp;W90&amp;" pada kompetensi "&amp;VLOOKUP(Y90,$G$532:$I$539,3)),""))</f>
        <v/>
      </c>
      <c r="AA90" s="153"/>
      <c r="AB90" s="154"/>
      <c r="AC90" s="154"/>
      <c r="AD90" s="154"/>
      <c r="AE90" s="154"/>
      <c r="AF90" s="154"/>
      <c r="AG90" s="154"/>
      <c r="AH90" s="155"/>
      <c r="AI90" s="219" t="str">
        <f t="shared" si="39"/>
        <v/>
      </c>
      <c r="AJ90" s="160" t="str">
        <f>IF(AI90="","",IF(AI90&gt;Data2!$C$12,Data2!$D$11,IF(AI90&gt;Data2!$C$13,Data2!$D$12,IF(AI90&gt;Data2!$C$14,Data2!$D$13,Data2!$D$14))))</f>
        <v/>
      </c>
      <c r="AK90" s="146">
        <f t="shared" si="40"/>
        <v>0</v>
      </c>
      <c r="AL90" s="146">
        <f t="shared" si="41"/>
        <v>0</v>
      </c>
      <c r="AM90" s="147" t="str">
        <f t="shared" si="32"/>
        <v>Mulai meningkat</v>
      </c>
      <c r="AN90" s="147" t="str">
        <f t="shared" si="33"/>
        <v>Mulai meningkat</v>
      </c>
      <c r="AO90" s="146" t="e">
        <f t="shared" si="42"/>
        <v>#N/A</v>
      </c>
      <c r="AP90" s="148" t="e">
        <f t="shared" si="43"/>
        <v>#N/A</v>
      </c>
      <c r="AQ90" s="158" t="str">
        <f>IF('PA-Non'!V90&lt;&gt;"",'PA-Non'!V90,IFERROR("Mempunyai keterampilan yang "&amp;IF(AM90=AN90,PROPER(AN90)&amp;" dalam kompetensi "&amp;VLOOKUP(AO90,$AA$532:$AC$539,3)&amp;", demikian juga dalam kompetensi "&amp;VLOOKUP(AP90,$AA$532:$AC$539,3),PROPER(AM90)&amp;" dalam kompetensi "&amp;VLOOKUP(AO90,$AA$532:$AC$539,3)&amp;" dan "&amp;AN90&amp;" pada kompetensi "&amp;VLOOKUP(AP90,$AA$532:$AC$539,3)),""))</f>
        <v/>
      </c>
      <c r="AR90" s="188"/>
    </row>
    <row r="91" spans="2:44" ht="27.75" customHeight="1" thickBot="1" x14ac:dyDescent="0.35">
      <c r="B91" s="226" t="s">
        <v>30</v>
      </c>
      <c r="C91" s="149">
        <f t="shared" si="44"/>
        <v>2</v>
      </c>
      <c r="D91" s="150" t="str">
        <f>IF(Data!F86="","",Data!F86)</f>
        <v>03514</v>
      </c>
      <c r="E91" s="151" t="str">
        <f>IF(Data!H86="","",Data!H86)</f>
        <v>Ahmad Alwi Abdul Azis</v>
      </c>
      <c r="F91" s="152" t="str">
        <f>IF(Data!I86="","",Data!I86)</f>
        <v>Laki-laki</v>
      </c>
      <c r="G91" s="153"/>
      <c r="H91" s="154"/>
      <c r="I91" s="154"/>
      <c r="J91" s="154"/>
      <c r="K91" s="154"/>
      <c r="L91" s="154"/>
      <c r="M91" s="154"/>
      <c r="N91" s="155"/>
      <c r="O91" s="157" t="str">
        <f t="shared" si="34"/>
        <v/>
      </c>
      <c r="P91" s="154"/>
      <c r="Q91" s="156"/>
      <c r="R91" s="157" t="str">
        <f t="shared" si="45"/>
        <v/>
      </c>
      <c r="S91" s="159" t="str">
        <f>IF(R91="","",IF(R91&gt;Data2!$C$12,Data2!$D$11,IF(R91&gt;Data2!$C$13,Data2!$D$12,IF(R91&gt;Data2!$C$14,Data2!$D$13,Data2!$D$14))))</f>
        <v/>
      </c>
      <c r="T91" s="144">
        <f t="shared" si="35"/>
        <v>0</v>
      </c>
      <c r="U91" s="144">
        <f t="shared" si="36"/>
        <v>0</v>
      </c>
      <c r="V91" s="144" t="str">
        <f t="shared" si="30"/>
        <v>Mulai berkembang</v>
      </c>
      <c r="W91" s="144" t="str">
        <f t="shared" si="31"/>
        <v>Mulai berkembang</v>
      </c>
      <c r="X91" s="144" t="e">
        <f t="shared" si="37"/>
        <v>#N/A</v>
      </c>
      <c r="Y91" s="145" t="e">
        <f t="shared" si="38"/>
        <v>#N/A</v>
      </c>
      <c r="Z91" s="218" t="str">
        <f>IF('PA-Non'!O91&lt;&gt;"",'PA-Non'!O91,IFERROR("Mempunyai kemampuan yang " &amp;IF(V91=W91,PROPER(W91)&amp;" dalam kompetensi "&amp;VLOOKUP(X91,$G$532:$I$539,3)&amp;" dan kompetensi "&amp;VLOOKUP(Y91,$G$532:$I$539,3),PROPER(V91)&amp;" dalam kompetensi "&amp;VLOOKUP(X91,$G$532:$I$539,3)&amp;" dan memiliki kemampuan yang "&amp;W91&amp;" pada kompetensi "&amp;VLOOKUP(Y91,$G$532:$I$539,3)),""))</f>
        <v/>
      </c>
      <c r="AA91" s="153"/>
      <c r="AB91" s="154"/>
      <c r="AC91" s="154"/>
      <c r="AD91" s="154"/>
      <c r="AE91" s="154"/>
      <c r="AF91" s="154"/>
      <c r="AG91" s="154"/>
      <c r="AH91" s="155"/>
      <c r="AI91" s="220" t="str">
        <f t="shared" si="39"/>
        <v/>
      </c>
      <c r="AJ91" s="160" t="str">
        <f>IF(AI91="","",IF(AI91&gt;Data2!$C$12,Data2!$D$11,IF(AI91&gt;Data2!$C$13,Data2!$D$12,IF(AI91&gt;Data2!$C$14,Data2!$D$13,Data2!$D$14))))</f>
        <v/>
      </c>
      <c r="AK91" s="146">
        <f t="shared" si="40"/>
        <v>0</v>
      </c>
      <c r="AL91" s="146">
        <f t="shared" si="41"/>
        <v>0</v>
      </c>
      <c r="AM91" s="147" t="str">
        <f t="shared" si="32"/>
        <v>Mulai meningkat</v>
      </c>
      <c r="AN91" s="147" t="str">
        <f t="shared" si="33"/>
        <v>Mulai meningkat</v>
      </c>
      <c r="AO91" s="146" t="e">
        <f t="shared" si="42"/>
        <v>#N/A</v>
      </c>
      <c r="AP91" s="148" t="e">
        <f t="shared" si="43"/>
        <v>#N/A</v>
      </c>
      <c r="AQ91" s="158" t="str">
        <f>IF('PA-Non'!V91&lt;&gt;"",'PA-Non'!V91,IFERROR("Mempunyai keterampilan yang "&amp;IF(AM91=AN91,PROPER(AN91)&amp;" dalam kompetensi "&amp;VLOOKUP(AO91,$AA$532:$AC$539,3)&amp;", demikian juga dalam kompetensi "&amp;VLOOKUP(AP91,$AA$532:$AC$539,3),PROPER(AM91)&amp;" dalam kompetensi "&amp;VLOOKUP(AO91,$AA$532:$AC$539,3)&amp;" dan "&amp;AN91&amp;" pada kompetensi "&amp;VLOOKUP(AP91,$AA$532:$AC$539,3)),""))</f>
        <v/>
      </c>
      <c r="AR91" s="188"/>
    </row>
    <row r="92" spans="2:44" ht="27.75" customHeight="1" thickBot="1" x14ac:dyDescent="0.35">
      <c r="B92" s="226" t="s">
        <v>30</v>
      </c>
      <c r="C92" s="149">
        <f t="shared" si="44"/>
        <v>3</v>
      </c>
      <c r="D92" s="150" t="str">
        <f>IF(Data!F87="","",Data!F87)</f>
        <v>03515</v>
      </c>
      <c r="E92" s="151" t="str">
        <f>IF(Data!H87="","",Data!H87)</f>
        <v>Ahmad Daris Ziham Almuqsith</v>
      </c>
      <c r="F92" s="152" t="str">
        <f>IF(Data!I87="","",Data!I87)</f>
        <v>Laki-laki</v>
      </c>
      <c r="G92" s="153"/>
      <c r="H92" s="154"/>
      <c r="I92" s="154"/>
      <c r="J92" s="154"/>
      <c r="K92" s="154"/>
      <c r="L92" s="154"/>
      <c r="M92" s="154"/>
      <c r="N92" s="155"/>
      <c r="O92" s="157" t="str">
        <f t="shared" si="34"/>
        <v/>
      </c>
      <c r="P92" s="154"/>
      <c r="Q92" s="156"/>
      <c r="R92" s="157" t="str">
        <f t="shared" si="45"/>
        <v/>
      </c>
      <c r="S92" s="159" t="str">
        <f>IF(R92="","",IF(R92&gt;Data2!$C$12,Data2!$D$11,IF(R92&gt;Data2!$C$13,Data2!$D$12,IF(R92&gt;Data2!$C$14,Data2!$D$13,Data2!$D$14))))</f>
        <v/>
      </c>
      <c r="T92" s="144">
        <f t="shared" si="35"/>
        <v>0</v>
      </c>
      <c r="U92" s="144">
        <f t="shared" si="36"/>
        <v>0</v>
      </c>
      <c r="V92" s="144" t="str">
        <f t="shared" si="30"/>
        <v>Mulai berkembang</v>
      </c>
      <c r="W92" s="144" t="str">
        <f t="shared" si="31"/>
        <v>Mulai berkembang</v>
      </c>
      <c r="X92" s="144" t="e">
        <f t="shared" si="37"/>
        <v>#N/A</v>
      </c>
      <c r="Y92" s="145" t="e">
        <f t="shared" si="38"/>
        <v>#N/A</v>
      </c>
      <c r="Z92" s="218" t="str">
        <f>IF('PA-Non'!O92&lt;&gt;"",'PA-Non'!O92,IFERROR("Mempunyai kemampuan yang " &amp;IF(V92=W92,PROPER(W92)&amp;" dalam kompetensi "&amp;VLOOKUP(X92,$G$532:$I$539,3)&amp;" dan kompetensi "&amp;VLOOKUP(Y92,$G$532:$I$539,3),PROPER(V92)&amp;" dalam kompetensi "&amp;VLOOKUP(X92,$G$532:$I$539,3)&amp;" dan memiliki kemampuan yang "&amp;W92&amp;" pada kompetensi "&amp;VLOOKUP(Y92,$G$532:$I$539,3)),""))</f>
        <v/>
      </c>
      <c r="AA92" s="153"/>
      <c r="AB92" s="154"/>
      <c r="AC92" s="154"/>
      <c r="AD92" s="154"/>
      <c r="AE92" s="154"/>
      <c r="AF92" s="154"/>
      <c r="AG92" s="154"/>
      <c r="AH92" s="155"/>
      <c r="AI92" s="220" t="str">
        <f t="shared" si="39"/>
        <v/>
      </c>
      <c r="AJ92" s="160" t="str">
        <f>IF(AI92="","",IF(AI92&gt;Data2!$C$12,Data2!$D$11,IF(AI92&gt;Data2!$C$13,Data2!$D$12,IF(AI92&gt;Data2!$C$14,Data2!$D$13,Data2!$D$14))))</f>
        <v/>
      </c>
      <c r="AK92" s="146">
        <f t="shared" si="40"/>
        <v>0</v>
      </c>
      <c r="AL92" s="146">
        <f t="shared" si="41"/>
        <v>0</v>
      </c>
      <c r="AM92" s="147" t="str">
        <f t="shared" si="32"/>
        <v>Mulai meningkat</v>
      </c>
      <c r="AN92" s="147" t="str">
        <f t="shared" si="33"/>
        <v>Mulai meningkat</v>
      </c>
      <c r="AO92" s="146" t="e">
        <f t="shared" si="42"/>
        <v>#N/A</v>
      </c>
      <c r="AP92" s="148" t="e">
        <f t="shared" si="43"/>
        <v>#N/A</v>
      </c>
      <c r="AQ92" s="158" t="str">
        <f>IF('PA-Non'!V92&lt;&gt;"",'PA-Non'!V92,IFERROR("Mempunyai keterampilan yang "&amp;IF(AM92=AN92,PROPER(AN92)&amp;" dalam kompetensi "&amp;VLOOKUP(AO92,$AA$532:$AC$539,3)&amp;", demikian juga dalam kompetensi "&amp;VLOOKUP(AP92,$AA$532:$AC$539,3),PROPER(AM92)&amp;" dalam kompetensi "&amp;VLOOKUP(AO92,$AA$532:$AC$539,3)&amp;" dan "&amp;AN92&amp;" pada kompetensi "&amp;VLOOKUP(AP92,$AA$532:$AC$539,3)),""))</f>
        <v/>
      </c>
      <c r="AR92" s="188"/>
    </row>
    <row r="93" spans="2:44" ht="27.9" customHeight="1" thickBot="1" x14ac:dyDescent="0.35">
      <c r="B93" s="226" t="s">
        <v>30</v>
      </c>
      <c r="C93" s="149">
        <f t="shared" si="44"/>
        <v>4</v>
      </c>
      <c r="D93" s="150" t="str">
        <f>IF(Data!F88="","",Data!F88)</f>
        <v>03521</v>
      </c>
      <c r="E93" s="151" t="str">
        <f>IF(Data!H88="","",Data!H88)</f>
        <v>Ahmad Julian Pasha Ramadhan</v>
      </c>
      <c r="F93" s="152" t="str">
        <f>IF(Data!I88="","",Data!I88)</f>
        <v>Laki-laki</v>
      </c>
      <c r="G93" s="153"/>
      <c r="H93" s="154"/>
      <c r="I93" s="154"/>
      <c r="J93" s="154"/>
      <c r="K93" s="154"/>
      <c r="L93" s="154"/>
      <c r="M93" s="154"/>
      <c r="N93" s="155"/>
      <c r="O93" s="157" t="str">
        <f t="shared" si="34"/>
        <v/>
      </c>
      <c r="P93" s="154"/>
      <c r="Q93" s="156"/>
      <c r="R93" s="157" t="str">
        <f t="shared" si="45"/>
        <v/>
      </c>
      <c r="S93" s="159" t="str">
        <f>IF(R93="","",IF(R93&gt;Data2!$C$12,Data2!$D$11,IF(R93&gt;Data2!$C$13,Data2!$D$12,IF(R93&gt;Data2!$C$14,Data2!$D$13,Data2!$D$14))))</f>
        <v/>
      </c>
      <c r="T93" s="144">
        <f t="shared" si="35"/>
        <v>0</v>
      </c>
      <c r="U93" s="144">
        <f t="shared" si="36"/>
        <v>0</v>
      </c>
      <c r="V93" s="144" t="str">
        <f t="shared" si="30"/>
        <v>Mulai berkembang</v>
      </c>
      <c r="W93" s="144" t="str">
        <f t="shared" si="31"/>
        <v>Mulai berkembang</v>
      </c>
      <c r="X93" s="144" t="e">
        <f t="shared" si="37"/>
        <v>#N/A</v>
      </c>
      <c r="Y93" s="145" t="e">
        <f t="shared" si="38"/>
        <v>#N/A</v>
      </c>
      <c r="Z93" s="218" t="str">
        <f>IF('PA-Non'!O93&lt;&gt;"",'PA-Non'!O93,IFERROR("Mempunyai kemampuan yang " &amp;IF(V93=W93,PROPER(W93)&amp;" dalam kompetensi "&amp;VLOOKUP(X93,$G$532:$I$539,3)&amp;" dan kompetensi "&amp;VLOOKUP(Y93,$G$532:$I$539,3),PROPER(V93)&amp;" dalam kompetensi "&amp;VLOOKUP(X93,$G$532:$I$539,3)&amp;" dan memiliki kemampuan yang "&amp;W93&amp;" pada kompetensi "&amp;VLOOKUP(Y93,$G$532:$I$539,3)),""))</f>
        <v/>
      </c>
      <c r="AA93" s="153"/>
      <c r="AB93" s="154"/>
      <c r="AC93" s="154"/>
      <c r="AD93" s="154"/>
      <c r="AE93" s="154"/>
      <c r="AF93" s="154"/>
      <c r="AG93" s="154"/>
      <c r="AH93" s="155"/>
      <c r="AI93" s="220" t="str">
        <f t="shared" si="39"/>
        <v/>
      </c>
      <c r="AJ93" s="160" t="str">
        <f>IF(AI93="","",IF(AI93&gt;Data2!$C$12,Data2!$D$11,IF(AI93&gt;Data2!$C$13,Data2!$D$12,IF(AI93&gt;Data2!$C$14,Data2!$D$13,Data2!$D$14))))</f>
        <v/>
      </c>
      <c r="AK93" s="146">
        <f t="shared" si="40"/>
        <v>0</v>
      </c>
      <c r="AL93" s="146">
        <f t="shared" si="41"/>
        <v>0</v>
      </c>
      <c r="AM93" s="147" t="str">
        <f t="shared" si="32"/>
        <v>Mulai meningkat</v>
      </c>
      <c r="AN93" s="147" t="str">
        <f t="shared" si="33"/>
        <v>Mulai meningkat</v>
      </c>
      <c r="AO93" s="146" t="e">
        <f t="shared" si="42"/>
        <v>#N/A</v>
      </c>
      <c r="AP93" s="148" t="e">
        <f t="shared" si="43"/>
        <v>#N/A</v>
      </c>
      <c r="AQ93" s="158" t="str">
        <f>IF('PA-Non'!V93&lt;&gt;"",'PA-Non'!V93,IFERROR("Mempunyai keterampilan yang "&amp;IF(AM93=AN93,PROPER(AN93)&amp;" dalam kompetensi "&amp;VLOOKUP(AO93,$AA$532:$AC$539,3)&amp;", demikian juga dalam kompetensi "&amp;VLOOKUP(AP93,$AA$532:$AC$539,3),PROPER(AM93)&amp;" dalam kompetensi "&amp;VLOOKUP(AO93,$AA$532:$AC$539,3)&amp;" dan "&amp;AN93&amp;" pada kompetensi "&amp;VLOOKUP(AP93,$AA$532:$AC$539,3)),""))</f>
        <v/>
      </c>
      <c r="AR93" s="188"/>
    </row>
    <row r="94" spans="2:44" ht="27.9" customHeight="1" thickBot="1" x14ac:dyDescent="0.35">
      <c r="B94" s="226" t="s">
        <v>30</v>
      </c>
      <c r="C94" s="149">
        <f t="shared" si="44"/>
        <v>5</v>
      </c>
      <c r="D94" s="150" t="str">
        <f>IF(Data!F89="","",Data!F89)</f>
        <v>03524</v>
      </c>
      <c r="E94" s="151" t="str">
        <f>IF(Data!H89="","",Data!H89)</f>
        <v>Ahmad Ridwan Alghoni</v>
      </c>
      <c r="F94" s="152" t="str">
        <f>IF(Data!I89="","",Data!I89)</f>
        <v>Laki-laki</v>
      </c>
      <c r="G94" s="153"/>
      <c r="H94" s="154"/>
      <c r="I94" s="154"/>
      <c r="J94" s="154"/>
      <c r="K94" s="154"/>
      <c r="L94" s="154"/>
      <c r="M94" s="154"/>
      <c r="N94" s="155"/>
      <c r="O94" s="157" t="str">
        <f t="shared" si="34"/>
        <v/>
      </c>
      <c r="P94" s="154"/>
      <c r="Q94" s="156"/>
      <c r="R94" s="157" t="str">
        <f t="shared" si="45"/>
        <v/>
      </c>
      <c r="S94" s="159" t="str">
        <f>IF(R94="","",IF(R94&gt;Data2!$C$12,Data2!$D$11,IF(R94&gt;Data2!$C$13,Data2!$D$12,IF(R94&gt;Data2!$C$14,Data2!$D$13,Data2!$D$14))))</f>
        <v/>
      </c>
      <c r="T94" s="144">
        <f t="shared" si="35"/>
        <v>0</v>
      </c>
      <c r="U94" s="144">
        <f t="shared" si="36"/>
        <v>0</v>
      </c>
      <c r="V94" s="144" t="str">
        <f t="shared" si="30"/>
        <v>Mulai berkembang</v>
      </c>
      <c r="W94" s="144" t="str">
        <f t="shared" si="31"/>
        <v>Mulai berkembang</v>
      </c>
      <c r="X94" s="144" t="e">
        <f t="shared" si="37"/>
        <v>#N/A</v>
      </c>
      <c r="Y94" s="145" t="e">
        <f t="shared" si="38"/>
        <v>#N/A</v>
      </c>
      <c r="Z94" s="218" t="str">
        <f>IF('PA-Non'!O94&lt;&gt;"",'PA-Non'!O94,IFERROR("Mempunyai kemampuan yang " &amp;IF(V94=W94,PROPER(W94)&amp;" dalam kompetensi "&amp;VLOOKUP(X94,$G$532:$I$539,3)&amp;" dan kompetensi "&amp;VLOOKUP(Y94,$G$532:$I$539,3),PROPER(V94)&amp;" dalam kompetensi "&amp;VLOOKUP(X94,$G$532:$I$539,3)&amp;" dan memiliki kemampuan yang "&amp;W94&amp;" pada kompetensi "&amp;VLOOKUP(Y94,$G$532:$I$539,3)),""))</f>
        <v/>
      </c>
      <c r="AA94" s="153"/>
      <c r="AB94" s="154"/>
      <c r="AC94" s="154"/>
      <c r="AD94" s="154"/>
      <c r="AE94" s="154"/>
      <c r="AF94" s="154"/>
      <c r="AG94" s="154"/>
      <c r="AH94" s="155"/>
      <c r="AI94" s="220" t="str">
        <f t="shared" si="39"/>
        <v/>
      </c>
      <c r="AJ94" s="160" t="str">
        <f>IF(AI94="","",IF(AI94&gt;Data2!$C$12,Data2!$D$11,IF(AI94&gt;Data2!$C$13,Data2!$D$12,IF(AI94&gt;Data2!$C$14,Data2!$D$13,Data2!$D$14))))</f>
        <v/>
      </c>
      <c r="AK94" s="146">
        <f t="shared" si="40"/>
        <v>0</v>
      </c>
      <c r="AL94" s="146">
        <f t="shared" si="41"/>
        <v>0</v>
      </c>
      <c r="AM94" s="147" t="str">
        <f t="shared" si="32"/>
        <v>Mulai meningkat</v>
      </c>
      <c r="AN94" s="147" t="str">
        <f t="shared" si="33"/>
        <v>Mulai meningkat</v>
      </c>
      <c r="AO94" s="146" t="e">
        <f t="shared" si="42"/>
        <v>#N/A</v>
      </c>
      <c r="AP94" s="148" t="e">
        <f t="shared" si="43"/>
        <v>#N/A</v>
      </c>
      <c r="AQ94" s="158" t="str">
        <f>IF('PA-Non'!V94&lt;&gt;"",'PA-Non'!V94,IFERROR("Mempunyai keterampilan yang "&amp;IF(AM94=AN94,PROPER(AN94)&amp;" dalam kompetensi "&amp;VLOOKUP(AO94,$AA$532:$AC$539,3)&amp;", demikian juga dalam kompetensi "&amp;VLOOKUP(AP94,$AA$532:$AC$539,3),PROPER(AM94)&amp;" dalam kompetensi "&amp;VLOOKUP(AO94,$AA$532:$AC$539,3)&amp;" dan "&amp;AN94&amp;" pada kompetensi "&amp;VLOOKUP(AP94,$AA$532:$AC$539,3)),""))</f>
        <v/>
      </c>
      <c r="AR94" s="188"/>
    </row>
    <row r="95" spans="2:44" ht="27.9" customHeight="1" thickBot="1" x14ac:dyDescent="0.35">
      <c r="B95" s="226" t="s">
        <v>30</v>
      </c>
      <c r="C95" s="149">
        <f t="shared" si="44"/>
        <v>6</v>
      </c>
      <c r="D95" s="150" t="str">
        <f>IF(Data!F90="","",Data!F90)</f>
        <v>03527</v>
      </c>
      <c r="E95" s="151" t="str">
        <f>IF(Data!H90="","",Data!H90)</f>
        <v>Airlangga Azzumar Bachtyar</v>
      </c>
      <c r="F95" s="152" t="str">
        <f>IF(Data!I90="","",Data!I90)</f>
        <v>Laki-laki</v>
      </c>
      <c r="G95" s="153"/>
      <c r="H95" s="154"/>
      <c r="I95" s="154"/>
      <c r="J95" s="154"/>
      <c r="K95" s="154"/>
      <c r="L95" s="154"/>
      <c r="M95" s="154"/>
      <c r="N95" s="155"/>
      <c r="O95" s="157" t="str">
        <f t="shared" si="34"/>
        <v/>
      </c>
      <c r="P95" s="154"/>
      <c r="Q95" s="156"/>
      <c r="R95" s="157" t="str">
        <f t="shared" si="45"/>
        <v/>
      </c>
      <c r="S95" s="159" t="str">
        <f>IF(R95="","",IF(R95&gt;Data2!$C$12,Data2!$D$11,IF(R95&gt;Data2!$C$13,Data2!$D$12,IF(R95&gt;Data2!$C$14,Data2!$D$13,Data2!$D$14))))</f>
        <v/>
      </c>
      <c r="T95" s="144">
        <f t="shared" si="35"/>
        <v>0</v>
      </c>
      <c r="U95" s="144">
        <f t="shared" si="36"/>
        <v>0</v>
      </c>
      <c r="V95" s="144" t="str">
        <f t="shared" si="30"/>
        <v>Mulai berkembang</v>
      </c>
      <c r="W95" s="144" t="str">
        <f t="shared" si="31"/>
        <v>Mulai berkembang</v>
      </c>
      <c r="X95" s="144" t="e">
        <f t="shared" si="37"/>
        <v>#N/A</v>
      </c>
      <c r="Y95" s="145" t="e">
        <f t="shared" si="38"/>
        <v>#N/A</v>
      </c>
      <c r="Z95" s="218" t="str">
        <f>IF('PA-Non'!O95&lt;&gt;"",'PA-Non'!O95,IFERROR("Mempunyai kemampuan yang " &amp;IF(V95=W95,PROPER(W95)&amp;" dalam kompetensi "&amp;VLOOKUP(X95,$G$532:$I$539,3)&amp;" dan kompetensi "&amp;VLOOKUP(Y95,$G$532:$I$539,3),PROPER(V95)&amp;" dalam kompetensi "&amp;VLOOKUP(X95,$G$532:$I$539,3)&amp;" dan memiliki kemampuan yang "&amp;W95&amp;" pada kompetensi "&amp;VLOOKUP(Y95,$G$532:$I$539,3)),""))</f>
        <v/>
      </c>
      <c r="AA95" s="153"/>
      <c r="AB95" s="154"/>
      <c r="AC95" s="154"/>
      <c r="AD95" s="154"/>
      <c r="AE95" s="154"/>
      <c r="AF95" s="154"/>
      <c r="AG95" s="154"/>
      <c r="AH95" s="155"/>
      <c r="AI95" s="220" t="str">
        <f t="shared" si="39"/>
        <v/>
      </c>
      <c r="AJ95" s="160" t="str">
        <f>IF(AI95="","",IF(AI95&gt;Data2!$C$12,Data2!$D$11,IF(AI95&gt;Data2!$C$13,Data2!$D$12,IF(AI95&gt;Data2!$C$14,Data2!$D$13,Data2!$D$14))))</f>
        <v/>
      </c>
      <c r="AK95" s="146">
        <f t="shared" si="40"/>
        <v>0</v>
      </c>
      <c r="AL95" s="146">
        <f t="shared" si="41"/>
        <v>0</v>
      </c>
      <c r="AM95" s="147" t="str">
        <f t="shared" si="32"/>
        <v>Mulai meningkat</v>
      </c>
      <c r="AN95" s="147" t="str">
        <f t="shared" si="33"/>
        <v>Mulai meningkat</v>
      </c>
      <c r="AO95" s="146" t="e">
        <f t="shared" si="42"/>
        <v>#N/A</v>
      </c>
      <c r="AP95" s="148" t="e">
        <f t="shared" si="43"/>
        <v>#N/A</v>
      </c>
      <c r="AQ95" s="158" t="str">
        <f>IF('PA-Non'!V95&lt;&gt;"",'PA-Non'!V95,IFERROR("Mempunyai keterampilan yang "&amp;IF(AM95=AN95,PROPER(AN95)&amp;" dalam kompetensi "&amp;VLOOKUP(AO95,$AA$532:$AC$539,3)&amp;", demikian juga dalam kompetensi "&amp;VLOOKUP(AP95,$AA$532:$AC$539,3),PROPER(AM95)&amp;" dalam kompetensi "&amp;VLOOKUP(AO95,$AA$532:$AC$539,3)&amp;" dan "&amp;AN95&amp;" pada kompetensi "&amp;VLOOKUP(AP95,$AA$532:$AC$539,3)),""))</f>
        <v/>
      </c>
      <c r="AR95" s="188"/>
    </row>
    <row r="96" spans="2:44" ht="27.9" customHeight="1" thickBot="1" x14ac:dyDescent="0.35">
      <c r="B96" s="226" t="s">
        <v>30</v>
      </c>
      <c r="C96" s="149">
        <f t="shared" si="44"/>
        <v>7</v>
      </c>
      <c r="D96" s="150" t="str">
        <f>IF(Data!F91="","",Data!F91)</f>
        <v>03528</v>
      </c>
      <c r="E96" s="151" t="str">
        <f>IF(Data!H91="","",Data!H91)</f>
        <v>Alizzal Danish Aditya Yoga Pratama</v>
      </c>
      <c r="F96" s="152" t="str">
        <f>IF(Data!I91="","",Data!I91)</f>
        <v>Laki-laki</v>
      </c>
      <c r="G96" s="153"/>
      <c r="H96" s="154"/>
      <c r="I96" s="154"/>
      <c r="J96" s="154"/>
      <c r="K96" s="154"/>
      <c r="L96" s="154"/>
      <c r="M96" s="154"/>
      <c r="N96" s="155"/>
      <c r="O96" s="157" t="str">
        <f t="shared" si="34"/>
        <v/>
      </c>
      <c r="P96" s="154"/>
      <c r="Q96" s="156"/>
      <c r="R96" s="157" t="str">
        <f t="shared" si="45"/>
        <v/>
      </c>
      <c r="S96" s="159" t="str">
        <f>IF(R96="","",IF(R96&gt;Data2!$C$12,Data2!$D$11,IF(R96&gt;Data2!$C$13,Data2!$D$12,IF(R96&gt;Data2!$C$14,Data2!$D$13,Data2!$D$14))))</f>
        <v/>
      </c>
      <c r="T96" s="144">
        <f t="shared" si="35"/>
        <v>0</v>
      </c>
      <c r="U96" s="144">
        <f t="shared" si="36"/>
        <v>0</v>
      </c>
      <c r="V96" s="144" t="str">
        <f t="shared" si="30"/>
        <v>Mulai berkembang</v>
      </c>
      <c r="W96" s="144" t="str">
        <f t="shared" si="31"/>
        <v>Mulai berkembang</v>
      </c>
      <c r="X96" s="144" t="e">
        <f t="shared" si="37"/>
        <v>#N/A</v>
      </c>
      <c r="Y96" s="145" t="e">
        <f t="shared" si="38"/>
        <v>#N/A</v>
      </c>
      <c r="Z96" s="218" t="str">
        <f>IF('PA-Non'!O96&lt;&gt;"",'PA-Non'!O96,IFERROR("Mempunyai kemampuan yang " &amp;IF(V96=W96,PROPER(W96)&amp;" dalam kompetensi "&amp;VLOOKUP(X96,$G$532:$I$539,3)&amp;" dan kompetensi "&amp;VLOOKUP(Y96,$G$532:$I$539,3),PROPER(V96)&amp;" dalam kompetensi "&amp;VLOOKUP(X96,$G$532:$I$539,3)&amp;" dan memiliki kemampuan yang "&amp;W96&amp;" pada kompetensi "&amp;VLOOKUP(Y96,$G$532:$I$539,3)),""))</f>
        <v/>
      </c>
      <c r="AA96" s="153"/>
      <c r="AB96" s="154"/>
      <c r="AC96" s="154"/>
      <c r="AD96" s="154"/>
      <c r="AE96" s="154"/>
      <c r="AF96" s="154"/>
      <c r="AG96" s="154"/>
      <c r="AH96" s="155"/>
      <c r="AI96" s="220" t="str">
        <f t="shared" si="39"/>
        <v/>
      </c>
      <c r="AJ96" s="160" t="str">
        <f>IF(AI96="","",IF(AI96&gt;Data2!$C$12,Data2!$D$11,IF(AI96&gt;Data2!$C$13,Data2!$D$12,IF(AI96&gt;Data2!$C$14,Data2!$D$13,Data2!$D$14))))</f>
        <v/>
      </c>
      <c r="AK96" s="146">
        <f t="shared" si="40"/>
        <v>0</v>
      </c>
      <c r="AL96" s="146">
        <f t="shared" si="41"/>
        <v>0</v>
      </c>
      <c r="AM96" s="147" t="str">
        <f t="shared" si="32"/>
        <v>Mulai meningkat</v>
      </c>
      <c r="AN96" s="147" t="str">
        <f t="shared" si="33"/>
        <v>Mulai meningkat</v>
      </c>
      <c r="AO96" s="146" t="e">
        <f t="shared" si="42"/>
        <v>#N/A</v>
      </c>
      <c r="AP96" s="148" t="e">
        <f t="shared" si="43"/>
        <v>#N/A</v>
      </c>
      <c r="AQ96" s="158" t="str">
        <f>IF('PA-Non'!V96&lt;&gt;"",'PA-Non'!V96,IFERROR("Mempunyai keterampilan yang "&amp;IF(AM96=AN96,PROPER(AN96)&amp;" dalam kompetensi "&amp;VLOOKUP(AO96,$AA$532:$AC$539,3)&amp;", demikian juga dalam kompetensi "&amp;VLOOKUP(AP96,$AA$532:$AC$539,3),PROPER(AM96)&amp;" dalam kompetensi "&amp;VLOOKUP(AO96,$AA$532:$AC$539,3)&amp;" dan "&amp;AN96&amp;" pada kompetensi "&amp;VLOOKUP(AP96,$AA$532:$AC$539,3)),""))</f>
        <v/>
      </c>
      <c r="AR96" s="188"/>
    </row>
    <row r="97" spans="2:44" ht="27.9" customHeight="1" thickBot="1" x14ac:dyDescent="0.35">
      <c r="B97" s="226" t="s">
        <v>30</v>
      </c>
      <c r="C97" s="149">
        <f t="shared" si="44"/>
        <v>8</v>
      </c>
      <c r="D97" s="150" t="str">
        <f>IF(Data!F92="","",Data!F92)</f>
        <v>03530</v>
      </c>
      <c r="E97" s="151" t="str">
        <f>IF(Data!H92="","",Data!H92)</f>
        <v>Alvian Rizki Auellio</v>
      </c>
      <c r="F97" s="152" t="str">
        <f>IF(Data!I92="","",Data!I92)</f>
        <v>Laki-laki</v>
      </c>
      <c r="G97" s="153"/>
      <c r="H97" s="154"/>
      <c r="I97" s="154"/>
      <c r="J97" s="154"/>
      <c r="K97" s="154"/>
      <c r="L97" s="154"/>
      <c r="M97" s="154"/>
      <c r="N97" s="155"/>
      <c r="O97" s="157" t="str">
        <f t="shared" si="34"/>
        <v/>
      </c>
      <c r="P97" s="154"/>
      <c r="Q97" s="156"/>
      <c r="R97" s="157" t="str">
        <f t="shared" si="45"/>
        <v/>
      </c>
      <c r="S97" s="159" t="str">
        <f>IF(R97="","",IF(R97&gt;Data2!$C$12,Data2!$D$11,IF(R97&gt;Data2!$C$13,Data2!$D$12,IF(R97&gt;Data2!$C$14,Data2!$D$13,Data2!$D$14))))</f>
        <v/>
      </c>
      <c r="T97" s="144">
        <f t="shared" si="35"/>
        <v>0</v>
      </c>
      <c r="U97" s="144">
        <f t="shared" si="36"/>
        <v>0</v>
      </c>
      <c r="V97" s="144" t="str">
        <f t="shared" si="30"/>
        <v>Mulai berkembang</v>
      </c>
      <c r="W97" s="144" t="str">
        <f t="shared" si="31"/>
        <v>Mulai berkembang</v>
      </c>
      <c r="X97" s="144" t="e">
        <f t="shared" si="37"/>
        <v>#N/A</v>
      </c>
      <c r="Y97" s="145" t="e">
        <f t="shared" si="38"/>
        <v>#N/A</v>
      </c>
      <c r="Z97" s="218" t="str">
        <f>IF('PA-Non'!O97&lt;&gt;"",'PA-Non'!O97,IFERROR("Mempunyai kemampuan yang " &amp;IF(V97=W97,PROPER(W97)&amp;" dalam kompetensi "&amp;VLOOKUP(X97,$G$532:$I$539,3)&amp;" dan kompetensi "&amp;VLOOKUP(Y97,$G$532:$I$539,3),PROPER(V97)&amp;" dalam kompetensi "&amp;VLOOKUP(X97,$G$532:$I$539,3)&amp;" dan memiliki kemampuan yang "&amp;W97&amp;" pada kompetensi "&amp;VLOOKUP(Y97,$G$532:$I$539,3)),""))</f>
        <v/>
      </c>
      <c r="AA97" s="153"/>
      <c r="AB97" s="154"/>
      <c r="AC97" s="154"/>
      <c r="AD97" s="154"/>
      <c r="AE97" s="154"/>
      <c r="AF97" s="154"/>
      <c r="AG97" s="154"/>
      <c r="AH97" s="155"/>
      <c r="AI97" s="220" t="str">
        <f t="shared" si="39"/>
        <v/>
      </c>
      <c r="AJ97" s="160" t="str">
        <f>IF(AI97="","",IF(AI97&gt;Data2!$C$12,Data2!$D$11,IF(AI97&gt;Data2!$C$13,Data2!$D$12,IF(AI97&gt;Data2!$C$14,Data2!$D$13,Data2!$D$14))))</f>
        <v/>
      </c>
      <c r="AK97" s="146">
        <f t="shared" si="40"/>
        <v>0</v>
      </c>
      <c r="AL97" s="146">
        <f t="shared" si="41"/>
        <v>0</v>
      </c>
      <c r="AM97" s="147" t="str">
        <f t="shared" si="32"/>
        <v>Mulai meningkat</v>
      </c>
      <c r="AN97" s="147" t="str">
        <f t="shared" si="33"/>
        <v>Mulai meningkat</v>
      </c>
      <c r="AO97" s="146" t="e">
        <f t="shared" si="42"/>
        <v>#N/A</v>
      </c>
      <c r="AP97" s="148" t="e">
        <f t="shared" si="43"/>
        <v>#N/A</v>
      </c>
      <c r="AQ97" s="158" t="str">
        <f>IF('PA-Non'!V97&lt;&gt;"",'PA-Non'!V97,IFERROR("Mempunyai keterampilan yang "&amp;IF(AM97=AN97,PROPER(AN97)&amp;" dalam kompetensi "&amp;VLOOKUP(AO97,$AA$532:$AC$539,3)&amp;", demikian juga dalam kompetensi "&amp;VLOOKUP(AP97,$AA$532:$AC$539,3),PROPER(AM97)&amp;" dalam kompetensi "&amp;VLOOKUP(AO97,$AA$532:$AC$539,3)&amp;" dan "&amp;AN97&amp;" pada kompetensi "&amp;VLOOKUP(AP97,$AA$532:$AC$539,3)),""))</f>
        <v/>
      </c>
      <c r="AR97" s="188"/>
    </row>
    <row r="98" spans="2:44" ht="27.9" customHeight="1" thickBot="1" x14ac:dyDescent="0.35">
      <c r="B98" s="226" t="s">
        <v>30</v>
      </c>
      <c r="C98" s="149">
        <f t="shared" si="44"/>
        <v>9</v>
      </c>
      <c r="D98" s="150" t="str">
        <f>IF(Data!F93="","",Data!F93)</f>
        <v>03532</v>
      </c>
      <c r="E98" s="151" t="str">
        <f>IF(Data!H93="","",Data!H93)</f>
        <v>Ananda Noval Dwi Syahputra</v>
      </c>
      <c r="F98" s="152" t="str">
        <f>IF(Data!I93="","",Data!I93)</f>
        <v>Laki-laki</v>
      </c>
      <c r="G98" s="153"/>
      <c r="H98" s="154"/>
      <c r="I98" s="154"/>
      <c r="J98" s="154"/>
      <c r="K98" s="154"/>
      <c r="L98" s="154"/>
      <c r="M98" s="154"/>
      <c r="N98" s="155"/>
      <c r="O98" s="157" t="str">
        <f t="shared" si="34"/>
        <v/>
      </c>
      <c r="P98" s="154"/>
      <c r="Q98" s="156"/>
      <c r="R98" s="157" t="str">
        <f t="shared" si="45"/>
        <v/>
      </c>
      <c r="S98" s="159" t="str">
        <f>IF(R98="","",IF(R98&gt;Data2!$C$12,Data2!$D$11,IF(R98&gt;Data2!$C$13,Data2!$D$12,IF(R98&gt;Data2!$C$14,Data2!$D$13,Data2!$D$14))))</f>
        <v/>
      </c>
      <c r="T98" s="144">
        <f t="shared" si="35"/>
        <v>0</v>
      </c>
      <c r="U98" s="144">
        <f t="shared" si="36"/>
        <v>0</v>
      </c>
      <c r="V98" s="144" t="str">
        <f t="shared" si="30"/>
        <v>Mulai berkembang</v>
      </c>
      <c r="W98" s="144" t="str">
        <f t="shared" si="31"/>
        <v>Mulai berkembang</v>
      </c>
      <c r="X98" s="144" t="e">
        <f t="shared" si="37"/>
        <v>#N/A</v>
      </c>
      <c r="Y98" s="145" t="e">
        <f t="shared" si="38"/>
        <v>#N/A</v>
      </c>
      <c r="Z98" s="218" t="str">
        <f>IF('PA-Non'!O98&lt;&gt;"",'PA-Non'!O98,IFERROR("Mempunyai kemampuan yang " &amp;IF(V98=W98,PROPER(W98)&amp;" dalam kompetensi "&amp;VLOOKUP(X98,$G$532:$I$539,3)&amp;" dan kompetensi "&amp;VLOOKUP(Y98,$G$532:$I$539,3),PROPER(V98)&amp;" dalam kompetensi "&amp;VLOOKUP(X98,$G$532:$I$539,3)&amp;" dan memiliki kemampuan yang "&amp;W98&amp;" pada kompetensi "&amp;VLOOKUP(Y98,$G$532:$I$539,3)),""))</f>
        <v/>
      </c>
      <c r="AA98" s="153"/>
      <c r="AB98" s="154"/>
      <c r="AC98" s="154"/>
      <c r="AD98" s="154"/>
      <c r="AE98" s="154"/>
      <c r="AF98" s="154"/>
      <c r="AG98" s="154"/>
      <c r="AH98" s="155"/>
      <c r="AI98" s="220" t="str">
        <f t="shared" si="39"/>
        <v/>
      </c>
      <c r="AJ98" s="160" t="str">
        <f>IF(AI98="","",IF(AI98&gt;Data2!$C$12,Data2!$D$11,IF(AI98&gt;Data2!$C$13,Data2!$D$12,IF(AI98&gt;Data2!$C$14,Data2!$D$13,Data2!$D$14))))</f>
        <v/>
      </c>
      <c r="AK98" s="146">
        <f t="shared" si="40"/>
        <v>0</v>
      </c>
      <c r="AL98" s="146">
        <f t="shared" si="41"/>
        <v>0</v>
      </c>
      <c r="AM98" s="147" t="str">
        <f t="shared" si="32"/>
        <v>Mulai meningkat</v>
      </c>
      <c r="AN98" s="147" t="str">
        <f t="shared" si="33"/>
        <v>Mulai meningkat</v>
      </c>
      <c r="AO98" s="146" t="e">
        <f t="shared" si="42"/>
        <v>#N/A</v>
      </c>
      <c r="AP98" s="148" t="e">
        <f t="shared" si="43"/>
        <v>#N/A</v>
      </c>
      <c r="AQ98" s="158" t="str">
        <f>IF('PA-Non'!V98&lt;&gt;"",'PA-Non'!V98,IFERROR("Mempunyai keterampilan yang "&amp;IF(AM98=AN98,PROPER(AN98)&amp;" dalam kompetensi "&amp;VLOOKUP(AO98,$AA$532:$AC$539,3)&amp;", demikian juga dalam kompetensi "&amp;VLOOKUP(AP98,$AA$532:$AC$539,3),PROPER(AM98)&amp;" dalam kompetensi "&amp;VLOOKUP(AO98,$AA$532:$AC$539,3)&amp;" dan "&amp;AN98&amp;" pada kompetensi "&amp;VLOOKUP(AP98,$AA$532:$AC$539,3)),""))</f>
        <v/>
      </c>
      <c r="AR98" s="188"/>
    </row>
    <row r="99" spans="2:44" ht="27.9" customHeight="1" thickBot="1" x14ac:dyDescent="0.35">
      <c r="B99" s="226" t="s">
        <v>30</v>
      </c>
      <c r="C99" s="149">
        <f t="shared" si="44"/>
        <v>10</v>
      </c>
      <c r="D99" s="150" t="str">
        <f>IF(Data!F94="","",Data!F94)</f>
        <v>03540</v>
      </c>
      <c r="E99" s="151" t="str">
        <f>IF(Data!H94="","",Data!H94)</f>
        <v>Dwi Bayu Rahardjo</v>
      </c>
      <c r="F99" s="152" t="str">
        <f>IF(Data!I94="","",Data!I94)</f>
        <v>Laki-laki</v>
      </c>
      <c r="G99" s="153"/>
      <c r="H99" s="154"/>
      <c r="I99" s="154"/>
      <c r="J99" s="154"/>
      <c r="K99" s="154"/>
      <c r="L99" s="154"/>
      <c r="M99" s="154"/>
      <c r="N99" s="155"/>
      <c r="O99" s="157" t="str">
        <f t="shared" si="34"/>
        <v/>
      </c>
      <c r="P99" s="154"/>
      <c r="Q99" s="156"/>
      <c r="R99" s="157" t="str">
        <f t="shared" si="45"/>
        <v/>
      </c>
      <c r="S99" s="159" t="str">
        <f>IF(R99="","",IF(R99&gt;Data2!$C$12,Data2!$D$11,IF(R99&gt;Data2!$C$13,Data2!$D$12,IF(R99&gt;Data2!$C$14,Data2!$D$13,Data2!$D$14))))</f>
        <v/>
      </c>
      <c r="T99" s="144">
        <f t="shared" si="35"/>
        <v>0</v>
      </c>
      <c r="U99" s="144">
        <f t="shared" si="36"/>
        <v>0</v>
      </c>
      <c r="V99" s="144" t="str">
        <f t="shared" si="30"/>
        <v>Mulai berkembang</v>
      </c>
      <c r="W99" s="144" t="str">
        <f t="shared" si="31"/>
        <v>Mulai berkembang</v>
      </c>
      <c r="X99" s="144" t="e">
        <f t="shared" si="37"/>
        <v>#N/A</v>
      </c>
      <c r="Y99" s="145" t="e">
        <f t="shared" si="38"/>
        <v>#N/A</v>
      </c>
      <c r="Z99" s="218" t="str">
        <f>IF('PA-Non'!O99&lt;&gt;"",'PA-Non'!O99,IFERROR("Mempunyai kemampuan yang " &amp;IF(V99=W99,PROPER(W99)&amp;" dalam kompetensi "&amp;VLOOKUP(X99,$G$532:$I$539,3)&amp;" dan kompetensi "&amp;VLOOKUP(Y99,$G$532:$I$539,3),PROPER(V99)&amp;" dalam kompetensi "&amp;VLOOKUP(X99,$G$532:$I$539,3)&amp;" dan memiliki kemampuan yang "&amp;W99&amp;" pada kompetensi "&amp;VLOOKUP(Y99,$G$532:$I$539,3)),""))</f>
        <v/>
      </c>
      <c r="AA99" s="153"/>
      <c r="AB99" s="154"/>
      <c r="AC99" s="154"/>
      <c r="AD99" s="154"/>
      <c r="AE99" s="154"/>
      <c r="AF99" s="154"/>
      <c r="AG99" s="154"/>
      <c r="AH99" s="155"/>
      <c r="AI99" s="220" t="str">
        <f t="shared" si="39"/>
        <v/>
      </c>
      <c r="AJ99" s="160" t="str">
        <f>IF(AI99="","",IF(AI99&gt;Data2!$C$12,Data2!$D$11,IF(AI99&gt;Data2!$C$13,Data2!$D$12,IF(AI99&gt;Data2!$C$14,Data2!$D$13,Data2!$D$14))))</f>
        <v/>
      </c>
      <c r="AK99" s="146">
        <f t="shared" si="40"/>
        <v>0</v>
      </c>
      <c r="AL99" s="146">
        <f t="shared" si="41"/>
        <v>0</v>
      </c>
      <c r="AM99" s="147" t="str">
        <f t="shared" si="32"/>
        <v>Mulai meningkat</v>
      </c>
      <c r="AN99" s="147" t="str">
        <f t="shared" si="33"/>
        <v>Mulai meningkat</v>
      </c>
      <c r="AO99" s="146" t="e">
        <f t="shared" si="42"/>
        <v>#N/A</v>
      </c>
      <c r="AP99" s="148" t="e">
        <f t="shared" si="43"/>
        <v>#N/A</v>
      </c>
      <c r="AQ99" s="158" t="str">
        <f>IF('PA-Non'!V99&lt;&gt;"",'PA-Non'!V99,IFERROR("Mempunyai keterampilan yang "&amp;IF(AM99=AN99,PROPER(AN99)&amp;" dalam kompetensi "&amp;VLOOKUP(AO99,$AA$532:$AC$539,3)&amp;", demikian juga dalam kompetensi "&amp;VLOOKUP(AP99,$AA$532:$AC$539,3),PROPER(AM99)&amp;" dalam kompetensi "&amp;VLOOKUP(AO99,$AA$532:$AC$539,3)&amp;" dan "&amp;AN99&amp;" pada kompetensi "&amp;VLOOKUP(AP99,$AA$532:$AC$539,3)),""))</f>
        <v/>
      </c>
      <c r="AR99" s="188"/>
    </row>
    <row r="100" spans="2:44" ht="27.9" customHeight="1" thickBot="1" x14ac:dyDescent="0.35">
      <c r="B100" s="226" t="s">
        <v>30</v>
      </c>
      <c r="C100" s="149">
        <f t="shared" si="44"/>
        <v>11</v>
      </c>
      <c r="D100" s="150" t="str">
        <f>IF(Data!F95="","",Data!F95)</f>
        <v>03543</v>
      </c>
      <c r="E100" s="151" t="str">
        <f>IF(Data!H95="","",Data!H95)</f>
        <v>Fajar Setyawan</v>
      </c>
      <c r="F100" s="152" t="str">
        <f>IF(Data!I95="","",Data!I95)</f>
        <v>Laki-laki</v>
      </c>
      <c r="G100" s="153"/>
      <c r="H100" s="154"/>
      <c r="I100" s="154"/>
      <c r="J100" s="154"/>
      <c r="K100" s="154"/>
      <c r="L100" s="154"/>
      <c r="M100" s="154"/>
      <c r="N100" s="155"/>
      <c r="O100" s="157" t="str">
        <f t="shared" si="34"/>
        <v/>
      </c>
      <c r="P100" s="154"/>
      <c r="Q100" s="156"/>
      <c r="R100" s="157" t="str">
        <f t="shared" si="45"/>
        <v/>
      </c>
      <c r="S100" s="159" t="str">
        <f>IF(R100="","",IF(R100&gt;Data2!$C$12,Data2!$D$11,IF(R100&gt;Data2!$C$13,Data2!$D$12,IF(R100&gt;Data2!$C$14,Data2!$D$13,Data2!$D$14))))</f>
        <v/>
      </c>
      <c r="T100" s="144">
        <f t="shared" si="35"/>
        <v>0</v>
      </c>
      <c r="U100" s="144">
        <f t="shared" si="36"/>
        <v>0</v>
      </c>
      <c r="V100" s="144" t="str">
        <f t="shared" si="30"/>
        <v>Mulai berkembang</v>
      </c>
      <c r="W100" s="144" t="str">
        <f t="shared" si="31"/>
        <v>Mulai berkembang</v>
      </c>
      <c r="X100" s="144" t="e">
        <f t="shared" si="37"/>
        <v>#N/A</v>
      </c>
      <c r="Y100" s="145" t="e">
        <f t="shared" si="38"/>
        <v>#N/A</v>
      </c>
      <c r="Z100" s="218" t="str">
        <f>IF('PA-Non'!O100&lt;&gt;"",'PA-Non'!O100,IFERROR("Mempunyai kemampuan yang " &amp;IF(V100=W100,PROPER(W100)&amp;" dalam kompetensi "&amp;VLOOKUP(X100,$G$532:$I$539,3)&amp;" dan kompetensi "&amp;VLOOKUP(Y100,$G$532:$I$539,3),PROPER(V100)&amp;" dalam kompetensi "&amp;VLOOKUP(X100,$G$532:$I$539,3)&amp;" dan memiliki kemampuan yang "&amp;W100&amp;" pada kompetensi "&amp;VLOOKUP(Y100,$G$532:$I$539,3)),""))</f>
        <v/>
      </c>
      <c r="AA100" s="153"/>
      <c r="AB100" s="154"/>
      <c r="AC100" s="154"/>
      <c r="AD100" s="154"/>
      <c r="AE100" s="154"/>
      <c r="AF100" s="154"/>
      <c r="AG100" s="154"/>
      <c r="AH100" s="155"/>
      <c r="AI100" s="220" t="str">
        <f t="shared" si="39"/>
        <v/>
      </c>
      <c r="AJ100" s="160" t="str">
        <f>IF(AI100="","",IF(AI100&gt;Data2!$C$12,Data2!$D$11,IF(AI100&gt;Data2!$C$13,Data2!$D$12,IF(AI100&gt;Data2!$C$14,Data2!$D$13,Data2!$D$14))))</f>
        <v/>
      </c>
      <c r="AK100" s="146">
        <f t="shared" si="40"/>
        <v>0</v>
      </c>
      <c r="AL100" s="146">
        <f t="shared" si="41"/>
        <v>0</v>
      </c>
      <c r="AM100" s="147" t="str">
        <f t="shared" si="32"/>
        <v>Mulai meningkat</v>
      </c>
      <c r="AN100" s="147" t="str">
        <f t="shared" si="33"/>
        <v>Mulai meningkat</v>
      </c>
      <c r="AO100" s="146" t="e">
        <f t="shared" si="42"/>
        <v>#N/A</v>
      </c>
      <c r="AP100" s="148" t="e">
        <f t="shared" si="43"/>
        <v>#N/A</v>
      </c>
      <c r="AQ100" s="158" t="str">
        <f>IF('PA-Non'!V100&lt;&gt;"",'PA-Non'!V100,IFERROR("Mempunyai keterampilan yang "&amp;IF(AM100=AN100,PROPER(AN100)&amp;" dalam kompetensi "&amp;VLOOKUP(AO100,$AA$532:$AC$539,3)&amp;", demikian juga dalam kompetensi "&amp;VLOOKUP(AP100,$AA$532:$AC$539,3),PROPER(AM100)&amp;" dalam kompetensi "&amp;VLOOKUP(AO100,$AA$532:$AC$539,3)&amp;" dan "&amp;AN100&amp;" pada kompetensi "&amp;VLOOKUP(AP100,$AA$532:$AC$539,3)),""))</f>
        <v/>
      </c>
      <c r="AR100" s="188"/>
    </row>
    <row r="101" spans="2:44" ht="27.9" customHeight="1" thickBot="1" x14ac:dyDescent="0.35">
      <c r="B101" s="226" t="s">
        <v>30</v>
      </c>
      <c r="C101" s="149">
        <f t="shared" si="44"/>
        <v>12</v>
      </c>
      <c r="D101" s="150" t="str">
        <f>IF(Data!F96="","",Data!F96)</f>
        <v>03544</v>
      </c>
      <c r="E101" s="151" t="str">
        <f>IF(Data!H96="","",Data!H96)</f>
        <v>Farizky Bagus Ady Pratama</v>
      </c>
      <c r="F101" s="152" t="str">
        <f>IF(Data!I96="","",Data!I96)</f>
        <v>Laki-laki</v>
      </c>
      <c r="G101" s="153"/>
      <c r="H101" s="154"/>
      <c r="I101" s="154"/>
      <c r="J101" s="154"/>
      <c r="K101" s="154"/>
      <c r="L101" s="154"/>
      <c r="M101" s="154"/>
      <c r="N101" s="155"/>
      <c r="O101" s="157" t="str">
        <f t="shared" si="34"/>
        <v/>
      </c>
      <c r="P101" s="154"/>
      <c r="Q101" s="156"/>
      <c r="R101" s="157" t="str">
        <f t="shared" si="45"/>
        <v/>
      </c>
      <c r="S101" s="159" t="str">
        <f>IF(R101="","",IF(R101&gt;Data2!$C$12,Data2!$D$11,IF(R101&gt;Data2!$C$13,Data2!$D$12,IF(R101&gt;Data2!$C$14,Data2!$D$13,Data2!$D$14))))</f>
        <v/>
      </c>
      <c r="T101" s="144">
        <f t="shared" si="35"/>
        <v>0</v>
      </c>
      <c r="U101" s="144">
        <f t="shared" si="36"/>
        <v>0</v>
      </c>
      <c r="V101" s="144" t="str">
        <f t="shared" si="30"/>
        <v>Mulai berkembang</v>
      </c>
      <c r="W101" s="144" t="str">
        <f t="shared" si="31"/>
        <v>Mulai berkembang</v>
      </c>
      <c r="X101" s="144" t="e">
        <f t="shared" si="37"/>
        <v>#N/A</v>
      </c>
      <c r="Y101" s="145" t="e">
        <f t="shared" si="38"/>
        <v>#N/A</v>
      </c>
      <c r="Z101" s="218" t="str">
        <f>IF('PA-Non'!O101&lt;&gt;"",'PA-Non'!O101,IFERROR("Mempunyai kemampuan yang " &amp;IF(V101=W101,PROPER(W101)&amp;" dalam kompetensi "&amp;VLOOKUP(X101,$G$532:$I$539,3)&amp;" dan kompetensi "&amp;VLOOKUP(Y101,$G$532:$I$539,3),PROPER(V101)&amp;" dalam kompetensi "&amp;VLOOKUP(X101,$G$532:$I$539,3)&amp;" dan memiliki kemampuan yang "&amp;W101&amp;" pada kompetensi "&amp;VLOOKUP(Y101,$G$532:$I$539,3)),""))</f>
        <v/>
      </c>
      <c r="AA101" s="153"/>
      <c r="AB101" s="154"/>
      <c r="AC101" s="154"/>
      <c r="AD101" s="154"/>
      <c r="AE101" s="154"/>
      <c r="AF101" s="154"/>
      <c r="AG101" s="154"/>
      <c r="AH101" s="155"/>
      <c r="AI101" s="220" t="str">
        <f t="shared" si="39"/>
        <v/>
      </c>
      <c r="AJ101" s="160" t="str">
        <f>IF(AI101="","",IF(AI101&gt;Data2!$C$12,Data2!$D$11,IF(AI101&gt;Data2!$C$13,Data2!$D$12,IF(AI101&gt;Data2!$C$14,Data2!$D$13,Data2!$D$14))))</f>
        <v/>
      </c>
      <c r="AK101" s="146">
        <f t="shared" si="40"/>
        <v>0</v>
      </c>
      <c r="AL101" s="146">
        <f t="shared" si="41"/>
        <v>0</v>
      </c>
      <c r="AM101" s="147" t="str">
        <f t="shared" si="32"/>
        <v>Mulai meningkat</v>
      </c>
      <c r="AN101" s="147" t="str">
        <f t="shared" si="33"/>
        <v>Mulai meningkat</v>
      </c>
      <c r="AO101" s="146" t="e">
        <f t="shared" si="42"/>
        <v>#N/A</v>
      </c>
      <c r="AP101" s="148" t="e">
        <f t="shared" si="43"/>
        <v>#N/A</v>
      </c>
      <c r="AQ101" s="158" t="str">
        <f>IF('PA-Non'!V101&lt;&gt;"",'PA-Non'!V101,IFERROR("Mempunyai keterampilan yang "&amp;IF(AM101=AN101,PROPER(AN101)&amp;" dalam kompetensi "&amp;VLOOKUP(AO101,$AA$532:$AC$539,3)&amp;", demikian juga dalam kompetensi "&amp;VLOOKUP(AP101,$AA$532:$AC$539,3),PROPER(AM101)&amp;" dalam kompetensi "&amp;VLOOKUP(AO101,$AA$532:$AC$539,3)&amp;" dan "&amp;AN101&amp;" pada kompetensi "&amp;VLOOKUP(AP101,$AA$532:$AC$539,3)),""))</f>
        <v/>
      </c>
      <c r="AR101" s="188"/>
    </row>
    <row r="102" spans="2:44" ht="27.9" customHeight="1" thickBot="1" x14ac:dyDescent="0.35">
      <c r="B102" s="226" t="s">
        <v>30</v>
      </c>
      <c r="C102" s="149">
        <f t="shared" si="44"/>
        <v>13</v>
      </c>
      <c r="D102" s="150" t="str">
        <f>IF(Data!F97="","",Data!F97)</f>
        <v>03555</v>
      </c>
      <c r="E102" s="151" t="str">
        <f>IF(Data!H97="","",Data!H97)</f>
        <v>M. Fito Wahyu Julianto</v>
      </c>
      <c r="F102" s="152" t="str">
        <f>IF(Data!I97="","",Data!I97)</f>
        <v>Laki-laki</v>
      </c>
      <c r="G102" s="153"/>
      <c r="H102" s="154"/>
      <c r="I102" s="154"/>
      <c r="J102" s="154"/>
      <c r="K102" s="154"/>
      <c r="L102" s="154"/>
      <c r="M102" s="154"/>
      <c r="N102" s="155"/>
      <c r="O102" s="157" t="str">
        <f t="shared" si="34"/>
        <v/>
      </c>
      <c r="P102" s="154"/>
      <c r="Q102" s="156"/>
      <c r="R102" s="157" t="str">
        <f t="shared" si="45"/>
        <v/>
      </c>
      <c r="S102" s="159" t="str">
        <f>IF(R102="","",IF(R102&gt;Data2!$C$12,Data2!$D$11,IF(R102&gt;Data2!$C$13,Data2!$D$12,IF(R102&gt;Data2!$C$14,Data2!$D$13,Data2!$D$14))))</f>
        <v/>
      </c>
      <c r="T102" s="144">
        <f t="shared" si="35"/>
        <v>0</v>
      </c>
      <c r="U102" s="144">
        <f t="shared" si="36"/>
        <v>0</v>
      </c>
      <c r="V102" s="144" t="str">
        <f t="shared" si="30"/>
        <v>Mulai berkembang</v>
      </c>
      <c r="W102" s="144" t="str">
        <f t="shared" si="31"/>
        <v>Mulai berkembang</v>
      </c>
      <c r="X102" s="144" t="e">
        <f t="shared" si="37"/>
        <v>#N/A</v>
      </c>
      <c r="Y102" s="145" t="e">
        <f t="shared" si="38"/>
        <v>#N/A</v>
      </c>
      <c r="Z102" s="218" t="str">
        <f>IF('PA-Non'!O102&lt;&gt;"",'PA-Non'!O102,IFERROR("Mempunyai kemampuan yang " &amp;IF(V102=W102,PROPER(W102)&amp;" dalam kompetensi "&amp;VLOOKUP(X102,$G$532:$I$539,3)&amp;" dan kompetensi "&amp;VLOOKUP(Y102,$G$532:$I$539,3),PROPER(V102)&amp;" dalam kompetensi "&amp;VLOOKUP(X102,$G$532:$I$539,3)&amp;" dan memiliki kemampuan yang "&amp;W102&amp;" pada kompetensi "&amp;VLOOKUP(Y102,$G$532:$I$539,3)),""))</f>
        <v/>
      </c>
      <c r="AA102" s="153"/>
      <c r="AB102" s="154"/>
      <c r="AC102" s="154"/>
      <c r="AD102" s="154"/>
      <c r="AE102" s="154"/>
      <c r="AF102" s="154"/>
      <c r="AG102" s="154"/>
      <c r="AH102" s="155"/>
      <c r="AI102" s="220" t="str">
        <f t="shared" si="39"/>
        <v/>
      </c>
      <c r="AJ102" s="160" t="str">
        <f>IF(AI102="","",IF(AI102&gt;Data2!$C$12,Data2!$D$11,IF(AI102&gt;Data2!$C$13,Data2!$D$12,IF(AI102&gt;Data2!$C$14,Data2!$D$13,Data2!$D$14))))</f>
        <v/>
      </c>
      <c r="AK102" s="146">
        <f t="shared" si="40"/>
        <v>0</v>
      </c>
      <c r="AL102" s="146">
        <f t="shared" si="41"/>
        <v>0</v>
      </c>
      <c r="AM102" s="147" t="str">
        <f t="shared" si="32"/>
        <v>Mulai meningkat</v>
      </c>
      <c r="AN102" s="147" t="str">
        <f t="shared" si="33"/>
        <v>Mulai meningkat</v>
      </c>
      <c r="AO102" s="146" t="e">
        <f t="shared" si="42"/>
        <v>#N/A</v>
      </c>
      <c r="AP102" s="148" t="e">
        <f t="shared" si="43"/>
        <v>#N/A</v>
      </c>
      <c r="AQ102" s="158" t="str">
        <f>IF('PA-Non'!V102&lt;&gt;"",'PA-Non'!V102,IFERROR("Mempunyai keterampilan yang "&amp;IF(AM102=AN102,PROPER(AN102)&amp;" dalam kompetensi "&amp;VLOOKUP(AO102,$AA$532:$AC$539,3)&amp;", demikian juga dalam kompetensi "&amp;VLOOKUP(AP102,$AA$532:$AC$539,3),PROPER(AM102)&amp;" dalam kompetensi "&amp;VLOOKUP(AO102,$AA$532:$AC$539,3)&amp;" dan "&amp;AN102&amp;" pada kompetensi "&amp;VLOOKUP(AP102,$AA$532:$AC$539,3)),""))</f>
        <v/>
      </c>
      <c r="AR102" s="188"/>
    </row>
    <row r="103" spans="2:44" ht="27.9" customHeight="1" thickBot="1" x14ac:dyDescent="0.35">
      <c r="B103" s="226" t="s">
        <v>30</v>
      </c>
      <c r="C103" s="149">
        <f t="shared" si="44"/>
        <v>14</v>
      </c>
      <c r="D103" s="150" t="str">
        <f>IF(Data!F98="","",Data!F98)</f>
        <v>03557</v>
      </c>
      <c r="E103" s="151" t="str">
        <f>IF(Data!H98="","",Data!H98)</f>
        <v>M. Zafiir Faza Ihsan</v>
      </c>
      <c r="F103" s="152" t="str">
        <f>IF(Data!I98="","",Data!I98)</f>
        <v>Laki-laki</v>
      </c>
      <c r="G103" s="153"/>
      <c r="H103" s="154"/>
      <c r="I103" s="154"/>
      <c r="J103" s="154"/>
      <c r="K103" s="154"/>
      <c r="L103" s="154"/>
      <c r="M103" s="154"/>
      <c r="N103" s="155"/>
      <c r="O103" s="157" t="str">
        <f t="shared" si="34"/>
        <v/>
      </c>
      <c r="P103" s="154"/>
      <c r="Q103" s="156"/>
      <c r="R103" s="157" t="str">
        <f t="shared" si="45"/>
        <v/>
      </c>
      <c r="S103" s="159" t="str">
        <f>IF(R103="","",IF(R103&gt;Data2!$C$12,Data2!$D$11,IF(R103&gt;Data2!$C$13,Data2!$D$12,IF(R103&gt;Data2!$C$14,Data2!$D$13,Data2!$D$14))))</f>
        <v/>
      </c>
      <c r="T103" s="144">
        <f t="shared" si="35"/>
        <v>0</v>
      </c>
      <c r="U103" s="144">
        <f t="shared" si="36"/>
        <v>0</v>
      </c>
      <c r="V103" s="144" t="str">
        <f t="shared" si="30"/>
        <v>Mulai berkembang</v>
      </c>
      <c r="W103" s="144" t="str">
        <f t="shared" si="31"/>
        <v>Mulai berkembang</v>
      </c>
      <c r="X103" s="144" t="e">
        <f t="shared" si="37"/>
        <v>#N/A</v>
      </c>
      <c r="Y103" s="145" t="e">
        <f t="shared" si="38"/>
        <v>#N/A</v>
      </c>
      <c r="Z103" s="218" t="str">
        <f>IF('PA-Non'!O103&lt;&gt;"",'PA-Non'!O103,IFERROR("Mempunyai kemampuan yang " &amp;IF(V103=W103,PROPER(W103)&amp;" dalam kompetensi "&amp;VLOOKUP(X103,$G$532:$I$539,3)&amp;" dan kompetensi "&amp;VLOOKUP(Y103,$G$532:$I$539,3),PROPER(V103)&amp;" dalam kompetensi "&amp;VLOOKUP(X103,$G$532:$I$539,3)&amp;" dan memiliki kemampuan yang "&amp;W103&amp;" pada kompetensi "&amp;VLOOKUP(Y103,$G$532:$I$539,3)),""))</f>
        <v/>
      </c>
      <c r="AA103" s="153"/>
      <c r="AB103" s="154"/>
      <c r="AC103" s="154"/>
      <c r="AD103" s="154"/>
      <c r="AE103" s="154"/>
      <c r="AF103" s="154"/>
      <c r="AG103" s="154"/>
      <c r="AH103" s="155"/>
      <c r="AI103" s="220" t="str">
        <f t="shared" si="39"/>
        <v/>
      </c>
      <c r="AJ103" s="160" t="str">
        <f>IF(AI103="","",IF(AI103&gt;Data2!$C$12,Data2!$D$11,IF(AI103&gt;Data2!$C$13,Data2!$D$12,IF(AI103&gt;Data2!$C$14,Data2!$D$13,Data2!$D$14))))</f>
        <v/>
      </c>
      <c r="AK103" s="146">
        <f t="shared" si="40"/>
        <v>0</v>
      </c>
      <c r="AL103" s="146">
        <f t="shared" si="41"/>
        <v>0</v>
      </c>
      <c r="AM103" s="147" t="str">
        <f t="shared" si="32"/>
        <v>Mulai meningkat</v>
      </c>
      <c r="AN103" s="147" t="str">
        <f t="shared" si="33"/>
        <v>Mulai meningkat</v>
      </c>
      <c r="AO103" s="146" t="e">
        <f t="shared" si="42"/>
        <v>#N/A</v>
      </c>
      <c r="AP103" s="148" t="e">
        <f t="shared" si="43"/>
        <v>#N/A</v>
      </c>
      <c r="AQ103" s="158" t="str">
        <f>IF('PA-Non'!V103&lt;&gt;"",'PA-Non'!V103,IFERROR("Mempunyai keterampilan yang "&amp;IF(AM103=AN103,PROPER(AN103)&amp;" dalam kompetensi "&amp;VLOOKUP(AO103,$AA$532:$AC$539,3)&amp;", demikian juga dalam kompetensi "&amp;VLOOKUP(AP103,$AA$532:$AC$539,3),PROPER(AM103)&amp;" dalam kompetensi "&amp;VLOOKUP(AO103,$AA$532:$AC$539,3)&amp;" dan "&amp;AN103&amp;" pada kompetensi "&amp;VLOOKUP(AP103,$AA$532:$AC$539,3)),""))</f>
        <v/>
      </c>
      <c r="AR103" s="188"/>
    </row>
    <row r="104" spans="2:44" ht="27.9" customHeight="1" thickBot="1" x14ac:dyDescent="0.35">
      <c r="B104" s="226" t="s">
        <v>30</v>
      </c>
      <c r="C104" s="149">
        <f t="shared" si="44"/>
        <v>15</v>
      </c>
      <c r="D104" s="150" t="str">
        <f>IF(Data!F99="","",Data!F99)</f>
        <v>03560</v>
      </c>
      <c r="E104" s="151" t="str">
        <f>IF(Data!H99="","",Data!H99)</f>
        <v>Moh. Luthfi Riza Pratama</v>
      </c>
      <c r="F104" s="152" t="str">
        <f>IF(Data!I99="","",Data!I99)</f>
        <v>Laki-laki</v>
      </c>
      <c r="G104" s="153"/>
      <c r="H104" s="154"/>
      <c r="I104" s="154"/>
      <c r="J104" s="154"/>
      <c r="K104" s="154"/>
      <c r="L104" s="154"/>
      <c r="M104" s="154"/>
      <c r="N104" s="155"/>
      <c r="O104" s="157" t="str">
        <f t="shared" si="34"/>
        <v/>
      </c>
      <c r="P104" s="154"/>
      <c r="Q104" s="156"/>
      <c r="R104" s="157" t="str">
        <f t="shared" si="45"/>
        <v/>
      </c>
      <c r="S104" s="159" t="str">
        <f>IF(R104="","",IF(R104&gt;Data2!$C$12,Data2!$D$11,IF(R104&gt;Data2!$C$13,Data2!$D$12,IF(R104&gt;Data2!$C$14,Data2!$D$13,Data2!$D$14))))</f>
        <v/>
      </c>
      <c r="T104" s="144">
        <f t="shared" si="35"/>
        <v>0</v>
      </c>
      <c r="U104" s="144">
        <f t="shared" si="36"/>
        <v>0</v>
      </c>
      <c r="V104" s="144" t="str">
        <f t="shared" si="30"/>
        <v>Mulai berkembang</v>
      </c>
      <c r="W104" s="144" t="str">
        <f t="shared" si="31"/>
        <v>Mulai berkembang</v>
      </c>
      <c r="X104" s="144" t="e">
        <f t="shared" si="37"/>
        <v>#N/A</v>
      </c>
      <c r="Y104" s="145" t="e">
        <f t="shared" si="38"/>
        <v>#N/A</v>
      </c>
      <c r="Z104" s="218" t="str">
        <f>IF('PA-Non'!O104&lt;&gt;"",'PA-Non'!O104,IFERROR("Mempunyai kemampuan yang " &amp;IF(V104=W104,PROPER(W104)&amp;" dalam kompetensi "&amp;VLOOKUP(X104,$G$532:$I$539,3)&amp;" dan kompetensi "&amp;VLOOKUP(Y104,$G$532:$I$539,3),PROPER(V104)&amp;" dalam kompetensi "&amp;VLOOKUP(X104,$G$532:$I$539,3)&amp;" dan memiliki kemampuan yang "&amp;W104&amp;" pada kompetensi "&amp;VLOOKUP(Y104,$G$532:$I$539,3)),""))</f>
        <v/>
      </c>
      <c r="AA104" s="153"/>
      <c r="AB104" s="154"/>
      <c r="AC104" s="154"/>
      <c r="AD104" s="154"/>
      <c r="AE104" s="154"/>
      <c r="AF104" s="154"/>
      <c r="AG104" s="154"/>
      <c r="AH104" s="155"/>
      <c r="AI104" s="220" t="str">
        <f t="shared" si="39"/>
        <v/>
      </c>
      <c r="AJ104" s="160" t="str">
        <f>IF(AI104="","",IF(AI104&gt;Data2!$C$12,Data2!$D$11,IF(AI104&gt;Data2!$C$13,Data2!$D$12,IF(AI104&gt;Data2!$C$14,Data2!$D$13,Data2!$D$14))))</f>
        <v/>
      </c>
      <c r="AK104" s="146">
        <f t="shared" si="40"/>
        <v>0</v>
      </c>
      <c r="AL104" s="146">
        <f t="shared" si="41"/>
        <v>0</v>
      </c>
      <c r="AM104" s="147" t="str">
        <f t="shared" si="32"/>
        <v>Mulai meningkat</v>
      </c>
      <c r="AN104" s="147" t="str">
        <f t="shared" si="33"/>
        <v>Mulai meningkat</v>
      </c>
      <c r="AO104" s="146" t="e">
        <f t="shared" si="42"/>
        <v>#N/A</v>
      </c>
      <c r="AP104" s="148" t="e">
        <f t="shared" si="43"/>
        <v>#N/A</v>
      </c>
      <c r="AQ104" s="158" t="str">
        <f>IF('PA-Non'!V104&lt;&gt;"",'PA-Non'!V104,IFERROR("Mempunyai keterampilan yang "&amp;IF(AM104=AN104,PROPER(AN104)&amp;" dalam kompetensi "&amp;VLOOKUP(AO104,$AA$532:$AC$539,3)&amp;", demikian juga dalam kompetensi "&amp;VLOOKUP(AP104,$AA$532:$AC$539,3),PROPER(AM104)&amp;" dalam kompetensi "&amp;VLOOKUP(AO104,$AA$532:$AC$539,3)&amp;" dan "&amp;AN104&amp;" pada kompetensi "&amp;VLOOKUP(AP104,$AA$532:$AC$539,3)),""))</f>
        <v/>
      </c>
      <c r="AR104" s="188"/>
    </row>
    <row r="105" spans="2:44" ht="27.9" customHeight="1" thickBot="1" x14ac:dyDescent="0.35">
      <c r="B105" s="226" t="s">
        <v>30</v>
      </c>
      <c r="C105" s="149">
        <f t="shared" si="44"/>
        <v>16</v>
      </c>
      <c r="D105" s="150" t="str">
        <f>IF(Data!F100="","",Data!F100)</f>
        <v>03563</v>
      </c>
      <c r="E105" s="151" t="str">
        <f>IF(Data!H100="","",Data!H100)</f>
        <v>Mohammad Agus Rouf</v>
      </c>
      <c r="F105" s="152" t="str">
        <f>IF(Data!I100="","",Data!I100)</f>
        <v>Laki-laki</v>
      </c>
      <c r="G105" s="153"/>
      <c r="H105" s="154"/>
      <c r="I105" s="154"/>
      <c r="J105" s="154"/>
      <c r="K105" s="154"/>
      <c r="L105" s="154"/>
      <c r="M105" s="154"/>
      <c r="N105" s="155"/>
      <c r="O105" s="157" t="str">
        <f t="shared" si="34"/>
        <v/>
      </c>
      <c r="P105" s="154"/>
      <c r="Q105" s="156"/>
      <c r="R105" s="157" t="str">
        <f t="shared" si="45"/>
        <v/>
      </c>
      <c r="S105" s="159" t="str">
        <f>IF(R105="","",IF(R105&gt;Data2!$C$12,Data2!$D$11,IF(R105&gt;Data2!$C$13,Data2!$D$12,IF(R105&gt;Data2!$C$14,Data2!$D$13,Data2!$D$14))))</f>
        <v/>
      </c>
      <c r="T105" s="144">
        <f t="shared" si="35"/>
        <v>0</v>
      </c>
      <c r="U105" s="144">
        <f t="shared" si="36"/>
        <v>0</v>
      </c>
      <c r="V105" s="144" t="str">
        <f t="shared" si="30"/>
        <v>Mulai berkembang</v>
      </c>
      <c r="W105" s="144" t="str">
        <f t="shared" si="31"/>
        <v>Mulai berkembang</v>
      </c>
      <c r="X105" s="144" t="e">
        <f t="shared" si="37"/>
        <v>#N/A</v>
      </c>
      <c r="Y105" s="145" t="e">
        <f t="shared" si="38"/>
        <v>#N/A</v>
      </c>
      <c r="Z105" s="218" t="str">
        <f>IF('PA-Non'!O105&lt;&gt;"",'PA-Non'!O105,IFERROR("Mempunyai kemampuan yang " &amp;IF(V105=W105,PROPER(W105)&amp;" dalam kompetensi "&amp;VLOOKUP(X105,$G$532:$I$539,3)&amp;" dan kompetensi "&amp;VLOOKUP(Y105,$G$532:$I$539,3),PROPER(V105)&amp;" dalam kompetensi "&amp;VLOOKUP(X105,$G$532:$I$539,3)&amp;" dan memiliki kemampuan yang "&amp;W105&amp;" pada kompetensi "&amp;VLOOKUP(Y105,$G$532:$I$539,3)),""))</f>
        <v/>
      </c>
      <c r="AA105" s="153"/>
      <c r="AB105" s="154"/>
      <c r="AC105" s="154"/>
      <c r="AD105" s="154"/>
      <c r="AE105" s="154"/>
      <c r="AF105" s="154"/>
      <c r="AG105" s="154"/>
      <c r="AH105" s="155"/>
      <c r="AI105" s="220" t="str">
        <f t="shared" si="39"/>
        <v/>
      </c>
      <c r="AJ105" s="160" t="str">
        <f>IF(AI105="","",IF(AI105&gt;Data2!$C$12,Data2!$D$11,IF(AI105&gt;Data2!$C$13,Data2!$D$12,IF(AI105&gt;Data2!$C$14,Data2!$D$13,Data2!$D$14))))</f>
        <v/>
      </c>
      <c r="AK105" s="146">
        <f t="shared" si="40"/>
        <v>0</v>
      </c>
      <c r="AL105" s="146">
        <f t="shared" si="41"/>
        <v>0</v>
      </c>
      <c r="AM105" s="147" t="str">
        <f t="shared" si="32"/>
        <v>Mulai meningkat</v>
      </c>
      <c r="AN105" s="147" t="str">
        <f t="shared" si="33"/>
        <v>Mulai meningkat</v>
      </c>
      <c r="AO105" s="146" t="e">
        <f t="shared" si="42"/>
        <v>#N/A</v>
      </c>
      <c r="AP105" s="148" t="e">
        <f t="shared" si="43"/>
        <v>#N/A</v>
      </c>
      <c r="AQ105" s="158" t="str">
        <f>IF('PA-Non'!V105&lt;&gt;"",'PA-Non'!V105,IFERROR("Mempunyai keterampilan yang "&amp;IF(AM105=AN105,PROPER(AN105)&amp;" dalam kompetensi "&amp;VLOOKUP(AO105,$AA$532:$AC$539,3)&amp;", demikian juga dalam kompetensi "&amp;VLOOKUP(AP105,$AA$532:$AC$539,3),PROPER(AM105)&amp;" dalam kompetensi "&amp;VLOOKUP(AO105,$AA$532:$AC$539,3)&amp;" dan "&amp;AN105&amp;" pada kompetensi "&amp;VLOOKUP(AP105,$AA$532:$AC$539,3)),""))</f>
        <v/>
      </c>
      <c r="AR105" s="188"/>
    </row>
    <row r="106" spans="2:44" ht="27.9" customHeight="1" thickBot="1" x14ac:dyDescent="0.35">
      <c r="B106" s="226" t="s">
        <v>30</v>
      </c>
      <c r="C106" s="149">
        <f t="shared" si="44"/>
        <v>17</v>
      </c>
      <c r="D106" s="150" t="str">
        <f>IF(Data!F101="","",Data!F101)</f>
        <v>03566</v>
      </c>
      <c r="E106" s="151" t="str">
        <f>IF(Data!H101="","",Data!H101)</f>
        <v>Mohammad Iqbal Nurfahmi</v>
      </c>
      <c r="F106" s="152" t="str">
        <f>IF(Data!I101="","",Data!I101)</f>
        <v>Laki-laki</v>
      </c>
      <c r="G106" s="153"/>
      <c r="H106" s="154"/>
      <c r="I106" s="154"/>
      <c r="J106" s="154"/>
      <c r="K106" s="154"/>
      <c r="L106" s="154"/>
      <c r="M106" s="154"/>
      <c r="N106" s="155"/>
      <c r="O106" s="157" t="str">
        <f t="shared" si="34"/>
        <v/>
      </c>
      <c r="P106" s="154"/>
      <c r="Q106" s="156"/>
      <c r="R106" s="157" t="str">
        <f t="shared" si="45"/>
        <v/>
      </c>
      <c r="S106" s="159" t="str">
        <f>IF(R106="","",IF(R106&gt;Data2!$C$12,Data2!$D$11,IF(R106&gt;Data2!$C$13,Data2!$D$12,IF(R106&gt;Data2!$C$14,Data2!$D$13,Data2!$D$14))))</f>
        <v/>
      </c>
      <c r="T106" s="144">
        <f t="shared" si="35"/>
        <v>0</v>
      </c>
      <c r="U106" s="144">
        <f t="shared" si="36"/>
        <v>0</v>
      </c>
      <c r="V106" s="144" t="str">
        <f t="shared" si="30"/>
        <v>Mulai berkembang</v>
      </c>
      <c r="W106" s="144" t="str">
        <f t="shared" si="31"/>
        <v>Mulai berkembang</v>
      </c>
      <c r="X106" s="144" t="e">
        <f t="shared" si="37"/>
        <v>#N/A</v>
      </c>
      <c r="Y106" s="145" t="e">
        <f t="shared" si="38"/>
        <v>#N/A</v>
      </c>
      <c r="Z106" s="218" t="str">
        <f>IF('PA-Non'!O106&lt;&gt;"",'PA-Non'!O106,IFERROR("Mempunyai kemampuan yang " &amp;IF(V106=W106,PROPER(W106)&amp;" dalam kompetensi "&amp;VLOOKUP(X106,$G$532:$I$539,3)&amp;" dan kompetensi "&amp;VLOOKUP(Y106,$G$532:$I$539,3),PROPER(V106)&amp;" dalam kompetensi "&amp;VLOOKUP(X106,$G$532:$I$539,3)&amp;" dan memiliki kemampuan yang "&amp;W106&amp;" pada kompetensi "&amp;VLOOKUP(Y106,$G$532:$I$539,3)),""))</f>
        <v/>
      </c>
      <c r="AA106" s="153"/>
      <c r="AB106" s="154"/>
      <c r="AC106" s="154"/>
      <c r="AD106" s="154"/>
      <c r="AE106" s="154"/>
      <c r="AF106" s="154"/>
      <c r="AG106" s="154"/>
      <c r="AH106" s="155"/>
      <c r="AI106" s="220" t="str">
        <f t="shared" si="39"/>
        <v/>
      </c>
      <c r="AJ106" s="160" t="str">
        <f>IF(AI106="","",IF(AI106&gt;Data2!$C$12,Data2!$D$11,IF(AI106&gt;Data2!$C$13,Data2!$D$12,IF(AI106&gt;Data2!$C$14,Data2!$D$13,Data2!$D$14))))</f>
        <v/>
      </c>
      <c r="AK106" s="146">
        <f t="shared" si="40"/>
        <v>0</v>
      </c>
      <c r="AL106" s="146">
        <f t="shared" si="41"/>
        <v>0</v>
      </c>
      <c r="AM106" s="147" t="str">
        <f t="shared" si="32"/>
        <v>Mulai meningkat</v>
      </c>
      <c r="AN106" s="147" t="str">
        <f t="shared" si="33"/>
        <v>Mulai meningkat</v>
      </c>
      <c r="AO106" s="146" t="e">
        <f t="shared" si="42"/>
        <v>#N/A</v>
      </c>
      <c r="AP106" s="148" t="e">
        <f t="shared" si="43"/>
        <v>#N/A</v>
      </c>
      <c r="AQ106" s="158" t="str">
        <f>IF('PA-Non'!V106&lt;&gt;"",'PA-Non'!V106,IFERROR("Mempunyai keterampilan yang "&amp;IF(AM106=AN106,PROPER(AN106)&amp;" dalam kompetensi "&amp;VLOOKUP(AO106,$AA$532:$AC$539,3)&amp;", demikian juga dalam kompetensi "&amp;VLOOKUP(AP106,$AA$532:$AC$539,3),PROPER(AM106)&amp;" dalam kompetensi "&amp;VLOOKUP(AO106,$AA$532:$AC$539,3)&amp;" dan "&amp;AN106&amp;" pada kompetensi "&amp;VLOOKUP(AP106,$AA$532:$AC$539,3)),""))</f>
        <v/>
      </c>
      <c r="AR106" s="188"/>
    </row>
    <row r="107" spans="2:44" ht="27.9" customHeight="1" thickBot="1" x14ac:dyDescent="0.35">
      <c r="B107" s="226" t="s">
        <v>30</v>
      </c>
      <c r="C107" s="149">
        <f t="shared" si="44"/>
        <v>18</v>
      </c>
      <c r="D107" s="150" t="str">
        <f>IF(Data!F102="","",Data!F102)</f>
        <v>03567</v>
      </c>
      <c r="E107" s="151" t="str">
        <f>IF(Data!H102="","",Data!H102)</f>
        <v>Mohammad Nuril Ilmi Al Hasan</v>
      </c>
      <c r="F107" s="152" t="str">
        <f>IF(Data!I102="","",Data!I102)</f>
        <v>Laki-laki</v>
      </c>
      <c r="G107" s="153"/>
      <c r="H107" s="154"/>
      <c r="I107" s="154"/>
      <c r="J107" s="154"/>
      <c r="K107" s="154"/>
      <c r="L107" s="154"/>
      <c r="M107" s="154"/>
      <c r="N107" s="155"/>
      <c r="O107" s="157" t="str">
        <f t="shared" si="34"/>
        <v/>
      </c>
      <c r="P107" s="154"/>
      <c r="Q107" s="156"/>
      <c r="R107" s="157" t="str">
        <f t="shared" si="45"/>
        <v/>
      </c>
      <c r="S107" s="159" t="str">
        <f>IF(R107="","",IF(R107&gt;Data2!$C$12,Data2!$D$11,IF(R107&gt;Data2!$C$13,Data2!$D$12,IF(R107&gt;Data2!$C$14,Data2!$D$13,Data2!$D$14))))</f>
        <v/>
      </c>
      <c r="T107" s="144">
        <f t="shared" si="35"/>
        <v>0</v>
      </c>
      <c r="U107" s="144">
        <f t="shared" si="36"/>
        <v>0</v>
      </c>
      <c r="V107" s="144" t="str">
        <f t="shared" si="30"/>
        <v>Mulai berkembang</v>
      </c>
      <c r="W107" s="144" t="str">
        <f t="shared" si="31"/>
        <v>Mulai berkembang</v>
      </c>
      <c r="X107" s="144" t="e">
        <f t="shared" si="37"/>
        <v>#N/A</v>
      </c>
      <c r="Y107" s="145" t="e">
        <f t="shared" si="38"/>
        <v>#N/A</v>
      </c>
      <c r="Z107" s="218" t="str">
        <f>IF('PA-Non'!O107&lt;&gt;"",'PA-Non'!O107,IFERROR("Mempunyai kemampuan yang " &amp;IF(V107=W107,PROPER(W107)&amp;" dalam kompetensi "&amp;VLOOKUP(X107,$G$532:$I$539,3)&amp;" dan kompetensi "&amp;VLOOKUP(Y107,$G$532:$I$539,3),PROPER(V107)&amp;" dalam kompetensi "&amp;VLOOKUP(X107,$G$532:$I$539,3)&amp;" dan memiliki kemampuan yang "&amp;W107&amp;" pada kompetensi "&amp;VLOOKUP(Y107,$G$532:$I$539,3)),""))</f>
        <v/>
      </c>
      <c r="AA107" s="153"/>
      <c r="AB107" s="154"/>
      <c r="AC107" s="154"/>
      <c r="AD107" s="154"/>
      <c r="AE107" s="154"/>
      <c r="AF107" s="154"/>
      <c r="AG107" s="154"/>
      <c r="AH107" s="155"/>
      <c r="AI107" s="220" t="str">
        <f t="shared" si="39"/>
        <v/>
      </c>
      <c r="AJ107" s="160" t="str">
        <f>IF(AI107="","",IF(AI107&gt;Data2!$C$12,Data2!$D$11,IF(AI107&gt;Data2!$C$13,Data2!$D$12,IF(AI107&gt;Data2!$C$14,Data2!$D$13,Data2!$D$14))))</f>
        <v/>
      </c>
      <c r="AK107" s="146">
        <f t="shared" si="40"/>
        <v>0</v>
      </c>
      <c r="AL107" s="146">
        <f t="shared" si="41"/>
        <v>0</v>
      </c>
      <c r="AM107" s="147" t="str">
        <f t="shared" si="32"/>
        <v>Mulai meningkat</v>
      </c>
      <c r="AN107" s="147" t="str">
        <f t="shared" si="33"/>
        <v>Mulai meningkat</v>
      </c>
      <c r="AO107" s="146" t="e">
        <f t="shared" si="42"/>
        <v>#N/A</v>
      </c>
      <c r="AP107" s="148" t="e">
        <f t="shared" si="43"/>
        <v>#N/A</v>
      </c>
      <c r="AQ107" s="158" t="str">
        <f>IF('PA-Non'!V107&lt;&gt;"",'PA-Non'!V107,IFERROR("Mempunyai keterampilan yang "&amp;IF(AM107=AN107,PROPER(AN107)&amp;" dalam kompetensi "&amp;VLOOKUP(AO107,$AA$532:$AC$539,3)&amp;", demikian juga dalam kompetensi "&amp;VLOOKUP(AP107,$AA$532:$AC$539,3),PROPER(AM107)&amp;" dalam kompetensi "&amp;VLOOKUP(AO107,$AA$532:$AC$539,3)&amp;" dan "&amp;AN107&amp;" pada kompetensi "&amp;VLOOKUP(AP107,$AA$532:$AC$539,3)),""))</f>
        <v/>
      </c>
      <c r="AR107" s="188"/>
    </row>
    <row r="108" spans="2:44" ht="27.9" customHeight="1" thickBot="1" x14ac:dyDescent="0.35">
      <c r="B108" s="226" t="s">
        <v>30</v>
      </c>
      <c r="C108" s="149">
        <f t="shared" si="44"/>
        <v>19</v>
      </c>
      <c r="D108" s="150" t="str">
        <f>IF(Data!F103="","",Data!F103)</f>
        <v>03569</v>
      </c>
      <c r="E108" s="151" t="str">
        <f>IF(Data!H103="","",Data!H103)</f>
        <v>Muhamad Saylendra Firguna</v>
      </c>
      <c r="F108" s="152" t="str">
        <f>IF(Data!I103="","",Data!I103)</f>
        <v>Laki-laki</v>
      </c>
      <c r="G108" s="153"/>
      <c r="H108" s="154"/>
      <c r="I108" s="154"/>
      <c r="J108" s="154"/>
      <c r="K108" s="154"/>
      <c r="L108" s="154"/>
      <c r="M108" s="154"/>
      <c r="N108" s="155"/>
      <c r="O108" s="157" t="str">
        <f t="shared" si="34"/>
        <v/>
      </c>
      <c r="P108" s="154"/>
      <c r="Q108" s="156"/>
      <c r="R108" s="157" t="str">
        <f t="shared" si="45"/>
        <v/>
      </c>
      <c r="S108" s="159" t="str">
        <f>IF(R108="","",IF(R108&gt;Data2!$C$12,Data2!$D$11,IF(R108&gt;Data2!$C$13,Data2!$D$12,IF(R108&gt;Data2!$C$14,Data2!$D$13,Data2!$D$14))))</f>
        <v/>
      </c>
      <c r="T108" s="144">
        <f t="shared" si="35"/>
        <v>0</v>
      </c>
      <c r="U108" s="144">
        <f t="shared" si="36"/>
        <v>0</v>
      </c>
      <c r="V108" s="144" t="str">
        <f t="shared" si="30"/>
        <v>Mulai berkembang</v>
      </c>
      <c r="W108" s="144" t="str">
        <f t="shared" si="31"/>
        <v>Mulai berkembang</v>
      </c>
      <c r="X108" s="144" t="e">
        <f t="shared" si="37"/>
        <v>#N/A</v>
      </c>
      <c r="Y108" s="145" t="e">
        <f t="shared" si="38"/>
        <v>#N/A</v>
      </c>
      <c r="Z108" s="218" t="str">
        <f>IF('PA-Non'!O108&lt;&gt;"",'PA-Non'!O108,IFERROR("Mempunyai kemampuan yang " &amp;IF(V108=W108,PROPER(W108)&amp;" dalam kompetensi "&amp;VLOOKUP(X108,$G$532:$I$539,3)&amp;" dan kompetensi "&amp;VLOOKUP(Y108,$G$532:$I$539,3),PROPER(V108)&amp;" dalam kompetensi "&amp;VLOOKUP(X108,$G$532:$I$539,3)&amp;" dan memiliki kemampuan yang "&amp;W108&amp;" pada kompetensi "&amp;VLOOKUP(Y108,$G$532:$I$539,3)),""))</f>
        <v/>
      </c>
      <c r="AA108" s="153"/>
      <c r="AB108" s="154"/>
      <c r="AC108" s="154"/>
      <c r="AD108" s="154"/>
      <c r="AE108" s="154"/>
      <c r="AF108" s="154"/>
      <c r="AG108" s="154"/>
      <c r="AH108" s="155"/>
      <c r="AI108" s="220" t="str">
        <f t="shared" si="39"/>
        <v/>
      </c>
      <c r="AJ108" s="160" t="str">
        <f>IF(AI108="","",IF(AI108&gt;Data2!$C$12,Data2!$D$11,IF(AI108&gt;Data2!$C$13,Data2!$D$12,IF(AI108&gt;Data2!$C$14,Data2!$D$13,Data2!$D$14))))</f>
        <v/>
      </c>
      <c r="AK108" s="146">
        <f t="shared" si="40"/>
        <v>0</v>
      </c>
      <c r="AL108" s="146">
        <f t="shared" si="41"/>
        <v>0</v>
      </c>
      <c r="AM108" s="147" t="str">
        <f t="shared" si="32"/>
        <v>Mulai meningkat</v>
      </c>
      <c r="AN108" s="147" t="str">
        <f t="shared" si="33"/>
        <v>Mulai meningkat</v>
      </c>
      <c r="AO108" s="146" t="e">
        <f t="shared" si="42"/>
        <v>#N/A</v>
      </c>
      <c r="AP108" s="148" t="e">
        <f t="shared" si="43"/>
        <v>#N/A</v>
      </c>
      <c r="AQ108" s="158" t="str">
        <f>IF('PA-Non'!V108&lt;&gt;"",'PA-Non'!V108,IFERROR("Mempunyai keterampilan yang "&amp;IF(AM108=AN108,PROPER(AN108)&amp;" dalam kompetensi "&amp;VLOOKUP(AO108,$AA$532:$AC$539,3)&amp;", demikian juga dalam kompetensi "&amp;VLOOKUP(AP108,$AA$532:$AC$539,3),PROPER(AM108)&amp;" dalam kompetensi "&amp;VLOOKUP(AO108,$AA$532:$AC$539,3)&amp;" dan "&amp;AN108&amp;" pada kompetensi "&amp;VLOOKUP(AP108,$AA$532:$AC$539,3)),""))</f>
        <v/>
      </c>
      <c r="AR108" s="188"/>
    </row>
    <row r="109" spans="2:44" ht="27.9" customHeight="1" thickBot="1" x14ac:dyDescent="0.35">
      <c r="B109" s="226" t="s">
        <v>30</v>
      </c>
      <c r="C109" s="149">
        <f t="shared" si="44"/>
        <v>20</v>
      </c>
      <c r="D109" s="150" t="str">
        <f>IF(Data!F104="","",Data!F104)</f>
        <v>03571</v>
      </c>
      <c r="E109" s="151" t="str">
        <f>IF(Data!H104="","",Data!H104)</f>
        <v>Muhammad Ahla Adibul Ihsan</v>
      </c>
      <c r="F109" s="152" t="str">
        <f>IF(Data!I104="","",Data!I104)</f>
        <v>Laki-laki</v>
      </c>
      <c r="G109" s="153"/>
      <c r="H109" s="154"/>
      <c r="I109" s="154"/>
      <c r="J109" s="154"/>
      <c r="K109" s="154"/>
      <c r="L109" s="154"/>
      <c r="M109" s="154"/>
      <c r="N109" s="155"/>
      <c r="O109" s="157" t="str">
        <f t="shared" si="34"/>
        <v/>
      </c>
      <c r="P109" s="154"/>
      <c r="Q109" s="156"/>
      <c r="R109" s="157" t="str">
        <f t="shared" si="45"/>
        <v/>
      </c>
      <c r="S109" s="159" t="str">
        <f>IF(R109="","",IF(R109&gt;Data2!$C$12,Data2!$D$11,IF(R109&gt;Data2!$C$13,Data2!$D$12,IF(R109&gt;Data2!$C$14,Data2!$D$13,Data2!$D$14))))</f>
        <v/>
      </c>
      <c r="T109" s="144">
        <f t="shared" si="35"/>
        <v>0</v>
      </c>
      <c r="U109" s="144">
        <f t="shared" si="36"/>
        <v>0</v>
      </c>
      <c r="V109" s="144" t="str">
        <f t="shared" si="30"/>
        <v>Mulai berkembang</v>
      </c>
      <c r="W109" s="144" t="str">
        <f t="shared" si="31"/>
        <v>Mulai berkembang</v>
      </c>
      <c r="X109" s="144" t="e">
        <f t="shared" si="37"/>
        <v>#N/A</v>
      </c>
      <c r="Y109" s="145" t="e">
        <f t="shared" si="38"/>
        <v>#N/A</v>
      </c>
      <c r="Z109" s="218" t="str">
        <f>IF('PA-Non'!O109&lt;&gt;"",'PA-Non'!O109,IFERROR("Mempunyai kemampuan yang " &amp;IF(V109=W109,PROPER(W109)&amp;" dalam kompetensi "&amp;VLOOKUP(X109,$G$532:$I$539,3)&amp;" dan kompetensi "&amp;VLOOKUP(Y109,$G$532:$I$539,3),PROPER(V109)&amp;" dalam kompetensi "&amp;VLOOKUP(X109,$G$532:$I$539,3)&amp;" dan memiliki kemampuan yang "&amp;W109&amp;" pada kompetensi "&amp;VLOOKUP(Y109,$G$532:$I$539,3)),""))</f>
        <v/>
      </c>
      <c r="AA109" s="153"/>
      <c r="AB109" s="154"/>
      <c r="AC109" s="154"/>
      <c r="AD109" s="154"/>
      <c r="AE109" s="154"/>
      <c r="AF109" s="154"/>
      <c r="AG109" s="154"/>
      <c r="AH109" s="155"/>
      <c r="AI109" s="220" t="str">
        <f t="shared" si="39"/>
        <v/>
      </c>
      <c r="AJ109" s="160" t="str">
        <f>IF(AI109="","",IF(AI109&gt;Data2!$C$12,Data2!$D$11,IF(AI109&gt;Data2!$C$13,Data2!$D$12,IF(AI109&gt;Data2!$C$14,Data2!$D$13,Data2!$D$14))))</f>
        <v/>
      </c>
      <c r="AK109" s="146">
        <f t="shared" si="40"/>
        <v>0</v>
      </c>
      <c r="AL109" s="146">
        <f t="shared" si="41"/>
        <v>0</v>
      </c>
      <c r="AM109" s="147" t="str">
        <f t="shared" si="32"/>
        <v>Mulai meningkat</v>
      </c>
      <c r="AN109" s="147" t="str">
        <f t="shared" si="33"/>
        <v>Mulai meningkat</v>
      </c>
      <c r="AO109" s="146" t="e">
        <f t="shared" si="42"/>
        <v>#N/A</v>
      </c>
      <c r="AP109" s="148" t="e">
        <f t="shared" si="43"/>
        <v>#N/A</v>
      </c>
      <c r="AQ109" s="158" t="str">
        <f>IF('PA-Non'!V109&lt;&gt;"",'PA-Non'!V109,IFERROR("Mempunyai keterampilan yang "&amp;IF(AM109=AN109,PROPER(AN109)&amp;" dalam kompetensi "&amp;VLOOKUP(AO109,$AA$532:$AC$539,3)&amp;", demikian juga dalam kompetensi "&amp;VLOOKUP(AP109,$AA$532:$AC$539,3),PROPER(AM109)&amp;" dalam kompetensi "&amp;VLOOKUP(AO109,$AA$532:$AC$539,3)&amp;" dan "&amp;AN109&amp;" pada kompetensi "&amp;VLOOKUP(AP109,$AA$532:$AC$539,3)),""))</f>
        <v/>
      </c>
      <c r="AR109" s="188"/>
    </row>
    <row r="110" spans="2:44" ht="27.9" customHeight="1" thickBot="1" x14ac:dyDescent="0.35">
      <c r="B110" s="226" t="s">
        <v>30</v>
      </c>
      <c r="C110" s="149">
        <f t="shared" si="44"/>
        <v>21</v>
      </c>
      <c r="D110" s="150" t="str">
        <f>IF(Data!F105="","",Data!F105)</f>
        <v>03585</v>
      </c>
      <c r="E110" s="151" t="str">
        <f>IF(Data!H105="","",Data!H105)</f>
        <v>Muhammad Iqbal Choir</v>
      </c>
      <c r="F110" s="152" t="str">
        <f>IF(Data!I105="","",Data!I105)</f>
        <v>Laki-laki</v>
      </c>
      <c r="G110" s="153"/>
      <c r="H110" s="154"/>
      <c r="I110" s="154"/>
      <c r="J110" s="154"/>
      <c r="K110" s="154"/>
      <c r="L110" s="154"/>
      <c r="M110" s="154"/>
      <c r="N110" s="155"/>
      <c r="O110" s="157" t="str">
        <f t="shared" si="34"/>
        <v/>
      </c>
      <c r="P110" s="154"/>
      <c r="Q110" s="156"/>
      <c r="R110" s="157" t="str">
        <f t="shared" si="45"/>
        <v/>
      </c>
      <c r="S110" s="159" t="str">
        <f>IF(R110="","",IF(R110&gt;Data2!$C$12,Data2!$D$11,IF(R110&gt;Data2!$C$13,Data2!$D$12,IF(R110&gt;Data2!$C$14,Data2!$D$13,Data2!$D$14))))</f>
        <v/>
      </c>
      <c r="T110" s="144">
        <f t="shared" si="35"/>
        <v>0</v>
      </c>
      <c r="U110" s="144">
        <f t="shared" si="36"/>
        <v>0</v>
      </c>
      <c r="V110" s="144" t="str">
        <f t="shared" si="30"/>
        <v>Mulai berkembang</v>
      </c>
      <c r="W110" s="144" t="str">
        <f t="shared" si="31"/>
        <v>Mulai berkembang</v>
      </c>
      <c r="X110" s="144" t="e">
        <f t="shared" si="37"/>
        <v>#N/A</v>
      </c>
      <c r="Y110" s="145" t="e">
        <f t="shared" si="38"/>
        <v>#N/A</v>
      </c>
      <c r="Z110" s="218" t="str">
        <f>IF('PA-Non'!O110&lt;&gt;"",'PA-Non'!O110,IFERROR("Mempunyai kemampuan yang " &amp;IF(V110=W110,PROPER(W110)&amp;" dalam kompetensi "&amp;VLOOKUP(X110,$G$532:$I$539,3)&amp;" dan kompetensi "&amp;VLOOKUP(Y110,$G$532:$I$539,3),PROPER(V110)&amp;" dalam kompetensi "&amp;VLOOKUP(X110,$G$532:$I$539,3)&amp;" dan memiliki kemampuan yang "&amp;W110&amp;" pada kompetensi "&amp;VLOOKUP(Y110,$G$532:$I$539,3)),""))</f>
        <v/>
      </c>
      <c r="AA110" s="153"/>
      <c r="AB110" s="154"/>
      <c r="AC110" s="154"/>
      <c r="AD110" s="154"/>
      <c r="AE110" s="154"/>
      <c r="AF110" s="154"/>
      <c r="AG110" s="154"/>
      <c r="AH110" s="155"/>
      <c r="AI110" s="220" t="str">
        <f t="shared" si="39"/>
        <v/>
      </c>
      <c r="AJ110" s="160" t="str">
        <f>IF(AI110="","",IF(AI110&gt;Data2!$C$12,Data2!$D$11,IF(AI110&gt;Data2!$C$13,Data2!$D$12,IF(AI110&gt;Data2!$C$14,Data2!$D$13,Data2!$D$14))))</f>
        <v/>
      </c>
      <c r="AK110" s="146">
        <f t="shared" si="40"/>
        <v>0</v>
      </c>
      <c r="AL110" s="146">
        <f t="shared" si="41"/>
        <v>0</v>
      </c>
      <c r="AM110" s="147" t="str">
        <f t="shared" si="32"/>
        <v>Mulai meningkat</v>
      </c>
      <c r="AN110" s="147" t="str">
        <f t="shared" si="33"/>
        <v>Mulai meningkat</v>
      </c>
      <c r="AO110" s="146" t="e">
        <f t="shared" si="42"/>
        <v>#N/A</v>
      </c>
      <c r="AP110" s="148" t="e">
        <f t="shared" si="43"/>
        <v>#N/A</v>
      </c>
      <c r="AQ110" s="158" t="str">
        <f>IF('PA-Non'!V110&lt;&gt;"",'PA-Non'!V110,IFERROR("Mempunyai keterampilan yang "&amp;IF(AM110=AN110,PROPER(AN110)&amp;" dalam kompetensi "&amp;VLOOKUP(AO110,$AA$532:$AC$539,3)&amp;", demikian juga dalam kompetensi "&amp;VLOOKUP(AP110,$AA$532:$AC$539,3),PROPER(AM110)&amp;" dalam kompetensi "&amp;VLOOKUP(AO110,$AA$532:$AC$539,3)&amp;" dan "&amp;AN110&amp;" pada kompetensi "&amp;VLOOKUP(AP110,$AA$532:$AC$539,3)),""))</f>
        <v/>
      </c>
      <c r="AR110" s="188"/>
    </row>
    <row r="111" spans="2:44" ht="27.9" customHeight="1" thickBot="1" x14ac:dyDescent="0.35">
      <c r="B111" s="226" t="s">
        <v>30</v>
      </c>
      <c r="C111" s="149">
        <f t="shared" si="44"/>
        <v>22</v>
      </c>
      <c r="D111" s="150" t="str">
        <f>IF(Data!F106="","",Data!F106)</f>
        <v>03589</v>
      </c>
      <c r="E111" s="151" t="str">
        <f>IF(Data!H106="","",Data!H106)</f>
        <v>Muhammad Kafi Azzamy</v>
      </c>
      <c r="F111" s="152" t="str">
        <f>IF(Data!I106="","",Data!I106)</f>
        <v>Laki-laki</v>
      </c>
      <c r="G111" s="153"/>
      <c r="H111" s="154"/>
      <c r="I111" s="154"/>
      <c r="J111" s="154"/>
      <c r="K111" s="154"/>
      <c r="L111" s="154"/>
      <c r="M111" s="154"/>
      <c r="N111" s="155"/>
      <c r="O111" s="157" t="str">
        <f t="shared" si="34"/>
        <v/>
      </c>
      <c r="P111" s="154"/>
      <c r="Q111" s="156"/>
      <c r="R111" s="157" t="str">
        <f t="shared" si="45"/>
        <v/>
      </c>
      <c r="S111" s="159" t="str">
        <f>IF(R111="","",IF(R111&gt;Data2!$C$12,Data2!$D$11,IF(R111&gt;Data2!$C$13,Data2!$D$12,IF(R111&gt;Data2!$C$14,Data2!$D$13,Data2!$D$14))))</f>
        <v/>
      </c>
      <c r="T111" s="144">
        <f t="shared" si="35"/>
        <v>0</v>
      </c>
      <c r="U111" s="144">
        <f t="shared" si="36"/>
        <v>0</v>
      </c>
      <c r="V111" s="144" t="str">
        <f t="shared" si="30"/>
        <v>Mulai berkembang</v>
      </c>
      <c r="W111" s="144" t="str">
        <f t="shared" si="31"/>
        <v>Mulai berkembang</v>
      </c>
      <c r="X111" s="144" t="e">
        <f t="shared" si="37"/>
        <v>#N/A</v>
      </c>
      <c r="Y111" s="145" t="e">
        <f t="shared" si="38"/>
        <v>#N/A</v>
      </c>
      <c r="Z111" s="218" t="str">
        <f>IF('PA-Non'!O111&lt;&gt;"",'PA-Non'!O111,IFERROR("Mempunyai kemampuan yang " &amp;IF(V111=W111,PROPER(W111)&amp;" dalam kompetensi "&amp;VLOOKUP(X111,$G$532:$I$539,3)&amp;" dan kompetensi "&amp;VLOOKUP(Y111,$G$532:$I$539,3),PROPER(V111)&amp;" dalam kompetensi "&amp;VLOOKUP(X111,$G$532:$I$539,3)&amp;" dan memiliki kemampuan yang "&amp;W111&amp;" pada kompetensi "&amp;VLOOKUP(Y111,$G$532:$I$539,3)),""))</f>
        <v/>
      </c>
      <c r="AA111" s="153"/>
      <c r="AB111" s="154"/>
      <c r="AC111" s="154"/>
      <c r="AD111" s="154"/>
      <c r="AE111" s="154"/>
      <c r="AF111" s="154"/>
      <c r="AG111" s="154"/>
      <c r="AH111" s="155"/>
      <c r="AI111" s="220" t="str">
        <f t="shared" si="39"/>
        <v/>
      </c>
      <c r="AJ111" s="160" t="str">
        <f>IF(AI111="","",IF(AI111&gt;Data2!$C$12,Data2!$D$11,IF(AI111&gt;Data2!$C$13,Data2!$D$12,IF(AI111&gt;Data2!$C$14,Data2!$D$13,Data2!$D$14))))</f>
        <v/>
      </c>
      <c r="AK111" s="146">
        <f t="shared" si="40"/>
        <v>0</v>
      </c>
      <c r="AL111" s="146">
        <f t="shared" si="41"/>
        <v>0</v>
      </c>
      <c r="AM111" s="147" t="str">
        <f t="shared" si="32"/>
        <v>Mulai meningkat</v>
      </c>
      <c r="AN111" s="147" t="str">
        <f t="shared" si="33"/>
        <v>Mulai meningkat</v>
      </c>
      <c r="AO111" s="146" t="e">
        <f t="shared" si="42"/>
        <v>#N/A</v>
      </c>
      <c r="AP111" s="148" t="e">
        <f t="shared" si="43"/>
        <v>#N/A</v>
      </c>
      <c r="AQ111" s="158" t="str">
        <f>IF('PA-Non'!V111&lt;&gt;"",'PA-Non'!V111,IFERROR("Mempunyai keterampilan yang "&amp;IF(AM111=AN111,PROPER(AN111)&amp;" dalam kompetensi "&amp;VLOOKUP(AO111,$AA$532:$AC$539,3)&amp;", demikian juga dalam kompetensi "&amp;VLOOKUP(AP111,$AA$532:$AC$539,3),PROPER(AM111)&amp;" dalam kompetensi "&amp;VLOOKUP(AO111,$AA$532:$AC$539,3)&amp;" dan "&amp;AN111&amp;" pada kompetensi "&amp;VLOOKUP(AP111,$AA$532:$AC$539,3)),""))</f>
        <v/>
      </c>
      <c r="AR111" s="188"/>
    </row>
    <row r="112" spans="2:44" ht="27.9" customHeight="1" thickBot="1" x14ac:dyDescent="0.35">
      <c r="B112" s="226" t="s">
        <v>30</v>
      </c>
      <c r="C112" s="149">
        <f t="shared" si="44"/>
        <v>23</v>
      </c>
      <c r="D112" s="150" t="str">
        <f>IF(Data!F107="","",Data!F107)</f>
        <v>03595</v>
      </c>
      <c r="E112" s="151" t="str">
        <f>IF(Data!H107="","",Data!H107)</f>
        <v>Muhammad Nizam Irwanto</v>
      </c>
      <c r="F112" s="152" t="str">
        <f>IF(Data!I107="","",Data!I107)</f>
        <v>Laki-laki</v>
      </c>
      <c r="G112" s="153"/>
      <c r="H112" s="154"/>
      <c r="I112" s="154"/>
      <c r="J112" s="154"/>
      <c r="K112" s="154"/>
      <c r="L112" s="154"/>
      <c r="M112" s="154"/>
      <c r="N112" s="155"/>
      <c r="O112" s="157" t="str">
        <f t="shared" si="34"/>
        <v/>
      </c>
      <c r="P112" s="154"/>
      <c r="Q112" s="156"/>
      <c r="R112" s="157" t="str">
        <f t="shared" si="45"/>
        <v/>
      </c>
      <c r="S112" s="159" t="str">
        <f>IF(R112="","",IF(R112&gt;Data2!$C$12,Data2!$D$11,IF(R112&gt;Data2!$C$13,Data2!$D$12,IF(R112&gt;Data2!$C$14,Data2!$D$13,Data2!$D$14))))</f>
        <v/>
      </c>
      <c r="T112" s="144">
        <f t="shared" si="35"/>
        <v>0</v>
      </c>
      <c r="U112" s="144">
        <f t="shared" si="36"/>
        <v>0</v>
      </c>
      <c r="V112" s="144" t="str">
        <f t="shared" si="30"/>
        <v>Mulai berkembang</v>
      </c>
      <c r="W112" s="144" t="str">
        <f t="shared" si="31"/>
        <v>Mulai berkembang</v>
      </c>
      <c r="X112" s="144" t="e">
        <f t="shared" si="37"/>
        <v>#N/A</v>
      </c>
      <c r="Y112" s="145" t="e">
        <f t="shared" si="38"/>
        <v>#N/A</v>
      </c>
      <c r="Z112" s="218" t="str">
        <f>IF('PA-Non'!O112&lt;&gt;"",'PA-Non'!O112,IFERROR("Mempunyai kemampuan yang " &amp;IF(V112=W112,PROPER(W112)&amp;" dalam kompetensi "&amp;VLOOKUP(X112,$G$532:$I$539,3)&amp;" dan kompetensi "&amp;VLOOKUP(Y112,$G$532:$I$539,3),PROPER(V112)&amp;" dalam kompetensi "&amp;VLOOKUP(X112,$G$532:$I$539,3)&amp;" dan memiliki kemampuan yang "&amp;W112&amp;" pada kompetensi "&amp;VLOOKUP(Y112,$G$532:$I$539,3)),""))</f>
        <v/>
      </c>
      <c r="AA112" s="153"/>
      <c r="AB112" s="154"/>
      <c r="AC112" s="154"/>
      <c r="AD112" s="154"/>
      <c r="AE112" s="154"/>
      <c r="AF112" s="154"/>
      <c r="AG112" s="154"/>
      <c r="AH112" s="155"/>
      <c r="AI112" s="220" t="str">
        <f t="shared" si="39"/>
        <v/>
      </c>
      <c r="AJ112" s="160" t="str">
        <f>IF(AI112="","",IF(AI112&gt;Data2!$C$12,Data2!$D$11,IF(AI112&gt;Data2!$C$13,Data2!$D$12,IF(AI112&gt;Data2!$C$14,Data2!$D$13,Data2!$D$14))))</f>
        <v/>
      </c>
      <c r="AK112" s="146">
        <f t="shared" si="40"/>
        <v>0</v>
      </c>
      <c r="AL112" s="146">
        <f t="shared" si="41"/>
        <v>0</v>
      </c>
      <c r="AM112" s="147" t="str">
        <f t="shared" si="32"/>
        <v>Mulai meningkat</v>
      </c>
      <c r="AN112" s="147" t="str">
        <f t="shared" si="33"/>
        <v>Mulai meningkat</v>
      </c>
      <c r="AO112" s="146" t="e">
        <f t="shared" si="42"/>
        <v>#N/A</v>
      </c>
      <c r="AP112" s="148" t="e">
        <f t="shared" si="43"/>
        <v>#N/A</v>
      </c>
      <c r="AQ112" s="158" t="str">
        <f>IF('PA-Non'!V112&lt;&gt;"",'PA-Non'!V112,IFERROR("Mempunyai keterampilan yang "&amp;IF(AM112=AN112,PROPER(AN112)&amp;" dalam kompetensi "&amp;VLOOKUP(AO112,$AA$532:$AC$539,3)&amp;", demikian juga dalam kompetensi "&amp;VLOOKUP(AP112,$AA$532:$AC$539,3),PROPER(AM112)&amp;" dalam kompetensi "&amp;VLOOKUP(AO112,$AA$532:$AC$539,3)&amp;" dan "&amp;AN112&amp;" pada kompetensi "&amp;VLOOKUP(AP112,$AA$532:$AC$539,3)),""))</f>
        <v/>
      </c>
      <c r="AR112" s="188"/>
    </row>
    <row r="113" spans="2:44" ht="27.9" customHeight="1" thickBot="1" x14ac:dyDescent="0.35">
      <c r="B113" s="226" t="s">
        <v>30</v>
      </c>
      <c r="C113" s="149">
        <f t="shared" si="44"/>
        <v>24</v>
      </c>
      <c r="D113" s="150" t="str">
        <f>IF(Data!F108="","",Data!F108)</f>
        <v>03596</v>
      </c>
      <c r="E113" s="151" t="str">
        <f>IF(Data!H108="","",Data!H108)</f>
        <v>Muhammad Nur Fadhil</v>
      </c>
      <c r="F113" s="152" t="str">
        <f>IF(Data!I108="","",Data!I108)</f>
        <v>Laki-laki</v>
      </c>
      <c r="G113" s="153"/>
      <c r="H113" s="154"/>
      <c r="I113" s="154"/>
      <c r="J113" s="154"/>
      <c r="K113" s="154"/>
      <c r="L113" s="154"/>
      <c r="M113" s="154"/>
      <c r="N113" s="155"/>
      <c r="O113" s="157" t="str">
        <f t="shared" si="34"/>
        <v/>
      </c>
      <c r="P113" s="154"/>
      <c r="Q113" s="156"/>
      <c r="R113" s="157" t="str">
        <f t="shared" si="45"/>
        <v/>
      </c>
      <c r="S113" s="159" t="str">
        <f>IF(R113="","",IF(R113&gt;Data2!$C$12,Data2!$D$11,IF(R113&gt;Data2!$C$13,Data2!$D$12,IF(R113&gt;Data2!$C$14,Data2!$D$13,Data2!$D$14))))</f>
        <v/>
      </c>
      <c r="T113" s="144">
        <f t="shared" si="35"/>
        <v>0</v>
      </c>
      <c r="U113" s="144">
        <f t="shared" si="36"/>
        <v>0</v>
      </c>
      <c r="V113" s="144" t="str">
        <f t="shared" si="30"/>
        <v>Mulai berkembang</v>
      </c>
      <c r="W113" s="144" t="str">
        <f t="shared" si="31"/>
        <v>Mulai berkembang</v>
      </c>
      <c r="X113" s="144" t="e">
        <f t="shared" si="37"/>
        <v>#N/A</v>
      </c>
      <c r="Y113" s="145" t="e">
        <f t="shared" si="38"/>
        <v>#N/A</v>
      </c>
      <c r="Z113" s="218" t="str">
        <f>IF('PA-Non'!O113&lt;&gt;"",'PA-Non'!O113,IFERROR("Mempunyai kemampuan yang " &amp;IF(V113=W113,PROPER(W113)&amp;" dalam kompetensi "&amp;VLOOKUP(X113,$G$532:$I$539,3)&amp;" dan kompetensi "&amp;VLOOKUP(Y113,$G$532:$I$539,3),PROPER(V113)&amp;" dalam kompetensi "&amp;VLOOKUP(X113,$G$532:$I$539,3)&amp;" dan memiliki kemampuan yang "&amp;W113&amp;" pada kompetensi "&amp;VLOOKUP(Y113,$G$532:$I$539,3)),""))</f>
        <v/>
      </c>
      <c r="AA113" s="153"/>
      <c r="AB113" s="154"/>
      <c r="AC113" s="154"/>
      <c r="AD113" s="154"/>
      <c r="AE113" s="154"/>
      <c r="AF113" s="154"/>
      <c r="AG113" s="154"/>
      <c r="AH113" s="155"/>
      <c r="AI113" s="220" t="str">
        <f t="shared" si="39"/>
        <v/>
      </c>
      <c r="AJ113" s="160" t="str">
        <f>IF(AI113="","",IF(AI113&gt;Data2!$C$12,Data2!$D$11,IF(AI113&gt;Data2!$C$13,Data2!$D$12,IF(AI113&gt;Data2!$C$14,Data2!$D$13,Data2!$D$14))))</f>
        <v/>
      </c>
      <c r="AK113" s="146">
        <f t="shared" si="40"/>
        <v>0</v>
      </c>
      <c r="AL113" s="146">
        <f t="shared" si="41"/>
        <v>0</v>
      </c>
      <c r="AM113" s="147" t="str">
        <f t="shared" si="32"/>
        <v>Mulai meningkat</v>
      </c>
      <c r="AN113" s="147" t="str">
        <f t="shared" si="33"/>
        <v>Mulai meningkat</v>
      </c>
      <c r="AO113" s="146" t="e">
        <f t="shared" si="42"/>
        <v>#N/A</v>
      </c>
      <c r="AP113" s="148" t="e">
        <f t="shared" si="43"/>
        <v>#N/A</v>
      </c>
      <c r="AQ113" s="158" t="str">
        <f>IF('PA-Non'!V113&lt;&gt;"",'PA-Non'!V113,IFERROR("Mempunyai keterampilan yang "&amp;IF(AM113=AN113,PROPER(AN113)&amp;" dalam kompetensi "&amp;VLOOKUP(AO113,$AA$532:$AC$539,3)&amp;", demikian juga dalam kompetensi "&amp;VLOOKUP(AP113,$AA$532:$AC$539,3),PROPER(AM113)&amp;" dalam kompetensi "&amp;VLOOKUP(AO113,$AA$532:$AC$539,3)&amp;" dan "&amp;AN113&amp;" pada kompetensi "&amp;VLOOKUP(AP113,$AA$532:$AC$539,3)),""))</f>
        <v/>
      </c>
      <c r="AR113" s="188"/>
    </row>
    <row r="114" spans="2:44" ht="27.9" customHeight="1" thickBot="1" x14ac:dyDescent="0.35">
      <c r="B114" s="226" t="s">
        <v>30</v>
      </c>
      <c r="C114" s="149">
        <f t="shared" si="44"/>
        <v>25</v>
      </c>
      <c r="D114" s="150" t="str">
        <f>IF(Data!F109="","",Data!F109)</f>
        <v>03597</v>
      </c>
      <c r="E114" s="151" t="str">
        <f>IF(Data!H109="","",Data!H109)</f>
        <v>Muhammad Nur Huda</v>
      </c>
      <c r="F114" s="152" t="str">
        <f>IF(Data!I109="","",Data!I109)</f>
        <v>Laki-laki</v>
      </c>
      <c r="G114" s="153"/>
      <c r="H114" s="154"/>
      <c r="I114" s="154"/>
      <c r="J114" s="154"/>
      <c r="K114" s="154"/>
      <c r="L114" s="154"/>
      <c r="M114" s="154"/>
      <c r="N114" s="155"/>
      <c r="O114" s="157" t="str">
        <f t="shared" si="34"/>
        <v/>
      </c>
      <c r="P114" s="154"/>
      <c r="Q114" s="156"/>
      <c r="R114" s="157" t="str">
        <f t="shared" si="45"/>
        <v/>
      </c>
      <c r="S114" s="159" t="str">
        <f>IF(R114="","",IF(R114&gt;Data2!$C$12,Data2!$D$11,IF(R114&gt;Data2!$C$13,Data2!$D$12,IF(R114&gt;Data2!$C$14,Data2!$D$13,Data2!$D$14))))</f>
        <v/>
      </c>
      <c r="T114" s="144">
        <f t="shared" si="35"/>
        <v>0</v>
      </c>
      <c r="U114" s="144">
        <f t="shared" si="36"/>
        <v>0</v>
      </c>
      <c r="V114" s="144" t="str">
        <f t="shared" si="30"/>
        <v>Mulai berkembang</v>
      </c>
      <c r="W114" s="144" t="str">
        <f t="shared" si="31"/>
        <v>Mulai berkembang</v>
      </c>
      <c r="X114" s="144" t="e">
        <f t="shared" si="37"/>
        <v>#N/A</v>
      </c>
      <c r="Y114" s="145" t="e">
        <f t="shared" si="38"/>
        <v>#N/A</v>
      </c>
      <c r="Z114" s="218" t="str">
        <f>IF('PA-Non'!O114&lt;&gt;"",'PA-Non'!O114,IFERROR("Mempunyai kemampuan yang " &amp;IF(V114=W114,PROPER(W114)&amp;" dalam kompetensi "&amp;VLOOKUP(X114,$G$532:$I$539,3)&amp;" dan kompetensi "&amp;VLOOKUP(Y114,$G$532:$I$539,3),PROPER(V114)&amp;" dalam kompetensi "&amp;VLOOKUP(X114,$G$532:$I$539,3)&amp;" dan memiliki kemampuan yang "&amp;W114&amp;" pada kompetensi "&amp;VLOOKUP(Y114,$G$532:$I$539,3)),""))</f>
        <v/>
      </c>
      <c r="AA114" s="153"/>
      <c r="AB114" s="154"/>
      <c r="AC114" s="154"/>
      <c r="AD114" s="154"/>
      <c r="AE114" s="154"/>
      <c r="AF114" s="154"/>
      <c r="AG114" s="154"/>
      <c r="AH114" s="155"/>
      <c r="AI114" s="220" t="str">
        <f t="shared" si="39"/>
        <v/>
      </c>
      <c r="AJ114" s="160" t="str">
        <f>IF(AI114="","",IF(AI114&gt;Data2!$C$12,Data2!$D$11,IF(AI114&gt;Data2!$C$13,Data2!$D$12,IF(AI114&gt;Data2!$C$14,Data2!$D$13,Data2!$D$14))))</f>
        <v/>
      </c>
      <c r="AK114" s="146">
        <f t="shared" si="40"/>
        <v>0</v>
      </c>
      <c r="AL114" s="146">
        <f t="shared" si="41"/>
        <v>0</v>
      </c>
      <c r="AM114" s="147" t="str">
        <f t="shared" si="32"/>
        <v>Mulai meningkat</v>
      </c>
      <c r="AN114" s="147" t="str">
        <f t="shared" si="33"/>
        <v>Mulai meningkat</v>
      </c>
      <c r="AO114" s="146" t="e">
        <f t="shared" si="42"/>
        <v>#N/A</v>
      </c>
      <c r="AP114" s="148" t="e">
        <f t="shared" si="43"/>
        <v>#N/A</v>
      </c>
      <c r="AQ114" s="158" t="str">
        <f>IF('PA-Non'!V114&lt;&gt;"",'PA-Non'!V114,IFERROR("Mempunyai keterampilan yang "&amp;IF(AM114=AN114,PROPER(AN114)&amp;" dalam kompetensi "&amp;VLOOKUP(AO114,$AA$532:$AC$539,3)&amp;", demikian juga dalam kompetensi "&amp;VLOOKUP(AP114,$AA$532:$AC$539,3),PROPER(AM114)&amp;" dalam kompetensi "&amp;VLOOKUP(AO114,$AA$532:$AC$539,3)&amp;" dan "&amp;AN114&amp;" pada kompetensi "&amp;VLOOKUP(AP114,$AA$532:$AC$539,3)),""))</f>
        <v/>
      </c>
      <c r="AR114" s="188"/>
    </row>
    <row r="115" spans="2:44" ht="27.9" customHeight="1" thickBot="1" x14ac:dyDescent="0.35">
      <c r="B115" s="226" t="s">
        <v>30</v>
      </c>
      <c r="C115" s="149">
        <f t="shared" si="44"/>
        <v>26</v>
      </c>
      <c r="D115" s="150" t="str">
        <f>IF(Data!F110="","",Data!F110)</f>
        <v>03598</v>
      </c>
      <c r="E115" s="151" t="str">
        <f>IF(Data!H110="","",Data!H110)</f>
        <v>Muhammad Nuril Zulfiansyah</v>
      </c>
      <c r="F115" s="152" t="str">
        <f>IF(Data!I110="","",Data!I110)</f>
        <v>Laki-laki</v>
      </c>
      <c r="G115" s="153"/>
      <c r="H115" s="154"/>
      <c r="I115" s="154"/>
      <c r="J115" s="154"/>
      <c r="K115" s="154"/>
      <c r="L115" s="154"/>
      <c r="M115" s="154"/>
      <c r="N115" s="155"/>
      <c r="O115" s="157" t="str">
        <f t="shared" si="34"/>
        <v/>
      </c>
      <c r="P115" s="154"/>
      <c r="Q115" s="156"/>
      <c r="R115" s="157" t="str">
        <f t="shared" si="45"/>
        <v/>
      </c>
      <c r="S115" s="159" t="str">
        <f>IF(R115="","",IF(R115&gt;Data2!$C$12,Data2!$D$11,IF(R115&gt;Data2!$C$13,Data2!$D$12,IF(R115&gt;Data2!$C$14,Data2!$D$13,Data2!$D$14))))</f>
        <v/>
      </c>
      <c r="T115" s="144">
        <f t="shared" si="35"/>
        <v>0</v>
      </c>
      <c r="U115" s="144">
        <f t="shared" si="36"/>
        <v>0</v>
      </c>
      <c r="V115" s="144" t="str">
        <f t="shared" si="30"/>
        <v>Mulai berkembang</v>
      </c>
      <c r="W115" s="144" t="str">
        <f t="shared" si="31"/>
        <v>Mulai berkembang</v>
      </c>
      <c r="X115" s="144" t="e">
        <f t="shared" si="37"/>
        <v>#N/A</v>
      </c>
      <c r="Y115" s="145" t="e">
        <f t="shared" si="38"/>
        <v>#N/A</v>
      </c>
      <c r="Z115" s="218" t="str">
        <f>IF('PA-Non'!O115&lt;&gt;"",'PA-Non'!O115,IFERROR("Mempunyai kemampuan yang " &amp;IF(V115=W115,PROPER(W115)&amp;" dalam kompetensi "&amp;VLOOKUP(X115,$G$532:$I$539,3)&amp;" dan kompetensi "&amp;VLOOKUP(Y115,$G$532:$I$539,3),PROPER(V115)&amp;" dalam kompetensi "&amp;VLOOKUP(X115,$G$532:$I$539,3)&amp;" dan memiliki kemampuan yang "&amp;W115&amp;" pada kompetensi "&amp;VLOOKUP(Y115,$G$532:$I$539,3)),""))</f>
        <v/>
      </c>
      <c r="AA115" s="153"/>
      <c r="AB115" s="154"/>
      <c r="AC115" s="154"/>
      <c r="AD115" s="154"/>
      <c r="AE115" s="154"/>
      <c r="AF115" s="154"/>
      <c r="AG115" s="154"/>
      <c r="AH115" s="155"/>
      <c r="AI115" s="220" t="str">
        <f t="shared" si="39"/>
        <v/>
      </c>
      <c r="AJ115" s="160" t="str">
        <f>IF(AI115="","",IF(AI115&gt;Data2!$C$12,Data2!$D$11,IF(AI115&gt;Data2!$C$13,Data2!$D$12,IF(AI115&gt;Data2!$C$14,Data2!$D$13,Data2!$D$14))))</f>
        <v/>
      </c>
      <c r="AK115" s="146">
        <f t="shared" si="40"/>
        <v>0</v>
      </c>
      <c r="AL115" s="146">
        <f t="shared" si="41"/>
        <v>0</v>
      </c>
      <c r="AM115" s="147" t="str">
        <f t="shared" si="32"/>
        <v>Mulai meningkat</v>
      </c>
      <c r="AN115" s="147" t="str">
        <f t="shared" si="33"/>
        <v>Mulai meningkat</v>
      </c>
      <c r="AO115" s="146" t="e">
        <f t="shared" si="42"/>
        <v>#N/A</v>
      </c>
      <c r="AP115" s="148" t="e">
        <f t="shared" si="43"/>
        <v>#N/A</v>
      </c>
      <c r="AQ115" s="158" t="str">
        <f>IF('PA-Non'!V115&lt;&gt;"",'PA-Non'!V115,IFERROR("Mempunyai keterampilan yang "&amp;IF(AM115=AN115,PROPER(AN115)&amp;" dalam kompetensi "&amp;VLOOKUP(AO115,$AA$532:$AC$539,3)&amp;", demikian juga dalam kompetensi "&amp;VLOOKUP(AP115,$AA$532:$AC$539,3),PROPER(AM115)&amp;" dalam kompetensi "&amp;VLOOKUP(AO115,$AA$532:$AC$539,3)&amp;" dan "&amp;AN115&amp;" pada kompetensi "&amp;VLOOKUP(AP115,$AA$532:$AC$539,3)),""))</f>
        <v/>
      </c>
      <c r="AR115" s="188"/>
    </row>
    <row r="116" spans="2:44" ht="27.9" customHeight="1" thickBot="1" x14ac:dyDescent="0.35">
      <c r="B116" s="226" t="s">
        <v>30</v>
      </c>
      <c r="C116" s="149">
        <f t="shared" si="44"/>
        <v>27</v>
      </c>
      <c r="D116" s="150" t="str">
        <f>IF(Data!F111="","",Data!F111)</f>
        <v>03603</v>
      </c>
      <c r="E116" s="151" t="str">
        <f>IF(Data!H111="","",Data!H111)</f>
        <v>Nafil Wildan Aqil Abqory</v>
      </c>
      <c r="F116" s="152" t="str">
        <f>IF(Data!I111="","",Data!I111)</f>
        <v>Laki-laki</v>
      </c>
      <c r="G116" s="153"/>
      <c r="H116" s="154"/>
      <c r="I116" s="154"/>
      <c r="J116" s="154"/>
      <c r="K116" s="154"/>
      <c r="L116" s="154"/>
      <c r="M116" s="154"/>
      <c r="N116" s="155"/>
      <c r="O116" s="157" t="str">
        <f t="shared" si="34"/>
        <v/>
      </c>
      <c r="P116" s="154"/>
      <c r="Q116" s="156"/>
      <c r="R116" s="157" t="str">
        <f t="shared" si="45"/>
        <v/>
      </c>
      <c r="S116" s="159" t="str">
        <f>IF(R116="","",IF(R116&gt;Data2!$C$12,Data2!$D$11,IF(R116&gt;Data2!$C$13,Data2!$D$12,IF(R116&gt;Data2!$C$14,Data2!$D$13,Data2!$D$14))))</f>
        <v/>
      </c>
      <c r="T116" s="144">
        <f t="shared" si="35"/>
        <v>0</v>
      </c>
      <c r="U116" s="144">
        <f t="shared" si="36"/>
        <v>0</v>
      </c>
      <c r="V116" s="144" t="str">
        <f t="shared" si="30"/>
        <v>Mulai berkembang</v>
      </c>
      <c r="W116" s="144" t="str">
        <f t="shared" si="31"/>
        <v>Mulai berkembang</v>
      </c>
      <c r="X116" s="144" t="e">
        <f t="shared" si="37"/>
        <v>#N/A</v>
      </c>
      <c r="Y116" s="145" t="e">
        <f t="shared" si="38"/>
        <v>#N/A</v>
      </c>
      <c r="Z116" s="218" t="str">
        <f>IF('PA-Non'!O116&lt;&gt;"",'PA-Non'!O116,IFERROR("Mempunyai kemampuan yang " &amp;IF(V116=W116,PROPER(W116)&amp;" dalam kompetensi "&amp;VLOOKUP(X116,$G$532:$I$539,3)&amp;" dan kompetensi "&amp;VLOOKUP(Y116,$G$532:$I$539,3),PROPER(V116)&amp;" dalam kompetensi "&amp;VLOOKUP(X116,$G$532:$I$539,3)&amp;" dan memiliki kemampuan yang "&amp;W116&amp;" pada kompetensi "&amp;VLOOKUP(Y116,$G$532:$I$539,3)),""))</f>
        <v/>
      </c>
      <c r="AA116" s="153"/>
      <c r="AB116" s="154"/>
      <c r="AC116" s="154"/>
      <c r="AD116" s="154"/>
      <c r="AE116" s="154"/>
      <c r="AF116" s="154"/>
      <c r="AG116" s="154"/>
      <c r="AH116" s="155"/>
      <c r="AI116" s="220" t="str">
        <f t="shared" si="39"/>
        <v/>
      </c>
      <c r="AJ116" s="160" t="str">
        <f>IF(AI116="","",IF(AI116&gt;Data2!$C$12,Data2!$D$11,IF(AI116&gt;Data2!$C$13,Data2!$D$12,IF(AI116&gt;Data2!$C$14,Data2!$D$13,Data2!$D$14))))</f>
        <v/>
      </c>
      <c r="AK116" s="146">
        <f t="shared" si="40"/>
        <v>0</v>
      </c>
      <c r="AL116" s="146">
        <f t="shared" si="41"/>
        <v>0</v>
      </c>
      <c r="AM116" s="147" t="str">
        <f t="shared" si="32"/>
        <v>Mulai meningkat</v>
      </c>
      <c r="AN116" s="147" t="str">
        <f t="shared" si="33"/>
        <v>Mulai meningkat</v>
      </c>
      <c r="AO116" s="146" t="e">
        <f t="shared" si="42"/>
        <v>#N/A</v>
      </c>
      <c r="AP116" s="148" t="e">
        <f t="shared" si="43"/>
        <v>#N/A</v>
      </c>
      <c r="AQ116" s="158" t="str">
        <f>IF('PA-Non'!V116&lt;&gt;"",'PA-Non'!V116,IFERROR("Mempunyai keterampilan yang "&amp;IF(AM116=AN116,PROPER(AN116)&amp;" dalam kompetensi "&amp;VLOOKUP(AO116,$AA$532:$AC$539,3)&amp;", demikian juga dalam kompetensi "&amp;VLOOKUP(AP116,$AA$532:$AC$539,3),PROPER(AM116)&amp;" dalam kompetensi "&amp;VLOOKUP(AO116,$AA$532:$AC$539,3)&amp;" dan "&amp;AN116&amp;" pada kompetensi "&amp;VLOOKUP(AP116,$AA$532:$AC$539,3)),""))</f>
        <v/>
      </c>
      <c r="AR116" s="188"/>
    </row>
    <row r="117" spans="2:44" ht="27.9" customHeight="1" thickBot="1" x14ac:dyDescent="0.35">
      <c r="B117" s="226" t="s">
        <v>30</v>
      </c>
      <c r="C117" s="149">
        <f t="shared" ref="C117:C120" si="70">IF(E117="","",C116+1)</f>
        <v>28</v>
      </c>
      <c r="D117" s="150" t="str">
        <f>IF(Data!F112="","",Data!F112)</f>
        <v>03605</v>
      </c>
      <c r="E117" s="151" t="str">
        <f>IF(Data!H112="","",Data!H112)</f>
        <v>Nizam Zulfikar Oktafian Yudhiyanto</v>
      </c>
      <c r="F117" s="152" t="str">
        <f>IF(Data!I112="","",Data!I112)</f>
        <v>Laki-laki</v>
      </c>
      <c r="G117" s="153"/>
      <c r="H117" s="154"/>
      <c r="I117" s="154"/>
      <c r="J117" s="154"/>
      <c r="K117" s="154"/>
      <c r="L117" s="154"/>
      <c r="M117" s="154"/>
      <c r="N117" s="155"/>
      <c r="O117" s="157" t="str">
        <f t="shared" ref="O117:O120" si="71">IF(COUNT(G117:N117)&lt;3,"",ROUND(SUM(G117:N117)/$O$6,0))</f>
        <v/>
      </c>
      <c r="P117" s="154"/>
      <c r="Q117" s="156"/>
      <c r="R117" s="157" t="str">
        <f t="shared" ref="R117:R120" si="72">IFERROR(IF(OR(P117="",Q117=""),"",ROUND(((O117*$O$8)+(P117*$P$8)+(Q117*$Q$8))/$Q$6,0)),"")</f>
        <v/>
      </c>
      <c r="S117" s="159" t="str">
        <f>IF(R117="","",IF(R117&gt;Data2!$C$12,Data2!$D$11,IF(R117&gt;Data2!$C$13,Data2!$D$12,IF(R117&gt;Data2!$C$14,Data2!$D$13,Data2!$D$14))))</f>
        <v/>
      </c>
      <c r="T117" s="144">
        <f t="shared" ref="T117:T120" si="73">MAX(G117:N117)</f>
        <v>0</v>
      </c>
      <c r="U117" s="144">
        <f t="shared" ref="U117:U120" si="74">MIN(G117:N117)</f>
        <v>0</v>
      </c>
      <c r="V117" s="144" t="str">
        <f t="shared" si="30"/>
        <v>Mulai berkembang</v>
      </c>
      <c r="W117" s="144" t="str">
        <f t="shared" si="31"/>
        <v>Mulai berkembang</v>
      </c>
      <c r="X117" s="144" t="e">
        <f t="shared" ref="X117:X120" si="75">MATCH(T117,G117:N117,0)</f>
        <v>#N/A</v>
      </c>
      <c r="Y117" s="145" t="e">
        <f t="shared" ref="Y117:Y120" si="76">MATCH(U117,G117:N117,0)</f>
        <v>#N/A</v>
      </c>
      <c r="Z117" s="218" t="str">
        <f>IF('PA-Non'!O117&lt;&gt;"",'PA-Non'!O117,IFERROR("Mempunyai kemampuan yang " &amp;IF(V117=W117,PROPER(W117)&amp;" dalam kompetensi "&amp;VLOOKUP(X117,$G$532:$I$539,3)&amp;" dan kompetensi "&amp;VLOOKUP(Y117,$G$532:$I$539,3),PROPER(V117)&amp;" dalam kompetensi "&amp;VLOOKUP(X117,$G$532:$I$539,3)&amp;" dan memiliki kemampuan yang "&amp;W117&amp;" pada kompetensi "&amp;VLOOKUP(Y117,$G$532:$I$539,3)),""))</f>
        <v/>
      </c>
      <c r="AA117" s="153"/>
      <c r="AB117" s="154"/>
      <c r="AC117" s="154"/>
      <c r="AD117" s="154"/>
      <c r="AE117" s="154"/>
      <c r="AF117" s="154"/>
      <c r="AG117" s="154"/>
      <c r="AH117" s="155"/>
      <c r="AI117" s="220" t="str">
        <f t="shared" ref="AI117:AI120" si="77">IF(COUNT(AA117:AH117)&lt;3,"",ROUND(((AA117*$AA$8)+(AB117*$AB$8)+(AC117*$AC$8)+(AD117*$AD$8)+(AE117*$AE$8)+(AF117*$AF$8)+(AG117*$AG$8)+(AH117*$AH$8))/$AI$6,0))</f>
        <v/>
      </c>
      <c r="AJ117" s="160" t="str">
        <f>IF(AI117="","",IF(AI117&gt;Data2!$C$12,Data2!$D$11,IF(AI117&gt;Data2!$C$13,Data2!$D$12,IF(AI117&gt;Data2!$C$14,Data2!$D$13,Data2!$D$14))))</f>
        <v/>
      </c>
      <c r="AK117" s="146">
        <f t="shared" ref="AK117:AK120" si="78">MAX(AA117:AH117)</f>
        <v>0</v>
      </c>
      <c r="AL117" s="146">
        <f t="shared" ref="AL117:AL120" si="79">MIN(AA117:AH117)</f>
        <v>0</v>
      </c>
      <c r="AM117" s="147" t="str">
        <f t="shared" si="32"/>
        <v>Mulai meningkat</v>
      </c>
      <c r="AN117" s="147" t="str">
        <f t="shared" si="33"/>
        <v>Mulai meningkat</v>
      </c>
      <c r="AO117" s="146" t="e">
        <f t="shared" ref="AO117:AO120" si="80">MATCH(AK117,AA117:AH117,0)</f>
        <v>#N/A</v>
      </c>
      <c r="AP117" s="148" t="e">
        <f t="shared" ref="AP117:AP120" si="81">MATCH(AL117,AA117:AH117,0)</f>
        <v>#N/A</v>
      </c>
      <c r="AQ117" s="158" t="str">
        <f>IF('PA-Non'!V117&lt;&gt;"",'PA-Non'!V117,IFERROR("Mempunyai keterampilan yang "&amp;IF(AM117=AN117,PROPER(AN117)&amp;" dalam kompetensi "&amp;VLOOKUP(AO117,$AA$532:$AC$539,3)&amp;", demikian juga dalam kompetensi "&amp;VLOOKUP(AP117,$AA$532:$AC$539,3),PROPER(AM117)&amp;" dalam kompetensi "&amp;VLOOKUP(AO117,$AA$532:$AC$539,3)&amp;" dan "&amp;AN117&amp;" pada kompetensi "&amp;VLOOKUP(AP117,$AA$532:$AC$539,3)),""))</f>
        <v/>
      </c>
      <c r="AR117" s="188"/>
    </row>
    <row r="118" spans="2:44" ht="27.9" customHeight="1" thickBot="1" x14ac:dyDescent="0.35">
      <c r="B118" s="226" t="s">
        <v>30</v>
      </c>
      <c r="C118" s="149">
        <f t="shared" si="70"/>
        <v>29</v>
      </c>
      <c r="D118" s="150" t="str">
        <f>IF(Data!F113="","",Data!F113)</f>
        <v>03608</v>
      </c>
      <c r="E118" s="151" t="str">
        <f>IF(Data!H113="","",Data!H113)</f>
        <v>Rafa Saputra</v>
      </c>
      <c r="F118" s="152" t="str">
        <f>IF(Data!I113="","",Data!I113)</f>
        <v>Laki-laki</v>
      </c>
      <c r="G118" s="153"/>
      <c r="H118" s="154"/>
      <c r="I118" s="154"/>
      <c r="J118" s="154"/>
      <c r="K118" s="154"/>
      <c r="L118" s="154"/>
      <c r="M118" s="154"/>
      <c r="N118" s="155"/>
      <c r="O118" s="157" t="str">
        <f t="shared" si="71"/>
        <v/>
      </c>
      <c r="P118" s="154"/>
      <c r="Q118" s="156"/>
      <c r="R118" s="157" t="str">
        <f t="shared" si="72"/>
        <v/>
      </c>
      <c r="S118" s="159" t="str">
        <f>IF(R118="","",IF(R118&gt;Data2!$C$12,Data2!$D$11,IF(R118&gt;Data2!$C$13,Data2!$D$12,IF(R118&gt;Data2!$C$14,Data2!$D$13,Data2!$D$14))))</f>
        <v/>
      </c>
      <c r="T118" s="144">
        <f t="shared" si="73"/>
        <v>0</v>
      </c>
      <c r="U118" s="144">
        <f t="shared" si="74"/>
        <v>0</v>
      </c>
      <c r="V118" s="144" t="str">
        <f t="shared" si="30"/>
        <v>Mulai berkembang</v>
      </c>
      <c r="W118" s="144" t="str">
        <f t="shared" si="31"/>
        <v>Mulai berkembang</v>
      </c>
      <c r="X118" s="144" t="e">
        <f t="shared" si="75"/>
        <v>#N/A</v>
      </c>
      <c r="Y118" s="145" t="e">
        <f t="shared" si="76"/>
        <v>#N/A</v>
      </c>
      <c r="Z118" s="218" t="str">
        <f>IF('PA-Non'!O118&lt;&gt;"",'PA-Non'!O118,IFERROR("Mempunyai kemampuan yang " &amp;IF(V118=W118,PROPER(W118)&amp;" dalam kompetensi "&amp;VLOOKUP(X118,$G$532:$I$539,3)&amp;" dan kompetensi "&amp;VLOOKUP(Y118,$G$532:$I$539,3),PROPER(V118)&amp;" dalam kompetensi "&amp;VLOOKUP(X118,$G$532:$I$539,3)&amp;" dan memiliki kemampuan yang "&amp;W118&amp;" pada kompetensi "&amp;VLOOKUP(Y118,$G$532:$I$539,3)),""))</f>
        <v/>
      </c>
      <c r="AA118" s="153"/>
      <c r="AB118" s="154"/>
      <c r="AC118" s="154"/>
      <c r="AD118" s="154"/>
      <c r="AE118" s="154"/>
      <c r="AF118" s="154"/>
      <c r="AG118" s="154"/>
      <c r="AH118" s="155"/>
      <c r="AI118" s="220" t="str">
        <f t="shared" si="77"/>
        <v/>
      </c>
      <c r="AJ118" s="160" t="str">
        <f>IF(AI118="","",IF(AI118&gt;Data2!$C$12,Data2!$D$11,IF(AI118&gt;Data2!$C$13,Data2!$D$12,IF(AI118&gt;Data2!$C$14,Data2!$D$13,Data2!$D$14))))</f>
        <v/>
      </c>
      <c r="AK118" s="146">
        <f t="shared" si="78"/>
        <v>0</v>
      </c>
      <c r="AL118" s="146">
        <f t="shared" si="79"/>
        <v>0</v>
      </c>
      <c r="AM118" s="147" t="str">
        <f t="shared" si="32"/>
        <v>Mulai meningkat</v>
      </c>
      <c r="AN118" s="147" t="str">
        <f t="shared" si="33"/>
        <v>Mulai meningkat</v>
      </c>
      <c r="AO118" s="146" t="e">
        <f t="shared" si="80"/>
        <v>#N/A</v>
      </c>
      <c r="AP118" s="148" t="e">
        <f t="shared" si="81"/>
        <v>#N/A</v>
      </c>
      <c r="AQ118" s="158" t="str">
        <f>IF('PA-Non'!V118&lt;&gt;"",'PA-Non'!V118,IFERROR("Mempunyai keterampilan yang "&amp;IF(AM118=AN118,PROPER(AN118)&amp;" dalam kompetensi "&amp;VLOOKUP(AO118,$AA$532:$AC$539,3)&amp;", demikian juga dalam kompetensi "&amp;VLOOKUP(AP118,$AA$532:$AC$539,3),PROPER(AM118)&amp;" dalam kompetensi "&amp;VLOOKUP(AO118,$AA$532:$AC$539,3)&amp;" dan "&amp;AN118&amp;" pada kompetensi "&amp;VLOOKUP(AP118,$AA$532:$AC$539,3)),""))</f>
        <v/>
      </c>
      <c r="AR118" s="188"/>
    </row>
    <row r="119" spans="2:44" ht="27.9" customHeight="1" thickBot="1" x14ac:dyDescent="0.35">
      <c r="B119" s="226" t="s">
        <v>30</v>
      </c>
      <c r="C119" s="149">
        <f t="shared" si="70"/>
        <v>30</v>
      </c>
      <c r="D119" s="150" t="str">
        <f>IF(Data!F114="","",Data!F114)</f>
        <v>03610</v>
      </c>
      <c r="E119" s="151" t="str">
        <f>IF(Data!H114="","",Data!H114)</f>
        <v>Raffael Bintang Rohman</v>
      </c>
      <c r="F119" s="152" t="str">
        <f>IF(Data!I114="","",Data!I114)</f>
        <v>Laki-laki</v>
      </c>
      <c r="G119" s="153"/>
      <c r="H119" s="154"/>
      <c r="I119" s="154"/>
      <c r="J119" s="154"/>
      <c r="K119" s="154"/>
      <c r="L119" s="154"/>
      <c r="M119" s="154"/>
      <c r="N119" s="155"/>
      <c r="O119" s="157" t="str">
        <f t="shared" si="71"/>
        <v/>
      </c>
      <c r="P119" s="154"/>
      <c r="Q119" s="156"/>
      <c r="R119" s="157" t="str">
        <f t="shared" si="72"/>
        <v/>
      </c>
      <c r="S119" s="159" t="str">
        <f>IF(R119="","",IF(R119&gt;Data2!$C$12,Data2!$D$11,IF(R119&gt;Data2!$C$13,Data2!$D$12,IF(R119&gt;Data2!$C$14,Data2!$D$13,Data2!$D$14))))</f>
        <v/>
      </c>
      <c r="T119" s="144">
        <f t="shared" si="73"/>
        <v>0</v>
      </c>
      <c r="U119" s="144">
        <f t="shared" si="74"/>
        <v>0</v>
      </c>
      <c r="V119" s="144" t="str">
        <f t="shared" si="30"/>
        <v>Mulai berkembang</v>
      </c>
      <c r="W119" s="144" t="str">
        <f t="shared" si="31"/>
        <v>Mulai berkembang</v>
      </c>
      <c r="X119" s="144" t="e">
        <f t="shared" si="75"/>
        <v>#N/A</v>
      </c>
      <c r="Y119" s="145" t="e">
        <f t="shared" si="76"/>
        <v>#N/A</v>
      </c>
      <c r="Z119" s="218" t="str">
        <f>IF('PA-Non'!O119&lt;&gt;"",'PA-Non'!O119,IFERROR("Mempunyai kemampuan yang " &amp;IF(V119=W119,PROPER(W119)&amp;" dalam kompetensi "&amp;VLOOKUP(X119,$G$532:$I$539,3)&amp;" dan kompetensi "&amp;VLOOKUP(Y119,$G$532:$I$539,3),PROPER(V119)&amp;" dalam kompetensi "&amp;VLOOKUP(X119,$G$532:$I$539,3)&amp;" dan memiliki kemampuan yang "&amp;W119&amp;" pada kompetensi "&amp;VLOOKUP(Y119,$G$532:$I$539,3)),""))</f>
        <v/>
      </c>
      <c r="AA119" s="153"/>
      <c r="AB119" s="154"/>
      <c r="AC119" s="154"/>
      <c r="AD119" s="154"/>
      <c r="AE119" s="154"/>
      <c r="AF119" s="154"/>
      <c r="AG119" s="154"/>
      <c r="AH119" s="155"/>
      <c r="AI119" s="220" t="str">
        <f t="shared" si="77"/>
        <v/>
      </c>
      <c r="AJ119" s="160" t="str">
        <f>IF(AI119="","",IF(AI119&gt;Data2!$C$12,Data2!$D$11,IF(AI119&gt;Data2!$C$13,Data2!$D$12,IF(AI119&gt;Data2!$C$14,Data2!$D$13,Data2!$D$14))))</f>
        <v/>
      </c>
      <c r="AK119" s="146">
        <f t="shared" si="78"/>
        <v>0</v>
      </c>
      <c r="AL119" s="146">
        <f t="shared" si="79"/>
        <v>0</v>
      </c>
      <c r="AM119" s="147" t="str">
        <f t="shared" si="32"/>
        <v>Mulai meningkat</v>
      </c>
      <c r="AN119" s="147" t="str">
        <f t="shared" si="33"/>
        <v>Mulai meningkat</v>
      </c>
      <c r="AO119" s="146" t="e">
        <f t="shared" si="80"/>
        <v>#N/A</v>
      </c>
      <c r="AP119" s="148" t="e">
        <f t="shared" si="81"/>
        <v>#N/A</v>
      </c>
      <c r="AQ119" s="158" t="str">
        <f>IF('PA-Non'!V119&lt;&gt;"",'PA-Non'!V119,IFERROR("Mempunyai keterampilan yang "&amp;IF(AM119=AN119,PROPER(AN119)&amp;" dalam kompetensi "&amp;VLOOKUP(AO119,$AA$532:$AC$539,3)&amp;", demikian juga dalam kompetensi "&amp;VLOOKUP(AP119,$AA$532:$AC$539,3),PROPER(AM119)&amp;" dalam kompetensi "&amp;VLOOKUP(AO119,$AA$532:$AC$539,3)&amp;" dan "&amp;AN119&amp;" pada kompetensi "&amp;VLOOKUP(AP119,$AA$532:$AC$539,3)),""))</f>
        <v/>
      </c>
      <c r="AR119" s="188"/>
    </row>
    <row r="120" spans="2:44" ht="27.9" customHeight="1" thickBot="1" x14ac:dyDescent="0.35">
      <c r="B120" s="226" t="s">
        <v>30</v>
      </c>
      <c r="C120" s="149">
        <f t="shared" si="70"/>
        <v>31</v>
      </c>
      <c r="D120" s="150" t="str">
        <f>IF(Data!F115="","",Data!F115)</f>
        <v>03612</v>
      </c>
      <c r="E120" s="151" t="str">
        <f>IF(Data!H115="","",Data!H115)</f>
        <v>Raihan Khoirul Jamal</v>
      </c>
      <c r="F120" s="152" t="str">
        <f>IF(Data!I115="","",Data!I115)</f>
        <v>Laki-laki</v>
      </c>
      <c r="G120" s="153"/>
      <c r="H120" s="154"/>
      <c r="I120" s="154"/>
      <c r="J120" s="154"/>
      <c r="K120" s="154"/>
      <c r="L120" s="154"/>
      <c r="M120" s="154"/>
      <c r="N120" s="155"/>
      <c r="O120" s="157" t="str">
        <f t="shared" si="71"/>
        <v/>
      </c>
      <c r="P120" s="154"/>
      <c r="Q120" s="156"/>
      <c r="R120" s="157" t="str">
        <f t="shared" si="72"/>
        <v/>
      </c>
      <c r="S120" s="159" t="str">
        <f>IF(R120="","",IF(R120&gt;Data2!$C$12,Data2!$D$11,IF(R120&gt;Data2!$C$13,Data2!$D$12,IF(R120&gt;Data2!$C$14,Data2!$D$13,Data2!$D$14))))</f>
        <v/>
      </c>
      <c r="T120" s="144">
        <f t="shared" si="73"/>
        <v>0</v>
      </c>
      <c r="U120" s="144">
        <f t="shared" si="74"/>
        <v>0</v>
      </c>
      <c r="V120" s="144" t="str">
        <f t="shared" si="30"/>
        <v>Mulai berkembang</v>
      </c>
      <c r="W120" s="144" t="str">
        <f t="shared" si="31"/>
        <v>Mulai berkembang</v>
      </c>
      <c r="X120" s="144" t="e">
        <f t="shared" si="75"/>
        <v>#N/A</v>
      </c>
      <c r="Y120" s="145" t="e">
        <f t="shared" si="76"/>
        <v>#N/A</v>
      </c>
      <c r="Z120" s="218" t="str">
        <f>IF('PA-Non'!O120&lt;&gt;"",'PA-Non'!O120,IFERROR("Mempunyai kemampuan yang " &amp;IF(V120=W120,PROPER(W120)&amp;" dalam kompetensi "&amp;VLOOKUP(X120,$G$532:$I$539,3)&amp;" dan kompetensi "&amp;VLOOKUP(Y120,$G$532:$I$539,3),PROPER(V120)&amp;" dalam kompetensi "&amp;VLOOKUP(X120,$G$532:$I$539,3)&amp;" dan memiliki kemampuan yang "&amp;W120&amp;" pada kompetensi "&amp;VLOOKUP(Y120,$G$532:$I$539,3)),""))</f>
        <v/>
      </c>
      <c r="AA120" s="153"/>
      <c r="AB120" s="154"/>
      <c r="AC120" s="154"/>
      <c r="AD120" s="154"/>
      <c r="AE120" s="154"/>
      <c r="AF120" s="154"/>
      <c r="AG120" s="154"/>
      <c r="AH120" s="155"/>
      <c r="AI120" s="220" t="str">
        <f t="shared" si="77"/>
        <v/>
      </c>
      <c r="AJ120" s="160" t="str">
        <f>IF(AI120="","",IF(AI120&gt;Data2!$C$12,Data2!$D$11,IF(AI120&gt;Data2!$C$13,Data2!$D$12,IF(AI120&gt;Data2!$C$14,Data2!$D$13,Data2!$D$14))))</f>
        <v/>
      </c>
      <c r="AK120" s="146">
        <f t="shared" si="78"/>
        <v>0</v>
      </c>
      <c r="AL120" s="146">
        <f t="shared" si="79"/>
        <v>0</v>
      </c>
      <c r="AM120" s="147" t="str">
        <f t="shared" si="32"/>
        <v>Mulai meningkat</v>
      </c>
      <c r="AN120" s="147" t="str">
        <f t="shared" si="33"/>
        <v>Mulai meningkat</v>
      </c>
      <c r="AO120" s="146" t="e">
        <f t="shared" si="80"/>
        <v>#N/A</v>
      </c>
      <c r="AP120" s="148" t="e">
        <f t="shared" si="81"/>
        <v>#N/A</v>
      </c>
      <c r="AQ120" s="158" t="str">
        <f>IF('PA-Non'!V120&lt;&gt;"",'PA-Non'!V120,IFERROR("Mempunyai keterampilan yang "&amp;IF(AM120=AN120,PROPER(AN120)&amp;" dalam kompetensi "&amp;VLOOKUP(AO120,$AA$532:$AC$539,3)&amp;", demikian juga dalam kompetensi "&amp;VLOOKUP(AP120,$AA$532:$AC$539,3),PROPER(AM120)&amp;" dalam kompetensi "&amp;VLOOKUP(AO120,$AA$532:$AC$539,3)&amp;" dan "&amp;AN120&amp;" pada kompetensi "&amp;VLOOKUP(AP120,$AA$532:$AC$539,3)),""))</f>
        <v/>
      </c>
      <c r="AR120" s="188"/>
    </row>
    <row r="121" spans="2:44" ht="27.9" customHeight="1" thickBot="1" x14ac:dyDescent="0.35">
      <c r="B121" s="226" t="s">
        <v>30</v>
      </c>
      <c r="C121" s="149">
        <f t="shared" ref="C121:C129" si="82">IF(E121="","",C120+1)</f>
        <v>32</v>
      </c>
      <c r="D121" s="150" t="str">
        <f>IF(Data!F116="","",Data!F116)</f>
        <v>03619</v>
      </c>
      <c r="E121" s="151" t="str">
        <f>IF(Data!H116="","",Data!H116)</f>
        <v>Tomy Ardiansyah</v>
      </c>
      <c r="F121" s="152" t="str">
        <f>IF(Data!I116="","",Data!I116)</f>
        <v>Laki-laki</v>
      </c>
      <c r="G121" s="153"/>
      <c r="H121" s="154"/>
      <c r="I121" s="154"/>
      <c r="J121" s="154"/>
      <c r="K121" s="154"/>
      <c r="L121" s="154"/>
      <c r="M121" s="154"/>
      <c r="N121" s="155"/>
      <c r="O121" s="157" t="str">
        <f t="shared" ref="O121:O129" si="83">IF(COUNT(G121:N121)&lt;3,"",ROUND(SUM(G121:N121)/$O$6,0))</f>
        <v/>
      </c>
      <c r="P121" s="154"/>
      <c r="Q121" s="156"/>
      <c r="R121" s="157" t="str">
        <f t="shared" ref="R121:R129" si="84">IFERROR(IF(OR(P121="",Q121=""),"",ROUND(((O121*$O$8)+(P121*$P$8)+(Q121*$Q$8))/$Q$6,0)),"")</f>
        <v/>
      </c>
      <c r="S121" s="159" t="str">
        <f>IF(R121="","",IF(R121&gt;Data2!$C$12,Data2!$D$11,IF(R121&gt;Data2!$C$13,Data2!$D$12,IF(R121&gt;Data2!$C$14,Data2!$D$13,Data2!$D$14))))</f>
        <v/>
      </c>
      <c r="T121" s="144">
        <f t="shared" ref="T121:T129" si="85">MAX(G121:N121)</f>
        <v>0</v>
      </c>
      <c r="U121" s="144">
        <f t="shared" ref="U121:U129" si="86">MIN(G121:N121)</f>
        <v>0</v>
      </c>
      <c r="V121" s="144" t="str">
        <f t="shared" si="30"/>
        <v>Mulai berkembang</v>
      </c>
      <c r="W121" s="144" t="str">
        <f t="shared" si="31"/>
        <v>Mulai berkembang</v>
      </c>
      <c r="X121" s="144" t="e">
        <f t="shared" ref="X121:X129" si="87">MATCH(T121,G121:N121,0)</f>
        <v>#N/A</v>
      </c>
      <c r="Y121" s="145" t="e">
        <f t="shared" ref="Y121:Y129" si="88">MATCH(U121,G121:N121,0)</f>
        <v>#N/A</v>
      </c>
      <c r="Z121" s="218" t="str">
        <f>IF('PA-Non'!O121&lt;&gt;"",'PA-Non'!O121,IFERROR("Mempunyai kemampuan yang " &amp;IF(V121=W121,PROPER(W121)&amp;" dalam kompetensi "&amp;VLOOKUP(X121,$G$532:$I$539,3)&amp;" dan kompetensi "&amp;VLOOKUP(Y121,$G$532:$I$539,3),PROPER(V121)&amp;" dalam kompetensi "&amp;VLOOKUP(X121,$G$532:$I$539,3)&amp;" dan memiliki kemampuan yang "&amp;W121&amp;" pada kompetensi "&amp;VLOOKUP(Y121,$G$532:$I$539,3)),""))</f>
        <v/>
      </c>
      <c r="AA121" s="153"/>
      <c r="AB121" s="154"/>
      <c r="AC121" s="154"/>
      <c r="AD121" s="154"/>
      <c r="AE121" s="154"/>
      <c r="AF121" s="154"/>
      <c r="AG121" s="154"/>
      <c r="AH121" s="155"/>
      <c r="AI121" s="220" t="str">
        <f t="shared" ref="AI121:AI129" si="89">IF(COUNT(AA121:AH121)&lt;3,"",ROUND(((AA121*$AA$8)+(AB121*$AB$8)+(AC121*$AC$8)+(AD121*$AD$8)+(AE121*$AE$8)+(AF121*$AF$8)+(AG121*$AG$8)+(AH121*$AH$8))/$AI$6,0))</f>
        <v/>
      </c>
      <c r="AJ121" s="160" t="str">
        <f>IF(AI121="","",IF(AI121&gt;Data2!$C$12,Data2!$D$11,IF(AI121&gt;Data2!$C$13,Data2!$D$12,IF(AI121&gt;Data2!$C$14,Data2!$D$13,Data2!$D$14))))</f>
        <v/>
      </c>
      <c r="AK121" s="146">
        <f t="shared" ref="AK121:AK129" si="90">MAX(AA121:AH121)</f>
        <v>0</v>
      </c>
      <c r="AL121" s="146">
        <f t="shared" ref="AL121:AL129" si="91">MIN(AA121:AH121)</f>
        <v>0</v>
      </c>
      <c r="AM121" s="147" t="str">
        <f t="shared" si="32"/>
        <v>Mulai meningkat</v>
      </c>
      <c r="AN121" s="147" t="str">
        <f t="shared" si="33"/>
        <v>Mulai meningkat</v>
      </c>
      <c r="AO121" s="146" t="e">
        <f t="shared" ref="AO121:AO129" si="92">MATCH(AK121,AA121:AH121,0)</f>
        <v>#N/A</v>
      </c>
      <c r="AP121" s="148" t="e">
        <f t="shared" ref="AP121:AP129" si="93">MATCH(AL121,AA121:AH121,0)</f>
        <v>#N/A</v>
      </c>
      <c r="AQ121" s="158" t="str">
        <f>IF('PA-Non'!V121&lt;&gt;"",'PA-Non'!V121,IFERROR("Mempunyai keterampilan yang "&amp;IF(AM121=AN121,PROPER(AN121)&amp;" dalam kompetensi "&amp;VLOOKUP(AO121,$AA$532:$AC$539,3)&amp;", demikian juga dalam kompetensi "&amp;VLOOKUP(AP121,$AA$532:$AC$539,3),PROPER(AM121)&amp;" dalam kompetensi "&amp;VLOOKUP(AO121,$AA$532:$AC$539,3)&amp;" dan "&amp;AN121&amp;" pada kompetensi "&amp;VLOOKUP(AP121,$AA$532:$AC$539,3)),""))</f>
        <v/>
      </c>
      <c r="AR121" s="188"/>
    </row>
    <row r="122" spans="2:44" ht="27.9" customHeight="1" thickBot="1" x14ac:dyDescent="0.35">
      <c r="B122" s="226" t="s">
        <v>30</v>
      </c>
      <c r="C122" s="149">
        <f t="shared" si="82"/>
        <v>33</v>
      </c>
      <c r="D122" s="150" t="str">
        <f>IF(Data!F117="","",Data!F117)</f>
        <v>03754</v>
      </c>
      <c r="E122" s="151" t="str">
        <f>IF(Data!H117="","",Data!H117)</f>
        <v>Muhammad Kavin</v>
      </c>
      <c r="F122" s="152" t="str">
        <f>IF(Data!I117="","",Data!I117)</f>
        <v>Laki-laki</v>
      </c>
      <c r="G122" s="153"/>
      <c r="H122" s="154"/>
      <c r="I122" s="154"/>
      <c r="J122" s="154"/>
      <c r="K122" s="154"/>
      <c r="L122" s="154"/>
      <c r="M122" s="154"/>
      <c r="N122" s="155"/>
      <c r="O122" s="157" t="str">
        <f t="shared" si="83"/>
        <v/>
      </c>
      <c r="P122" s="154"/>
      <c r="Q122" s="156"/>
      <c r="R122" s="157" t="str">
        <f t="shared" si="84"/>
        <v/>
      </c>
      <c r="S122" s="159" t="str">
        <f>IF(R122="","",IF(R122&gt;Data2!$C$12,Data2!$D$11,IF(R122&gt;Data2!$C$13,Data2!$D$12,IF(R122&gt;Data2!$C$14,Data2!$D$13,Data2!$D$14))))</f>
        <v/>
      </c>
      <c r="T122" s="144">
        <f t="shared" si="85"/>
        <v>0</v>
      </c>
      <c r="U122" s="144">
        <f t="shared" si="86"/>
        <v>0</v>
      </c>
      <c r="V122" s="144" t="str">
        <f t="shared" si="30"/>
        <v>Mulai berkembang</v>
      </c>
      <c r="W122" s="144" t="str">
        <f t="shared" si="31"/>
        <v>Mulai berkembang</v>
      </c>
      <c r="X122" s="144" t="e">
        <f t="shared" si="87"/>
        <v>#N/A</v>
      </c>
      <c r="Y122" s="145" t="e">
        <f t="shared" si="88"/>
        <v>#N/A</v>
      </c>
      <c r="Z122" s="218" t="str">
        <f>IF('PA-Non'!O122&lt;&gt;"",'PA-Non'!O122,IFERROR("Mempunyai kemampuan yang " &amp;IF(V122=W122,PROPER(W122)&amp;" dalam kompetensi "&amp;VLOOKUP(X122,$G$532:$I$539,3)&amp;" dan kompetensi "&amp;VLOOKUP(Y122,$G$532:$I$539,3),PROPER(V122)&amp;" dalam kompetensi "&amp;VLOOKUP(X122,$G$532:$I$539,3)&amp;" dan memiliki kemampuan yang "&amp;W122&amp;" pada kompetensi "&amp;VLOOKUP(Y122,$G$532:$I$539,3)),""))</f>
        <v/>
      </c>
      <c r="AA122" s="153"/>
      <c r="AB122" s="154"/>
      <c r="AC122" s="154"/>
      <c r="AD122" s="154"/>
      <c r="AE122" s="154"/>
      <c r="AF122" s="154"/>
      <c r="AG122" s="154"/>
      <c r="AH122" s="155"/>
      <c r="AI122" s="220" t="str">
        <f t="shared" si="89"/>
        <v/>
      </c>
      <c r="AJ122" s="160" t="str">
        <f>IF(AI122="","",IF(AI122&gt;Data2!$C$12,Data2!$D$11,IF(AI122&gt;Data2!$C$13,Data2!$D$12,IF(AI122&gt;Data2!$C$14,Data2!$D$13,Data2!$D$14))))</f>
        <v/>
      </c>
      <c r="AK122" s="146">
        <f t="shared" si="90"/>
        <v>0</v>
      </c>
      <c r="AL122" s="146">
        <f t="shared" si="91"/>
        <v>0</v>
      </c>
      <c r="AM122" s="147" t="str">
        <f t="shared" si="32"/>
        <v>Mulai meningkat</v>
      </c>
      <c r="AN122" s="147" t="str">
        <f t="shared" si="33"/>
        <v>Mulai meningkat</v>
      </c>
      <c r="AO122" s="146" t="e">
        <f t="shared" si="92"/>
        <v>#N/A</v>
      </c>
      <c r="AP122" s="148" t="e">
        <f t="shared" si="93"/>
        <v>#N/A</v>
      </c>
      <c r="AQ122" s="158" t="str">
        <f>IF('PA-Non'!V122&lt;&gt;"",'PA-Non'!V122,IFERROR("Mempunyai keterampilan yang "&amp;IF(AM122=AN122,PROPER(AN122)&amp;" dalam kompetensi "&amp;VLOOKUP(AO122,$AA$532:$AC$539,3)&amp;", demikian juga dalam kompetensi "&amp;VLOOKUP(AP122,$AA$532:$AC$539,3),PROPER(AM122)&amp;" dalam kompetensi "&amp;VLOOKUP(AO122,$AA$532:$AC$539,3)&amp;" dan "&amp;AN122&amp;" pada kompetensi "&amp;VLOOKUP(AP122,$AA$532:$AC$539,3)),""))</f>
        <v/>
      </c>
      <c r="AR122" s="188"/>
    </row>
    <row r="123" spans="2:44" ht="27.9" customHeight="1" thickBot="1" x14ac:dyDescent="0.35">
      <c r="B123" s="226" t="s">
        <v>30</v>
      </c>
      <c r="C123" s="149" t="str">
        <f t="shared" si="82"/>
        <v/>
      </c>
      <c r="D123" s="150" t="str">
        <f>IF(Data!F118="","",Data!F118)</f>
        <v/>
      </c>
      <c r="E123" s="151" t="str">
        <f>IF(Data!H118="","",Data!H118)</f>
        <v/>
      </c>
      <c r="F123" s="152" t="str">
        <f>IF(Data!I118="","",Data!I118)</f>
        <v/>
      </c>
      <c r="G123" s="153"/>
      <c r="H123" s="154"/>
      <c r="I123" s="154"/>
      <c r="J123" s="154"/>
      <c r="K123" s="154"/>
      <c r="L123" s="154"/>
      <c r="M123" s="154"/>
      <c r="N123" s="155"/>
      <c r="O123" s="157" t="str">
        <f t="shared" si="83"/>
        <v/>
      </c>
      <c r="P123" s="154"/>
      <c r="Q123" s="156"/>
      <c r="R123" s="157" t="str">
        <f t="shared" si="84"/>
        <v/>
      </c>
      <c r="S123" s="159" t="str">
        <f>IF(R123="","",IF(R123&gt;Data2!$C$12,Data2!$D$11,IF(R123&gt;Data2!$C$13,Data2!$D$12,IF(R123&gt;Data2!$C$14,Data2!$D$13,Data2!$D$14))))</f>
        <v/>
      </c>
      <c r="T123" s="144">
        <f t="shared" si="85"/>
        <v>0</v>
      </c>
      <c r="U123" s="144">
        <f t="shared" si="86"/>
        <v>0</v>
      </c>
      <c r="V123" s="144" t="str">
        <f t="shared" si="30"/>
        <v>Mulai berkembang</v>
      </c>
      <c r="W123" s="144" t="str">
        <f t="shared" si="31"/>
        <v>Mulai berkembang</v>
      </c>
      <c r="X123" s="144" t="e">
        <f t="shared" si="87"/>
        <v>#N/A</v>
      </c>
      <c r="Y123" s="145" t="e">
        <f t="shared" si="88"/>
        <v>#N/A</v>
      </c>
      <c r="Z123" s="218" t="str">
        <f>IF('PA-Non'!O123&lt;&gt;"",'PA-Non'!O123,IFERROR("Mempunyai kemampuan yang " &amp;IF(V123=W123,PROPER(W123)&amp;" dalam kompetensi "&amp;VLOOKUP(X123,$G$532:$I$539,3)&amp;" dan kompetensi "&amp;VLOOKUP(Y123,$G$532:$I$539,3),PROPER(V123)&amp;" dalam kompetensi "&amp;VLOOKUP(X123,$G$532:$I$539,3)&amp;" dan memiliki kemampuan yang "&amp;W123&amp;" pada kompetensi "&amp;VLOOKUP(Y123,$G$532:$I$539,3)),""))</f>
        <v/>
      </c>
      <c r="AA123" s="153"/>
      <c r="AB123" s="154"/>
      <c r="AC123" s="154"/>
      <c r="AD123" s="154"/>
      <c r="AE123" s="154"/>
      <c r="AF123" s="154"/>
      <c r="AG123" s="154"/>
      <c r="AH123" s="155"/>
      <c r="AI123" s="220" t="str">
        <f t="shared" si="89"/>
        <v/>
      </c>
      <c r="AJ123" s="160" t="str">
        <f>IF(AI123="","",IF(AI123&gt;Data2!$C$12,Data2!$D$11,IF(AI123&gt;Data2!$C$13,Data2!$D$12,IF(AI123&gt;Data2!$C$14,Data2!$D$13,Data2!$D$14))))</f>
        <v/>
      </c>
      <c r="AK123" s="146">
        <f t="shared" si="90"/>
        <v>0</v>
      </c>
      <c r="AL123" s="146">
        <f t="shared" si="91"/>
        <v>0</v>
      </c>
      <c r="AM123" s="147" t="str">
        <f t="shared" si="32"/>
        <v>Mulai meningkat</v>
      </c>
      <c r="AN123" s="147" t="str">
        <f t="shared" si="33"/>
        <v>Mulai meningkat</v>
      </c>
      <c r="AO123" s="146" t="e">
        <f t="shared" si="92"/>
        <v>#N/A</v>
      </c>
      <c r="AP123" s="148" t="e">
        <f t="shared" si="93"/>
        <v>#N/A</v>
      </c>
      <c r="AQ123" s="158" t="str">
        <f>IF('PA-Non'!V123&lt;&gt;"",'PA-Non'!V123,IFERROR("Mempunyai keterampilan yang "&amp;IF(AM123=AN123,PROPER(AN123)&amp;" dalam kompetensi "&amp;VLOOKUP(AO123,$AA$532:$AC$539,3)&amp;", demikian juga dalam kompetensi "&amp;VLOOKUP(AP123,$AA$532:$AC$539,3),PROPER(AM123)&amp;" dalam kompetensi "&amp;VLOOKUP(AO123,$AA$532:$AC$539,3)&amp;" dan "&amp;AN123&amp;" pada kompetensi "&amp;VLOOKUP(AP123,$AA$532:$AC$539,3)),""))</f>
        <v/>
      </c>
      <c r="AR123" s="188"/>
    </row>
    <row r="124" spans="2:44" ht="27.9" customHeight="1" thickBot="1" x14ac:dyDescent="0.35">
      <c r="B124" s="226" t="s">
        <v>30</v>
      </c>
      <c r="C124" s="149" t="str">
        <f t="shared" si="82"/>
        <v/>
      </c>
      <c r="D124" s="150" t="str">
        <f>IF(Data!F119="","",Data!F119)</f>
        <v/>
      </c>
      <c r="E124" s="151" t="str">
        <f>IF(Data!H119="","",Data!H119)</f>
        <v/>
      </c>
      <c r="F124" s="152" t="str">
        <f>IF(Data!I119="","",Data!I119)</f>
        <v/>
      </c>
      <c r="G124" s="153"/>
      <c r="H124" s="154"/>
      <c r="I124" s="154"/>
      <c r="J124" s="154"/>
      <c r="K124" s="154"/>
      <c r="L124" s="154"/>
      <c r="M124" s="154"/>
      <c r="N124" s="155"/>
      <c r="O124" s="157" t="str">
        <f t="shared" si="83"/>
        <v/>
      </c>
      <c r="P124" s="154"/>
      <c r="Q124" s="156"/>
      <c r="R124" s="157" t="str">
        <f t="shared" si="84"/>
        <v/>
      </c>
      <c r="S124" s="159" t="str">
        <f>IF(R124="","",IF(R124&gt;Data2!$C$12,Data2!$D$11,IF(R124&gt;Data2!$C$13,Data2!$D$12,IF(R124&gt;Data2!$C$14,Data2!$D$13,Data2!$D$14))))</f>
        <v/>
      </c>
      <c r="T124" s="144">
        <f t="shared" si="85"/>
        <v>0</v>
      </c>
      <c r="U124" s="144">
        <f t="shared" si="86"/>
        <v>0</v>
      </c>
      <c r="V124" s="144" t="str">
        <f t="shared" si="30"/>
        <v>Mulai berkembang</v>
      </c>
      <c r="W124" s="144" t="str">
        <f t="shared" si="31"/>
        <v>Mulai berkembang</v>
      </c>
      <c r="X124" s="144" t="e">
        <f t="shared" si="87"/>
        <v>#N/A</v>
      </c>
      <c r="Y124" s="145" t="e">
        <f t="shared" si="88"/>
        <v>#N/A</v>
      </c>
      <c r="Z124" s="218" t="str">
        <f>IF('PA-Non'!O124&lt;&gt;"",'PA-Non'!O124,IFERROR("Mempunyai kemampuan yang " &amp;IF(V124=W124,PROPER(W124)&amp;" dalam kompetensi "&amp;VLOOKUP(X124,$G$532:$I$539,3)&amp;" dan kompetensi "&amp;VLOOKUP(Y124,$G$532:$I$539,3),PROPER(V124)&amp;" dalam kompetensi "&amp;VLOOKUP(X124,$G$532:$I$539,3)&amp;" dan memiliki kemampuan yang "&amp;W124&amp;" pada kompetensi "&amp;VLOOKUP(Y124,$G$532:$I$539,3)),""))</f>
        <v/>
      </c>
      <c r="AA124" s="153"/>
      <c r="AB124" s="154"/>
      <c r="AC124" s="154"/>
      <c r="AD124" s="154"/>
      <c r="AE124" s="154"/>
      <c r="AF124" s="154"/>
      <c r="AG124" s="154"/>
      <c r="AH124" s="155"/>
      <c r="AI124" s="220" t="str">
        <f t="shared" si="89"/>
        <v/>
      </c>
      <c r="AJ124" s="160" t="str">
        <f>IF(AI124="","",IF(AI124&gt;Data2!$C$12,Data2!$D$11,IF(AI124&gt;Data2!$C$13,Data2!$D$12,IF(AI124&gt;Data2!$C$14,Data2!$D$13,Data2!$D$14))))</f>
        <v/>
      </c>
      <c r="AK124" s="146">
        <f t="shared" si="90"/>
        <v>0</v>
      </c>
      <c r="AL124" s="146">
        <f t="shared" si="91"/>
        <v>0</v>
      </c>
      <c r="AM124" s="147" t="str">
        <f t="shared" si="32"/>
        <v>Mulai meningkat</v>
      </c>
      <c r="AN124" s="147" t="str">
        <f t="shared" si="33"/>
        <v>Mulai meningkat</v>
      </c>
      <c r="AO124" s="146" t="e">
        <f t="shared" si="92"/>
        <v>#N/A</v>
      </c>
      <c r="AP124" s="148" t="e">
        <f t="shared" si="93"/>
        <v>#N/A</v>
      </c>
      <c r="AQ124" s="158" t="str">
        <f>IF('PA-Non'!V124&lt;&gt;"",'PA-Non'!V124,IFERROR("Mempunyai keterampilan yang "&amp;IF(AM124=AN124,PROPER(AN124)&amp;" dalam kompetensi "&amp;VLOOKUP(AO124,$AA$532:$AC$539,3)&amp;", demikian juga dalam kompetensi "&amp;VLOOKUP(AP124,$AA$532:$AC$539,3),PROPER(AM124)&amp;" dalam kompetensi "&amp;VLOOKUP(AO124,$AA$532:$AC$539,3)&amp;" dan "&amp;AN124&amp;" pada kompetensi "&amp;VLOOKUP(AP124,$AA$532:$AC$539,3)),""))</f>
        <v/>
      </c>
      <c r="AR124" s="188"/>
    </row>
    <row r="125" spans="2:44" ht="27.9" customHeight="1" thickBot="1" x14ac:dyDescent="0.35">
      <c r="B125" s="226" t="s">
        <v>30</v>
      </c>
      <c r="C125" s="149" t="str">
        <f t="shared" si="82"/>
        <v/>
      </c>
      <c r="D125" s="150" t="str">
        <f>IF(Data!F120="","",Data!F120)</f>
        <v/>
      </c>
      <c r="E125" s="151" t="str">
        <f>IF(Data!H120="","",Data!H120)</f>
        <v/>
      </c>
      <c r="F125" s="152" t="str">
        <f>IF(Data!I120="","",Data!I120)</f>
        <v/>
      </c>
      <c r="G125" s="153"/>
      <c r="H125" s="154"/>
      <c r="I125" s="154"/>
      <c r="J125" s="154"/>
      <c r="K125" s="154"/>
      <c r="L125" s="154"/>
      <c r="M125" s="154"/>
      <c r="N125" s="155"/>
      <c r="O125" s="157" t="str">
        <f t="shared" si="83"/>
        <v/>
      </c>
      <c r="P125" s="154"/>
      <c r="Q125" s="156"/>
      <c r="R125" s="157" t="str">
        <f t="shared" si="84"/>
        <v/>
      </c>
      <c r="S125" s="159" t="str">
        <f>IF(R125="","",IF(R125&gt;Data2!$C$12,Data2!$D$11,IF(R125&gt;Data2!$C$13,Data2!$D$12,IF(R125&gt;Data2!$C$14,Data2!$D$13,Data2!$D$14))))</f>
        <v/>
      </c>
      <c r="T125" s="144">
        <f t="shared" si="85"/>
        <v>0</v>
      </c>
      <c r="U125" s="144">
        <f t="shared" si="86"/>
        <v>0</v>
      </c>
      <c r="V125" s="144" t="str">
        <f t="shared" si="30"/>
        <v>Mulai berkembang</v>
      </c>
      <c r="W125" s="144" t="str">
        <f t="shared" si="31"/>
        <v>Mulai berkembang</v>
      </c>
      <c r="X125" s="144" t="e">
        <f t="shared" si="87"/>
        <v>#N/A</v>
      </c>
      <c r="Y125" s="145" t="e">
        <f t="shared" si="88"/>
        <v>#N/A</v>
      </c>
      <c r="Z125" s="218" t="str">
        <f>IF('PA-Non'!O125&lt;&gt;"",'PA-Non'!O125,IFERROR("Mempunyai kemampuan yang " &amp;IF(V125=W125,PROPER(W125)&amp;" dalam kompetensi "&amp;VLOOKUP(X125,$G$532:$I$539,3)&amp;" dan kompetensi "&amp;VLOOKUP(Y125,$G$532:$I$539,3),PROPER(V125)&amp;" dalam kompetensi "&amp;VLOOKUP(X125,$G$532:$I$539,3)&amp;" dan memiliki kemampuan yang "&amp;W125&amp;" pada kompetensi "&amp;VLOOKUP(Y125,$G$532:$I$539,3)),""))</f>
        <v/>
      </c>
      <c r="AA125" s="153"/>
      <c r="AB125" s="154"/>
      <c r="AC125" s="154"/>
      <c r="AD125" s="154"/>
      <c r="AE125" s="154"/>
      <c r="AF125" s="154"/>
      <c r="AG125" s="154"/>
      <c r="AH125" s="155"/>
      <c r="AI125" s="220" t="str">
        <f t="shared" si="89"/>
        <v/>
      </c>
      <c r="AJ125" s="160" t="str">
        <f>IF(AI125="","",IF(AI125&gt;Data2!$C$12,Data2!$D$11,IF(AI125&gt;Data2!$C$13,Data2!$D$12,IF(AI125&gt;Data2!$C$14,Data2!$D$13,Data2!$D$14))))</f>
        <v/>
      </c>
      <c r="AK125" s="146">
        <f t="shared" si="90"/>
        <v>0</v>
      </c>
      <c r="AL125" s="146">
        <f t="shared" si="91"/>
        <v>0</v>
      </c>
      <c r="AM125" s="147" t="str">
        <f t="shared" si="32"/>
        <v>Mulai meningkat</v>
      </c>
      <c r="AN125" s="147" t="str">
        <f t="shared" si="33"/>
        <v>Mulai meningkat</v>
      </c>
      <c r="AO125" s="146" t="e">
        <f t="shared" si="92"/>
        <v>#N/A</v>
      </c>
      <c r="AP125" s="148" t="e">
        <f t="shared" si="93"/>
        <v>#N/A</v>
      </c>
      <c r="AQ125" s="158" t="str">
        <f>IF('PA-Non'!V125&lt;&gt;"",'PA-Non'!V125,IFERROR("Mempunyai keterampilan yang "&amp;IF(AM125=AN125,PROPER(AN125)&amp;" dalam kompetensi "&amp;VLOOKUP(AO125,$AA$532:$AC$539,3)&amp;", demikian juga dalam kompetensi "&amp;VLOOKUP(AP125,$AA$532:$AC$539,3),PROPER(AM125)&amp;" dalam kompetensi "&amp;VLOOKUP(AO125,$AA$532:$AC$539,3)&amp;" dan "&amp;AN125&amp;" pada kompetensi "&amp;VLOOKUP(AP125,$AA$532:$AC$539,3)),""))</f>
        <v/>
      </c>
      <c r="AR125" s="188"/>
    </row>
    <row r="126" spans="2:44" ht="27.9" customHeight="1" thickBot="1" x14ac:dyDescent="0.35">
      <c r="B126" s="226" t="s">
        <v>30</v>
      </c>
      <c r="C126" s="149" t="str">
        <f t="shared" si="82"/>
        <v/>
      </c>
      <c r="D126" s="150" t="str">
        <f>IF(Data!F121="","",Data!F121)</f>
        <v/>
      </c>
      <c r="E126" s="151" t="str">
        <f>IF(Data!H121="","",Data!H121)</f>
        <v/>
      </c>
      <c r="F126" s="152" t="str">
        <f>IF(Data!I121="","",Data!I121)</f>
        <v/>
      </c>
      <c r="G126" s="153"/>
      <c r="H126" s="154"/>
      <c r="I126" s="154"/>
      <c r="J126" s="154"/>
      <c r="K126" s="154"/>
      <c r="L126" s="154"/>
      <c r="M126" s="154"/>
      <c r="N126" s="155"/>
      <c r="O126" s="157" t="str">
        <f t="shared" si="83"/>
        <v/>
      </c>
      <c r="P126" s="154"/>
      <c r="Q126" s="156"/>
      <c r="R126" s="157" t="str">
        <f t="shared" si="84"/>
        <v/>
      </c>
      <c r="S126" s="159" t="str">
        <f>IF(R126="","",IF(R126&gt;Data2!$C$12,Data2!$D$11,IF(R126&gt;Data2!$C$13,Data2!$D$12,IF(R126&gt;Data2!$C$14,Data2!$D$13,Data2!$D$14))))</f>
        <v/>
      </c>
      <c r="T126" s="144">
        <f t="shared" si="85"/>
        <v>0</v>
      </c>
      <c r="U126" s="144">
        <f t="shared" si="86"/>
        <v>0</v>
      </c>
      <c r="V126" s="144" t="str">
        <f t="shared" si="30"/>
        <v>Mulai berkembang</v>
      </c>
      <c r="W126" s="144" t="str">
        <f t="shared" si="31"/>
        <v>Mulai berkembang</v>
      </c>
      <c r="X126" s="144" t="e">
        <f t="shared" si="87"/>
        <v>#N/A</v>
      </c>
      <c r="Y126" s="145" t="e">
        <f t="shared" si="88"/>
        <v>#N/A</v>
      </c>
      <c r="Z126" s="218" t="str">
        <f>IF('PA-Non'!O126&lt;&gt;"",'PA-Non'!O126,IFERROR("Mempunyai kemampuan yang " &amp;IF(V126=W126,PROPER(W126)&amp;" dalam kompetensi "&amp;VLOOKUP(X126,$G$532:$I$539,3)&amp;" dan kompetensi "&amp;VLOOKUP(Y126,$G$532:$I$539,3),PROPER(V126)&amp;" dalam kompetensi "&amp;VLOOKUP(X126,$G$532:$I$539,3)&amp;" dan memiliki kemampuan yang "&amp;W126&amp;" pada kompetensi "&amp;VLOOKUP(Y126,$G$532:$I$539,3)),""))</f>
        <v/>
      </c>
      <c r="AA126" s="153"/>
      <c r="AB126" s="154"/>
      <c r="AC126" s="154"/>
      <c r="AD126" s="154"/>
      <c r="AE126" s="154"/>
      <c r="AF126" s="154"/>
      <c r="AG126" s="154"/>
      <c r="AH126" s="155"/>
      <c r="AI126" s="220" t="str">
        <f t="shared" si="89"/>
        <v/>
      </c>
      <c r="AJ126" s="160" t="str">
        <f>IF(AI126="","",IF(AI126&gt;Data2!$C$12,Data2!$D$11,IF(AI126&gt;Data2!$C$13,Data2!$D$12,IF(AI126&gt;Data2!$C$14,Data2!$D$13,Data2!$D$14))))</f>
        <v/>
      </c>
      <c r="AK126" s="146">
        <f t="shared" si="90"/>
        <v>0</v>
      </c>
      <c r="AL126" s="146">
        <f t="shared" si="91"/>
        <v>0</v>
      </c>
      <c r="AM126" s="147" t="str">
        <f t="shared" si="32"/>
        <v>Mulai meningkat</v>
      </c>
      <c r="AN126" s="147" t="str">
        <f t="shared" si="33"/>
        <v>Mulai meningkat</v>
      </c>
      <c r="AO126" s="146" t="e">
        <f t="shared" si="92"/>
        <v>#N/A</v>
      </c>
      <c r="AP126" s="148" t="e">
        <f t="shared" si="93"/>
        <v>#N/A</v>
      </c>
      <c r="AQ126" s="158" t="str">
        <f>IF('PA-Non'!V126&lt;&gt;"",'PA-Non'!V126,IFERROR("Mempunyai keterampilan yang "&amp;IF(AM126=AN126,PROPER(AN126)&amp;" dalam kompetensi "&amp;VLOOKUP(AO126,$AA$532:$AC$539,3)&amp;", demikian juga dalam kompetensi "&amp;VLOOKUP(AP126,$AA$532:$AC$539,3),PROPER(AM126)&amp;" dalam kompetensi "&amp;VLOOKUP(AO126,$AA$532:$AC$539,3)&amp;" dan "&amp;AN126&amp;" pada kompetensi "&amp;VLOOKUP(AP126,$AA$532:$AC$539,3)),""))</f>
        <v/>
      </c>
      <c r="AR126" s="188"/>
    </row>
    <row r="127" spans="2:44" ht="27.9" customHeight="1" thickBot="1" x14ac:dyDescent="0.35">
      <c r="B127" s="226" t="s">
        <v>30</v>
      </c>
      <c r="C127" s="149" t="str">
        <f t="shared" si="82"/>
        <v/>
      </c>
      <c r="D127" s="150" t="str">
        <f>IF(Data!F122="","",Data!F122)</f>
        <v/>
      </c>
      <c r="E127" s="151" t="str">
        <f>IF(Data!H122="","",Data!H122)</f>
        <v/>
      </c>
      <c r="F127" s="152" t="str">
        <f>IF(Data!I122="","",Data!I122)</f>
        <v/>
      </c>
      <c r="G127" s="153"/>
      <c r="H127" s="154"/>
      <c r="I127" s="154"/>
      <c r="J127" s="154"/>
      <c r="K127" s="154"/>
      <c r="L127" s="154"/>
      <c r="M127" s="154"/>
      <c r="N127" s="155"/>
      <c r="O127" s="157" t="str">
        <f t="shared" si="83"/>
        <v/>
      </c>
      <c r="P127" s="154"/>
      <c r="Q127" s="156"/>
      <c r="R127" s="157" t="str">
        <f t="shared" si="84"/>
        <v/>
      </c>
      <c r="S127" s="159" t="str">
        <f>IF(R127="","",IF(R127&gt;Data2!$C$12,Data2!$D$11,IF(R127&gt;Data2!$C$13,Data2!$D$12,IF(R127&gt;Data2!$C$14,Data2!$D$13,Data2!$D$14))))</f>
        <v/>
      </c>
      <c r="T127" s="144">
        <f t="shared" si="85"/>
        <v>0</v>
      </c>
      <c r="U127" s="144">
        <f t="shared" si="86"/>
        <v>0</v>
      </c>
      <c r="V127" s="144" t="str">
        <f t="shared" si="30"/>
        <v>Mulai berkembang</v>
      </c>
      <c r="W127" s="144" t="str">
        <f t="shared" si="31"/>
        <v>Mulai berkembang</v>
      </c>
      <c r="X127" s="144" t="e">
        <f t="shared" si="87"/>
        <v>#N/A</v>
      </c>
      <c r="Y127" s="145" t="e">
        <f t="shared" si="88"/>
        <v>#N/A</v>
      </c>
      <c r="Z127" s="218" t="str">
        <f>IF('PA-Non'!O127&lt;&gt;"",'PA-Non'!O127,IFERROR("Mempunyai kemampuan yang " &amp;IF(V127=W127,PROPER(W127)&amp;" dalam kompetensi "&amp;VLOOKUP(X127,$G$532:$I$539,3)&amp;" dan kompetensi "&amp;VLOOKUP(Y127,$G$532:$I$539,3),PROPER(V127)&amp;" dalam kompetensi "&amp;VLOOKUP(X127,$G$532:$I$539,3)&amp;" dan memiliki kemampuan yang "&amp;W127&amp;" pada kompetensi "&amp;VLOOKUP(Y127,$G$532:$I$539,3)),""))</f>
        <v/>
      </c>
      <c r="AA127" s="153"/>
      <c r="AB127" s="154"/>
      <c r="AC127" s="154"/>
      <c r="AD127" s="154"/>
      <c r="AE127" s="154"/>
      <c r="AF127" s="154"/>
      <c r="AG127" s="154"/>
      <c r="AH127" s="155"/>
      <c r="AI127" s="220" t="str">
        <f t="shared" si="89"/>
        <v/>
      </c>
      <c r="AJ127" s="160" t="str">
        <f>IF(AI127="","",IF(AI127&gt;Data2!$C$12,Data2!$D$11,IF(AI127&gt;Data2!$C$13,Data2!$D$12,IF(AI127&gt;Data2!$C$14,Data2!$D$13,Data2!$D$14))))</f>
        <v/>
      </c>
      <c r="AK127" s="146">
        <f t="shared" si="90"/>
        <v>0</v>
      </c>
      <c r="AL127" s="146">
        <f t="shared" si="91"/>
        <v>0</v>
      </c>
      <c r="AM127" s="147" t="str">
        <f t="shared" si="32"/>
        <v>Mulai meningkat</v>
      </c>
      <c r="AN127" s="147" t="str">
        <f t="shared" si="33"/>
        <v>Mulai meningkat</v>
      </c>
      <c r="AO127" s="146" t="e">
        <f t="shared" si="92"/>
        <v>#N/A</v>
      </c>
      <c r="AP127" s="148" t="e">
        <f t="shared" si="93"/>
        <v>#N/A</v>
      </c>
      <c r="AQ127" s="158" t="str">
        <f>IF('PA-Non'!V127&lt;&gt;"",'PA-Non'!V127,IFERROR("Mempunyai keterampilan yang "&amp;IF(AM127=AN127,PROPER(AN127)&amp;" dalam kompetensi "&amp;VLOOKUP(AO127,$AA$532:$AC$539,3)&amp;", demikian juga dalam kompetensi "&amp;VLOOKUP(AP127,$AA$532:$AC$539,3),PROPER(AM127)&amp;" dalam kompetensi "&amp;VLOOKUP(AO127,$AA$532:$AC$539,3)&amp;" dan "&amp;AN127&amp;" pada kompetensi "&amp;VLOOKUP(AP127,$AA$532:$AC$539,3)),""))</f>
        <v/>
      </c>
      <c r="AR127" s="188"/>
    </row>
    <row r="128" spans="2:44" ht="27.9" customHeight="1" x14ac:dyDescent="0.3">
      <c r="B128" s="386" t="s">
        <v>30</v>
      </c>
      <c r="C128" s="387" t="str">
        <f t="shared" si="82"/>
        <v/>
      </c>
      <c r="D128" s="51" t="str">
        <f>IF(Data!F123="","",Data!F123)</f>
        <v/>
      </c>
      <c r="E128" s="91" t="str">
        <f>IF(Data!H123="","",Data!H123)</f>
        <v/>
      </c>
      <c r="F128" s="52" t="str">
        <f>IF(Data!I123="","",Data!I123)</f>
        <v/>
      </c>
      <c r="G128" s="388"/>
      <c r="H128" s="389"/>
      <c r="I128" s="389"/>
      <c r="J128" s="389"/>
      <c r="K128" s="389"/>
      <c r="L128" s="389"/>
      <c r="M128" s="389"/>
      <c r="N128" s="390"/>
      <c r="O128" s="391" t="str">
        <f t="shared" si="83"/>
        <v/>
      </c>
      <c r="P128" s="389"/>
      <c r="Q128" s="392"/>
      <c r="R128" s="391" t="str">
        <f t="shared" si="84"/>
        <v/>
      </c>
      <c r="S128" s="393" t="str">
        <f>IF(R128="","",IF(R128&gt;Data2!$C$12,Data2!$D$11,IF(R128&gt;Data2!$C$13,Data2!$D$12,IF(R128&gt;Data2!$C$14,Data2!$D$13,Data2!$D$14))))</f>
        <v/>
      </c>
      <c r="T128" s="394">
        <f t="shared" si="85"/>
        <v>0</v>
      </c>
      <c r="U128" s="394">
        <f t="shared" si="86"/>
        <v>0</v>
      </c>
      <c r="V128" s="394" t="str">
        <f t="shared" si="30"/>
        <v>Mulai berkembang</v>
      </c>
      <c r="W128" s="394" t="str">
        <f t="shared" si="31"/>
        <v>Mulai berkembang</v>
      </c>
      <c r="X128" s="394" t="e">
        <f t="shared" si="87"/>
        <v>#N/A</v>
      </c>
      <c r="Y128" s="395" t="e">
        <f t="shared" si="88"/>
        <v>#N/A</v>
      </c>
      <c r="Z128" s="396" t="str">
        <f>IF('PA-Non'!O128&lt;&gt;"",'PA-Non'!O128,IFERROR("Mempunyai kemampuan yang " &amp;IF(V128=W128,PROPER(W128)&amp;" dalam kompetensi "&amp;VLOOKUP(X128,$G$532:$I$539,3)&amp;" dan kompetensi "&amp;VLOOKUP(Y128,$G$532:$I$539,3),PROPER(V128)&amp;" dalam kompetensi "&amp;VLOOKUP(X128,$G$532:$I$539,3)&amp;" dan memiliki kemampuan yang "&amp;W128&amp;" pada kompetensi "&amp;VLOOKUP(Y128,$G$532:$I$539,3)),""))</f>
        <v/>
      </c>
      <c r="AA128" s="388"/>
      <c r="AB128" s="389"/>
      <c r="AC128" s="389"/>
      <c r="AD128" s="389"/>
      <c r="AE128" s="389"/>
      <c r="AF128" s="389"/>
      <c r="AG128" s="389"/>
      <c r="AH128" s="390"/>
      <c r="AI128" s="397" t="str">
        <f t="shared" si="89"/>
        <v/>
      </c>
      <c r="AJ128" s="398" t="str">
        <f>IF(AI128="","",IF(AI128&gt;Data2!$C$12,Data2!$D$11,IF(AI128&gt;Data2!$C$13,Data2!$D$12,IF(AI128&gt;Data2!$C$14,Data2!$D$13,Data2!$D$14))))</f>
        <v/>
      </c>
      <c r="AK128" s="399">
        <f t="shared" si="90"/>
        <v>0</v>
      </c>
      <c r="AL128" s="399">
        <f t="shared" si="91"/>
        <v>0</v>
      </c>
      <c r="AM128" s="400" t="str">
        <f t="shared" si="32"/>
        <v>Mulai meningkat</v>
      </c>
      <c r="AN128" s="400" t="str">
        <f t="shared" si="33"/>
        <v>Mulai meningkat</v>
      </c>
      <c r="AO128" s="399" t="e">
        <f t="shared" si="92"/>
        <v>#N/A</v>
      </c>
      <c r="AP128" s="401" t="e">
        <f t="shared" si="93"/>
        <v>#N/A</v>
      </c>
      <c r="AQ128" s="402" t="str">
        <f>IF('PA-Non'!V128&lt;&gt;"",'PA-Non'!V128,IFERROR("Mempunyai keterampilan yang "&amp;IF(AM128=AN128,PROPER(AN128)&amp;" dalam kompetensi "&amp;VLOOKUP(AO128,$AA$532:$AC$539,3)&amp;", demikian juga dalam kompetensi "&amp;VLOOKUP(AP128,$AA$532:$AC$539,3),PROPER(AM128)&amp;" dalam kompetensi "&amp;VLOOKUP(AO128,$AA$532:$AC$539,3)&amp;" dan "&amp;AN128&amp;" pada kompetensi "&amp;VLOOKUP(AP128,$AA$532:$AC$539,3)),""))</f>
        <v/>
      </c>
      <c r="AR128" s="188"/>
    </row>
    <row r="129" spans="2:44" ht="27.9" customHeight="1" thickBot="1" x14ac:dyDescent="0.35">
      <c r="B129" s="365" t="s">
        <v>30</v>
      </c>
      <c r="C129" s="366" t="str">
        <f t="shared" si="82"/>
        <v/>
      </c>
      <c r="D129" s="367" t="str">
        <f>IF(Data!F124="","",Data!F124)</f>
        <v/>
      </c>
      <c r="E129" s="368" t="str">
        <f>IF(Data!H124="","",Data!H124)</f>
        <v/>
      </c>
      <c r="F129" s="369" t="str">
        <f>IF(Data!I124="","",Data!I124)</f>
        <v/>
      </c>
      <c r="G129" s="370"/>
      <c r="H129" s="371"/>
      <c r="I129" s="371"/>
      <c r="J129" s="371"/>
      <c r="K129" s="371"/>
      <c r="L129" s="371"/>
      <c r="M129" s="371"/>
      <c r="N129" s="372"/>
      <c r="O129" s="373" t="str">
        <f t="shared" si="83"/>
        <v/>
      </c>
      <c r="P129" s="371"/>
      <c r="Q129" s="374"/>
      <c r="R129" s="373" t="str">
        <f t="shared" si="84"/>
        <v/>
      </c>
      <c r="S129" s="375" t="str">
        <f>IF(R129="","",IF(R129&gt;Data2!$C$12,Data2!$D$11,IF(R129&gt;Data2!$C$13,Data2!$D$12,IF(R129&gt;Data2!$C$14,Data2!$D$13,Data2!$D$14))))</f>
        <v/>
      </c>
      <c r="T129" s="404">
        <f t="shared" si="85"/>
        <v>0</v>
      </c>
      <c r="U129" s="404">
        <f t="shared" si="86"/>
        <v>0</v>
      </c>
      <c r="V129" s="404" t="str">
        <f t="shared" si="30"/>
        <v>Mulai berkembang</v>
      </c>
      <c r="W129" s="404" t="str">
        <f t="shared" si="31"/>
        <v>Mulai berkembang</v>
      </c>
      <c r="X129" s="404" t="e">
        <f t="shared" si="87"/>
        <v>#N/A</v>
      </c>
      <c r="Y129" s="405" t="e">
        <f t="shared" si="88"/>
        <v>#N/A</v>
      </c>
      <c r="Z129" s="376" t="str">
        <f>IF('PA-Non'!O129&lt;&gt;"",'PA-Non'!O129,IFERROR("Mempunyai kemampuan yang " &amp;IF(V129=W129,PROPER(W129)&amp;" dalam kompetensi "&amp;VLOOKUP(X129,$G$532:$I$539,3)&amp;" dan kompetensi "&amp;VLOOKUP(Y129,$G$532:$I$539,3),PROPER(V129)&amp;" dalam kompetensi "&amp;VLOOKUP(X129,$G$532:$I$539,3)&amp;" dan memiliki kemampuan yang "&amp;W129&amp;" pada kompetensi "&amp;VLOOKUP(Y129,$G$532:$I$539,3)),""))</f>
        <v/>
      </c>
      <c r="AA129" s="370"/>
      <c r="AB129" s="371"/>
      <c r="AC129" s="371"/>
      <c r="AD129" s="371"/>
      <c r="AE129" s="371"/>
      <c r="AF129" s="371"/>
      <c r="AG129" s="371"/>
      <c r="AH129" s="372"/>
      <c r="AI129" s="377" t="str">
        <f t="shared" si="89"/>
        <v/>
      </c>
      <c r="AJ129" s="378" t="str">
        <f>IF(AI129="","",IF(AI129&gt;Data2!$C$12,Data2!$D$11,IF(AI129&gt;Data2!$C$13,Data2!$D$12,IF(AI129&gt;Data2!$C$14,Data2!$D$13,Data2!$D$14))))</f>
        <v/>
      </c>
      <c r="AK129" s="406">
        <f t="shared" si="90"/>
        <v>0</v>
      </c>
      <c r="AL129" s="406">
        <f t="shared" si="91"/>
        <v>0</v>
      </c>
      <c r="AM129" s="407" t="str">
        <f t="shared" si="32"/>
        <v>Mulai meningkat</v>
      </c>
      <c r="AN129" s="407" t="str">
        <f t="shared" si="33"/>
        <v>Mulai meningkat</v>
      </c>
      <c r="AO129" s="406" t="e">
        <f t="shared" si="92"/>
        <v>#N/A</v>
      </c>
      <c r="AP129" s="408" t="e">
        <f t="shared" si="93"/>
        <v>#N/A</v>
      </c>
      <c r="AQ129" s="409" t="str">
        <f>IF('PA-Non'!V129&lt;&gt;"",'PA-Non'!V129,IFERROR("Mempunyai keterampilan yang "&amp;IF(AM129=AN129,PROPER(AN129)&amp;" dalam kompetensi "&amp;VLOOKUP(AO129,$AA$532:$AC$539,3)&amp;", demikian juga dalam kompetensi "&amp;VLOOKUP(AP129,$AA$532:$AC$539,3),PROPER(AM129)&amp;" dalam kompetensi "&amp;VLOOKUP(AO129,$AA$532:$AC$539,3)&amp;" dan "&amp;AN129&amp;" pada kompetensi "&amp;VLOOKUP(AP129,$AA$532:$AC$539,3)),""))</f>
        <v/>
      </c>
      <c r="AR129" s="188"/>
    </row>
    <row r="130" spans="2:44" ht="27.9" customHeight="1" thickBot="1" x14ac:dyDescent="0.35">
      <c r="B130" s="383" t="s">
        <v>31</v>
      </c>
      <c r="C130" s="347">
        <v>1</v>
      </c>
      <c r="D130" s="348" t="str">
        <f>IF(Data!F125="","",Data!F125)</f>
        <v>03639</v>
      </c>
      <c r="E130" s="349" t="str">
        <f>IF(Data!H125="","",Data!H125)</f>
        <v>Arini Nur Rahmania Sa'idah</v>
      </c>
      <c r="F130" s="350" t="str">
        <f>IF(Data!I125="","",Data!I125)</f>
        <v>Perempuan</v>
      </c>
      <c r="G130" s="351">
        <v>88</v>
      </c>
      <c r="H130" s="352">
        <v>85.1</v>
      </c>
      <c r="I130" s="352">
        <v>87</v>
      </c>
      <c r="J130" s="352">
        <v>90</v>
      </c>
      <c r="K130" s="352">
        <v>85</v>
      </c>
      <c r="L130" s="352"/>
      <c r="M130" s="352"/>
      <c r="N130" s="353"/>
      <c r="O130" s="354">
        <f t="shared" si="34"/>
        <v>73</v>
      </c>
      <c r="P130" s="352"/>
      <c r="Q130" s="355"/>
      <c r="R130" s="354" t="str">
        <f t="shared" si="45"/>
        <v/>
      </c>
      <c r="S130" s="356" t="str">
        <f>IF(R130="","",IF(R130&gt;Data2!$C$12,Data2!$D$11,IF(R130&gt;Data2!$C$13,Data2!$D$12,IF(R130&gt;Data2!$C$14,Data2!$D$13,Data2!$D$14))))</f>
        <v/>
      </c>
      <c r="T130" s="357">
        <f t="shared" si="35"/>
        <v>90</v>
      </c>
      <c r="U130" s="357">
        <f t="shared" si="36"/>
        <v>85</v>
      </c>
      <c r="V130" s="357" t="str">
        <f t="shared" si="30"/>
        <v>Baik</v>
      </c>
      <c r="W130" s="357" t="str">
        <f t="shared" si="31"/>
        <v>Cukup menguasai</v>
      </c>
      <c r="X130" s="357">
        <f t="shared" si="37"/>
        <v>4</v>
      </c>
      <c r="Y130" s="358">
        <f t="shared" si="38"/>
        <v>5</v>
      </c>
      <c r="Z130" s="359" t="str">
        <f>IF('PA-Non'!O130&lt;&gt;"",'PA-Non'!O130,IFERROR("Mempunyai kemampuan yang " &amp;IF(V130=W130,PROPER(W130)&amp;" dalam kompetensi "&amp;VLOOKUP(X130,$G$532:$I$539,3)&amp;" dan kompetensi "&amp;VLOOKUP(Y130,$G$532:$I$539,3),PROPER(V130)&amp;" dalam kompetensi "&amp;VLOOKUP(X130,$G$532:$I$539,3)&amp;" dan memiliki kemampuan yang "&amp;W130&amp;" pada kompetensi "&amp;VLOOKUP(Y130,$G$532:$I$539,3)),""))</f>
        <v>Mempunyai kemampuan yang Baik dalam kompetensi KD Pengetahuan-4 dan memiliki kemampuan yang Cukup menguasai pada kompetensi KD Pengetahuan-5</v>
      </c>
      <c r="AA130" s="351"/>
      <c r="AB130" s="352"/>
      <c r="AC130" s="352"/>
      <c r="AD130" s="352"/>
      <c r="AE130" s="352"/>
      <c r="AF130" s="352"/>
      <c r="AG130" s="352"/>
      <c r="AH130" s="353"/>
      <c r="AI130" s="360" t="str">
        <f t="shared" si="39"/>
        <v/>
      </c>
      <c r="AJ130" s="361" t="str">
        <f>IF(AI130="","",IF(AI130&gt;Data2!$C$12,Data2!$D$11,IF(AI130&gt;Data2!$C$13,Data2!$D$12,IF(AI130&gt;Data2!$C$14,Data2!$D$13,Data2!$D$14))))</f>
        <v/>
      </c>
      <c r="AK130" s="362">
        <f t="shared" si="40"/>
        <v>0</v>
      </c>
      <c r="AL130" s="362">
        <f t="shared" si="41"/>
        <v>0</v>
      </c>
      <c r="AM130" s="363" t="str">
        <f t="shared" si="32"/>
        <v>Mulai meningkat</v>
      </c>
      <c r="AN130" s="363" t="str">
        <f t="shared" si="33"/>
        <v>Mulai meningkat</v>
      </c>
      <c r="AO130" s="362" t="e">
        <f t="shared" si="42"/>
        <v>#N/A</v>
      </c>
      <c r="AP130" s="364" t="e">
        <f t="shared" si="43"/>
        <v>#N/A</v>
      </c>
      <c r="AQ130" s="403" t="str">
        <f>IF('PA-Non'!V130&lt;&gt;"",'PA-Non'!V130,IFERROR("Mempunyai keterampilan yang "&amp;IF(AM130=AN130,PROPER(AN130)&amp;" dalam kompetensi "&amp;VLOOKUP(AO130,$AA$532:$AC$539,3)&amp;", demikian juga dalam kompetensi "&amp;VLOOKUP(AP130,$AA$532:$AC$539,3),PROPER(AM130)&amp;" dalam kompetensi "&amp;VLOOKUP(AO130,$AA$532:$AC$539,3)&amp;" dan "&amp;AN130&amp;" pada kompetensi "&amp;VLOOKUP(AP130,$AA$532:$AC$539,3)),""))</f>
        <v/>
      </c>
      <c r="AR130" s="188"/>
    </row>
    <row r="131" spans="2:44" ht="27.9" customHeight="1" thickBot="1" x14ac:dyDescent="0.35">
      <c r="B131" s="384" t="s">
        <v>31</v>
      </c>
      <c r="C131" s="149">
        <f t="shared" si="44"/>
        <v>2</v>
      </c>
      <c r="D131" s="150" t="str">
        <f>IF(Data!F126="","",Data!F126)</f>
        <v>03644</v>
      </c>
      <c r="E131" s="151" t="str">
        <f>IF(Data!H126="","",Data!H126)</f>
        <v>Auliya Hanin Syarifah</v>
      </c>
      <c r="F131" s="152" t="str">
        <f>IF(Data!I126="","",Data!I126)</f>
        <v>Perempuan</v>
      </c>
      <c r="G131" s="343">
        <v>88</v>
      </c>
      <c r="H131" s="344">
        <v>90</v>
      </c>
      <c r="I131" s="344">
        <v>80</v>
      </c>
      <c r="J131" s="344">
        <v>85.1</v>
      </c>
      <c r="K131" s="344">
        <v>85</v>
      </c>
      <c r="L131" s="344"/>
      <c r="M131" s="344"/>
      <c r="N131" s="345"/>
      <c r="O131" s="157">
        <f t="shared" si="34"/>
        <v>71</v>
      </c>
      <c r="P131" s="344"/>
      <c r="Q131" s="346"/>
      <c r="R131" s="157" t="str">
        <f t="shared" si="45"/>
        <v/>
      </c>
      <c r="S131" s="159" t="str">
        <f>IF(R131="","",IF(R131&gt;Data2!$C$12,Data2!$D$11,IF(R131&gt;Data2!$C$13,Data2!$D$12,IF(R131&gt;Data2!$C$14,Data2!$D$13,Data2!$D$14))))</f>
        <v/>
      </c>
      <c r="T131" s="144">
        <f t="shared" si="35"/>
        <v>90</v>
      </c>
      <c r="U131" s="144">
        <f t="shared" si="36"/>
        <v>80</v>
      </c>
      <c r="V131" s="144" t="str">
        <f t="shared" si="30"/>
        <v>Baik</v>
      </c>
      <c r="W131" s="144" t="str">
        <f t="shared" si="31"/>
        <v>Cukup menguasai</v>
      </c>
      <c r="X131" s="144">
        <f t="shared" si="37"/>
        <v>2</v>
      </c>
      <c r="Y131" s="145">
        <f t="shared" si="38"/>
        <v>3</v>
      </c>
      <c r="Z131" s="218" t="str">
        <f>IF('PA-Non'!O131&lt;&gt;"",'PA-Non'!O131,IFERROR("Mempunyai kemampuan yang " &amp;IF(V131=W131,PROPER(W131)&amp;" dalam kompetensi "&amp;VLOOKUP(X131,$G$532:$I$539,3)&amp;" dan kompetensi "&amp;VLOOKUP(Y131,$G$532:$I$539,3),PROPER(V131)&amp;" dalam kompetensi "&amp;VLOOKUP(X131,$G$532:$I$539,3)&amp;" dan memiliki kemampuan yang "&amp;W131&amp;" pada kompetensi "&amp;VLOOKUP(Y131,$G$532:$I$539,3)),""))</f>
        <v>Mempunyai kemampuan yang Baik dalam kompetensi KD Pengetahuan-2 dan memiliki kemampuan yang Cukup menguasai pada kompetensi KD Pengetahuan-3</v>
      </c>
      <c r="AA131" s="343"/>
      <c r="AB131" s="344"/>
      <c r="AC131" s="344"/>
      <c r="AD131" s="344"/>
      <c r="AE131" s="344"/>
      <c r="AF131" s="344"/>
      <c r="AG131" s="344"/>
      <c r="AH131" s="345"/>
      <c r="AI131" s="220" t="str">
        <f t="shared" si="39"/>
        <v/>
      </c>
      <c r="AJ131" s="160" t="str">
        <f>IF(AI131="","",IF(AI131&gt;Data2!$C$12,Data2!$D$11,IF(AI131&gt;Data2!$C$13,Data2!$D$12,IF(AI131&gt;Data2!$C$14,Data2!$D$13,Data2!$D$14))))</f>
        <v/>
      </c>
      <c r="AK131" s="146">
        <f t="shared" si="40"/>
        <v>0</v>
      </c>
      <c r="AL131" s="146">
        <f t="shared" si="41"/>
        <v>0</v>
      </c>
      <c r="AM131" s="147" t="str">
        <f t="shared" si="32"/>
        <v>Mulai meningkat</v>
      </c>
      <c r="AN131" s="147" t="str">
        <f t="shared" si="33"/>
        <v>Mulai meningkat</v>
      </c>
      <c r="AO131" s="146" t="e">
        <f t="shared" si="42"/>
        <v>#N/A</v>
      </c>
      <c r="AP131" s="148" t="e">
        <f t="shared" si="43"/>
        <v>#N/A</v>
      </c>
      <c r="AQ131" s="158" t="str">
        <f>IF('PA-Non'!V131&lt;&gt;"",'PA-Non'!V131,IFERROR("Mempunyai keterampilan yang "&amp;IF(AM131=AN131,PROPER(AN131)&amp;" dalam kompetensi "&amp;VLOOKUP(AO131,$AA$532:$AC$539,3)&amp;", demikian juga dalam kompetensi "&amp;VLOOKUP(AP131,$AA$532:$AC$539,3),PROPER(AM131)&amp;" dalam kompetensi "&amp;VLOOKUP(AO131,$AA$532:$AC$539,3)&amp;" dan "&amp;AN131&amp;" pada kompetensi "&amp;VLOOKUP(AP131,$AA$532:$AC$539,3)),""))</f>
        <v/>
      </c>
      <c r="AR131" s="188"/>
    </row>
    <row r="132" spans="2:44" ht="27.9" customHeight="1" thickBot="1" x14ac:dyDescent="0.35">
      <c r="B132" s="384" t="s">
        <v>31</v>
      </c>
      <c r="C132" s="149">
        <f t="shared" si="44"/>
        <v>3</v>
      </c>
      <c r="D132" s="150" t="str">
        <f>IF(Data!F127="","",Data!F127)</f>
        <v>03646</v>
      </c>
      <c r="E132" s="151" t="str">
        <f>IF(Data!H127="","",Data!H127)</f>
        <v>Azmi Anna Althafunnisa'</v>
      </c>
      <c r="F132" s="152" t="str">
        <f>IF(Data!I127="","",Data!I127)</f>
        <v>Perempuan</v>
      </c>
      <c r="G132" s="343">
        <v>100</v>
      </c>
      <c r="H132" s="344">
        <v>95.1</v>
      </c>
      <c r="I132" s="344">
        <v>95</v>
      </c>
      <c r="J132" s="344">
        <v>85.2</v>
      </c>
      <c r="K132" s="344">
        <v>85</v>
      </c>
      <c r="L132" s="344"/>
      <c r="M132" s="344"/>
      <c r="N132" s="345"/>
      <c r="O132" s="157">
        <f t="shared" si="34"/>
        <v>77</v>
      </c>
      <c r="P132" s="344"/>
      <c r="Q132" s="346"/>
      <c r="R132" s="157" t="str">
        <f t="shared" si="45"/>
        <v/>
      </c>
      <c r="S132" s="159" t="str">
        <f>IF(R132="","",IF(R132&gt;Data2!$C$12,Data2!$D$11,IF(R132&gt;Data2!$C$13,Data2!$D$12,IF(R132&gt;Data2!$C$14,Data2!$D$13,Data2!$D$14))))</f>
        <v/>
      </c>
      <c r="T132" s="144">
        <f t="shared" si="35"/>
        <v>100</v>
      </c>
      <c r="U132" s="144">
        <f t="shared" si="36"/>
        <v>85</v>
      </c>
      <c r="V132" s="144" t="str">
        <f t="shared" si="30"/>
        <v>Sangat baik</v>
      </c>
      <c r="W132" s="144" t="str">
        <f t="shared" si="31"/>
        <v>Cukup menguasai</v>
      </c>
      <c r="X132" s="144">
        <f t="shared" si="37"/>
        <v>1</v>
      </c>
      <c r="Y132" s="145">
        <f t="shared" si="38"/>
        <v>5</v>
      </c>
      <c r="Z132" s="218" t="str">
        <f>IF('PA-Non'!O132&lt;&gt;"",'PA-Non'!O132,IFERROR("Mempunyai kemampuan yang " &amp;IF(V132=W132,PROPER(W132)&amp;" dalam kompetensi "&amp;VLOOKUP(X132,$G$532:$I$539,3)&amp;" dan kompetensi "&amp;VLOOKUP(Y132,$G$532:$I$539,3),PROPER(V132)&amp;" dalam kompetensi "&amp;VLOOKUP(X132,$G$532:$I$539,3)&amp;" dan memiliki kemampuan yang "&amp;W132&amp;" pada kompetensi "&amp;VLOOKUP(Y132,$G$532:$I$539,3)),""))</f>
        <v>Mempunyai kemampuan yang Sangat Baik dalam kompetensi KD Pengetahuan-1 dan memiliki kemampuan yang Cukup menguasai pada kompetensi KD Pengetahuan-5</v>
      </c>
      <c r="AA132" s="343"/>
      <c r="AB132" s="344"/>
      <c r="AC132" s="344"/>
      <c r="AD132" s="344"/>
      <c r="AE132" s="344"/>
      <c r="AF132" s="344"/>
      <c r="AG132" s="344"/>
      <c r="AH132" s="345"/>
      <c r="AI132" s="220" t="str">
        <f t="shared" si="39"/>
        <v/>
      </c>
      <c r="AJ132" s="160" t="str">
        <f>IF(AI132="","",IF(AI132&gt;Data2!$C$12,Data2!$D$11,IF(AI132&gt;Data2!$C$13,Data2!$D$12,IF(AI132&gt;Data2!$C$14,Data2!$D$13,Data2!$D$14))))</f>
        <v/>
      </c>
      <c r="AK132" s="146">
        <f t="shared" si="40"/>
        <v>0</v>
      </c>
      <c r="AL132" s="146">
        <f t="shared" si="41"/>
        <v>0</v>
      </c>
      <c r="AM132" s="147" t="str">
        <f t="shared" si="32"/>
        <v>Mulai meningkat</v>
      </c>
      <c r="AN132" s="147" t="str">
        <f t="shared" si="33"/>
        <v>Mulai meningkat</v>
      </c>
      <c r="AO132" s="146" t="e">
        <f t="shared" si="42"/>
        <v>#N/A</v>
      </c>
      <c r="AP132" s="148" t="e">
        <f t="shared" si="43"/>
        <v>#N/A</v>
      </c>
      <c r="AQ132" s="158" t="str">
        <f>IF('PA-Non'!V132&lt;&gt;"",'PA-Non'!V132,IFERROR("Mempunyai keterampilan yang "&amp;IF(AM132=AN132,PROPER(AN132)&amp;" dalam kompetensi "&amp;VLOOKUP(AO132,$AA$532:$AC$539,3)&amp;", demikian juga dalam kompetensi "&amp;VLOOKUP(AP132,$AA$532:$AC$539,3),PROPER(AM132)&amp;" dalam kompetensi "&amp;VLOOKUP(AO132,$AA$532:$AC$539,3)&amp;" dan "&amp;AN132&amp;" pada kompetensi "&amp;VLOOKUP(AP132,$AA$532:$AC$539,3)),""))</f>
        <v/>
      </c>
      <c r="AR132" s="188"/>
    </row>
    <row r="133" spans="2:44" ht="27.9" customHeight="1" thickBot="1" x14ac:dyDescent="0.35">
      <c r="B133" s="384" t="s">
        <v>31</v>
      </c>
      <c r="C133" s="149">
        <f t="shared" si="44"/>
        <v>4</v>
      </c>
      <c r="D133" s="150" t="str">
        <f>IF(Data!F128="","",Data!F128)</f>
        <v>03647</v>
      </c>
      <c r="E133" s="151" t="str">
        <f>IF(Data!H128="","",Data!H128)</f>
        <v>Azzahro Nur Maulida</v>
      </c>
      <c r="F133" s="152" t="str">
        <f>IF(Data!I128="","",Data!I128)</f>
        <v>Perempuan</v>
      </c>
      <c r="G133" s="343">
        <v>80.099999999999994</v>
      </c>
      <c r="H133" s="344">
        <v>80</v>
      </c>
      <c r="I133" s="344">
        <v>78</v>
      </c>
      <c r="J133" s="344">
        <v>80.2</v>
      </c>
      <c r="K133" s="344">
        <v>85</v>
      </c>
      <c r="L133" s="344"/>
      <c r="M133" s="344"/>
      <c r="N133" s="345"/>
      <c r="O133" s="157">
        <f t="shared" si="34"/>
        <v>67</v>
      </c>
      <c r="P133" s="344"/>
      <c r="Q133" s="346"/>
      <c r="R133" s="157" t="str">
        <f t="shared" si="45"/>
        <v/>
      </c>
      <c r="S133" s="159" t="str">
        <f>IF(R133="","",IF(R133&gt;Data2!$C$12,Data2!$D$11,IF(R133&gt;Data2!$C$13,Data2!$D$12,IF(R133&gt;Data2!$C$14,Data2!$D$13,Data2!$D$14))))</f>
        <v/>
      </c>
      <c r="T133" s="144">
        <f t="shared" si="35"/>
        <v>85</v>
      </c>
      <c r="U133" s="144">
        <f t="shared" si="36"/>
        <v>78</v>
      </c>
      <c r="V133" s="144" t="str">
        <f t="shared" si="30"/>
        <v>Cukup menguasai</v>
      </c>
      <c r="W133" s="144" t="str">
        <f t="shared" si="31"/>
        <v>Cukup menguasai</v>
      </c>
      <c r="X133" s="144">
        <f t="shared" si="37"/>
        <v>5</v>
      </c>
      <c r="Y133" s="145">
        <f t="shared" si="38"/>
        <v>3</v>
      </c>
      <c r="Z133" s="218" t="str">
        <f>IF('PA-Non'!O133&lt;&gt;"",'PA-Non'!O133,IFERROR("Mempunyai kemampuan yang " &amp;IF(V133=W133,PROPER(W133)&amp;" dalam kompetensi "&amp;VLOOKUP(X133,$G$532:$I$539,3)&amp;" dan kompetensi "&amp;VLOOKUP(Y133,$G$532:$I$539,3),PROPER(V133)&amp;" dalam kompetensi "&amp;VLOOKUP(X133,$G$532:$I$539,3)&amp;" dan memiliki kemampuan yang "&amp;W133&amp;" pada kompetensi "&amp;VLOOKUP(Y133,$G$532:$I$539,3)),""))</f>
        <v>Mempunyai kemampuan yang Cukup Menguasai dalam kompetensi KD Pengetahuan-5 dan kompetensi KD Pengetahuan-3</v>
      </c>
      <c r="AA133" s="343"/>
      <c r="AB133" s="344"/>
      <c r="AC133" s="344"/>
      <c r="AD133" s="344"/>
      <c r="AE133" s="344"/>
      <c r="AF133" s="344"/>
      <c r="AG133" s="344"/>
      <c r="AH133" s="345"/>
      <c r="AI133" s="220" t="str">
        <f t="shared" si="39"/>
        <v/>
      </c>
      <c r="AJ133" s="160" t="str">
        <f>IF(AI133="","",IF(AI133&gt;Data2!$C$12,Data2!$D$11,IF(AI133&gt;Data2!$C$13,Data2!$D$12,IF(AI133&gt;Data2!$C$14,Data2!$D$13,Data2!$D$14))))</f>
        <v/>
      </c>
      <c r="AK133" s="146">
        <f t="shared" si="40"/>
        <v>0</v>
      </c>
      <c r="AL133" s="146">
        <f t="shared" si="41"/>
        <v>0</v>
      </c>
      <c r="AM133" s="147" t="str">
        <f t="shared" si="32"/>
        <v>Mulai meningkat</v>
      </c>
      <c r="AN133" s="147" t="str">
        <f t="shared" si="33"/>
        <v>Mulai meningkat</v>
      </c>
      <c r="AO133" s="146" t="e">
        <f t="shared" si="42"/>
        <v>#N/A</v>
      </c>
      <c r="AP133" s="148" t="e">
        <f t="shared" si="43"/>
        <v>#N/A</v>
      </c>
      <c r="AQ133" s="158" t="str">
        <f>IF('PA-Non'!V133&lt;&gt;"",'PA-Non'!V133,IFERROR("Mempunyai keterampilan yang "&amp;IF(AM133=AN133,PROPER(AN133)&amp;" dalam kompetensi "&amp;VLOOKUP(AO133,$AA$532:$AC$539,3)&amp;", demikian juga dalam kompetensi "&amp;VLOOKUP(AP133,$AA$532:$AC$539,3),PROPER(AM133)&amp;" dalam kompetensi "&amp;VLOOKUP(AO133,$AA$532:$AC$539,3)&amp;" dan "&amp;AN133&amp;" pada kompetensi "&amp;VLOOKUP(AP133,$AA$532:$AC$539,3)),""))</f>
        <v/>
      </c>
      <c r="AR133" s="188"/>
    </row>
    <row r="134" spans="2:44" ht="27.9" customHeight="1" thickBot="1" x14ac:dyDescent="0.35">
      <c r="B134" s="384" t="s">
        <v>31</v>
      </c>
      <c r="C134" s="149">
        <f t="shared" si="44"/>
        <v>5</v>
      </c>
      <c r="D134" s="150" t="str">
        <f>IF(Data!F129="","",Data!F129)</f>
        <v>03648</v>
      </c>
      <c r="E134" s="151" t="str">
        <f>IF(Data!H129="","",Data!H129)</f>
        <v>Azzura Reyna Arifina</v>
      </c>
      <c r="F134" s="152" t="str">
        <f>IF(Data!I129="","",Data!I129)</f>
        <v>Perempuan</v>
      </c>
      <c r="G134" s="343">
        <v>88</v>
      </c>
      <c r="H134" s="344">
        <v>85.1</v>
      </c>
      <c r="I134" s="344">
        <v>85</v>
      </c>
      <c r="J134" s="344">
        <v>80.2</v>
      </c>
      <c r="K134" s="344">
        <v>80</v>
      </c>
      <c r="L134" s="344"/>
      <c r="M134" s="344"/>
      <c r="N134" s="345"/>
      <c r="O134" s="157">
        <f t="shared" si="34"/>
        <v>70</v>
      </c>
      <c r="P134" s="344"/>
      <c r="Q134" s="346"/>
      <c r="R134" s="157" t="str">
        <f t="shared" si="45"/>
        <v/>
      </c>
      <c r="S134" s="159" t="str">
        <f>IF(R134="","",IF(R134&gt;Data2!$C$12,Data2!$D$11,IF(R134&gt;Data2!$C$13,Data2!$D$12,IF(R134&gt;Data2!$C$14,Data2!$D$13,Data2!$D$14))))</f>
        <v/>
      </c>
      <c r="T134" s="144">
        <f t="shared" si="35"/>
        <v>88</v>
      </c>
      <c r="U134" s="144">
        <f t="shared" si="36"/>
        <v>80</v>
      </c>
      <c r="V134" s="144" t="str">
        <f t="shared" si="30"/>
        <v>Baik</v>
      </c>
      <c r="W134" s="144" t="str">
        <f t="shared" si="31"/>
        <v>Cukup menguasai</v>
      </c>
      <c r="X134" s="144">
        <f t="shared" si="37"/>
        <v>1</v>
      </c>
      <c r="Y134" s="145">
        <f t="shared" si="38"/>
        <v>5</v>
      </c>
      <c r="Z134" s="218" t="str">
        <f>IF('PA-Non'!O134&lt;&gt;"",'PA-Non'!O134,IFERROR("Mempunyai kemampuan yang " &amp;IF(V134=W134,PROPER(W134)&amp;" dalam kompetensi "&amp;VLOOKUP(X134,$G$532:$I$539,3)&amp;" dan kompetensi "&amp;VLOOKUP(Y134,$G$532:$I$539,3),PROPER(V134)&amp;" dalam kompetensi "&amp;VLOOKUP(X134,$G$532:$I$539,3)&amp;" dan memiliki kemampuan yang "&amp;W134&amp;" pada kompetensi "&amp;VLOOKUP(Y134,$G$532:$I$539,3)),""))</f>
        <v>Mempunyai kemampuan yang Baik dalam kompetensi KD Pengetahuan-1 dan memiliki kemampuan yang Cukup menguasai pada kompetensi KD Pengetahuan-5</v>
      </c>
      <c r="AA134" s="343"/>
      <c r="AB134" s="344"/>
      <c r="AC134" s="344"/>
      <c r="AD134" s="344"/>
      <c r="AE134" s="344"/>
      <c r="AF134" s="344"/>
      <c r="AG134" s="344"/>
      <c r="AH134" s="345"/>
      <c r="AI134" s="220" t="str">
        <f t="shared" si="39"/>
        <v/>
      </c>
      <c r="AJ134" s="160" t="str">
        <f>IF(AI134="","",IF(AI134&gt;Data2!$C$12,Data2!$D$11,IF(AI134&gt;Data2!$C$13,Data2!$D$12,IF(AI134&gt;Data2!$C$14,Data2!$D$13,Data2!$D$14))))</f>
        <v/>
      </c>
      <c r="AK134" s="146">
        <f t="shared" si="40"/>
        <v>0</v>
      </c>
      <c r="AL134" s="146">
        <f t="shared" si="41"/>
        <v>0</v>
      </c>
      <c r="AM134" s="147" t="str">
        <f t="shared" si="32"/>
        <v>Mulai meningkat</v>
      </c>
      <c r="AN134" s="147" t="str">
        <f t="shared" si="33"/>
        <v>Mulai meningkat</v>
      </c>
      <c r="AO134" s="146" t="e">
        <f t="shared" si="42"/>
        <v>#N/A</v>
      </c>
      <c r="AP134" s="148" t="e">
        <f t="shared" si="43"/>
        <v>#N/A</v>
      </c>
      <c r="AQ134" s="158" t="str">
        <f>IF('PA-Non'!V134&lt;&gt;"",'PA-Non'!V134,IFERROR("Mempunyai keterampilan yang "&amp;IF(AM134=AN134,PROPER(AN134)&amp;" dalam kompetensi "&amp;VLOOKUP(AO134,$AA$532:$AC$539,3)&amp;", demikian juga dalam kompetensi "&amp;VLOOKUP(AP134,$AA$532:$AC$539,3),PROPER(AM134)&amp;" dalam kompetensi "&amp;VLOOKUP(AO134,$AA$532:$AC$539,3)&amp;" dan "&amp;AN134&amp;" pada kompetensi "&amp;VLOOKUP(AP134,$AA$532:$AC$539,3)),""))</f>
        <v/>
      </c>
      <c r="AR134" s="188"/>
    </row>
    <row r="135" spans="2:44" ht="27.9" customHeight="1" thickBot="1" x14ac:dyDescent="0.35">
      <c r="B135" s="384" t="s">
        <v>31</v>
      </c>
      <c r="C135" s="149">
        <f t="shared" si="44"/>
        <v>6</v>
      </c>
      <c r="D135" s="150" t="str">
        <f>IF(Data!F130="","",Data!F130)</f>
        <v>03649</v>
      </c>
      <c r="E135" s="151" t="str">
        <f>IF(Data!H130="","",Data!H130)</f>
        <v>Belvania Valeri Alayya</v>
      </c>
      <c r="F135" s="152" t="str">
        <f>IF(Data!I130="","",Data!I130)</f>
        <v>Perempuan</v>
      </c>
      <c r="G135" s="343">
        <v>100</v>
      </c>
      <c r="H135" s="344">
        <v>95.1</v>
      </c>
      <c r="I135" s="344">
        <v>95</v>
      </c>
      <c r="J135" s="344">
        <v>85.2</v>
      </c>
      <c r="K135" s="344">
        <v>85</v>
      </c>
      <c r="L135" s="344"/>
      <c r="M135" s="344"/>
      <c r="N135" s="345"/>
      <c r="O135" s="157">
        <f t="shared" si="34"/>
        <v>77</v>
      </c>
      <c r="P135" s="344"/>
      <c r="Q135" s="346"/>
      <c r="R135" s="157" t="str">
        <f t="shared" si="45"/>
        <v/>
      </c>
      <c r="S135" s="159" t="str">
        <f>IF(R135="","",IF(R135&gt;Data2!$C$12,Data2!$D$11,IF(R135&gt;Data2!$C$13,Data2!$D$12,IF(R135&gt;Data2!$C$14,Data2!$D$13,Data2!$D$14))))</f>
        <v/>
      </c>
      <c r="T135" s="144">
        <f t="shared" si="35"/>
        <v>100</v>
      </c>
      <c r="U135" s="144">
        <f t="shared" si="36"/>
        <v>85</v>
      </c>
      <c r="V135" s="144" t="str">
        <f t="shared" si="30"/>
        <v>Sangat baik</v>
      </c>
      <c r="W135" s="144" t="str">
        <f t="shared" si="31"/>
        <v>Cukup menguasai</v>
      </c>
      <c r="X135" s="144">
        <f t="shared" si="37"/>
        <v>1</v>
      </c>
      <c r="Y135" s="145">
        <f t="shared" si="38"/>
        <v>5</v>
      </c>
      <c r="Z135" s="218" t="str">
        <f>IF('PA-Non'!O135&lt;&gt;"",'PA-Non'!O135,IFERROR("Mempunyai kemampuan yang " &amp;IF(V135=W135,PROPER(W135)&amp;" dalam kompetensi "&amp;VLOOKUP(X135,$G$532:$I$539,3)&amp;" dan kompetensi "&amp;VLOOKUP(Y135,$G$532:$I$539,3),PROPER(V135)&amp;" dalam kompetensi "&amp;VLOOKUP(X135,$G$532:$I$539,3)&amp;" dan memiliki kemampuan yang "&amp;W135&amp;" pada kompetensi "&amp;VLOOKUP(Y135,$G$532:$I$539,3)),""))</f>
        <v>Mempunyai kemampuan yang Sangat Baik dalam kompetensi KD Pengetahuan-1 dan memiliki kemampuan yang Cukup menguasai pada kompetensi KD Pengetahuan-5</v>
      </c>
      <c r="AA135" s="343"/>
      <c r="AB135" s="344"/>
      <c r="AC135" s="344"/>
      <c r="AD135" s="344"/>
      <c r="AE135" s="344"/>
      <c r="AF135" s="344"/>
      <c r="AG135" s="344"/>
      <c r="AH135" s="345"/>
      <c r="AI135" s="220" t="str">
        <f t="shared" si="39"/>
        <v/>
      </c>
      <c r="AJ135" s="160" t="str">
        <f>IF(AI135="","",IF(AI135&gt;Data2!$C$12,Data2!$D$11,IF(AI135&gt;Data2!$C$13,Data2!$D$12,IF(AI135&gt;Data2!$C$14,Data2!$D$13,Data2!$D$14))))</f>
        <v/>
      </c>
      <c r="AK135" s="146">
        <f t="shared" si="40"/>
        <v>0</v>
      </c>
      <c r="AL135" s="146">
        <f t="shared" si="41"/>
        <v>0</v>
      </c>
      <c r="AM135" s="147" t="str">
        <f t="shared" si="32"/>
        <v>Mulai meningkat</v>
      </c>
      <c r="AN135" s="147" t="str">
        <f t="shared" si="33"/>
        <v>Mulai meningkat</v>
      </c>
      <c r="AO135" s="146" t="e">
        <f t="shared" si="42"/>
        <v>#N/A</v>
      </c>
      <c r="AP135" s="148" t="e">
        <f t="shared" si="43"/>
        <v>#N/A</v>
      </c>
      <c r="AQ135" s="158" t="str">
        <f>IF('PA-Non'!V135&lt;&gt;"",'PA-Non'!V135,IFERROR("Mempunyai keterampilan yang "&amp;IF(AM135=AN135,PROPER(AN135)&amp;" dalam kompetensi "&amp;VLOOKUP(AO135,$AA$532:$AC$539,3)&amp;", demikian juga dalam kompetensi "&amp;VLOOKUP(AP135,$AA$532:$AC$539,3),PROPER(AM135)&amp;" dalam kompetensi "&amp;VLOOKUP(AO135,$AA$532:$AC$539,3)&amp;" dan "&amp;AN135&amp;" pada kompetensi "&amp;VLOOKUP(AP135,$AA$532:$AC$539,3)),""))</f>
        <v/>
      </c>
      <c r="AR135" s="188"/>
    </row>
    <row r="136" spans="2:44" ht="27.9" customHeight="1" thickBot="1" x14ac:dyDescent="0.35">
      <c r="B136" s="384" t="s">
        <v>31</v>
      </c>
      <c r="C136" s="149">
        <f t="shared" si="44"/>
        <v>7</v>
      </c>
      <c r="D136" s="150" t="str">
        <f>IF(Data!F131="","",Data!F131)</f>
        <v>03650</v>
      </c>
      <c r="E136" s="151" t="str">
        <f>IF(Data!H131="","",Data!H131)</f>
        <v>Cahya Salsabila Putri</v>
      </c>
      <c r="F136" s="152" t="str">
        <f>IF(Data!I131="","",Data!I131)</f>
        <v>Perempuan</v>
      </c>
      <c r="G136" s="343">
        <v>95.1</v>
      </c>
      <c r="H136" s="344">
        <v>90</v>
      </c>
      <c r="I136" s="344">
        <v>95.2</v>
      </c>
      <c r="J136" s="344">
        <v>95</v>
      </c>
      <c r="K136" s="344">
        <v>80</v>
      </c>
      <c r="L136" s="344"/>
      <c r="M136" s="344"/>
      <c r="N136" s="345"/>
      <c r="O136" s="157">
        <f t="shared" si="34"/>
        <v>76</v>
      </c>
      <c r="P136" s="344"/>
      <c r="Q136" s="346"/>
      <c r="R136" s="157" t="str">
        <f t="shared" si="45"/>
        <v/>
      </c>
      <c r="S136" s="159" t="str">
        <f>IF(R136="","",IF(R136&gt;Data2!$C$12,Data2!$D$11,IF(R136&gt;Data2!$C$13,Data2!$D$12,IF(R136&gt;Data2!$C$14,Data2!$D$13,Data2!$D$14))))</f>
        <v/>
      </c>
      <c r="T136" s="144">
        <f t="shared" si="35"/>
        <v>95.2</v>
      </c>
      <c r="U136" s="144">
        <f t="shared" si="36"/>
        <v>80</v>
      </c>
      <c r="V136" s="144" t="str">
        <f t="shared" si="30"/>
        <v>Sangat baik</v>
      </c>
      <c r="W136" s="144" t="str">
        <f t="shared" si="31"/>
        <v>Cukup menguasai</v>
      </c>
      <c r="X136" s="144">
        <f t="shared" si="37"/>
        <v>3</v>
      </c>
      <c r="Y136" s="145">
        <f t="shared" si="38"/>
        <v>5</v>
      </c>
      <c r="Z136" s="218" t="str">
        <f>IF('PA-Non'!O136&lt;&gt;"",'PA-Non'!O136,IFERROR("Mempunyai kemampuan yang " &amp;IF(V136=W136,PROPER(W136)&amp;" dalam kompetensi "&amp;VLOOKUP(X136,$G$532:$I$539,3)&amp;" dan kompetensi "&amp;VLOOKUP(Y136,$G$532:$I$539,3),PROPER(V136)&amp;" dalam kompetensi "&amp;VLOOKUP(X136,$G$532:$I$539,3)&amp;" dan memiliki kemampuan yang "&amp;W136&amp;" pada kompetensi "&amp;VLOOKUP(Y136,$G$532:$I$539,3)),""))</f>
        <v>Mempunyai kemampuan yang Sangat Baik dalam kompetensi KD Pengetahuan-3 dan memiliki kemampuan yang Cukup menguasai pada kompetensi KD Pengetahuan-5</v>
      </c>
      <c r="AA136" s="343"/>
      <c r="AB136" s="344"/>
      <c r="AC136" s="344"/>
      <c r="AD136" s="344"/>
      <c r="AE136" s="344"/>
      <c r="AF136" s="344"/>
      <c r="AG136" s="344"/>
      <c r="AH136" s="345"/>
      <c r="AI136" s="220" t="str">
        <f t="shared" si="39"/>
        <v/>
      </c>
      <c r="AJ136" s="160" t="str">
        <f>IF(AI136="","",IF(AI136&gt;Data2!$C$12,Data2!$D$11,IF(AI136&gt;Data2!$C$13,Data2!$D$12,IF(AI136&gt;Data2!$C$14,Data2!$D$13,Data2!$D$14))))</f>
        <v/>
      </c>
      <c r="AK136" s="146">
        <f t="shared" si="40"/>
        <v>0</v>
      </c>
      <c r="AL136" s="146">
        <f t="shared" si="41"/>
        <v>0</v>
      </c>
      <c r="AM136" s="147" t="str">
        <f t="shared" si="32"/>
        <v>Mulai meningkat</v>
      </c>
      <c r="AN136" s="147" t="str">
        <f t="shared" si="33"/>
        <v>Mulai meningkat</v>
      </c>
      <c r="AO136" s="146" t="e">
        <f t="shared" si="42"/>
        <v>#N/A</v>
      </c>
      <c r="AP136" s="148" t="e">
        <f t="shared" si="43"/>
        <v>#N/A</v>
      </c>
      <c r="AQ136" s="158" t="str">
        <f>IF('PA-Non'!V136&lt;&gt;"",'PA-Non'!V136,IFERROR("Mempunyai keterampilan yang "&amp;IF(AM136=AN136,PROPER(AN136)&amp;" dalam kompetensi "&amp;VLOOKUP(AO136,$AA$532:$AC$539,3)&amp;", demikian juga dalam kompetensi "&amp;VLOOKUP(AP136,$AA$532:$AC$539,3),PROPER(AM136)&amp;" dalam kompetensi "&amp;VLOOKUP(AO136,$AA$532:$AC$539,3)&amp;" dan "&amp;AN136&amp;" pada kompetensi "&amp;VLOOKUP(AP136,$AA$532:$AC$539,3)),""))</f>
        <v/>
      </c>
      <c r="AR136" s="188"/>
    </row>
    <row r="137" spans="2:44" ht="27.9" customHeight="1" thickBot="1" x14ac:dyDescent="0.35">
      <c r="B137" s="384" t="s">
        <v>31</v>
      </c>
      <c r="C137" s="149">
        <f t="shared" si="44"/>
        <v>8</v>
      </c>
      <c r="D137" s="150" t="str">
        <f>IF(Data!F132="","",Data!F132)</f>
        <v>03653</v>
      </c>
      <c r="E137" s="151" t="str">
        <f>IF(Data!H132="","",Data!H132)</f>
        <v>Cinta Agustina Ramadhani</v>
      </c>
      <c r="F137" s="152" t="str">
        <f>IF(Data!I132="","",Data!I132)</f>
        <v>Perempuan</v>
      </c>
      <c r="G137" s="343">
        <v>95.1</v>
      </c>
      <c r="H137" s="344">
        <v>90</v>
      </c>
      <c r="I137" s="344">
        <v>95</v>
      </c>
      <c r="J137" s="344">
        <v>85.2</v>
      </c>
      <c r="K137" s="344">
        <v>85</v>
      </c>
      <c r="L137" s="344"/>
      <c r="M137" s="344"/>
      <c r="N137" s="345"/>
      <c r="O137" s="157">
        <f t="shared" si="34"/>
        <v>75</v>
      </c>
      <c r="P137" s="344"/>
      <c r="Q137" s="346"/>
      <c r="R137" s="157" t="str">
        <f t="shared" si="45"/>
        <v/>
      </c>
      <c r="S137" s="159" t="str">
        <f>IF(R137="","",IF(R137&gt;Data2!$C$12,Data2!$D$11,IF(R137&gt;Data2!$C$13,Data2!$D$12,IF(R137&gt;Data2!$C$14,Data2!$D$13,Data2!$D$14))))</f>
        <v/>
      </c>
      <c r="T137" s="144">
        <f t="shared" si="35"/>
        <v>95.1</v>
      </c>
      <c r="U137" s="144">
        <f t="shared" si="36"/>
        <v>85</v>
      </c>
      <c r="V137" s="144" t="str">
        <f t="shared" si="30"/>
        <v>Sangat baik</v>
      </c>
      <c r="W137" s="144" t="str">
        <f t="shared" si="31"/>
        <v>Cukup menguasai</v>
      </c>
      <c r="X137" s="144">
        <f t="shared" si="37"/>
        <v>1</v>
      </c>
      <c r="Y137" s="145">
        <f t="shared" si="38"/>
        <v>5</v>
      </c>
      <c r="Z137" s="218" t="str">
        <f>IF('PA-Non'!O137&lt;&gt;"",'PA-Non'!O137,IFERROR("Mempunyai kemampuan yang " &amp;IF(V137=W137,PROPER(W137)&amp;" dalam kompetensi "&amp;VLOOKUP(X137,$G$532:$I$539,3)&amp;" dan kompetensi "&amp;VLOOKUP(Y137,$G$532:$I$539,3),PROPER(V137)&amp;" dalam kompetensi "&amp;VLOOKUP(X137,$G$532:$I$539,3)&amp;" dan memiliki kemampuan yang "&amp;W137&amp;" pada kompetensi "&amp;VLOOKUP(Y137,$G$532:$I$539,3)),""))</f>
        <v>Mempunyai kemampuan yang Sangat Baik dalam kompetensi KD Pengetahuan-1 dan memiliki kemampuan yang Cukup menguasai pada kompetensi KD Pengetahuan-5</v>
      </c>
      <c r="AA137" s="343"/>
      <c r="AB137" s="344"/>
      <c r="AC137" s="344"/>
      <c r="AD137" s="344"/>
      <c r="AE137" s="344"/>
      <c r="AF137" s="344"/>
      <c r="AG137" s="344"/>
      <c r="AH137" s="345"/>
      <c r="AI137" s="220" t="str">
        <f t="shared" si="39"/>
        <v/>
      </c>
      <c r="AJ137" s="160" t="str">
        <f>IF(AI137="","",IF(AI137&gt;Data2!$C$12,Data2!$D$11,IF(AI137&gt;Data2!$C$13,Data2!$D$12,IF(AI137&gt;Data2!$C$14,Data2!$D$13,Data2!$D$14))))</f>
        <v/>
      </c>
      <c r="AK137" s="146">
        <f t="shared" si="40"/>
        <v>0</v>
      </c>
      <c r="AL137" s="146">
        <f t="shared" si="41"/>
        <v>0</v>
      </c>
      <c r="AM137" s="147" t="str">
        <f t="shared" si="32"/>
        <v>Mulai meningkat</v>
      </c>
      <c r="AN137" s="147" t="str">
        <f t="shared" si="33"/>
        <v>Mulai meningkat</v>
      </c>
      <c r="AO137" s="146" t="e">
        <f t="shared" si="42"/>
        <v>#N/A</v>
      </c>
      <c r="AP137" s="148" t="e">
        <f t="shared" si="43"/>
        <v>#N/A</v>
      </c>
      <c r="AQ137" s="158" t="str">
        <f>IF('PA-Non'!V137&lt;&gt;"",'PA-Non'!V137,IFERROR("Mempunyai keterampilan yang "&amp;IF(AM137=AN137,PROPER(AN137)&amp;" dalam kompetensi "&amp;VLOOKUP(AO137,$AA$532:$AC$539,3)&amp;", demikian juga dalam kompetensi "&amp;VLOOKUP(AP137,$AA$532:$AC$539,3),PROPER(AM137)&amp;" dalam kompetensi "&amp;VLOOKUP(AO137,$AA$532:$AC$539,3)&amp;" dan "&amp;AN137&amp;" pada kompetensi "&amp;VLOOKUP(AP137,$AA$532:$AC$539,3)),""))</f>
        <v/>
      </c>
      <c r="AR137" s="188"/>
    </row>
    <row r="138" spans="2:44" ht="27.9" customHeight="1" thickBot="1" x14ac:dyDescent="0.35">
      <c r="B138" s="384" t="s">
        <v>31</v>
      </c>
      <c r="C138" s="149">
        <f t="shared" si="44"/>
        <v>9</v>
      </c>
      <c r="D138" s="150" t="str">
        <f>IF(Data!F133="","",Data!F133)</f>
        <v>03654</v>
      </c>
      <c r="E138" s="151" t="str">
        <f>IF(Data!H133="","",Data!H133)</f>
        <v>Cinta Laetishya Azzahra</v>
      </c>
      <c r="F138" s="152" t="str">
        <f>IF(Data!I133="","",Data!I133)</f>
        <v>Perempuan</v>
      </c>
      <c r="G138" s="343">
        <v>78</v>
      </c>
      <c r="H138" s="344">
        <v>80.099999999999994</v>
      </c>
      <c r="I138" s="344">
        <v>80.2</v>
      </c>
      <c r="J138" s="344">
        <v>83</v>
      </c>
      <c r="K138" s="344">
        <v>80</v>
      </c>
      <c r="L138" s="344"/>
      <c r="M138" s="344"/>
      <c r="N138" s="345"/>
      <c r="O138" s="157">
        <f t="shared" si="34"/>
        <v>67</v>
      </c>
      <c r="P138" s="344"/>
      <c r="Q138" s="346"/>
      <c r="R138" s="157" t="str">
        <f t="shared" si="45"/>
        <v/>
      </c>
      <c r="S138" s="159" t="str">
        <f>IF(R138="","",IF(R138&gt;Data2!$C$12,Data2!$D$11,IF(R138&gt;Data2!$C$13,Data2!$D$12,IF(R138&gt;Data2!$C$14,Data2!$D$13,Data2!$D$14))))</f>
        <v/>
      </c>
      <c r="T138" s="144">
        <f t="shared" si="35"/>
        <v>83</v>
      </c>
      <c r="U138" s="144">
        <f t="shared" si="36"/>
        <v>78</v>
      </c>
      <c r="V138" s="144" t="str">
        <f t="shared" ref="V138:V201" si="94">IF(T138&gt;$I$560,$J$559,IF(T138&gt;$I$561,$J$560,IF(T138&gt;$I$562,$J$561,$J$562)))</f>
        <v>Cukup menguasai</v>
      </c>
      <c r="W138" s="144" t="str">
        <f t="shared" ref="W138:W201" si="95">IF(U138&gt;$I$560,$J$559,IF(U138&gt;$I$561,$J$560,IF(U138&gt;$I$562,$J$561,$J$562)))</f>
        <v>Cukup menguasai</v>
      </c>
      <c r="X138" s="144">
        <f t="shared" si="37"/>
        <v>4</v>
      </c>
      <c r="Y138" s="145">
        <f t="shared" si="38"/>
        <v>1</v>
      </c>
      <c r="Z138" s="218" t="str">
        <f>IF('PA-Non'!O138&lt;&gt;"",'PA-Non'!O138,IFERROR("Mempunyai kemampuan yang " &amp;IF(V138=W138,PROPER(W138)&amp;" dalam kompetensi "&amp;VLOOKUP(X138,$G$532:$I$539,3)&amp;" dan kompetensi "&amp;VLOOKUP(Y138,$G$532:$I$539,3),PROPER(V138)&amp;" dalam kompetensi "&amp;VLOOKUP(X138,$G$532:$I$539,3)&amp;" dan memiliki kemampuan yang "&amp;W138&amp;" pada kompetensi "&amp;VLOOKUP(Y138,$G$532:$I$539,3)),""))</f>
        <v>Mempunyai kemampuan yang Cukup Menguasai dalam kompetensi KD Pengetahuan-4 dan kompetensi KD Pengetahuan-1</v>
      </c>
      <c r="AA138" s="343"/>
      <c r="AB138" s="344"/>
      <c r="AC138" s="344"/>
      <c r="AD138" s="344"/>
      <c r="AE138" s="344"/>
      <c r="AF138" s="344"/>
      <c r="AG138" s="344"/>
      <c r="AH138" s="345"/>
      <c r="AI138" s="220" t="str">
        <f t="shared" si="39"/>
        <v/>
      </c>
      <c r="AJ138" s="160" t="str">
        <f>IF(AI138="","",IF(AI138&gt;Data2!$C$12,Data2!$D$11,IF(AI138&gt;Data2!$C$13,Data2!$D$12,IF(AI138&gt;Data2!$C$14,Data2!$D$13,Data2!$D$14))))</f>
        <v/>
      </c>
      <c r="AK138" s="146">
        <f t="shared" si="40"/>
        <v>0</v>
      </c>
      <c r="AL138" s="146">
        <f t="shared" si="41"/>
        <v>0</v>
      </c>
      <c r="AM138" s="147" t="str">
        <f t="shared" ref="AM138:AM201" si="96">IF(AK138&gt;$I$560,$AD$559,IF(AK138&gt;$I$561,$AD$560,IF(AK138&gt;$I$562,$AD$561,$AD$562)))</f>
        <v>Mulai meningkat</v>
      </c>
      <c r="AN138" s="147" t="str">
        <f t="shared" ref="AN138:AN201" si="97">IF(AL138&gt;$I$560,$AD$559,IF(AL138&gt;$I$561,$AD$560,IF(AL138&gt;$I$562,$AD$561,$AD$562)))</f>
        <v>Mulai meningkat</v>
      </c>
      <c r="AO138" s="146" t="e">
        <f t="shared" si="42"/>
        <v>#N/A</v>
      </c>
      <c r="AP138" s="148" t="e">
        <f t="shared" si="43"/>
        <v>#N/A</v>
      </c>
      <c r="AQ138" s="158" t="str">
        <f>IF('PA-Non'!V138&lt;&gt;"",'PA-Non'!V138,IFERROR("Mempunyai keterampilan yang "&amp;IF(AM138=AN138,PROPER(AN138)&amp;" dalam kompetensi "&amp;VLOOKUP(AO138,$AA$532:$AC$539,3)&amp;", demikian juga dalam kompetensi "&amp;VLOOKUP(AP138,$AA$532:$AC$539,3),PROPER(AM138)&amp;" dalam kompetensi "&amp;VLOOKUP(AO138,$AA$532:$AC$539,3)&amp;" dan "&amp;AN138&amp;" pada kompetensi "&amp;VLOOKUP(AP138,$AA$532:$AC$539,3)),""))</f>
        <v/>
      </c>
      <c r="AR138" s="188"/>
    </row>
    <row r="139" spans="2:44" ht="27.9" customHeight="1" thickBot="1" x14ac:dyDescent="0.35">
      <c r="B139" s="384" t="s">
        <v>31</v>
      </c>
      <c r="C139" s="149">
        <f t="shared" si="44"/>
        <v>10</v>
      </c>
      <c r="D139" s="150" t="str">
        <f>IF(Data!F134="","",Data!F134)</f>
        <v>03661</v>
      </c>
      <c r="E139" s="151" t="str">
        <f>IF(Data!H134="","",Data!H134)</f>
        <v>Dian Fatiha Najwa</v>
      </c>
      <c r="F139" s="152" t="str">
        <f>IF(Data!I134="","",Data!I134)</f>
        <v>Perempuan</v>
      </c>
      <c r="G139" s="343">
        <v>90.2</v>
      </c>
      <c r="H139" s="344">
        <v>90.3</v>
      </c>
      <c r="I139" s="344">
        <v>85</v>
      </c>
      <c r="J139" s="344">
        <v>90</v>
      </c>
      <c r="K139" s="344">
        <v>80</v>
      </c>
      <c r="L139" s="344"/>
      <c r="M139" s="344"/>
      <c r="N139" s="345"/>
      <c r="O139" s="157">
        <f t="shared" ref="O139:O188" si="98">IF(COUNT(G139:N139)&lt;3,"",ROUND(SUM(G139:N139)/$O$6,0))</f>
        <v>73</v>
      </c>
      <c r="P139" s="344"/>
      <c r="Q139" s="346"/>
      <c r="R139" s="157" t="str">
        <f t="shared" si="45"/>
        <v/>
      </c>
      <c r="S139" s="159" t="str">
        <f>IF(R139="","",IF(R139&gt;Data2!$C$12,Data2!$D$11,IF(R139&gt;Data2!$C$13,Data2!$D$12,IF(R139&gt;Data2!$C$14,Data2!$D$13,Data2!$D$14))))</f>
        <v/>
      </c>
      <c r="T139" s="144">
        <f t="shared" ref="T139:T188" si="99">MAX(G139:N139)</f>
        <v>90.3</v>
      </c>
      <c r="U139" s="144">
        <f t="shared" ref="U139:U188" si="100">MIN(G139:N139)</f>
        <v>80</v>
      </c>
      <c r="V139" s="144" t="str">
        <f t="shared" si="94"/>
        <v>Baik</v>
      </c>
      <c r="W139" s="144" t="str">
        <f t="shared" si="95"/>
        <v>Cukup menguasai</v>
      </c>
      <c r="X139" s="144">
        <f t="shared" ref="X139:X188" si="101">MATCH(T139,G139:N139,0)</f>
        <v>2</v>
      </c>
      <c r="Y139" s="145">
        <f t="shared" ref="Y139:Y188" si="102">MATCH(U139,G139:N139,0)</f>
        <v>5</v>
      </c>
      <c r="Z139" s="218" t="str">
        <f>IF('PA-Non'!O139&lt;&gt;"",'PA-Non'!O139,IFERROR("Mempunyai kemampuan yang " &amp;IF(V139=W139,PROPER(W139)&amp;" dalam kompetensi "&amp;VLOOKUP(X139,$G$532:$I$539,3)&amp;" dan kompetensi "&amp;VLOOKUP(Y139,$G$532:$I$539,3),PROPER(V139)&amp;" dalam kompetensi "&amp;VLOOKUP(X139,$G$532:$I$539,3)&amp;" dan memiliki kemampuan yang "&amp;W139&amp;" pada kompetensi "&amp;VLOOKUP(Y139,$G$532:$I$539,3)),""))</f>
        <v>Mempunyai kemampuan yang Baik dalam kompetensi KD Pengetahuan-2 dan memiliki kemampuan yang Cukup menguasai pada kompetensi KD Pengetahuan-5</v>
      </c>
      <c r="AA139" s="343"/>
      <c r="AB139" s="344"/>
      <c r="AC139" s="344"/>
      <c r="AD139" s="344"/>
      <c r="AE139" s="344"/>
      <c r="AF139" s="344"/>
      <c r="AG139" s="344"/>
      <c r="AH139" s="345"/>
      <c r="AI139" s="220" t="str">
        <f t="shared" ref="AI139:AI188" si="103">IF(COUNT(AA139:AH139)&lt;3,"",ROUND(((AA139*$AA$8)+(AB139*$AB$8)+(AC139*$AC$8)+(AD139*$AD$8)+(AE139*$AE$8)+(AF139*$AF$8)+(AG139*$AG$8)+(AH139*$AH$8))/$AI$6,0))</f>
        <v/>
      </c>
      <c r="AJ139" s="160" t="str">
        <f>IF(AI139="","",IF(AI139&gt;Data2!$C$12,Data2!$D$11,IF(AI139&gt;Data2!$C$13,Data2!$D$12,IF(AI139&gt;Data2!$C$14,Data2!$D$13,Data2!$D$14))))</f>
        <v/>
      </c>
      <c r="AK139" s="146">
        <f t="shared" ref="AK139:AK188" si="104">MAX(AA139:AH139)</f>
        <v>0</v>
      </c>
      <c r="AL139" s="146">
        <f t="shared" ref="AL139:AL188" si="105">MIN(AA139:AH139)</f>
        <v>0</v>
      </c>
      <c r="AM139" s="147" t="str">
        <f t="shared" si="96"/>
        <v>Mulai meningkat</v>
      </c>
      <c r="AN139" s="147" t="str">
        <f t="shared" si="97"/>
        <v>Mulai meningkat</v>
      </c>
      <c r="AO139" s="146" t="e">
        <f t="shared" ref="AO139:AO188" si="106">MATCH(AK139,AA139:AH139,0)</f>
        <v>#N/A</v>
      </c>
      <c r="AP139" s="148" t="e">
        <f t="shared" ref="AP139:AP188" si="107">MATCH(AL139,AA139:AH139,0)</f>
        <v>#N/A</v>
      </c>
      <c r="AQ139" s="158" t="str">
        <f>IF('PA-Non'!V139&lt;&gt;"",'PA-Non'!V139,IFERROR("Mempunyai keterampilan yang "&amp;IF(AM139=AN139,PROPER(AN139)&amp;" dalam kompetensi "&amp;VLOOKUP(AO139,$AA$532:$AC$539,3)&amp;", demikian juga dalam kompetensi "&amp;VLOOKUP(AP139,$AA$532:$AC$539,3),PROPER(AM139)&amp;" dalam kompetensi "&amp;VLOOKUP(AO139,$AA$532:$AC$539,3)&amp;" dan "&amp;AN139&amp;" pada kompetensi "&amp;VLOOKUP(AP139,$AA$532:$AC$539,3)),""))</f>
        <v/>
      </c>
      <c r="AR139" s="188"/>
    </row>
    <row r="140" spans="2:44" ht="27.9" customHeight="1" thickBot="1" x14ac:dyDescent="0.35">
      <c r="B140" s="384" t="s">
        <v>31</v>
      </c>
      <c r="C140" s="149">
        <f t="shared" ref="C140:C188" si="108">IF(E140="","",C139+1)</f>
        <v>11</v>
      </c>
      <c r="D140" s="150" t="str">
        <f>IF(Data!F135="","",Data!F135)</f>
        <v>03664</v>
      </c>
      <c r="E140" s="151" t="str">
        <f>IF(Data!H135="","",Data!H135)</f>
        <v>Diva Azka Adlina</v>
      </c>
      <c r="F140" s="152" t="str">
        <f>IF(Data!I135="","",Data!I135)</f>
        <v>Perempuan</v>
      </c>
      <c r="G140" s="343">
        <v>90.1</v>
      </c>
      <c r="H140" s="344">
        <v>85.2</v>
      </c>
      <c r="I140" s="344">
        <v>85</v>
      </c>
      <c r="J140" s="344">
        <v>90.2</v>
      </c>
      <c r="K140" s="344">
        <v>90</v>
      </c>
      <c r="L140" s="344"/>
      <c r="M140" s="344"/>
      <c r="N140" s="345"/>
      <c r="O140" s="157">
        <f t="shared" si="98"/>
        <v>73</v>
      </c>
      <c r="P140" s="344"/>
      <c r="Q140" s="346"/>
      <c r="R140" s="157" t="str">
        <f t="shared" ref="R140:R188" si="109">IFERROR(IF(OR(P140="",Q140=""),"",ROUND(((O140*$O$8)+(P140*$P$8)+(Q140*$Q$8))/$Q$6,0)),"")</f>
        <v/>
      </c>
      <c r="S140" s="159" t="str">
        <f>IF(R140="","",IF(R140&gt;Data2!$C$12,Data2!$D$11,IF(R140&gt;Data2!$C$13,Data2!$D$12,IF(R140&gt;Data2!$C$14,Data2!$D$13,Data2!$D$14))))</f>
        <v/>
      </c>
      <c r="T140" s="144">
        <f t="shared" si="99"/>
        <v>90.2</v>
      </c>
      <c r="U140" s="144">
        <f t="shared" si="100"/>
        <v>85</v>
      </c>
      <c r="V140" s="144" t="str">
        <f t="shared" si="94"/>
        <v>Baik</v>
      </c>
      <c r="W140" s="144" t="str">
        <f t="shared" si="95"/>
        <v>Cukup menguasai</v>
      </c>
      <c r="X140" s="144">
        <f t="shared" si="101"/>
        <v>4</v>
      </c>
      <c r="Y140" s="145">
        <f t="shared" si="102"/>
        <v>3</v>
      </c>
      <c r="Z140" s="218" t="str">
        <f>IF('PA-Non'!O140&lt;&gt;"",'PA-Non'!O140,IFERROR("Mempunyai kemampuan yang " &amp;IF(V140=W140,PROPER(W140)&amp;" dalam kompetensi "&amp;VLOOKUP(X140,$G$532:$I$539,3)&amp;" dan kompetensi "&amp;VLOOKUP(Y140,$G$532:$I$539,3),PROPER(V140)&amp;" dalam kompetensi "&amp;VLOOKUP(X140,$G$532:$I$539,3)&amp;" dan memiliki kemampuan yang "&amp;W140&amp;" pada kompetensi "&amp;VLOOKUP(Y140,$G$532:$I$539,3)),""))</f>
        <v>Mempunyai kemampuan yang Baik dalam kompetensi KD Pengetahuan-4 dan memiliki kemampuan yang Cukup menguasai pada kompetensi KD Pengetahuan-3</v>
      </c>
      <c r="AA140" s="343"/>
      <c r="AB140" s="344"/>
      <c r="AC140" s="344"/>
      <c r="AD140" s="344"/>
      <c r="AE140" s="344"/>
      <c r="AF140" s="344"/>
      <c r="AG140" s="344"/>
      <c r="AH140" s="345"/>
      <c r="AI140" s="220" t="str">
        <f t="shared" si="103"/>
        <v/>
      </c>
      <c r="AJ140" s="160" t="str">
        <f>IF(AI140="","",IF(AI140&gt;Data2!$C$12,Data2!$D$11,IF(AI140&gt;Data2!$C$13,Data2!$D$12,IF(AI140&gt;Data2!$C$14,Data2!$D$13,Data2!$D$14))))</f>
        <v/>
      </c>
      <c r="AK140" s="146">
        <f t="shared" si="104"/>
        <v>0</v>
      </c>
      <c r="AL140" s="146">
        <f t="shared" si="105"/>
        <v>0</v>
      </c>
      <c r="AM140" s="147" t="str">
        <f t="shared" si="96"/>
        <v>Mulai meningkat</v>
      </c>
      <c r="AN140" s="147" t="str">
        <f t="shared" si="97"/>
        <v>Mulai meningkat</v>
      </c>
      <c r="AO140" s="146" t="e">
        <f t="shared" si="106"/>
        <v>#N/A</v>
      </c>
      <c r="AP140" s="148" t="e">
        <f t="shared" si="107"/>
        <v>#N/A</v>
      </c>
      <c r="AQ140" s="158" t="str">
        <f>IF('PA-Non'!V140&lt;&gt;"",'PA-Non'!V140,IFERROR("Mempunyai keterampilan yang "&amp;IF(AM140=AN140,PROPER(AN140)&amp;" dalam kompetensi "&amp;VLOOKUP(AO140,$AA$532:$AC$539,3)&amp;", demikian juga dalam kompetensi "&amp;VLOOKUP(AP140,$AA$532:$AC$539,3),PROPER(AM140)&amp;" dalam kompetensi "&amp;VLOOKUP(AO140,$AA$532:$AC$539,3)&amp;" dan "&amp;AN140&amp;" pada kompetensi "&amp;VLOOKUP(AP140,$AA$532:$AC$539,3)),""))</f>
        <v/>
      </c>
      <c r="AR140" s="188"/>
    </row>
    <row r="141" spans="2:44" ht="27.9" customHeight="1" thickBot="1" x14ac:dyDescent="0.35">
      <c r="B141" s="384" t="s">
        <v>31</v>
      </c>
      <c r="C141" s="149">
        <f t="shared" si="108"/>
        <v>12</v>
      </c>
      <c r="D141" s="150" t="str">
        <f>IF(Data!F136="","",Data!F136)</f>
        <v>03670</v>
      </c>
      <c r="E141" s="151" t="str">
        <f>IF(Data!H136="","",Data!H136)</f>
        <v>Filzania Zaidatus Zafira Difta</v>
      </c>
      <c r="F141" s="152" t="str">
        <f>IF(Data!I136="","",Data!I136)</f>
        <v>Perempuan</v>
      </c>
      <c r="G141" s="343">
        <v>85.1</v>
      </c>
      <c r="H141" s="344">
        <v>80.2</v>
      </c>
      <c r="I141" s="344">
        <v>85</v>
      </c>
      <c r="J141" s="344">
        <v>80.3</v>
      </c>
      <c r="K141" s="344">
        <v>80</v>
      </c>
      <c r="L141" s="344"/>
      <c r="M141" s="344"/>
      <c r="N141" s="345"/>
      <c r="O141" s="157">
        <f t="shared" si="98"/>
        <v>68</v>
      </c>
      <c r="P141" s="344"/>
      <c r="Q141" s="346"/>
      <c r="R141" s="157" t="str">
        <f t="shared" si="109"/>
        <v/>
      </c>
      <c r="S141" s="159" t="str">
        <f>IF(R141="","",IF(R141&gt;Data2!$C$12,Data2!$D$11,IF(R141&gt;Data2!$C$13,Data2!$D$12,IF(R141&gt;Data2!$C$14,Data2!$D$13,Data2!$D$14))))</f>
        <v/>
      </c>
      <c r="T141" s="144">
        <f t="shared" si="99"/>
        <v>85.1</v>
      </c>
      <c r="U141" s="144">
        <f t="shared" si="100"/>
        <v>80</v>
      </c>
      <c r="V141" s="144" t="str">
        <f t="shared" si="94"/>
        <v>Baik</v>
      </c>
      <c r="W141" s="144" t="str">
        <f t="shared" si="95"/>
        <v>Cukup menguasai</v>
      </c>
      <c r="X141" s="144">
        <f t="shared" si="101"/>
        <v>1</v>
      </c>
      <c r="Y141" s="145">
        <f t="shared" si="102"/>
        <v>5</v>
      </c>
      <c r="Z141" s="218" t="str">
        <f>IF('PA-Non'!O141&lt;&gt;"",'PA-Non'!O141,IFERROR("Mempunyai kemampuan yang " &amp;IF(V141=W141,PROPER(W141)&amp;" dalam kompetensi "&amp;VLOOKUP(X141,$G$532:$I$539,3)&amp;" dan kompetensi "&amp;VLOOKUP(Y141,$G$532:$I$539,3),PROPER(V141)&amp;" dalam kompetensi "&amp;VLOOKUP(X141,$G$532:$I$539,3)&amp;" dan memiliki kemampuan yang "&amp;W141&amp;" pada kompetensi "&amp;VLOOKUP(Y141,$G$532:$I$539,3)),""))</f>
        <v>Mempunyai kemampuan yang Baik dalam kompetensi KD Pengetahuan-1 dan memiliki kemampuan yang Cukup menguasai pada kompetensi KD Pengetahuan-5</v>
      </c>
      <c r="AA141" s="343"/>
      <c r="AB141" s="344"/>
      <c r="AC141" s="344"/>
      <c r="AD141" s="344"/>
      <c r="AE141" s="344"/>
      <c r="AF141" s="344"/>
      <c r="AG141" s="344"/>
      <c r="AH141" s="345"/>
      <c r="AI141" s="220" t="str">
        <f t="shared" si="103"/>
        <v/>
      </c>
      <c r="AJ141" s="160" t="str">
        <f>IF(AI141="","",IF(AI141&gt;Data2!$C$12,Data2!$D$11,IF(AI141&gt;Data2!$C$13,Data2!$D$12,IF(AI141&gt;Data2!$C$14,Data2!$D$13,Data2!$D$14))))</f>
        <v/>
      </c>
      <c r="AK141" s="146">
        <f t="shared" si="104"/>
        <v>0</v>
      </c>
      <c r="AL141" s="146">
        <f t="shared" si="105"/>
        <v>0</v>
      </c>
      <c r="AM141" s="147" t="str">
        <f t="shared" si="96"/>
        <v>Mulai meningkat</v>
      </c>
      <c r="AN141" s="147" t="str">
        <f t="shared" si="97"/>
        <v>Mulai meningkat</v>
      </c>
      <c r="AO141" s="146" t="e">
        <f t="shared" si="106"/>
        <v>#N/A</v>
      </c>
      <c r="AP141" s="148" t="e">
        <f t="shared" si="107"/>
        <v>#N/A</v>
      </c>
      <c r="AQ141" s="158" t="str">
        <f>IF('PA-Non'!V141&lt;&gt;"",'PA-Non'!V141,IFERROR("Mempunyai keterampilan yang "&amp;IF(AM141=AN141,PROPER(AN141)&amp;" dalam kompetensi "&amp;VLOOKUP(AO141,$AA$532:$AC$539,3)&amp;", demikian juga dalam kompetensi "&amp;VLOOKUP(AP141,$AA$532:$AC$539,3),PROPER(AM141)&amp;" dalam kompetensi "&amp;VLOOKUP(AO141,$AA$532:$AC$539,3)&amp;" dan "&amp;AN141&amp;" pada kompetensi "&amp;VLOOKUP(AP141,$AA$532:$AC$539,3)),""))</f>
        <v/>
      </c>
      <c r="AR141" s="188"/>
    </row>
    <row r="142" spans="2:44" ht="27.9" customHeight="1" thickBot="1" x14ac:dyDescent="0.35">
      <c r="B142" s="384" t="s">
        <v>31</v>
      </c>
      <c r="C142" s="149">
        <f t="shared" si="108"/>
        <v>13</v>
      </c>
      <c r="D142" s="150" t="str">
        <f>IF(Data!F137="","",Data!F137)</f>
        <v>03676</v>
      </c>
      <c r="E142" s="151" t="str">
        <f>IF(Data!H137="","",Data!H137)</f>
        <v>Inaya Fajria Sany</v>
      </c>
      <c r="F142" s="152" t="str">
        <f>IF(Data!I137="","",Data!I137)</f>
        <v>Perempuan</v>
      </c>
      <c r="G142" s="343">
        <v>100</v>
      </c>
      <c r="H142" s="344">
        <v>95</v>
      </c>
      <c r="I142" s="344">
        <v>80.099999999999994</v>
      </c>
      <c r="J142" s="344">
        <v>85</v>
      </c>
      <c r="K142" s="344">
        <v>80</v>
      </c>
      <c r="L142" s="344"/>
      <c r="M142" s="344"/>
      <c r="N142" s="345"/>
      <c r="O142" s="157">
        <f t="shared" si="98"/>
        <v>73</v>
      </c>
      <c r="P142" s="344"/>
      <c r="Q142" s="346"/>
      <c r="R142" s="157" t="str">
        <f t="shared" si="109"/>
        <v/>
      </c>
      <c r="S142" s="159" t="str">
        <f>IF(R142="","",IF(R142&gt;Data2!$C$12,Data2!$D$11,IF(R142&gt;Data2!$C$13,Data2!$D$12,IF(R142&gt;Data2!$C$14,Data2!$D$13,Data2!$D$14))))</f>
        <v/>
      </c>
      <c r="T142" s="144">
        <f t="shared" si="99"/>
        <v>100</v>
      </c>
      <c r="U142" s="144">
        <f t="shared" si="100"/>
        <v>80</v>
      </c>
      <c r="V142" s="144" t="str">
        <f t="shared" si="94"/>
        <v>Sangat baik</v>
      </c>
      <c r="W142" s="144" t="str">
        <f t="shared" si="95"/>
        <v>Cukup menguasai</v>
      </c>
      <c r="X142" s="144">
        <f t="shared" si="101"/>
        <v>1</v>
      </c>
      <c r="Y142" s="145">
        <f t="shared" si="102"/>
        <v>5</v>
      </c>
      <c r="Z142" s="218" t="str">
        <f>IF('PA-Non'!O142&lt;&gt;"",'PA-Non'!O142,IFERROR("Mempunyai kemampuan yang " &amp;IF(V142=W142,PROPER(W142)&amp;" dalam kompetensi "&amp;VLOOKUP(X142,$G$532:$I$539,3)&amp;" dan kompetensi "&amp;VLOOKUP(Y142,$G$532:$I$539,3),PROPER(V142)&amp;" dalam kompetensi "&amp;VLOOKUP(X142,$G$532:$I$539,3)&amp;" dan memiliki kemampuan yang "&amp;W142&amp;" pada kompetensi "&amp;VLOOKUP(Y142,$G$532:$I$539,3)),""))</f>
        <v>Mempunyai kemampuan yang Sangat Baik dalam kompetensi KD Pengetahuan-1 dan memiliki kemampuan yang Cukup menguasai pada kompetensi KD Pengetahuan-5</v>
      </c>
      <c r="AA142" s="343"/>
      <c r="AB142" s="344"/>
      <c r="AC142" s="344"/>
      <c r="AD142" s="344"/>
      <c r="AE142" s="344"/>
      <c r="AF142" s="344"/>
      <c r="AG142" s="344"/>
      <c r="AH142" s="345"/>
      <c r="AI142" s="220" t="str">
        <f t="shared" si="103"/>
        <v/>
      </c>
      <c r="AJ142" s="160" t="str">
        <f>IF(AI142="","",IF(AI142&gt;Data2!$C$12,Data2!$D$11,IF(AI142&gt;Data2!$C$13,Data2!$D$12,IF(AI142&gt;Data2!$C$14,Data2!$D$13,Data2!$D$14))))</f>
        <v/>
      </c>
      <c r="AK142" s="146">
        <f t="shared" si="104"/>
        <v>0</v>
      </c>
      <c r="AL142" s="146">
        <f t="shared" si="105"/>
        <v>0</v>
      </c>
      <c r="AM142" s="147" t="str">
        <f t="shared" si="96"/>
        <v>Mulai meningkat</v>
      </c>
      <c r="AN142" s="147" t="str">
        <f t="shared" si="97"/>
        <v>Mulai meningkat</v>
      </c>
      <c r="AO142" s="146" t="e">
        <f t="shared" si="106"/>
        <v>#N/A</v>
      </c>
      <c r="AP142" s="148" t="e">
        <f t="shared" si="107"/>
        <v>#N/A</v>
      </c>
      <c r="AQ142" s="158" t="str">
        <f>IF('PA-Non'!V142&lt;&gt;"",'PA-Non'!V142,IFERROR("Mempunyai keterampilan yang "&amp;IF(AM142=AN142,PROPER(AN142)&amp;" dalam kompetensi "&amp;VLOOKUP(AO142,$AA$532:$AC$539,3)&amp;", demikian juga dalam kompetensi "&amp;VLOOKUP(AP142,$AA$532:$AC$539,3),PROPER(AM142)&amp;" dalam kompetensi "&amp;VLOOKUP(AO142,$AA$532:$AC$539,3)&amp;" dan "&amp;AN142&amp;" pada kompetensi "&amp;VLOOKUP(AP142,$AA$532:$AC$539,3)),""))</f>
        <v/>
      </c>
      <c r="AR142" s="188"/>
    </row>
    <row r="143" spans="2:44" ht="27.9" customHeight="1" thickBot="1" x14ac:dyDescent="0.35">
      <c r="B143" s="384" t="s">
        <v>31</v>
      </c>
      <c r="C143" s="149">
        <f t="shared" si="108"/>
        <v>14</v>
      </c>
      <c r="D143" s="150" t="str">
        <f>IF(Data!F138="","",Data!F138)</f>
        <v>03677</v>
      </c>
      <c r="E143" s="151" t="str">
        <f>IF(Data!H138="","",Data!H138)</f>
        <v>Intan Nur Aini</v>
      </c>
      <c r="F143" s="152" t="str">
        <f>IF(Data!I138="","",Data!I138)</f>
        <v>Perempuan</v>
      </c>
      <c r="G143" s="343">
        <v>90</v>
      </c>
      <c r="H143" s="344">
        <v>80</v>
      </c>
      <c r="I143" s="344">
        <v>85.2</v>
      </c>
      <c r="J143" s="344">
        <v>85</v>
      </c>
      <c r="K143" s="344">
        <v>80.099999999999994</v>
      </c>
      <c r="L143" s="344"/>
      <c r="M143" s="344"/>
      <c r="N143" s="345"/>
      <c r="O143" s="157">
        <f t="shared" si="98"/>
        <v>70</v>
      </c>
      <c r="P143" s="344"/>
      <c r="Q143" s="346"/>
      <c r="R143" s="157" t="str">
        <f t="shared" si="109"/>
        <v/>
      </c>
      <c r="S143" s="159" t="str">
        <f>IF(R143="","",IF(R143&gt;Data2!$C$12,Data2!$D$11,IF(R143&gt;Data2!$C$13,Data2!$D$12,IF(R143&gt;Data2!$C$14,Data2!$D$13,Data2!$D$14))))</f>
        <v/>
      </c>
      <c r="T143" s="144">
        <f t="shared" si="99"/>
        <v>90</v>
      </c>
      <c r="U143" s="144">
        <f t="shared" si="100"/>
        <v>80</v>
      </c>
      <c r="V143" s="144" t="str">
        <f t="shared" si="94"/>
        <v>Baik</v>
      </c>
      <c r="W143" s="144" t="str">
        <f t="shared" si="95"/>
        <v>Cukup menguasai</v>
      </c>
      <c r="X143" s="144">
        <f t="shared" si="101"/>
        <v>1</v>
      </c>
      <c r="Y143" s="145">
        <f t="shared" si="102"/>
        <v>2</v>
      </c>
      <c r="Z143" s="218" t="str">
        <f>IF('PA-Non'!O143&lt;&gt;"",'PA-Non'!O143,IFERROR("Mempunyai kemampuan yang " &amp;IF(V143=W143,PROPER(W143)&amp;" dalam kompetensi "&amp;VLOOKUP(X143,$G$532:$I$539,3)&amp;" dan kompetensi "&amp;VLOOKUP(Y143,$G$532:$I$539,3),PROPER(V143)&amp;" dalam kompetensi "&amp;VLOOKUP(X143,$G$532:$I$539,3)&amp;" dan memiliki kemampuan yang "&amp;W143&amp;" pada kompetensi "&amp;VLOOKUP(Y143,$G$532:$I$539,3)),""))</f>
        <v>Mempunyai kemampuan yang Baik dalam kompetensi KD Pengetahuan-1 dan memiliki kemampuan yang Cukup menguasai pada kompetensi KD Pengetahuan-2</v>
      </c>
      <c r="AA143" s="343"/>
      <c r="AB143" s="344"/>
      <c r="AC143" s="344"/>
      <c r="AD143" s="344"/>
      <c r="AE143" s="344"/>
      <c r="AF143" s="344"/>
      <c r="AG143" s="344"/>
      <c r="AH143" s="345"/>
      <c r="AI143" s="220" t="str">
        <f t="shared" si="103"/>
        <v/>
      </c>
      <c r="AJ143" s="160" t="str">
        <f>IF(AI143="","",IF(AI143&gt;Data2!$C$12,Data2!$D$11,IF(AI143&gt;Data2!$C$13,Data2!$D$12,IF(AI143&gt;Data2!$C$14,Data2!$D$13,Data2!$D$14))))</f>
        <v/>
      </c>
      <c r="AK143" s="146">
        <f t="shared" si="104"/>
        <v>0</v>
      </c>
      <c r="AL143" s="146">
        <f t="shared" si="105"/>
        <v>0</v>
      </c>
      <c r="AM143" s="147" t="str">
        <f t="shared" si="96"/>
        <v>Mulai meningkat</v>
      </c>
      <c r="AN143" s="147" t="str">
        <f t="shared" si="97"/>
        <v>Mulai meningkat</v>
      </c>
      <c r="AO143" s="146" t="e">
        <f t="shared" si="106"/>
        <v>#N/A</v>
      </c>
      <c r="AP143" s="148" t="e">
        <f t="shared" si="107"/>
        <v>#N/A</v>
      </c>
      <c r="AQ143" s="158" t="str">
        <f>IF('PA-Non'!V143&lt;&gt;"",'PA-Non'!V143,IFERROR("Mempunyai keterampilan yang "&amp;IF(AM143=AN143,PROPER(AN143)&amp;" dalam kompetensi "&amp;VLOOKUP(AO143,$AA$532:$AC$539,3)&amp;", demikian juga dalam kompetensi "&amp;VLOOKUP(AP143,$AA$532:$AC$539,3),PROPER(AM143)&amp;" dalam kompetensi "&amp;VLOOKUP(AO143,$AA$532:$AC$539,3)&amp;" dan "&amp;AN143&amp;" pada kompetensi "&amp;VLOOKUP(AP143,$AA$532:$AC$539,3)),""))</f>
        <v/>
      </c>
      <c r="AR143" s="188"/>
    </row>
    <row r="144" spans="2:44" ht="27.9" customHeight="1" thickBot="1" x14ac:dyDescent="0.35">
      <c r="B144" s="384" t="s">
        <v>31</v>
      </c>
      <c r="C144" s="149">
        <f t="shared" si="108"/>
        <v>15</v>
      </c>
      <c r="D144" s="150" t="str">
        <f>IF(Data!F139="","",Data!F139)</f>
        <v>03678</v>
      </c>
      <c r="E144" s="151" t="str">
        <f>IF(Data!H139="","",Data!H139)</f>
        <v>Irsana Ro'fatul Ula</v>
      </c>
      <c r="F144" s="152" t="str">
        <f>IF(Data!I139="","",Data!I139)</f>
        <v>Perempuan</v>
      </c>
      <c r="G144" s="343">
        <v>85.1</v>
      </c>
      <c r="H144" s="344">
        <v>80.2</v>
      </c>
      <c r="I144" s="344">
        <v>80</v>
      </c>
      <c r="J144" s="344">
        <v>85</v>
      </c>
      <c r="K144" s="344">
        <v>85.3</v>
      </c>
      <c r="L144" s="344"/>
      <c r="M144" s="344"/>
      <c r="N144" s="345"/>
      <c r="O144" s="157">
        <f t="shared" si="98"/>
        <v>69</v>
      </c>
      <c r="P144" s="344"/>
      <c r="Q144" s="346"/>
      <c r="R144" s="157" t="str">
        <f t="shared" si="109"/>
        <v/>
      </c>
      <c r="S144" s="159" t="str">
        <f>IF(R144="","",IF(R144&gt;Data2!$C$12,Data2!$D$11,IF(R144&gt;Data2!$C$13,Data2!$D$12,IF(R144&gt;Data2!$C$14,Data2!$D$13,Data2!$D$14))))</f>
        <v/>
      </c>
      <c r="T144" s="144">
        <f t="shared" si="99"/>
        <v>85.3</v>
      </c>
      <c r="U144" s="144">
        <f t="shared" si="100"/>
        <v>80</v>
      </c>
      <c r="V144" s="144" t="str">
        <f t="shared" si="94"/>
        <v>Baik</v>
      </c>
      <c r="W144" s="144" t="str">
        <f t="shared" si="95"/>
        <v>Cukup menguasai</v>
      </c>
      <c r="X144" s="144">
        <f t="shared" si="101"/>
        <v>5</v>
      </c>
      <c r="Y144" s="145">
        <f t="shared" si="102"/>
        <v>3</v>
      </c>
      <c r="Z144" s="218" t="str">
        <f>IF('PA-Non'!O144&lt;&gt;"",'PA-Non'!O144,IFERROR("Mempunyai kemampuan yang " &amp;IF(V144=W144,PROPER(W144)&amp;" dalam kompetensi "&amp;VLOOKUP(X144,$G$532:$I$539,3)&amp;" dan kompetensi "&amp;VLOOKUP(Y144,$G$532:$I$539,3),PROPER(V144)&amp;" dalam kompetensi "&amp;VLOOKUP(X144,$G$532:$I$539,3)&amp;" dan memiliki kemampuan yang "&amp;W144&amp;" pada kompetensi "&amp;VLOOKUP(Y144,$G$532:$I$539,3)),""))</f>
        <v>Mempunyai kemampuan yang Baik dalam kompetensi KD Pengetahuan-5 dan memiliki kemampuan yang Cukup menguasai pada kompetensi KD Pengetahuan-3</v>
      </c>
      <c r="AA144" s="343"/>
      <c r="AB144" s="344"/>
      <c r="AC144" s="344"/>
      <c r="AD144" s="344"/>
      <c r="AE144" s="344"/>
      <c r="AF144" s="344"/>
      <c r="AG144" s="344"/>
      <c r="AH144" s="345"/>
      <c r="AI144" s="220" t="str">
        <f t="shared" si="103"/>
        <v/>
      </c>
      <c r="AJ144" s="160" t="str">
        <f>IF(AI144="","",IF(AI144&gt;Data2!$C$12,Data2!$D$11,IF(AI144&gt;Data2!$C$13,Data2!$D$12,IF(AI144&gt;Data2!$C$14,Data2!$D$13,Data2!$D$14))))</f>
        <v/>
      </c>
      <c r="AK144" s="146">
        <f t="shared" si="104"/>
        <v>0</v>
      </c>
      <c r="AL144" s="146">
        <f t="shared" si="105"/>
        <v>0</v>
      </c>
      <c r="AM144" s="147" t="str">
        <f t="shared" si="96"/>
        <v>Mulai meningkat</v>
      </c>
      <c r="AN144" s="147" t="str">
        <f t="shared" si="97"/>
        <v>Mulai meningkat</v>
      </c>
      <c r="AO144" s="146" t="e">
        <f t="shared" si="106"/>
        <v>#N/A</v>
      </c>
      <c r="AP144" s="148" t="e">
        <f t="shared" si="107"/>
        <v>#N/A</v>
      </c>
      <c r="AQ144" s="158" t="str">
        <f>IF('PA-Non'!V144&lt;&gt;"",'PA-Non'!V144,IFERROR("Mempunyai keterampilan yang "&amp;IF(AM144=AN144,PROPER(AN144)&amp;" dalam kompetensi "&amp;VLOOKUP(AO144,$AA$532:$AC$539,3)&amp;", demikian juga dalam kompetensi "&amp;VLOOKUP(AP144,$AA$532:$AC$539,3),PROPER(AM144)&amp;" dalam kompetensi "&amp;VLOOKUP(AO144,$AA$532:$AC$539,3)&amp;" dan "&amp;AN144&amp;" pada kompetensi "&amp;VLOOKUP(AP144,$AA$532:$AC$539,3)),""))</f>
        <v/>
      </c>
      <c r="AR144" s="188"/>
    </row>
    <row r="145" spans="2:44" ht="27.9" customHeight="1" thickBot="1" x14ac:dyDescent="0.35">
      <c r="B145" s="384" t="s">
        <v>31</v>
      </c>
      <c r="C145" s="149">
        <f t="shared" si="108"/>
        <v>16</v>
      </c>
      <c r="D145" s="150" t="str">
        <f>IF(Data!F140="","",Data!F140)</f>
        <v>03680</v>
      </c>
      <c r="E145" s="151" t="str">
        <f>IF(Data!H140="","",Data!H140)</f>
        <v>Julia Ramadhani</v>
      </c>
      <c r="F145" s="152" t="str">
        <f>IF(Data!I140="","",Data!I140)</f>
        <v>Perempuan</v>
      </c>
      <c r="G145" s="343">
        <v>85.1</v>
      </c>
      <c r="H145" s="344">
        <v>85.2</v>
      </c>
      <c r="I145" s="344">
        <v>85</v>
      </c>
      <c r="J145" s="344">
        <v>83</v>
      </c>
      <c r="K145" s="344">
        <v>80</v>
      </c>
      <c r="L145" s="344"/>
      <c r="M145" s="344"/>
      <c r="N145" s="345"/>
      <c r="O145" s="157">
        <f t="shared" si="98"/>
        <v>70</v>
      </c>
      <c r="P145" s="344"/>
      <c r="Q145" s="346"/>
      <c r="R145" s="157" t="str">
        <f t="shared" si="109"/>
        <v/>
      </c>
      <c r="S145" s="159" t="str">
        <f>IF(R145="","",IF(R145&gt;Data2!$C$12,Data2!$D$11,IF(R145&gt;Data2!$C$13,Data2!$D$12,IF(R145&gt;Data2!$C$14,Data2!$D$13,Data2!$D$14))))</f>
        <v/>
      </c>
      <c r="T145" s="144">
        <f t="shared" si="99"/>
        <v>85.2</v>
      </c>
      <c r="U145" s="144">
        <f t="shared" si="100"/>
        <v>80</v>
      </c>
      <c r="V145" s="144" t="str">
        <f t="shared" si="94"/>
        <v>Baik</v>
      </c>
      <c r="W145" s="144" t="str">
        <f t="shared" si="95"/>
        <v>Cukup menguasai</v>
      </c>
      <c r="X145" s="144">
        <f t="shared" si="101"/>
        <v>2</v>
      </c>
      <c r="Y145" s="145">
        <f t="shared" si="102"/>
        <v>5</v>
      </c>
      <c r="Z145" s="218" t="str">
        <f>IF('PA-Non'!O145&lt;&gt;"",'PA-Non'!O145,IFERROR("Mempunyai kemampuan yang " &amp;IF(V145=W145,PROPER(W145)&amp;" dalam kompetensi "&amp;VLOOKUP(X145,$G$532:$I$539,3)&amp;" dan kompetensi "&amp;VLOOKUP(Y145,$G$532:$I$539,3),PROPER(V145)&amp;" dalam kompetensi "&amp;VLOOKUP(X145,$G$532:$I$539,3)&amp;" dan memiliki kemampuan yang "&amp;W145&amp;" pada kompetensi "&amp;VLOOKUP(Y145,$G$532:$I$539,3)),""))</f>
        <v>Mempunyai kemampuan yang Baik dalam kompetensi KD Pengetahuan-2 dan memiliki kemampuan yang Cukup menguasai pada kompetensi KD Pengetahuan-5</v>
      </c>
      <c r="AA145" s="343"/>
      <c r="AB145" s="344"/>
      <c r="AC145" s="344"/>
      <c r="AD145" s="344"/>
      <c r="AE145" s="344"/>
      <c r="AF145" s="344"/>
      <c r="AG145" s="344"/>
      <c r="AH145" s="345"/>
      <c r="AI145" s="220" t="str">
        <f t="shared" si="103"/>
        <v/>
      </c>
      <c r="AJ145" s="160" t="str">
        <f>IF(AI145="","",IF(AI145&gt;Data2!$C$12,Data2!$D$11,IF(AI145&gt;Data2!$C$13,Data2!$D$12,IF(AI145&gt;Data2!$C$14,Data2!$D$13,Data2!$D$14))))</f>
        <v/>
      </c>
      <c r="AK145" s="146">
        <f t="shared" si="104"/>
        <v>0</v>
      </c>
      <c r="AL145" s="146">
        <f t="shared" si="105"/>
        <v>0</v>
      </c>
      <c r="AM145" s="147" t="str">
        <f t="shared" si="96"/>
        <v>Mulai meningkat</v>
      </c>
      <c r="AN145" s="147" t="str">
        <f t="shared" si="97"/>
        <v>Mulai meningkat</v>
      </c>
      <c r="AO145" s="146" t="e">
        <f t="shared" si="106"/>
        <v>#N/A</v>
      </c>
      <c r="AP145" s="148" t="e">
        <f t="shared" si="107"/>
        <v>#N/A</v>
      </c>
      <c r="AQ145" s="158" t="str">
        <f>IF('PA-Non'!V145&lt;&gt;"",'PA-Non'!V145,IFERROR("Mempunyai keterampilan yang "&amp;IF(AM145=AN145,PROPER(AN145)&amp;" dalam kompetensi "&amp;VLOOKUP(AO145,$AA$532:$AC$539,3)&amp;", demikian juga dalam kompetensi "&amp;VLOOKUP(AP145,$AA$532:$AC$539,3),PROPER(AM145)&amp;" dalam kompetensi "&amp;VLOOKUP(AO145,$AA$532:$AC$539,3)&amp;" dan "&amp;AN145&amp;" pada kompetensi "&amp;VLOOKUP(AP145,$AA$532:$AC$539,3)),""))</f>
        <v/>
      </c>
      <c r="AR145" s="188"/>
    </row>
    <row r="146" spans="2:44" ht="27.9" customHeight="1" thickBot="1" x14ac:dyDescent="0.35">
      <c r="B146" s="384" t="s">
        <v>31</v>
      </c>
      <c r="C146" s="149">
        <f t="shared" si="108"/>
        <v>17</v>
      </c>
      <c r="D146" s="150" t="str">
        <f>IF(Data!F141="","",Data!F141)</f>
        <v>03688</v>
      </c>
      <c r="E146" s="151" t="str">
        <f>IF(Data!H141="","",Data!H141)</f>
        <v>Laila A'imatul Musyayadah</v>
      </c>
      <c r="F146" s="152" t="str">
        <f>IF(Data!I141="","",Data!I141)</f>
        <v>Perempuan</v>
      </c>
      <c r="G146" s="343">
        <v>85.1</v>
      </c>
      <c r="H146" s="344">
        <v>80</v>
      </c>
      <c r="I146" s="344">
        <v>80.2</v>
      </c>
      <c r="J146" s="344">
        <v>85</v>
      </c>
      <c r="K146" s="344">
        <v>85.3</v>
      </c>
      <c r="L146" s="344"/>
      <c r="M146" s="344"/>
      <c r="N146" s="345"/>
      <c r="O146" s="157">
        <f t="shared" si="98"/>
        <v>69</v>
      </c>
      <c r="P146" s="344"/>
      <c r="Q146" s="346"/>
      <c r="R146" s="157" t="str">
        <f t="shared" si="109"/>
        <v/>
      </c>
      <c r="S146" s="159" t="str">
        <f>IF(R146="","",IF(R146&gt;Data2!$C$12,Data2!$D$11,IF(R146&gt;Data2!$C$13,Data2!$D$12,IF(R146&gt;Data2!$C$14,Data2!$D$13,Data2!$D$14))))</f>
        <v/>
      </c>
      <c r="T146" s="144">
        <f t="shared" si="99"/>
        <v>85.3</v>
      </c>
      <c r="U146" s="144">
        <f t="shared" si="100"/>
        <v>80</v>
      </c>
      <c r="V146" s="144" t="str">
        <f t="shared" si="94"/>
        <v>Baik</v>
      </c>
      <c r="W146" s="144" t="str">
        <f t="shared" si="95"/>
        <v>Cukup menguasai</v>
      </c>
      <c r="X146" s="144">
        <f t="shared" si="101"/>
        <v>5</v>
      </c>
      <c r="Y146" s="145">
        <f t="shared" si="102"/>
        <v>2</v>
      </c>
      <c r="Z146" s="218" t="str">
        <f>IF('PA-Non'!O146&lt;&gt;"",'PA-Non'!O146,IFERROR("Mempunyai kemampuan yang " &amp;IF(V146=W146,PROPER(W146)&amp;" dalam kompetensi "&amp;VLOOKUP(X146,$G$532:$I$539,3)&amp;" dan kompetensi "&amp;VLOOKUP(Y146,$G$532:$I$539,3),PROPER(V146)&amp;" dalam kompetensi "&amp;VLOOKUP(X146,$G$532:$I$539,3)&amp;" dan memiliki kemampuan yang "&amp;W146&amp;" pada kompetensi "&amp;VLOOKUP(Y146,$G$532:$I$539,3)),""))</f>
        <v>Mempunyai kemampuan yang Baik dalam kompetensi KD Pengetahuan-5 dan memiliki kemampuan yang Cukup menguasai pada kompetensi KD Pengetahuan-2</v>
      </c>
      <c r="AA146" s="343"/>
      <c r="AB146" s="344"/>
      <c r="AC146" s="344"/>
      <c r="AD146" s="344"/>
      <c r="AE146" s="344"/>
      <c r="AF146" s="344"/>
      <c r="AG146" s="344"/>
      <c r="AH146" s="345"/>
      <c r="AI146" s="220" t="str">
        <f t="shared" si="103"/>
        <v/>
      </c>
      <c r="AJ146" s="160" t="str">
        <f>IF(AI146="","",IF(AI146&gt;Data2!$C$12,Data2!$D$11,IF(AI146&gt;Data2!$C$13,Data2!$D$12,IF(AI146&gt;Data2!$C$14,Data2!$D$13,Data2!$D$14))))</f>
        <v/>
      </c>
      <c r="AK146" s="146">
        <f t="shared" si="104"/>
        <v>0</v>
      </c>
      <c r="AL146" s="146">
        <f t="shared" si="105"/>
        <v>0</v>
      </c>
      <c r="AM146" s="147" t="str">
        <f t="shared" si="96"/>
        <v>Mulai meningkat</v>
      </c>
      <c r="AN146" s="147" t="str">
        <f t="shared" si="97"/>
        <v>Mulai meningkat</v>
      </c>
      <c r="AO146" s="146" t="e">
        <f t="shared" si="106"/>
        <v>#N/A</v>
      </c>
      <c r="AP146" s="148" t="e">
        <f t="shared" si="107"/>
        <v>#N/A</v>
      </c>
      <c r="AQ146" s="158" t="str">
        <f>IF('PA-Non'!V146&lt;&gt;"",'PA-Non'!V146,IFERROR("Mempunyai keterampilan yang "&amp;IF(AM146=AN146,PROPER(AN146)&amp;" dalam kompetensi "&amp;VLOOKUP(AO146,$AA$532:$AC$539,3)&amp;", demikian juga dalam kompetensi "&amp;VLOOKUP(AP146,$AA$532:$AC$539,3),PROPER(AM146)&amp;" dalam kompetensi "&amp;VLOOKUP(AO146,$AA$532:$AC$539,3)&amp;" dan "&amp;AN146&amp;" pada kompetensi "&amp;VLOOKUP(AP146,$AA$532:$AC$539,3)),""))</f>
        <v/>
      </c>
      <c r="AR146" s="188"/>
    </row>
    <row r="147" spans="2:44" ht="27.9" customHeight="1" thickBot="1" x14ac:dyDescent="0.35">
      <c r="B147" s="384" t="s">
        <v>31</v>
      </c>
      <c r="C147" s="149">
        <f t="shared" si="108"/>
        <v>18</v>
      </c>
      <c r="D147" s="150" t="str">
        <f>IF(Data!F142="","",Data!F142)</f>
        <v>03691</v>
      </c>
      <c r="E147" s="151" t="str">
        <f>IF(Data!H142="","",Data!H142)</f>
        <v>Maulida Aqilatul Fitria</v>
      </c>
      <c r="F147" s="152" t="str">
        <f>IF(Data!I142="","",Data!I142)</f>
        <v>Perempuan</v>
      </c>
      <c r="G147" s="343">
        <v>95</v>
      </c>
      <c r="H147" s="344">
        <v>83</v>
      </c>
      <c r="I147" s="344">
        <v>85.1</v>
      </c>
      <c r="J147" s="344">
        <v>85</v>
      </c>
      <c r="K147" s="344">
        <v>80</v>
      </c>
      <c r="L147" s="344"/>
      <c r="M147" s="344"/>
      <c r="N147" s="345"/>
      <c r="O147" s="157">
        <f t="shared" si="98"/>
        <v>71</v>
      </c>
      <c r="P147" s="344"/>
      <c r="Q147" s="346"/>
      <c r="R147" s="157" t="str">
        <f t="shared" si="109"/>
        <v/>
      </c>
      <c r="S147" s="159" t="str">
        <f>IF(R147="","",IF(R147&gt;Data2!$C$12,Data2!$D$11,IF(R147&gt;Data2!$C$13,Data2!$D$12,IF(R147&gt;Data2!$C$14,Data2!$D$13,Data2!$D$14))))</f>
        <v/>
      </c>
      <c r="T147" s="144">
        <f t="shared" si="99"/>
        <v>95</v>
      </c>
      <c r="U147" s="144">
        <f t="shared" si="100"/>
        <v>80</v>
      </c>
      <c r="V147" s="144" t="str">
        <f t="shared" si="94"/>
        <v>Sangat baik</v>
      </c>
      <c r="W147" s="144" t="str">
        <f t="shared" si="95"/>
        <v>Cukup menguasai</v>
      </c>
      <c r="X147" s="144">
        <f t="shared" si="101"/>
        <v>1</v>
      </c>
      <c r="Y147" s="145">
        <f t="shared" si="102"/>
        <v>5</v>
      </c>
      <c r="Z147" s="218" t="str">
        <f>IF('PA-Non'!O147&lt;&gt;"",'PA-Non'!O147,IFERROR("Mempunyai kemampuan yang " &amp;IF(V147=W147,PROPER(W147)&amp;" dalam kompetensi "&amp;VLOOKUP(X147,$G$532:$I$539,3)&amp;" dan kompetensi "&amp;VLOOKUP(Y147,$G$532:$I$539,3),PROPER(V147)&amp;" dalam kompetensi "&amp;VLOOKUP(X147,$G$532:$I$539,3)&amp;" dan memiliki kemampuan yang "&amp;W147&amp;" pada kompetensi "&amp;VLOOKUP(Y147,$G$532:$I$539,3)),""))</f>
        <v>Mempunyai kemampuan yang Sangat Baik dalam kompetensi KD Pengetahuan-1 dan memiliki kemampuan yang Cukup menguasai pada kompetensi KD Pengetahuan-5</v>
      </c>
      <c r="AA147" s="343"/>
      <c r="AB147" s="344"/>
      <c r="AC147" s="344"/>
      <c r="AD147" s="344"/>
      <c r="AE147" s="344"/>
      <c r="AF147" s="344"/>
      <c r="AG147" s="344"/>
      <c r="AH147" s="345"/>
      <c r="AI147" s="220" t="str">
        <f t="shared" si="103"/>
        <v/>
      </c>
      <c r="AJ147" s="160" t="str">
        <f>IF(AI147="","",IF(AI147&gt;Data2!$C$12,Data2!$D$11,IF(AI147&gt;Data2!$C$13,Data2!$D$12,IF(AI147&gt;Data2!$C$14,Data2!$D$13,Data2!$D$14))))</f>
        <v/>
      </c>
      <c r="AK147" s="146">
        <f t="shared" si="104"/>
        <v>0</v>
      </c>
      <c r="AL147" s="146">
        <f t="shared" si="105"/>
        <v>0</v>
      </c>
      <c r="AM147" s="147" t="str">
        <f t="shared" si="96"/>
        <v>Mulai meningkat</v>
      </c>
      <c r="AN147" s="147" t="str">
        <f t="shared" si="97"/>
        <v>Mulai meningkat</v>
      </c>
      <c r="AO147" s="146" t="e">
        <f t="shared" si="106"/>
        <v>#N/A</v>
      </c>
      <c r="AP147" s="148" t="e">
        <f t="shared" si="107"/>
        <v>#N/A</v>
      </c>
      <c r="AQ147" s="158" t="str">
        <f>IF('PA-Non'!V147&lt;&gt;"",'PA-Non'!V147,IFERROR("Mempunyai keterampilan yang "&amp;IF(AM147=AN147,PROPER(AN147)&amp;" dalam kompetensi "&amp;VLOOKUP(AO147,$AA$532:$AC$539,3)&amp;", demikian juga dalam kompetensi "&amp;VLOOKUP(AP147,$AA$532:$AC$539,3),PROPER(AM147)&amp;" dalam kompetensi "&amp;VLOOKUP(AO147,$AA$532:$AC$539,3)&amp;" dan "&amp;AN147&amp;" pada kompetensi "&amp;VLOOKUP(AP147,$AA$532:$AC$539,3)),""))</f>
        <v/>
      </c>
      <c r="AR147" s="188"/>
    </row>
    <row r="148" spans="2:44" ht="27.9" customHeight="1" thickBot="1" x14ac:dyDescent="0.35">
      <c r="B148" s="384" t="s">
        <v>31</v>
      </c>
      <c r="C148" s="149">
        <f t="shared" si="108"/>
        <v>19</v>
      </c>
      <c r="D148" s="150" t="str">
        <f>IF(Data!F143="","",Data!F143)</f>
        <v>03694</v>
      </c>
      <c r="E148" s="151" t="str">
        <f>IF(Data!H143="","",Data!H143)</f>
        <v>Miftah Maesaroh Melisa Cahyani</v>
      </c>
      <c r="F148" s="152" t="str">
        <f>IF(Data!I143="","",Data!I143)</f>
        <v>Perempuan</v>
      </c>
      <c r="G148" s="343">
        <v>95.1</v>
      </c>
      <c r="H148" s="344">
        <v>85</v>
      </c>
      <c r="I148" s="344">
        <v>85.2</v>
      </c>
      <c r="J148" s="344">
        <v>90</v>
      </c>
      <c r="K148" s="344">
        <v>95</v>
      </c>
      <c r="L148" s="344"/>
      <c r="M148" s="344"/>
      <c r="N148" s="345"/>
      <c r="O148" s="157">
        <f t="shared" si="98"/>
        <v>75</v>
      </c>
      <c r="P148" s="344"/>
      <c r="Q148" s="346"/>
      <c r="R148" s="157" t="str">
        <f t="shared" si="109"/>
        <v/>
      </c>
      <c r="S148" s="159" t="str">
        <f>IF(R148="","",IF(R148&gt;Data2!$C$12,Data2!$D$11,IF(R148&gt;Data2!$C$13,Data2!$D$12,IF(R148&gt;Data2!$C$14,Data2!$D$13,Data2!$D$14))))</f>
        <v/>
      </c>
      <c r="T148" s="144">
        <f t="shared" si="99"/>
        <v>95.1</v>
      </c>
      <c r="U148" s="144">
        <f t="shared" si="100"/>
        <v>85</v>
      </c>
      <c r="V148" s="144" t="str">
        <f t="shared" si="94"/>
        <v>Sangat baik</v>
      </c>
      <c r="W148" s="144" t="str">
        <f t="shared" si="95"/>
        <v>Cukup menguasai</v>
      </c>
      <c r="X148" s="144">
        <f t="shared" si="101"/>
        <v>1</v>
      </c>
      <c r="Y148" s="145">
        <f t="shared" si="102"/>
        <v>2</v>
      </c>
      <c r="Z148" s="218" t="str">
        <f>IF('PA-Non'!O148&lt;&gt;"",'PA-Non'!O148,IFERROR("Mempunyai kemampuan yang " &amp;IF(V148=W148,PROPER(W148)&amp;" dalam kompetensi "&amp;VLOOKUP(X148,$G$532:$I$539,3)&amp;" dan kompetensi "&amp;VLOOKUP(Y148,$G$532:$I$539,3),PROPER(V148)&amp;" dalam kompetensi "&amp;VLOOKUP(X148,$G$532:$I$539,3)&amp;" dan memiliki kemampuan yang "&amp;W148&amp;" pada kompetensi "&amp;VLOOKUP(Y148,$G$532:$I$539,3)),""))</f>
        <v>Mempunyai kemampuan yang Sangat Baik dalam kompetensi KD Pengetahuan-1 dan memiliki kemampuan yang Cukup menguasai pada kompetensi KD Pengetahuan-2</v>
      </c>
      <c r="AA148" s="343"/>
      <c r="AB148" s="344"/>
      <c r="AC148" s="344"/>
      <c r="AD148" s="344"/>
      <c r="AE148" s="344"/>
      <c r="AF148" s="344"/>
      <c r="AG148" s="344"/>
      <c r="AH148" s="345"/>
      <c r="AI148" s="220" t="str">
        <f t="shared" si="103"/>
        <v/>
      </c>
      <c r="AJ148" s="160" t="str">
        <f>IF(AI148="","",IF(AI148&gt;Data2!$C$12,Data2!$D$11,IF(AI148&gt;Data2!$C$13,Data2!$D$12,IF(AI148&gt;Data2!$C$14,Data2!$D$13,Data2!$D$14))))</f>
        <v/>
      </c>
      <c r="AK148" s="146">
        <f t="shared" si="104"/>
        <v>0</v>
      </c>
      <c r="AL148" s="146">
        <f t="shared" si="105"/>
        <v>0</v>
      </c>
      <c r="AM148" s="147" t="str">
        <f t="shared" si="96"/>
        <v>Mulai meningkat</v>
      </c>
      <c r="AN148" s="147" t="str">
        <f t="shared" si="97"/>
        <v>Mulai meningkat</v>
      </c>
      <c r="AO148" s="146" t="e">
        <f t="shared" si="106"/>
        <v>#N/A</v>
      </c>
      <c r="AP148" s="148" t="e">
        <f t="shared" si="107"/>
        <v>#N/A</v>
      </c>
      <c r="AQ148" s="158" t="str">
        <f>IF('PA-Non'!V148&lt;&gt;"",'PA-Non'!V148,IFERROR("Mempunyai keterampilan yang "&amp;IF(AM148=AN148,PROPER(AN148)&amp;" dalam kompetensi "&amp;VLOOKUP(AO148,$AA$532:$AC$539,3)&amp;", demikian juga dalam kompetensi "&amp;VLOOKUP(AP148,$AA$532:$AC$539,3),PROPER(AM148)&amp;" dalam kompetensi "&amp;VLOOKUP(AO148,$AA$532:$AC$539,3)&amp;" dan "&amp;AN148&amp;" pada kompetensi "&amp;VLOOKUP(AP148,$AA$532:$AC$539,3)),""))</f>
        <v/>
      </c>
      <c r="AR148" s="188"/>
    </row>
    <row r="149" spans="2:44" ht="27.9" customHeight="1" thickBot="1" x14ac:dyDescent="0.35">
      <c r="B149" s="384" t="s">
        <v>31</v>
      </c>
      <c r="C149" s="149">
        <f t="shared" si="108"/>
        <v>20</v>
      </c>
      <c r="D149" s="150" t="str">
        <f>IF(Data!F144="","",Data!F144)</f>
        <v>03695</v>
      </c>
      <c r="E149" s="151" t="str">
        <f>IF(Data!H144="","",Data!H144)</f>
        <v>Mir'atun Nadhiroh</v>
      </c>
      <c r="F149" s="152" t="str">
        <f>IF(Data!I144="","",Data!I144)</f>
        <v>Perempuan</v>
      </c>
      <c r="G149" s="343">
        <v>85.1</v>
      </c>
      <c r="H149" s="344">
        <v>90</v>
      </c>
      <c r="I149" s="344">
        <v>85</v>
      </c>
      <c r="J149" s="344">
        <v>85.2</v>
      </c>
      <c r="K149" s="344">
        <v>80</v>
      </c>
      <c r="L149" s="344"/>
      <c r="M149" s="344"/>
      <c r="N149" s="345"/>
      <c r="O149" s="157">
        <f t="shared" si="98"/>
        <v>71</v>
      </c>
      <c r="P149" s="344"/>
      <c r="Q149" s="346"/>
      <c r="R149" s="157" t="str">
        <f t="shared" si="109"/>
        <v/>
      </c>
      <c r="S149" s="159" t="str">
        <f>IF(R149="","",IF(R149&gt;Data2!$C$12,Data2!$D$11,IF(R149&gt;Data2!$C$13,Data2!$D$12,IF(R149&gt;Data2!$C$14,Data2!$D$13,Data2!$D$14))))</f>
        <v/>
      </c>
      <c r="T149" s="144">
        <f t="shared" si="99"/>
        <v>90</v>
      </c>
      <c r="U149" s="144">
        <f t="shared" si="100"/>
        <v>80</v>
      </c>
      <c r="V149" s="144" t="str">
        <f t="shared" si="94"/>
        <v>Baik</v>
      </c>
      <c r="W149" s="144" t="str">
        <f t="shared" si="95"/>
        <v>Cukup menguasai</v>
      </c>
      <c r="X149" s="144">
        <f t="shared" si="101"/>
        <v>2</v>
      </c>
      <c r="Y149" s="145">
        <f t="shared" si="102"/>
        <v>5</v>
      </c>
      <c r="Z149" s="218" t="str">
        <f>IF('PA-Non'!O149&lt;&gt;"",'PA-Non'!O149,IFERROR("Mempunyai kemampuan yang " &amp;IF(V149=W149,PROPER(W149)&amp;" dalam kompetensi "&amp;VLOOKUP(X149,$G$532:$I$539,3)&amp;" dan kompetensi "&amp;VLOOKUP(Y149,$G$532:$I$539,3),PROPER(V149)&amp;" dalam kompetensi "&amp;VLOOKUP(X149,$G$532:$I$539,3)&amp;" dan memiliki kemampuan yang "&amp;W149&amp;" pada kompetensi "&amp;VLOOKUP(Y149,$G$532:$I$539,3)),""))</f>
        <v>Mempunyai kemampuan yang Baik dalam kompetensi KD Pengetahuan-2 dan memiliki kemampuan yang Cukup menguasai pada kompetensi KD Pengetahuan-5</v>
      </c>
      <c r="AA149" s="343"/>
      <c r="AB149" s="344"/>
      <c r="AC149" s="344"/>
      <c r="AD149" s="344"/>
      <c r="AE149" s="344"/>
      <c r="AF149" s="344"/>
      <c r="AG149" s="344"/>
      <c r="AH149" s="345"/>
      <c r="AI149" s="220" t="str">
        <f t="shared" si="103"/>
        <v/>
      </c>
      <c r="AJ149" s="160" t="str">
        <f>IF(AI149="","",IF(AI149&gt;Data2!$C$12,Data2!$D$11,IF(AI149&gt;Data2!$C$13,Data2!$D$12,IF(AI149&gt;Data2!$C$14,Data2!$D$13,Data2!$D$14))))</f>
        <v/>
      </c>
      <c r="AK149" s="146">
        <f t="shared" si="104"/>
        <v>0</v>
      </c>
      <c r="AL149" s="146">
        <f t="shared" si="105"/>
        <v>0</v>
      </c>
      <c r="AM149" s="147" t="str">
        <f t="shared" si="96"/>
        <v>Mulai meningkat</v>
      </c>
      <c r="AN149" s="147" t="str">
        <f t="shared" si="97"/>
        <v>Mulai meningkat</v>
      </c>
      <c r="AO149" s="146" t="e">
        <f t="shared" si="106"/>
        <v>#N/A</v>
      </c>
      <c r="AP149" s="148" t="e">
        <f t="shared" si="107"/>
        <v>#N/A</v>
      </c>
      <c r="AQ149" s="158" t="str">
        <f>IF('PA-Non'!V149&lt;&gt;"",'PA-Non'!V149,IFERROR("Mempunyai keterampilan yang "&amp;IF(AM149=AN149,PROPER(AN149)&amp;" dalam kompetensi "&amp;VLOOKUP(AO149,$AA$532:$AC$539,3)&amp;", demikian juga dalam kompetensi "&amp;VLOOKUP(AP149,$AA$532:$AC$539,3),PROPER(AM149)&amp;" dalam kompetensi "&amp;VLOOKUP(AO149,$AA$532:$AC$539,3)&amp;" dan "&amp;AN149&amp;" pada kompetensi "&amp;VLOOKUP(AP149,$AA$532:$AC$539,3)),""))</f>
        <v/>
      </c>
      <c r="AR149" s="188"/>
    </row>
    <row r="150" spans="2:44" ht="27.9" customHeight="1" thickBot="1" x14ac:dyDescent="0.35">
      <c r="B150" s="384" t="s">
        <v>31</v>
      </c>
      <c r="C150" s="149">
        <f t="shared" si="108"/>
        <v>21</v>
      </c>
      <c r="D150" s="150" t="str">
        <f>IF(Data!F145="","",Data!F145)</f>
        <v>03698</v>
      </c>
      <c r="E150" s="151" t="str">
        <f>IF(Data!H145="","",Data!H145)</f>
        <v>Muna Mujahidah</v>
      </c>
      <c r="F150" s="152" t="str">
        <f>IF(Data!I145="","",Data!I145)</f>
        <v>Perempuan</v>
      </c>
      <c r="G150" s="343">
        <v>95</v>
      </c>
      <c r="H150" s="344">
        <v>85.1</v>
      </c>
      <c r="I150" s="344">
        <v>85</v>
      </c>
      <c r="J150" s="344">
        <v>80</v>
      </c>
      <c r="K150" s="344">
        <v>85.2</v>
      </c>
      <c r="L150" s="344"/>
      <c r="M150" s="344"/>
      <c r="N150" s="345"/>
      <c r="O150" s="157">
        <f t="shared" si="98"/>
        <v>72</v>
      </c>
      <c r="P150" s="344"/>
      <c r="Q150" s="346"/>
      <c r="R150" s="157" t="str">
        <f t="shared" si="109"/>
        <v/>
      </c>
      <c r="S150" s="159" t="str">
        <f>IF(R150="","",IF(R150&gt;Data2!$C$12,Data2!$D$11,IF(R150&gt;Data2!$C$13,Data2!$D$12,IF(R150&gt;Data2!$C$14,Data2!$D$13,Data2!$D$14))))</f>
        <v/>
      </c>
      <c r="T150" s="144">
        <f t="shared" si="99"/>
        <v>95</v>
      </c>
      <c r="U150" s="144">
        <f t="shared" si="100"/>
        <v>80</v>
      </c>
      <c r="V150" s="144" t="str">
        <f t="shared" si="94"/>
        <v>Sangat baik</v>
      </c>
      <c r="W150" s="144" t="str">
        <f t="shared" si="95"/>
        <v>Cukup menguasai</v>
      </c>
      <c r="X150" s="144">
        <f t="shared" si="101"/>
        <v>1</v>
      </c>
      <c r="Y150" s="145">
        <f t="shared" si="102"/>
        <v>4</v>
      </c>
      <c r="Z150" s="218" t="str">
        <f>IF('PA-Non'!O150&lt;&gt;"",'PA-Non'!O150,IFERROR("Mempunyai kemampuan yang " &amp;IF(V150=W150,PROPER(W150)&amp;" dalam kompetensi "&amp;VLOOKUP(X150,$G$532:$I$539,3)&amp;" dan kompetensi "&amp;VLOOKUP(Y150,$G$532:$I$539,3),PROPER(V150)&amp;" dalam kompetensi "&amp;VLOOKUP(X150,$G$532:$I$539,3)&amp;" dan memiliki kemampuan yang "&amp;W150&amp;" pada kompetensi "&amp;VLOOKUP(Y150,$G$532:$I$539,3)),""))</f>
        <v>Mempunyai kemampuan yang Sangat Baik dalam kompetensi KD Pengetahuan-1 dan memiliki kemampuan yang Cukup menguasai pada kompetensi KD Pengetahuan-4</v>
      </c>
      <c r="AA150" s="343"/>
      <c r="AB150" s="344"/>
      <c r="AC150" s="344"/>
      <c r="AD150" s="344"/>
      <c r="AE150" s="344"/>
      <c r="AF150" s="344"/>
      <c r="AG150" s="344"/>
      <c r="AH150" s="345"/>
      <c r="AI150" s="220" t="str">
        <f t="shared" si="103"/>
        <v/>
      </c>
      <c r="AJ150" s="160" t="str">
        <f>IF(AI150="","",IF(AI150&gt;Data2!$C$12,Data2!$D$11,IF(AI150&gt;Data2!$C$13,Data2!$D$12,IF(AI150&gt;Data2!$C$14,Data2!$D$13,Data2!$D$14))))</f>
        <v/>
      </c>
      <c r="AK150" s="146">
        <f t="shared" si="104"/>
        <v>0</v>
      </c>
      <c r="AL150" s="146">
        <f t="shared" si="105"/>
        <v>0</v>
      </c>
      <c r="AM150" s="147" t="str">
        <f t="shared" si="96"/>
        <v>Mulai meningkat</v>
      </c>
      <c r="AN150" s="147" t="str">
        <f t="shared" si="97"/>
        <v>Mulai meningkat</v>
      </c>
      <c r="AO150" s="146" t="e">
        <f t="shared" si="106"/>
        <v>#N/A</v>
      </c>
      <c r="AP150" s="148" t="e">
        <f t="shared" si="107"/>
        <v>#N/A</v>
      </c>
      <c r="AQ150" s="158" t="str">
        <f>IF('PA-Non'!V150&lt;&gt;"",'PA-Non'!V150,IFERROR("Mempunyai keterampilan yang "&amp;IF(AM150=AN150,PROPER(AN150)&amp;" dalam kompetensi "&amp;VLOOKUP(AO150,$AA$532:$AC$539,3)&amp;", demikian juga dalam kompetensi "&amp;VLOOKUP(AP150,$AA$532:$AC$539,3),PROPER(AM150)&amp;" dalam kompetensi "&amp;VLOOKUP(AO150,$AA$532:$AC$539,3)&amp;" dan "&amp;AN150&amp;" pada kompetensi "&amp;VLOOKUP(AP150,$AA$532:$AC$539,3)),""))</f>
        <v/>
      </c>
      <c r="AR150" s="188"/>
    </row>
    <row r="151" spans="2:44" ht="27.9" customHeight="1" thickBot="1" x14ac:dyDescent="0.35">
      <c r="B151" s="384" t="s">
        <v>31</v>
      </c>
      <c r="C151" s="149">
        <f t="shared" si="108"/>
        <v>22</v>
      </c>
      <c r="D151" s="150" t="str">
        <f>IF(Data!F146="","",Data!F146)</f>
        <v>03702</v>
      </c>
      <c r="E151" s="151" t="str">
        <f>IF(Data!H146="","",Data!H146)</f>
        <v>Naila Mutammimah</v>
      </c>
      <c r="F151" s="152" t="str">
        <f>IF(Data!I146="","",Data!I146)</f>
        <v>Perempuan</v>
      </c>
      <c r="G151" s="343">
        <v>85.1</v>
      </c>
      <c r="H151" s="344">
        <v>85.2</v>
      </c>
      <c r="I151" s="344">
        <v>85</v>
      </c>
      <c r="J151" s="344">
        <v>83</v>
      </c>
      <c r="K151" s="344">
        <v>80</v>
      </c>
      <c r="L151" s="344"/>
      <c r="M151" s="344"/>
      <c r="N151" s="345"/>
      <c r="O151" s="157">
        <f t="shared" si="98"/>
        <v>70</v>
      </c>
      <c r="P151" s="344"/>
      <c r="Q151" s="346"/>
      <c r="R151" s="157" t="str">
        <f t="shared" si="109"/>
        <v/>
      </c>
      <c r="S151" s="159" t="str">
        <f>IF(R151="","",IF(R151&gt;Data2!$C$12,Data2!$D$11,IF(R151&gt;Data2!$C$13,Data2!$D$12,IF(R151&gt;Data2!$C$14,Data2!$D$13,Data2!$D$14))))</f>
        <v/>
      </c>
      <c r="T151" s="144">
        <f t="shared" si="99"/>
        <v>85.2</v>
      </c>
      <c r="U151" s="144">
        <f t="shared" si="100"/>
        <v>80</v>
      </c>
      <c r="V151" s="144" t="str">
        <f t="shared" si="94"/>
        <v>Baik</v>
      </c>
      <c r="W151" s="144" t="str">
        <f t="shared" si="95"/>
        <v>Cukup menguasai</v>
      </c>
      <c r="X151" s="144">
        <f t="shared" si="101"/>
        <v>2</v>
      </c>
      <c r="Y151" s="145">
        <f t="shared" si="102"/>
        <v>5</v>
      </c>
      <c r="Z151" s="218" t="str">
        <f>IF('PA-Non'!O151&lt;&gt;"",'PA-Non'!O151,IFERROR("Mempunyai kemampuan yang " &amp;IF(V151=W151,PROPER(W151)&amp;" dalam kompetensi "&amp;VLOOKUP(X151,$G$532:$I$539,3)&amp;" dan kompetensi "&amp;VLOOKUP(Y151,$G$532:$I$539,3),PROPER(V151)&amp;" dalam kompetensi "&amp;VLOOKUP(X151,$G$532:$I$539,3)&amp;" dan memiliki kemampuan yang "&amp;W151&amp;" pada kompetensi "&amp;VLOOKUP(Y151,$G$532:$I$539,3)),""))</f>
        <v>Mempunyai kemampuan yang Baik dalam kompetensi KD Pengetahuan-2 dan memiliki kemampuan yang Cukup menguasai pada kompetensi KD Pengetahuan-5</v>
      </c>
      <c r="AA151" s="343"/>
      <c r="AB151" s="344"/>
      <c r="AC151" s="344"/>
      <c r="AD151" s="344"/>
      <c r="AE151" s="344"/>
      <c r="AF151" s="344"/>
      <c r="AG151" s="344"/>
      <c r="AH151" s="345"/>
      <c r="AI151" s="220" t="str">
        <f t="shared" si="103"/>
        <v/>
      </c>
      <c r="AJ151" s="160" t="str">
        <f>IF(AI151="","",IF(AI151&gt;Data2!$C$12,Data2!$D$11,IF(AI151&gt;Data2!$C$13,Data2!$D$12,IF(AI151&gt;Data2!$C$14,Data2!$D$13,Data2!$D$14))))</f>
        <v/>
      </c>
      <c r="AK151" s="146">
        <f t="shared" si="104"/>
        <v>0</v>
      </c>
      <c r="AL151" s="146">
        <f t="shared" si="105"/>
        <v>0</v>
      </c>
      <c r="AM151" s="147" t="str">
        <f t="shared" si="96"/>
        <v>Mulai meningkat</v>
      </c>
      <c r="AN151" s="147" t="str">
        <f t="shared" si="97"/>
        <v>Mulai meningkat</v>
      </c>
      <c r="AO151" s="146" t="e">
        <f t="shared" si="106"/>
        <v>#N/A</v>
      </c>
      <c r="AP151" s="148" t="e">
        <f t="shared" si="107"/>
        <v>#N/A</v>
      </c>
      <c r="AQ151" s="158" t="str">
        <f>IF('PA-Non'!V151&lt;&gt;"",'PA-Non'!V151,IFERROR("Mempunyai keterampilan yang "&amp;IF(AM151=AN151,PROPER(AN151)&amp;" dalam kompetensi "&amp;VLOOKUP(AO151,$AA$532:$AC$539,3)&amp;", demikian juga dalam kompetensi "&amp;VLOOKUP(AP151,$AA$532:$AC$539,3),PROPER(AM151)&amp;" dalam kompetensi "&amp;VLOOKUP(AO151,$AA$532:$AC$539,3)&amp;" dan "&amp;AN151&amp;" pada kompetensi "&amp;VLOOKUP(AP151,$AA$532:$AC$539,3)),""))</f>
        <v/>
      </c>
      <c r="AR151" s="188"/>
    </row>
    <row r="152" spans="2:44" ht="27.9" customHeight="1" thickBot="1" x14ac:dyDescent="0.35">
      <c r="B152" s="384" t="s">
        <v>31</v>
      </c>
      <c r="C152" s="149">
        <f t="shared" si="108"/>
        <v>23</v>
      </c>
      <c r="D152" s="150" t="str">
        <f>IF(Data!F147="","",Data!F147)</f>
        <v>03710</v>
      </c>
      <c r="E152" s="151" t="str">
        <f>IF(Data!H147="","",Data!H147)</f>
        <v>Nazhumi Arifa Faridatul Fauziah</v>
      </c>
      <c r="F152" s="152" t="str">
        <f>IF(Data!I147="","",Data!I147)</f>
        <v>Perempuan</v>
      </c>
      <c r="G152" s="343">
        <v>85.1</v>
      </c>
      <c r="H152" s="344">
        <v>80.2</v>
      </c>
      <c r="I152" s="344">
        <v>85</v>
      </c>
      <c r="J152" s="344">
        <v>87</v>
      </c>
      <c r="K152" s="344">
        <v>80</v>
      </c>
      <c r="L152" s="344"/>
      <c r="M152" s="344"/>
      <c r="N152" s="345"/>
      <c r="O152" s="157">
        <f t="shared" si="98"/>
        <v>70</v>
      </c>
      <c r="P152" s="344"/>
      <c r="Q152" s="346"/>
      <c r="R152" s="157" t="str">
        <f t="shared" si="109"/>
        <v/>
      </c>
      <c r="S152" s="159" t="str">
        <f>IF(R152="","",IF(R152&gt;Data2!$C$12,Data2!$D$11,IF(R152&gt;Data2!$C$13,Data2!$D$12,IF(R152&gt;Data2!$C$14,Data2!$D$13,Data2!$D$14))))</f>
        <v/>
      </c>
      <c r="T152" s="144">
        <f t="shared" si="99"/>
        <v>87</v>
      </c>
      <c r="U152" s="144">
        <f t="shared" si="100"/>
        <v>80</v>
      </c>
      <c r="V152" s="144" t="str">
        <f t="shared" si="94"/>
        <v>Baik</v>
      </c>
      <c r="W152" s="144" t="str">
        <f t="shared" si="95"/>
        <v>Cukup menguasai</v>
      </c>
      <c r="X152" s="144">
        <f t="shared" si="101"/>
        <v>4</v>
      </c>
      <c r="Y152" s="145">
        <f t="shared" si="102"/>
        <v>5</v>
      </c>
      <c r="Z152" s="218" t="str">
        <f>IF('PA-Non'!O152&lt;&gt;"",'PA-Non'!O152,IFERROR("Mempunyai kemampuan yang " &amp;IF(V152=W152,PROPER(W152)&amp;" dalam kompetensi "&amp;VLOOKUP(X152,$G$532:$I$539,3)&amp;" dan kompetensi "&amp;VLOOKUP(Y152,$G$532:$I$539,3),PROPER(V152)&amp;" dalam kompetensi "&amp;VLOOKUP(X152,$G$532:$I$539,3)&amp;" dan memiliki kemampuan yang "&amp;W152&amp;" pada kompetensi "&amp;VLOOKUP(Y152,$G$532:$I$539,3)),""))</f>
        <v>Mempunyai kemampuan yang Baik dalam kompetensi KD Pengetahuan-4 dan memiliki kemampuan yang Cukup menguasai pada kompetensi KD Pengetahuan-5</v>
      </c>
      <c r="AA152" s="343"/>
      <c r="AB152" s="344"/>
      <c r="AC152" s="344"/>
      <c r="AD152" s="344"/>
      <c r="AE152" s="344"/>
      <c r="AF152" s="344"/>
      <c r="AG152" s="344"/>
      <c r="AH152" s="345"/>
      <c r="AI152" s="220" t="str">
        <f t="shared" si="103"/>
        <v/>
      </c>
      <c r="AJ152" s="160" t="str">
        <f>IF(AI152="","",IF(AI152&gt;Data2!$C$12,Data2!$D$11,IF(AI152&gt;Data2!$C$13,Data2!$D$12,IF(AI152&gt;Data2!$C$14,Data2!$D$13,Data2!$D$14))))</f>
        <v/>
      </c>
      <c r="AK152" s="146">
        <f t="shared" si="104"/>
        <v>0</v>
      </c>
      <c r="AL152" s="146">
        <f t="shared" si="105"/>
        <v>0</v>
      </c>
      <c r="AM152" s="147" t="str">
        <f t="shared" si="96"/>
        <v>Mulai meningkat</v>
      </c>
      <c r="AN152" s="147" t="str">
        <f t="shared" si="97"/>
        <v>Mulai meningkat</v>
      </c>
      <c r="AO152" s="146" t="e">
        <f t="shared" si="106"/>
        <v>#N/A</v>
      </c>
      <c r="AP152" s="148" t="e">
        <f t="shared" si="107"/>
        <v>#N/A</v>
      </c>
      <c r="AQ152" s="158" t="str">
        <f>IF('PA-Non'!V152&lt;&gt;"",'PA-Non'!V152,IFERROR("Mempunyai keterampilan yang "&amp;IF(AM152=AN152,PROPER(AN152)&amp;" dalam kompetensi "&amp;VLOOKUP(AO152,$AA$532:$AC$539,3)&amp;", demikian juga dalam kompetensi "&amp;VLOOKUP(AP152,$AA$532:$AC$539,3),PROPER(AM152)&amp;" dalam kompetensi "&amp;VLOOKUP(AO152,$AA$532:$AC$539,3)&amp;" dan "&amp;AN152&amp;" pada kompetensi "&amp;VLOOKUP(AP152,$AA$532:$AC$539,3)),""))</f>
        <v/>
      </c>
      <c r="AR152" s="188"/>
    </row>
    <row r="153" spans="2:44" ht="27.9" customHeight="1" thickBot="1" x14ac:dyDescent="0.35">
      <c r="B153" s="384" t="s">
        <v>31</v>
      </c>
      <c r="C153" s="149">
        <f t="shared" ref="C153:C156" si="110">IF(E153="","",C152+1)</f>
        <v>24</v>
      </c>
      <c r="D153" s="150" t="str">
        <f>IF(Data!F148="","",Data!F148)</f>
        <v>03714</v>
      </c>
      <c r="E153" s="151" t="str">
        <f>IF(Data!H148="","",Data!H148)</f>
        <v>Nurin Najwa Baiti Azzahra</v>
      </c>
      <c r="F153" s="152" t="str">
        <f>IF(Data!I148="","",Data!I148)</f>
        <v>Perempuan</v>
      </c>
      <c r="G153" s="343">
        <v>95</v>
      </c>
      <c r="H153" s="344">
        <v>80</v>
      </c>
      <c r="I153" s="344">
        <v>90</v>
      </c>
      <c r="J153" s="344">
        <v>85.1</v>
      </c>
      <c r="K153" s="344">
        <v>85</v>
      </c>
      <c r="L153" s="344"/>
      <c r="M153" s="344"/>
      <c r="N153" s="345"/>
      <c r="O153" s="157">
        <f t="shared" ref="O153:O156" si="111">IF(COUNT(G153:N153)&lt;3,"",ROUND(SUM(G153:N153)/$O$6,0))</f>
        <v>73</v>
      </c>
      <c r="P153" s="344"/>
      <c r="Q153" s="346"/>
      <c r="R153" s="157" t="str">
        <f t="shared" ref="R153:R156" si="112">IFERROR(IF(OR(P153="",Q153=""),"",ROUND(((O153*$O$8)+(P153*$P$8)+(Q153*$Q$8))/$Q$6,0)),"")</f>
        <v/>
      </c>
      <c r="S153" s="159" t="str">
        <f>IF(R153="","",IF(R153&gt;Data2!$C$12,Data2!$D$11,IF(R153&gt;Data2!$C$13,Data2!$D$12,IF(R153&gt;Data2!$C$14,Data2!$D$13,Data2!$D$14))))</f>
        <v/>
      </c>
      <c r="T153" s="144">
        <f t="shared" ref="T153:T156" si="113">MAX(G153:N153)</f>
        <v>95</v>
      </c>
      <c r="U153" s="144">
        <f t="shared" ref="U153:U156" si="114">MIN(G153:N153)</f>
        <v>80</v>
      </c>
      <c r="V153" s="144" t="str">
        <f t="shared" si="94"/>
        <v>Sangat baik</v>
      </c>
      <c r="W153" s="144" t="str">
        <f t="shared" si="95"/>
        <v>Cukup menguasai</v>
      </c>
      <c r="X153" s="144">
        <f t="shared" ref="X153:X156" si="115">MATCH(T153,G153:N153,0)</f>
        <v>1</v>
      </c>
      <c r="Y153" s="145">
        <f t="shared" ref="Y153:Y156" si="116">MATCH(U153,G153:N153,0)</f>
        <v>2</v>
      </c>
      <c r="Z153" s="218" t="str">
        <f>IF('PA-Non'!O153&lt;&gt;"",'PA-Non'!O153,IFERROR("Mempunyai kemampuan yang " &amp;IF(V153=W153,PROPER(W153)&amp;" dalam kompetensi "&amp;VLOOKUP(X153,$G$532:$I$539,3)&amp;" dan kompetensi "&amp;VLOOKUP(Y153,$G$532:$I$539,3),PROPER(V153)&amp;" dalam kompetensi "&amp;VLOOKUP(X153,$G$532:$I$539,3)&amp;" dan memiliki kemampuan yang "&amp;W153&amp;" pada kompetensi "&amp;VLOOKUP(Y153,$G$532:$I$539,3)),""))</f>
        <v>Mempunyai kemampuan yang Sangat Baik dalam kompetensi KD Pengetahuan-1 dan memiliki kemampuan yang Cukup menguasai pada kompetensi KD Pengetahuan-2</v>
      </c>
      <c r="AA153" s="343"/>
      <c r="AB153" s="344"/>
      <c r="AC153" s="344"/>
      <c r="AD153" s="344"/>
      <c r="AE153" s="344"/>
      <c r="AF153" s="344"/>
      <c r="AG153" s="344"/>
      <c r="AH153" s="345"/>
      <c r="AI153" s="220" t="str">
        <f t="shared" ref="AI153:AI156" si="117">IF(COUNT(AA153:AH153)&lt;3,"",ROUND(((AA153*$AA$8)+(AB153*$AB$8)+(AC153*$AC$8)+(AD153*$AD$8)+(AE153*$AE$8)+(AF153*$AF$8)+(AG153*$AG$8)+(AH153*$AH$8))/$AI$6,0))</f>
        <v/>
      </c>
      <c r="AJ153" s="160" t="str">
        <f>IF(AI153="","",IF(AI153&gt;Data2!$C$12,Data2!$D$11,IF(AI153&gt;Data2!$C$13,Data2!$D$12,IF(AI153&gt;Data2!$C$14,Data2!$D$13,Data2!$D$14))))</f>
        <v/>
      </c>
      <c r="AK153" s="146">
        <f t="shared" ref="AK153:AK156" si="118">MAX(AA153:AH153)</f>
        <v>0</v>
      </c>
      <c r="AL153" s="146">
        <f t="shared" ref="AL153:AL156" si="119">MIN(AA153:AH153)</f>
        <v>0</v>
      </c>
      <c r="AM153" s="147" t="str">
        <f t="shared" si="96"/>
        <v>Mulai meningkat</v>
      </c>
      <c r="AN153" s="147" t="str">
        <f t="shared" si="97"/>
        <v>Mulai meningkat</v>
      </c>
      <c r="AO153" s="146" t="e">
        <f t="shared" ref="AO153:AO156" si="120">MATCH(AK153,AA153:AH153,0)</f>
        <v>#N/A</v>
      </c>
      <c r="AP153" s="148" t="e">
        <f t="shared" ref="AP153:AP156" si="121">MATCH(AL153,AA153:AH153,0)</f>
        <v>#N/A</v>
      </c>
      <c r="AQ153" s="158" t="str">
        <f>IF('PA-Non'!V153&lt;&gt;"",'PA-Non'!V153,IFERROR("Mempunyai keterampilan yang "&amp;IF(AM153=AN153,PROPER(AN153)&amp;" dalam kompetensi "&amp;VLOOKUP(AO153,$AA$532:$AC$539,3)&amp;", demikian juga dalam kompetensi "&amp;VLOOKUP(AP153,$AA$532:$AC$539,3),PROPER(AM153)&amp;" dalam kompetensi "&amp;VLOOKUP(AO153,$AA$532:$AC$539,3)&amp;" dan "&amp;AN153&amp;" pada kompetensi "&amp;VLOOKUP(AP153,$AA$532:$AC$539,3)),""))</f>
        <v/>
      </c>
      <c r="AR153" s="188"/>
    </row>
    <row r="154" spans="2:44" ht="27.9" customHeight="1" thickBot="1" x14ac:dyDescent="0.35">
      <c r="B154" s="384" t="s">
        <v>31</v>
      </c>
      <c r="C154" s="149">
        <f t="shared" si="110"/>
        <v>25</v>
      </c>
      <c r="D154" s="150" t="str">
        <f>IF(Data!F149="","",Data!F149)</f>
        <v>03716</v>
      </c>
      <c r="E154" s="151" t="str">
        <f>IF(Data!H149="","",Data!H149)</f>
        <v>Queen Bianca Wiyono</v>
      </c>
      <c r="F154" s="152" t="str">
        <f>IF(Data!I149="","",Data!I149)</f>
        <v>Perempuan</v>
      </c>
      <c r="G154" s="343">
        <v>95</v>
      </c>
      <c r="H154" s="344">
        <v>90</v>
      </c>
      <c r="I154" s="344">
        <v>85.1</v>
      </c>
      <c r="J154" s="344">
        <v>85</v>
      </c>
      <c r="K154" s="344">
        <v>80</v>
      </c>
      <c r="L154" s="344"/>
      <c r="M154" s="344"/>
      <c r="N154" s="345"/>
      <c r="O154" s="157">
        <f t="shared" si="111"/>
        <v>73</v>
      </c>
      <c r="P154" s="344"/>
      <c r="Q154" s="346"/>
      <c r="R154" s="157" t="str">
        <f t="shared" si="112"/>
        <v/>
      </c>
      <c r="S154" s="159" t="str">
        <f>IF(R154="","",IF(R154&gt;Data2!$C$12,Data2!$D$11,IF(R154&gt;Data2!$C$13,Data2!$D$12,IF(R154&gt;Data2!$C$14,Data2!$D$13,Data2!$D$14))))</f>
        <v/>
      </c>
      <c r="T154" s="144">
        <f t="shared" si="113"/>
        <v>95</v>
      </c>
      <c r="U154" s="144">
        <f t="shared" si="114"/>
        <v>80</v>
      </c>
      <c r="V154" s="144" t="str">
        <f t="shared" si="94"/>
        <v>Sangat baik</v>
      </c>
      <c r="W154" s="144" t="str">
        <f t="shared" si="95"/>
        <v>Cukup menguasai</v>
      </c>
      <c r="X154" s="144">
        <f t="shared" si="115"/>
        <v>1</v>
      </c>
      <c r="Y154" s="145">
        <f t="shared" si="116"/>
        <v>5</v>
      </c>
      <c r="Z154" s="218" t="str">
        <f>IF('PA-Non'!O154&lt;&gt;"",'PA-Non'!O154,IFERROR("Mempunyai kemampuan yang " &amp;IF(V154=W154,PROPER(W154)&amp;" dalam kompetensi "&amp;VLOOKUP(X154,$G$532:$I$539,3)&amp;" dan kompetensi "&amp;VLOOKUP(Y154,$G$532:$I$539,3),PROPER(V154)&amp;" dalam kompetensi "&amp;VLOOKUP(X154,$G$532:$I$539,3)&amp;" dan memiliki kemampuan yang "&amp;W154&amp;" pada kompetensi "&amp;VLOOKUP(Y154,$G$532:$I$539,3)),""))</f>
        <v>Mempunyai kemampuan yang Sangat Baik dalam kompetensi KD Pengetahuan-1 dan memiliki kemampuan yang Cukup menguasai pada kompetensi KD Pengetahuan-5</v>
      </c>
      <c r="AA154" s="343"/>
      <c r="AB154" s="344"/>
      <c r="AC154" s="344"/>
      <c r="AD154" s="344"/>
      <c r="AE154" s="344"/>
      <c r="AF154" s="344"/>
      <c r="AG154" s="344"/>
      <c r="AH154" s="345"/>
      <c r="AI154" s="220" t="str">
        <f t="shared" si="117"/>
        <v/>
      </c>
      <c r="AJ154" s="160" t="str">
        <f>IF(AI154="","",IF(AI154&gt;Data2!$C$12,Data2!$D$11,IF(AI154&gt;Data2!$C$13,Data2!$D$12,IF(AI154&gt;Data2!$C$14,Data2!$D$13,Data2!$D$14))))</f>
        <v/>
      </c>
      <c r="AK154" s="146">
        <f t="shared" si="118"/>
        <v>0</v>
      </c>
      <c r="AL154" s="146">
        <f t="shared" si="119"/>
        <v>0</v>
      </c>
      <c r="AM154" s="147" t="str">
        <f t="shared" si="96"/>
        <v>Mulai meningkat</v>
      </c>
      <c r="AN154" s="147" t="str">
        <f t="shared" si="97"/>
        <v>Mulai meningkat</v>
      </c>
      <c r="AO154" s="146" t="e">
        <f t="shared" si="120"/>
        <v>#N/A</v>
      </c>
      <c r="AP154" s="148" t="e">
        <f t="shared" si="121"/>
        <v>#N/A</v>
      </c>
      <c r="AQ154" s="158" t="str">
        <f>IF('PA-Non'!V154&lt;&gt;"",'PA-Non'!V154,IFERROR("Mempunyai keterampilan yang "&amp;IF(AM154=AN154,PROPER(AN154)&amp;" dalam kompetensi "&amp;VLOOKUP(AO154,$AA$532:$AC$539,3)&amp;", demikian juga dalam kompetensi "&amp;VLOOKUP(AP154,$AA$532:$AC$539,3),PROPER(AM154)&amp;" dalam kompetensi "&amp;VLOOKUP(AO154,$AA$532:$AC$539,3)&amp;" dan "&amp;AN154&amp;" pada kompetensi "&amp;VLOOKUP(AP154,$AA$532:$AC$539,3)),""))</f>
        <v/>
      </c>
      <c r="AR154" s="188"/>
    </row>
    <row r="155" spans="2:44" ht="27.9" customHeight="1" thickBot="1" x14ac:dyDescent="0.35">
      <c r="B155" s="384" t="s">
        <v>31</v>
      </c>
      <c r="C155" s="149">
        <f t="shared" si="110"/>
        <v>26</v>
      </c>
      <c r="D155" s="150" t="str">
        <f>IF(Data!F150="","",Data!F150)</f>
        <v>03719</v>
      </c>
      <c r="E155" s="151" t="str">
        <f>IF(Data!H150="","",Data!H150)</f>
        <v>Safinatun Najwa Zahrana Khoir</v>
      </c>
      <c r="F155" s="152" t="str">
        <f>IF(Data!I150="","",Data!I150)</f>
        <v>Perempuan</v>
      </c>
      <c r="G155" s="343">
        <v>80.099999999999994</v>
      </c>
      <c r="H155" s="344">
        <v>85</v>
      </c>
      <c r="I155" s="344">
        <v>85.2</v>
      </c>
      <c r="J155" s="344">
        <v>83</v>
      </c>
      <c r="K155" s="344">
        <v>80</v>
      </c>
      <c r="L155" s="344"/>
      <c r="M155" s="344"/>
      <c r="N155" s="345"/>
      <c r="O155" s="157">
        <f t="shared" si="111"/>
        <v>69</v>
      </c>
      <c r="P155" s="344"/>
      <c r="Q155" s="346"/>
      <c r="R155" s="157" t="str">
        <f t="shared" si="112"/>
        <v/>
      </c>
      <c r="S155" s="159" t="str">
        <f>IF(R155="","",IF(R155&gt;Data2!$C$12,Data2!$D$11,IF(R155&gt;Data2!$C$13,Data2!$D$12,IF(R155&gt;Data2!$C$14,Data2!$D$13,Data2!$D$14))))</f>
        <v/>
      </c>
      <c r="T155" s="144">
        <f t="shared" si="113"/>
        <v>85.2</v>
      </c>
      <c r="U155" s="144">
        <f t="shared" si="114"/>
        <v>80</v>
      </c>
      <c r="V155" s="144" t="str">
        <f t="shared" si="94"/>
        <v>Baik</v>
      </c>
      <c r="W155" s="144" t="str">
        <f t="shared" si="95"/>
        <v>Cukup menguasai</v>
      </c>
      <c r="X155" s="144">
        <f t="shared" si="115"/>
        <v>3</v>
      </c>
      <c r="Y155" s="145">
        <f t="shared" si="116"/>
        <v>5</v>
      </c>
      <c r="Z155" s="218" t="str">
        <f>IF('PA-Non'!O155&lt;&gt;"",'PA-Non'!O155,IFERROR("Mempunyai kemampuan yang " &amp;IF(V155=W155,PROPER(W155)&amp;" dalam kompetensi "&amp;VLOOKUP(X155,$G$532:$I$539,3)&amp;" dan kompetensi "&amp;VLOOKUP(Y155,$G$532:$I$539,3),PROPER(V155)&amp;" dalam kompetensi "&amp;VLOOKUP(X155,$G$532:$I$539,3)&amp;" dan memiliki kemampuan yang "&amp;W155&amp;" pada kompetensi "&amp;VLOOKUP(Y155,$G$532:$I$539,3)),""))</f>
        <v>Mempunyai kemampuan yang Baik dalam kompetensi KD Pengetahuan-3 dan memiliki kemampuan yang Cukup menguasai pada kompetensi KD Pengetahuan-5</v>
      </c>
      <c r="AA155" s="343"/>
      <c r="AB155" s="344"/>
      <c r="AC155" s="344"/>
      <c r="AD155" s="344"/>
      <c r="AE155" s="344"/>
      <c r="AF155" s="344"/>
      <c r="AG155" s="344"/>
      <c r="AH155" s="345"/>
      <c r="AI155" s="220" t="str">
        <f t="shared" si="117"/>
        <v/>
      </c>
      <c r="AJ155" s="160" t="str">
        <f>IF(AI155="","",IF(AI155&gt;Data2!$C$12,Data2!$D$11,IF(AI155&gt;Data2!$C$13,Data2!$D$12,IF(AI155&gt;Data2!$C$14,Data2!$D$13,Data2!$D$14))))</f>
        <v/>
      </c>
      <c r="AK155" s="146">
        <f t="shared" si="118"/>
        <v>0</v>
      </c>
      <c r="AL155" s="146">
        <f t="shared" si="119"/>
        <v>0</v>
      </c>
      <c r="AM155" s="147" t="str">
        <f t="shared" si="96"/>
        <v>Mulai meningkat</v>
      </c>
      <c r="AN155" s="147" t="str">
        <f t="shared" si="97"/>
        <v>Mulai meningkat</v>
      </c>
      <c r="AO155" s="146" t="e">
        <f t="shared" si="120"/>
        <v>#N/A</v>
      </c>
      <c r="AP155" s="148" t="e">
        <f t="shared" si="121"/>
        <v>#N/A</v>
      </c>
      <c r="AQ155" s="158" t="str">
        <f>IF('PA-Non'!V155&lt;&gt;"",'PA-Non'!V155,IFERROR("Mempunyai keterampilan yang "&amp;IF(AM155=AN155,PROPER(AN155)&amp;" dalam kompetensi "&amp;VLOOKUP(AO155,$AA$532:$AC$539,3)&amp;", demikian juga dalam kompetensi "&amp;VLOOKUP(AP155,$AA$532:$AC$539,3),PROPER(AM155)&amp;" dalam kompetensi "&amp;VLOOKUP(AO155,$AA$532:$AC$539,3)&amp;" dan "&amp;AN155&amp;" pada kompetensi "&amp;VLOOKUP(AP155,$AA$532:$AC$539,3)),""))</f>
        <v/>
      </c>
      <c r="AR155" s="188"/>
    </row>
    <row r="156" spans="2:44" ht="27.9" customHeight="1" thickBot="1" x14ac:dyDescent="0.35">
      <c r="B156" s="384" t="s">
        <v>31</v>
      </c>
      <c r="C156" s="149">
        <f t="shared" si="110"/>
        <v>27</v>
      </c>
      <c r="D156" s="150" t="str">
        <f>IF(Data!F151="","",Data!F151)</f>
        <v>03721</v>
      </c>
      <c r="E156" s="151" t="str">
        <f>IF(Data!H151="","",Data!H151)</f>
        <v>Sanniyyah Aqilah</v>
      </c>
      <c r="F156" s="152" t="str">
        <f>IF(Data!I151="","",Data!I151)</f>
        <v>Perempuan</v>
      </c>
      <c r="G156" s="343">
        <v>90</v>
      </c>
      <c r="H156" s="344">
        <v>85.1</v>
      </c>
      <c r="I156" s="344">
        <v>85</v>
      </c>
      <c r="J156" s="344">
        <v>83</v>
      </c>
      <c r="K156" s="344">
        <v>80</v>
      </c>
      <c r="L156" s="344"/>
      <c r="M156" s="344"/>
      <c r="N156" s="345"/>
      <c r="O156" s="157">
        <f t="shared" si="111"/>
        <v>71</v>
      </c>
      <c r="P156" s="344"/>
      <c r="Q156" s="346"/>
      <c r="R156" s="157" t="str">
        <f t="shared" si="112"/>
        <v/>
      </c>
      <c r="S156" s="159" t="str">
        <f>IF(R156="","",IF(R156&gt;Data2!$C$12,Data2!$D$11,IF(R156&gt;Data2!$C$13,Data2!$D$12,IF(R156&gt;Data2!$C$14,Data2!$D$13,Data2!$D$14))))</f>
        <v/>
      </c>
      <c r="T156" s="144">
        <f t="shared" si="113"/>
        <v>90</v>
      </c>
      <c r="U156" s="144">
        <f t="shared" si="114"/>
        <v>80</v>
      </c>
      <c r="V156" s="144" t="str">
        <f t="shared" si="94"/>
        <v>Baik</v>
      </c>
      <c r="W156" s="144" t="str">
        <f t="shared" si="95"/>
        <v>Cukup menguasai</v>
      </c>
      <c r="X156" s="144">
        <f t="shared" si="115"/>
        <v>1</v>
      </c>
      <c r="Y156" s="145">
        <f t="shared" si="116"/>
        <v>5</v>
      </c>
      <c r="Z156" s="218" t="str">
        <f>IF('PA-Non'!O156&lt;&gt;"",'PA-Non'!O156,IFERROR("Mempunyai kemampuan yang " &amp;IF(V156=W156,PROPER(W156)&amp;" dalam kompetensi "&amp;VLOOKUP(X156,$G$532:$I$539,3)&amp;" dan kompetensi "&amp;VLOOKUP(Y156,$G$532:$I$539,3),PROPER(V156)&amp;" dalam kompetensi "&amp;VLOOKUP(X156,$G$532:$I$539,3)&amp;" dan memiliki kemampuan yang "&amp;W156&amp;" pada kompetensi "&amp;VLOOKUP(Y156,$G$532:$I$539,3)),""))</f>
        <v>Mempunyai kemampuan yang Baik dalam kompetensi KD Pengetahuan-1 dan memiliki kemampuan yang Cukup menguasai pada kompetensi KD Pengetahuan-5</v>
      </c>
      <c r="AA156" s="343"/>
      <c r="AB156" s="344"/>
      <c r="AC156" s="344"/>
      <c r="AD156" s="344"/>
      <c r="AE156" s="344"/>
      <c r="AF156" s="344"/>
      <c r="AG156" s="344"/>
      <c r="AH156" s="345"/>
      <c r="AI156" s="220" t="str">
        <f t="shared" si="117"/>
        <v/>
      </c>
      <c r="AJ156" s="160" t="str">
        <f>IF(AI156="","",IF(AI156&gt;Data2!$C$12,Data2!$D$11,IF(AI156&gt;Data2!$C$13,Data2!$D$12,IF(AI156&gt;Data2!$C$14,Data2!$D$13,Data2!$D$14))))</f>
        <v/>
      </c>
      <c r="AK156" s="146">
        <f t="shared" si="118"/>
        <v>0</v>
      </c>
      <c r="AL156" s="146">
        <f t="shared" si="119"/>
        <v>0</v>
      </c>
      <c r="AM156" s="147" t="str">
        <f t="shared" si="96"/>
        <v>Mulai meningkat</v>
      </c>
      <c r="AN156" s="147" t="str">
        <f t="shared" si="97"/>
        <v>Mulai meningkat</v>
      </c>
      <c r="AO156" s="146" t="e">
        <f t="shared" si="120"/>
        <v>#N/A</v>
      </c>
      <c r="AP156" s="148" t="e">
        <f t="shared" si="121"/>
        <v>#N/A</v>
      </c>
      <c r="AQ156" s="158" t="str">
        <f>IF('PA-Non'!V156&lt;&gt;"",'PA-Non'!V156,IFERROR("Mempunyai keterampilan yang "&amp;IF(AM156=AN156,PROPER(AN156)&amp;" dalam kompetensi "&amp;VLOOKUP(AO156,$AA$532:$AC$539,3)&amp;", demikian juga dalam kompetensi "&amp;VLOOKUP(AP156,$AA$532:$AC$539,3),PROPER(AM156)&amp;" dalam kompetensi "&amp;VLOOKUP(AO156,$AA$532:$AC$539,3)&amp;" dan "&amp;AN156&amp;" pada kompetensi "&amp;VLOOKUP(AP156,$AA$532:$AC$539,3)),""))</f>
        <v/>
      </c>
      <c r="AR156" s="188"/>
    </row>
    <row r="157" spans="2:44" ht="27.9" customHeight="1" thickBot="1" x14ac:dyDescent="0.35">
      <c r="B157" s="384" t="s">
        <v>31</v>
      </c>
      <c r="C157" s="149">
        <f t="shared" ref="C157:C169" si="122">IF(E157="","",C156+1)</f>
        <v>28</v>
      </c>
      <c r="D157" s="150" t="str">
        <f>IF(Data!F152="","",Data!F152)</f>
        <v>03725</v>
      </c>
      <c r="E157" s="151" t="str">
        <f>IF(Data!H152="","",Data!H152)</f>
        <v>Shafya Pramesti Putri Hanifa</v>
      </c>
      <c r="F157" s="152" t="str">
        <f>IF(Data!I152="","",Data!I152)</f>
        <v>Perempuan</v>
      </c>
      <c r="G157" s="343">
        <v>85.1</v>
      </c>
      <c r="H157" s="344">
        <v>80.2</v>
      </c>
      <c r="I157" s="344">
        <v>80</v>
      </c>
      <c r="J157" s="344">
        <v>85</v>
      </c>
      <c r="K157" s="344">
        <v>85.3</v>
      </c>
      <c r="L157" s="344"/>
      <c r="M157" s="344"/>
      <c r="N157" s="345"/>
      <c r="O157" s="157">
        <f t="shared" ref="O157:O169" si="123">IF(COUNT(G157:N157)&lt;3,"",ROUND(SUM(G157:N157)/$O$6,0))</f>
        <v>69</v>
      </c>
      <c r="P157" s="344"/>
      <c r="Q157" s="346"/>
      <c r="R157" s="157" t="str">
        <f t="shared" ref="R157:R169" si="124">IFERROR(IF(OR(P157="",Q157=""),"",ROUND(((O157*$O$8)+(P157*$P$8)+(Q157*$Q$8))/$Q$6,0)),"")</f>
        <v/>
      </c>
      <c r="S157" s="159" t="str">
        <f>IF(R157="","",IF(R157&gt;Data2!$C$12,Data2!$D$11,IF(R157&gt;Data2!$C$13,Data2!$D$12,IF(R157&gt;Data2!$C$14,Data2!$D$13,Data2!$D$14))))</f>
        <v/>
      </c>
      <c r="T157" s="144">
        <f t="shared" ref="T157:T169" si="125">MAX(G157:N157)</f>
        <v>85.3</v>
      </c>
      <c r="U157" s="144">
        <f t="shared" ref="U157:U169" si="126">MIN(G157:N157)</f>
        <v>80</v>
      </c>
      <c r="V157" s="144" t="str">
        <f t="shared" si="94"/>
        <v>Baik</v>
      </c>
      <c r="W157" s="144" t="str">
        <f t="shared" si="95"/>
        <v>Cukup menguasai</v>
      </c>
      <c r="X157" s="144">
        <f t="shared" ref="X157:X169" si="127">MATCH(T157,G157:N157,0)</f>
        <v>5</v>
      </c>
      <c r="Y157" s="145">
        <f t="shared" ref="Y157:Y169" si="128">MATCH(U157,G157:N157,0)</f>
        <v>3</v>
      </c>
      <c r="Z157" s="218" t="str">
        <f>IF('PA-Non'!O157&lt;&gt;"",'PA-Non'!O157,IFERROR("Mempunyai kemampuan yang " &amp;IF(V157=W157,PROPER(W157)&amp;" dalam kompetensi "&amp;VLOOKUP(X157,$G$532:$I$539,3)&amp;" dan kompetensi "&amp;VLOOKUP(Y157,$G$532:$I$539,3),PROPER(V157)&amp;" dalam kompetensi "&amp;VLOOKUP(X157,$G$532:$I$539,3)&amp;" dan memiliki kemampuan yang "&amp;W157&amp;" pada kompetensi "&amp;VLOOKUP(Y157,$G$532:$I$539,3)),""))</f>
        <v>Mempunyai kemampuan yang Baik dalam kompetensi KD Pengetahuan-5 dan memiliki kemampuan yang Cukup menguasai pada kompetensi KD Pengetahuan-3</v>
      </c>
      <c r="AA157" s="343"/>
      <c r="AB157" s="344"/>
      <c r="AC157" s="344"/>
      <c r="AD157" s="344"/>
      <c r="AE157" s="344"/>
      <c r="AF157" s="344"/>
      <c r="AG157" s="344"/>
      <c r="AH157" s="345"/>
      <c r="AI157" s="220" t="str">
        <f t="shared" ref="AI157:AI169" si="129">IF(COUNT(AA157:AH157)&lt;3,"",ROUND(((AA157*$AA$8)+(AB157*$AB$8)+(AC157*$AC$8)+(AD157*$AD$8)+(AE157*$AE$8)+(AF157*$AF$8)+(AG157*$AG$8)+(AH157*$AH$8))/$AI$6,0))</f>
        <v/>
      </c>
      <c r="AJ157" s="160" t="str">
        <f>IF(AI157="","",IF(AI157&gt;Data2!$C$12,Data2!$D$11,IF(AI157&gt;Data2!$C$13,Data2!$D$12,IF(AI157&gt;Data2!$C$14,Data2!$D$13,Data2!$D$14))))</f>
        <v/>
      </c>
      <c r="AK157" s="146">
        <f t="shared" ref="AK157:AK169" si="130">MAX(AA157:AH157)</f>
        <v>0</v>
      </c>
      <c r="AL157" s="146">
        <f t="shared" ref="AL157:AL169" si="131">MIN(AA157:AH157)</f>
        <v>0</v>
      </c>
      <c r="AM157" s="147" t="str">
        <f t="shared" si="96"/>
        <v>Mulai meningkat</v>
      </c>
      <c r="AN157" s="147" t="str">
        <f t="shared" si="97"/>
        <v>Mulai meningkat</v>
      </c>
      <c r="AO157" s="146" t="e">
        <f t="shared" ref="AO157:AO169" si="132">MATCH(AK157,AA157:AH157,0)</f>
        <v>#N/A</v>
      </c>
      <c r="AP157" s="148" t="e">
        <f t="shared" ref="AP157:AP169" si="133">MATCH(AL157,AA157:AH157,0)</f>
        <v>#N/A</v>
      </c>
      <c r="AQ157" s="158" t="str">
        <f>IF('PA-Non'!V157&lt;&gt;"",'PA-Non'!V157,IFERROR("Mempunyai keterampilan yang "&amp;IF(AM157=AN157,PROPER(AN157)&amp;" dalam kompetensi "&amp;VLOOKUP(AO157,$AA$532:$AC$539,3)&amp;", demikian juga dalam kompetensi "&amp;VLOOKUP(AP157,$AA$532:$AC$539,3),PROPER(AM157)&amp;" dalam kompetensi "&amp;VLOOKUP(AO157,$AA$532:$AC$539,3)&amp;" dan "&amp;AN157&amp;" pada kompetensi "&amp;VLOOKUP(AP157,$AA$532:$AC$539,3)),""))</f>
        <v/>
      </c>
      <c r="AR157" s="188"/>
    </row>
    <row r="158" spans="2:44" ht="27.9" customHeight="1" thickBot="1" x14ac:dyDescent="0.35">
      <c r="B158" s="384" t="s">
        <v>31</v>
      </c>
      <c r="C158" s="149">
        <f t="shared" si="122"/>
        <v>29</v>
      </c>
      <c r="D158" s="150" t="str">
        <f>IF(Data!F153="","",Data!F153)</f>
        <v>03730</v>
      </c>
      <c r="E158" s="151" t="str">
        <f>IF(Data!H153="","",Data!H153)</f>
        <v>Sofia Dhia Afra Amelia</v>
      </c>
      <c r="F158" s="152" t="str">
        <f>IF(Data!I153="","",Data!I153)</f>
        <v>Perempuan</v>
      </c>
      <c r="G158" s="343">
        <v>80.099999999999994</v>
      </c>
      <c r="H158" s="344">
        <v>80</v>
      </c>
      <c r="I158" s="344">
        <v>78</v>
      </c>
      <c r="J158" s="344">
        <v>80.2</v>
      </c>
      <c r="K158" s="344">
        <v>83</v>
      </c>
      <c r="L158" s="344"/>
      <c r="M158" s="344"/>
      <c r="N158" s="345"/>
      <c r="O158" s="157">
        <f t="shared" si="123"/>
        <v>67</v>
      </c>
      <c r="P158" s="344"/>
      <c r="Q158" s="346"/>
      <c r="R158" s="157" t="str">
        <f t="shared" si="124"/>
        <v/>
      </c>
      <c r="S158" s="159" t="str">
        <f>IF(R158="","",IF(R158&gt;Data2!$C$12,Data2!$D$11,IF(R158&gt;Data2!$C$13,Data2!$D$12,IF(R158&gt;Data2!$C$14,Data2!$D$13,Data2!$D$14))))</f>
        <v/>
      </c>
      <c r="T158" s="144">
        <f t="shared" si="125"/>
        <v>83</v>
      </c>
      <c r="U158" s="144">
        <f t="shared" si="126"/>
        <v>78</v>
      </c>
      <c r="V158" s="144" t="str">
        <f t="shared" si="94"/>
        <v>Cukup menguasai</v>
      </c>
      <c r="W158" s="144" t="str">
        <f t="shared" si="95"/>
        <v>Cukup menguasai</v>
      </c>
      <c r="X158" s="144">
        <f t="shared" si="127"/>
        <v>5</v>
      </c>
      <c r="Y158" s="145">
        <f t="shared" si="128"/>
        <v>3</v>
      </c>
      <c r="Z158" s="218" t="str">
        <f>IF('PA-Non'!O158&lt;&gt;"",'PA-Non'!O158,IFERROR("Mempunyai kemampuan yang " &amp;IF(V158=W158,PROPER(W158)&amp;" dalam kompetensi "&amp;VLOOKUP(X158,$G$532:$I$539,3)&amp;" dan kompetensi "&amp;VLOOKUP(Y158,$G$532:$I$539,3),PROPER(V158)&amp;" dalam kompetensi "&amp;VLOOKUP(X158,$G$532:$I$539,3)&amp;" dan memiliki kemampuan yang "&amp;W158&amp;" pada kompetensi "&amp;VLOOKUP(Y158,$G$532:$I$539,3)),""))</f>
        <v>Mempunyai kemampuan yang Cukup Menguasai dalam kompetensi KD Pengetahuan-5 dan kompetensi KD Pengetahuan-3</v>
      </c>
      <c r="AA158" s="343"/>
      <c r="AB158" s="344"/>
      <c r="AC158" s="344"/>
      <c r="AD158" s="344"/>
      <c r="AE158" s="344"/>
      <c r="AF158" s="344"/>
      <c r="AG158" s="344"/>
      <c r="AH158" s="345"/>
      <c r="AI158" s="220" t="str">
        <f t="shared" si="129"/>
        <v/>
      </c>
      <c r="AJ158" s="160" t="str">
        <f>IF(AI158="","",IF(AI158&gt;Data2!$C$12,Data2!$D$11,IF(AI158&gt;Data2!$C$13,Data2!$D$12,IF(AI158&gt;Data2!$C$14,Data2!$D$13,Data2!$D$14))))</f>
        <v/>
      </c>
      <c r="AK158" s="146">
        <f t="shared" si="130"/>
        <v>0</v>
      </c>
      <c r="AL158" s="146">
        <f t="shared" si="131"/>
        <v>0</v>
      </c>
      <c r="AM158" s="147" t="str">
        <f t="shared" si="96"/>
        <v>Mulai meningkat</v>
      </c>
      <c r="AN158" s="147" t="str">
        <f t="shared" si="97"/>
        <v>Mulai meningkat</v>
      </c>
      <c r="AO158" s="146" t="e">
        <f t="shared" si="132"/>
        <v>#N/A</v>
      </c>
      <c r="AP158" s="148" t="e">
        <f t="shared" si="133"/>
        <v>#N/A</v>
      </c>
      <c r="AQ158" s="158" t="str">
        <f>IF('PA-Non'!V158&lt;&gt;"",'PA-Non'!V158,IFERROR("Mempunyai keterampilan yang "&amp;IF(AM158=AN158,PROPER(AN158)&amp;" dalam kompetensi "&amp;VLOOKUP(AO158,$AA$532:$AC$539,3)&amp;", demikian juga dalam kompetensi "&amp;VLOOKUP(AP158,$AA$532:$AC$539,3),PROPER(AM158)&amp;" dalam kompetensi "&amp;VLOOKUP(AO158,$AA$532:$AC$539,3)&amp;" dan "&amp;AN158&amp;" pada kompetensi "&amp;VLOOKUP(AP158,$AA$532:$AC$539,3)),""))</f>
        <v/>
      </c>
      <c r="AR158" s="188"/>
    </row>
    <row r="159" spans="2:44" ht="27.9" customHeight="1" thickBot="1" x14ac:dyDescent="0.35">
      <c r="B159" s="384" t="s">
        <v>31</v>
      </c>
      <c r="C159" s="149">
        <f t="shared" si="122"/>
        <v>30</v>
      </c>
      <c r="D159" s="150" t="str">
        <f>IF(Data!F154="","",Data!F154)</f>
        <v>03732</v>
      </c>
      <c r="E159" s="151" t="str">
        <f>IF(Data!H154="","",Data!H154)</f>
        <v>Syafa Zahrotu Sita Azzahra</v>
      </c>
      <c r="F159" s="152" t="str">
        <f>IF(Data!I154="","",Data!I154)</f>
        <v>Perempuan</v>
      </c>
      <c r="G159" s="343">
        <v>100</v>
      </c>
      <c r="H159" s="344">
        <v>83</v>
      </c>
      <c r="I159" s="344">
        <v>95.1</v>
      </c>
      <c r="J159" s="344">
        <v>87</v>
      </c>
      <c r="K159" s="344">
        <v>95</v>
      </c>
      <c r="L159" s="344"/>
      <c r="M159" s="344"/>
      <c r="N159" s="345"/>
      <c r="O159" s="157">
        <f t="shared" si="123"/>
        <v>77</v>
      </c>
      <c r="P159" s="344"/>
      <c r="Q159" s="346"/>
      <c r="R159" s="157" t="str">
        <f t="shared" si="124"/>
        <v/>
      </c>
      <c r="S159" s="159" t="str">
        <f>IF(R159="","",IF(R159&gt;Data2!$C$12,Data2!$D$11,IF(R159&gt;Data2!$C$13,Data2!$D$12,IF(R159&gt;Data2!$C$14,Data2!$D$13,Data2!$D$14))))</f>
        <v/>
      </c>
      <c r="T159" s="144">
        <f t="shared" si="125"/>
        <v>100</v>
      </c>
      <c r="U159" s="144">
        <f t="shared" si="126"/>
        <v>83</v>
      </c>
      <c r="V159" s="144" t="str">
        <f t="shared" si="94"/>
        <v>Sangat baik</v>
      </c>
      <c r="W159" s="144" t="str">
        <f t="shared" si="95"/>
        <v>Cukup menguasai</v>
      </c>
      <c r="X159" s="144">
        <f t="shared" si="127"/>
        <v>1</v>
      </c>
      <c r="Y159" s="145">
        <f t="shared" si="128"/>
        <v>2</v>
      </c>
      <c r="Z159" s="218" t="str">
        <f>IF('PA-Non'!O159&lt;&gt;"",'PA-Non'!O159,IFERROR("Mempunyai kemampuan yang " &amp;IF(V159=W159,PROPER(W159)&amp;" dalam kompetensi "&amp;VLOOKUP(X159,$G$532:$I$539,3)&amp;" dan kompetensi "&amp;VLOOKUP(Y159,$G$532:$I$539,3),PROPER(V159)&amp;" dalam kompetensi "&amp;VLOOKUP(X159,$G$532:$I$539,3)&amp;" dan memiliki kemampuan yang "&amp;W159&amp;" pada kompetensi "&amp;VLOOKUP(Y159,$G$532:$I$539,3)),""))</f>
        <v>Mempunyai kemampuan yang Sangat Baik dalam kompetensi KD Pengetahuan-1 dan memiliki kemampuan yang Cukup menguasai pada kompetensi KD Pengetahuan-2</v>
      </c>
      <c r="AA159" s="343"/>
      <c r="AB159" s="344"/>
      <c r="AC159" s="344"/>
      <c r="AD159" s="344"/>
      <c r="AE159" s="344"/>
      <c r="AF159" s="344"/>
      <c r="AG159" s="344"/>
      <c r="AH159" s="345"/>
      <c r="AI159" s="220" t="str">
        <f t="shared" si="129"/>
        <v/>
      </c>
      <c r="AJ159" s="160" t="str">
        <f>IF(AI159="","",IF(AI159&gt;Data2!$C$12,Data2!$D$11,IF(AI159&gt;Data2!$C$13,Data2!$D$12,IF(AI159&gt;Data2!$C$14,Data2!$D$13,Data2!$D$14))))</f>
        <v/>
      </c>
      <c r="AK159" s="146">
        <f t="shared" si="130"/>
        <v>0</v>
      </c>
      <c r="AL159" s="146">
        <f t="shared" si="131"/>
        <v>0</v>
      </c>
      <c r="AM159" s="147" t="str">
        <f t="shared" si="96"/>
        <v>Mulai meningkat</v>
      </c>
      <c r="AN159" s="147" t="str">
        <f t="shared" si="97"/>
        <v>Mulai meningkat</v>
      </c>
      <c r="AO159" s="146" t="e">
        <f t="shared" si="132"/>
        <v>#N/A</v>
      </c>
      <c r="AP159" s="148" t="e">
        <f t="shared" si="133"/>
        <v>#N/A</v>
      </c>
      <c r="AQ159" s="158" t="str">
        <f>IF('PA-Non'!V159&lt;&gt;"",'PA-Non'!V159,IFERROR("Mempunyai keterampilan yang "&amp;IF(AM159=AN159,PROPER(AN159)&amp;" dalam kompetensi "&amp;VLOOKUP(AO159,$AA$532:$AC$539,3)&amp;", demikian juga dalam kompetensi "&amp;VLOOKUP(AP159,$AA$532:$AC$539,3),PROPER(AM159)&amp;" dalam kompetensi "&amp;VLOOKUP(AO159,$AA$532:$AC$539,3)&amp;" dan "&amp;AN159&amp;" pada kompetensi "&amp;VLOOKUP(AP159,$AA$532:$AC$539,3)),""))</f>
        <v/>
      </c>
      <c r="AR159" s="188"/>
    </row>
    <row r="160" spans="2:44" ht="27.9" customHeight="1" thickBot="1" x14ac:dyDescent="0.35">
      <c r="B160" s="384" t="s">
        <v>31</v>
      </c>
      <c r="C160" s="149">
        <f t="shared" si="122"/>
        <v>31</v>
      </c>
      <c r="D160" s="150" t="str">
        <f>IF(Data!F155="","",Data!F155)</f>
        <v>03735</v>
      </c>
      <c r="E160" s="151" t="str">
        <f>IF(Data!H155="","",Data!H155)</f>
        <v>Syifaatar Rohmah</v>
      </c>
      <c r="F160" s="152" t="str">
        <f>IF(Data!I155="","",Data!I155)</f>
        <v>Perempuan</v>
      </c>
      <c r="G160" s="343">
        <v>80</v>
      </c>
      <c r="H160" s="344">
        <v>85.1</v>
      </c>
      <c r="I160" s="344">
        <v>88</v>
      </c>
      <c r="J160" s="344">
        <v>83</v>
      </c>
      <c r="K160" s="344">
        <v>85</v>
      </c>
      <c r="L160" s="344"/>
      <c r="M160" s="344"/>
      <c r="N160" s="345"/>
      <c r="O160" s="157">
        <f t="shared" si="123"/>
        <v>70</v>
      </c>
      <c r="P160" s="344"/>
      <c r="Q160" s="346"/>
      <c r="R160" s="157" t="str">
        <f t="shared" si="124"/>
        <v/>
      </c>
      <c r="S160" s="159" t="str">
        <f>IF(R160="","",IF(R160&gt;Data2!$C$12,Data2!$D$11,IF(R160&gt;Data2!$C$13,Data2!$D$12,IF(R160&gt;Data2!$C$14,Data2!$D$13,Data2!$D$14))))</f>
        <v/>
      </c>
      <c r="T160" s="144">
        <f t="shared" si="125"/>
        <v>88</v>
      </c>
      <c r="U160" s="144">
        <f t="shared" si="126"/>
        <v>80</v>
      </c>
      <c r="V160" s="144" t="str">
        <f t="shared" si="94"/>
        <v>Baik</v>
      </c>
      <c r="W160" s="144" t="str">
        <f t="shared" si="95"/>
        <v>Cukup menguasai</v>
      </c>
      <c r="X160" s="144">
        <f t="shared" si="127"/>
        <v>3</v>
      </c>
      <c r="Y160" s="145">
        <f t="shared" si="128"/>
        <v>1</v>
      </c>
      <c r="Z160" s="218" t="str">
        <f>IF('PA-Non'!O160&lt;&gt;"",'PA-Non'!O160,IFERROR("Mempunyai kemampuan yang " &amp;IF(V160=W160,PROPER(W160)&amp;" dalam kompetensi "&amp;VLOOKUP(X160,$G$532:$I$539,3)&amp;" dan kompetensi "&amp;VLOOKUP(Y160,$G$532:$I$539,3),PROPER(V160)&amp;" dalam kompetensi "&amp;VLOOKUP(X160,$G$532:$I$539,3)&amp;" dan memiliki kemampuan yang "&amp;W160&amp;" pada kompetensi "&amp;VLOOKUP(Y160,$G$532:$I$539,3)),""))</f>
        <v>Mempunyai kemampuan yang Baik dalam kompetensi KD Pengetahuan-3 dan memiliki kemampuan yang Cukup menguasai pada kompetensi KD Pengetahuan-1</v>
      </c>
      <c r="AA160" s="343"/>
      <c r="AB160" s="344"/>
      <c r="AC160" s="344"/>
      <c r="AD160" s="344"/>
      <c r="AE160" s="344"/>
      <c r="AF160" s="344"/>
      <c r="AG160" s="344"/>
      <c r="AH160" s="345"/>
      <c r="AI160" s="220" t="str">
        <f t="shared" si="129"/>
        <v/>
      </c>
      <c r="AJ160" s="160" t="str">
        <f>IF(AI160="","",IF(AI160&gt;Data2!$C$12,Data2!$D$11,IF(AI160&gt;Data2!$C$13,Data2!$D$12,IF(AI160&gt;Data2!$C$14,Data2!$D$13,Data2!$D$14))))</f>
        <v/>
      </c>
      <c r="AK160" s="146">
        <f t="shared" si="130"/>
        <v>0</v>
      </c>
      <c r="AL160" s="146">
        <f t="shared" si="131"/>
        <v>0</v>
      </c>
      <c r="AM160" s="147" t="str">
        <f t="shared" si="96"/>
        <v>Mulai meningkat</v>
      </c>
      <c r="AN160" s="147" t="str">
        <f t="shared" si="97"/>
        <v>Mulai meningkat</v>
      </c>
      <c r="AO160" s="146" t="e">
        <f t="shared" si="132"/>
        <v>#N/A</v>
      </c>
      <c r="AP160" s="148" t="e">
        <f t="shared" si="133"/>
        <v>#N/A</v>
      </c>
      <c r="AQ160" s="158" t="str">
        <f>IF('PA-Non'!V160&lt;&gt;"",'PA-Non'!V160,IFERROR("Mempunyai keterampilan yang "&amp;IF(AM160=AN160,PROPER(AN160)&amp;" dalam kompetensi "&amp;VLOOKUP(AO160,$AA$532:$AC$539,3)&amp;", demikian juga dalam kompetensi "&amp;VLOOKUP(AP160,$AA$532:$AC$539,3),PROPER(AM160)&amp;" dalam kompetensi "&amp;VLOOKUP(AO160,$AA$532:$AC$539,3)&amp;" dan "&amp;AN160&amp;" pada kompetensi "&amp;VLOOKUP(AP160,$AA$532:$AC$539,3)),""))</f>
        <v/>
      </c>
      <c r="AR160" s="188"/>
    </row>
    <row r="161" spans="2:44" ht="27.9" customHeight="1" thickBot="1" x14ac:dyDescent="0.35">
      <c r="B161" s="384" t="s">
        <v>31</v>
      </c>
      <c r="C161" s="149">
        <f t="shared" si="122"/>
        <v>32</v>
      </c>
      <c r="D161" s="150" t="str">
        <f>IF(Data!F156="","",Data!F156)</f>
        <v>03744</v>
      </c>
      <c r="E161" s="151" t="str">
        <f>IF(Data!H156="","",Data!H156)</f>
        <v>Zahra Nur Anifa</v>
      </c>
      <c r="F161" s="152" t="str">
        <f>IF(Data!I156="","",Data!I156)</f>
        <v>Perempuan</v>
      </c>
      <c r="G161" s="343">
        <v>85.1</v>
      </c>
      <c r="H161" s="344">
        <v>80</v>
      </c>
      <c r="I161" s="344">
        <v>78</v>
      </c>
      <c r="J161" s="344">
        <v>85.2</v>
      </c>
      <c r="K161" s="344">
        <v>85</v>
      </c>
      <c r="L161" s="344"/>
      <c r="M161" s="344"/>
      <c r="N161" s="345"/>
      <c r="O161" s="157">
        <f t="shared" si="123"/>
        <v>69</v>
      </c>
      <c r="P161" s="344"/>
      <c r="Q161" s="346"/>
      <c r="R161" s="157" t="str">
        <f t="shared" si="124"/>
        <v/>
      </c>
      <c r="S161" s="159" t="str">
        <f>IF(R161="","",IF(R161&gt;Data2!$C$12,Data2!$D$11,IF(R161&gt;Data2!$C$13,Data2!$D$12,IF(R161&gt;Data2!$C$14,Data2!$D$13,Data2!$D$14))))</f>
        <v/>
      </c>
      <c r="T161" s="144">
        <f t="shared" si="125"/>
        <v>85.2</v>
      </c>
      <c r="U161" s="144">
        <f t="shared" si="126"/>
        <v>78</v>
      </c>
      <c r="V161" s="144" t="str">
        <f t="shared" si="94"/>
        <v>Baik</v>
      </c>
      <c r="W161" s="144" t="str">
        <f t="shared" si="95"/>
        <v>Cukup menguasai</v>
      </c>
      <c r="X161" s="144">
        <f t="shared" si="127"/>
        <v>4</v>
      </c>
      <c r="Y161" s="145">
        <f t="shared" si="128"/>
        <v>3</v>
      </c>
      <c r="Z161" s="218" t="str">
        <f>IF('PA-Non'!O161&lt;&gt;"",'PA-Non'!O161,IFERROR("Mempunyai kemampuan yang " &amp;IF(V161=W161,PROPER(W161)&amp;" dalam kompetensi "&amp;VLOOKUP(X161,$G$532:$I$539,3)&amp;" dan kompetensi "&amp;VLOOKUP(Y161,$G$532:$I$539,3),PROPER(V161)&amp;" dalam kompetensi "&amp;VLOOKUP(X161,$G$532:$I$539,3)&amp;" dan memiliki kemampuan yang "&amp;W161&amp;" pada kompetensi "&amp;VLOOKUP(Y161,$G$532:$I$539,3)),""))</f>
        <v>Mempunyai kemampuan yang Baik dalam kompetensi KD Pengetahuan-4 dan memiliki kemampuan yang Cukup menguasai pada kompetensi KD Pengetahuan-3</v>
      </c>
      <c r="AA161" s="343"/>
      <c r="AB161" s="344"/>
      <c r="AC161" s="344"/>
      <c r="AD161" s="344"/>
      <c r="AE161" s="344"/>
      <c r="AF161" s="344"/>
      <c r="AG161" s="344"/>
      <c r="AH161" s="345"/>
      <c r="AI161" s="220" t="str">
        <f t="shared" si="129"/>
        <v/>
      </c>
      <c r="AJ161" s="160" t="str">
        <f>IF(AI161="","",IF(AI161&gt;Data2!$C$12,Data2!$D$11,IF(AI161&gt;Data2!$C$13,Data2!$D$12,IF(AI161&gt;Data2!$C$14,Data2!$D$13,Data2!$D$14))))</f>
        <v/>
      </c>
      <c r="AK161" s="146">
        <f t="shared" si="130"/>
        <v>0</v>
      </c>
      <c r="AL161" s="146">
        <f t="shared" si="131"/>
        <v>0</v>
      </c>
      <c r="AM161" s="147" t="str">
        <f t="shared" si="96"/>
        <v>Mulai meningkat</v>
      </c>
      <c r="AN161" s="147" t="str">
        <f t="shared" si="97"/>
        <v>Mulai meningkat</v>
      </c>
      <c r="AO161" s="146" t="e">
        <f t="shared" si="132"/>
        <v>#N/A</v>
      </c>
      <c r="AP161" s="148" t="e">
        <f t="shared" si="133"/>
        <v>#N/A</v>
      </c>
      <c r="AQ161" s="158" t="str">
        <f>IF('PA-Non'!V161&lt;&gt;"",'PA-Non'!V161,IFERROR("Mempunyai keterampilan yang "&amp;IF(AM161=AN161,PROPER(AN161)&amp;" dalam kompetensi "&amp;VLOOKUP(AO161,$AA$532:$AC$539,3)&amp;", demikian juga dalam kompetensi "&amp;VLOOKUP(AP161,$AA$532:$AC$539,3),PROPER(AM161)&amp;" dalam kompetensi "&amp;VLOOKUP(AO161,$AA$532:$AC$539,3)&amp;" dan "&amp;AN161&amp;" pada kompetensi "&amp;VLOOKUP(AP161,$AA$532:$AC$539,3)),""))</f>
        <v/>
      </c>
      <c r="AR161" s="188"/>
    </row>
    <row r="162" spans="2:44" ht="27.9" customHeight="1" thickBot="1" x14ac:dyDescent="0.35">
      <c r="B162" s="384" t="s">
        <v>31</v>
      </c>
      <c r="C162" s="149">
        <f t="shared" si="122"/>
        <v>33</v>
      </c>
      <c r="D162" s="150" t="str">
        <f>IF(Data!F157="","",Data!F157)</f>
        <v>03745</v>
      </c>
      <c r="E162" s="151" t="str">
        <f>IF(Data!H157="","",Data!H157)</f>
        <v>Zahro Aliyatul Khusna</v>
      </c>
      <c r="F162" s="152" t="str">
        <f>IF(Data!I157="","",Data!I157)</f>
        <v>Perempuan</v>
      </c>
      <c r="G162" s="343">
        <v>85.1</v>
      </c>
      <c r="H162" s="344">
        <v>85</v>
      </c>
      <c r="I162" s="344">
        <v>80</v>
      </c>
      <c r="J162" s="344">
        <v>90</v>
      </c>
      <c r="K162" s="344">
        <v>85.2</v>
      </c>
      <c r="L162" s="344"/>
      <c r="M162" s="344"/>
      <c r="N162" s="345"/>
      <c r="O162" s="157">
        <f t="shared" si="123"/>
        <v>71</v>
      </c>
      <c r="P162" s="344"/>
      <c r="Q162" s="346"/>
      <c r="R162" s="157" t="str">
        <f t="shared" si="124"/>
        <v/>
      </c>
      <c r="S162" s="159" t="str">
        <f>IF(R162="","",IF(R162&gt;Data2!$C$12,Data2!$D$11,IF(R162&gt;Data2!$C$13,Data2!$D$12,IF(R162&gt;Data2!$C$14,Data2!$D$13,Data2!$D$14))))</f>
        <v/>
      </c>
      <c r="T162" s="144">
        <f t="shared" si="125"/>
        <v>90</v>
      </c>
      <c r="U162" s="144">
        <f t="shared" si="126"/>
        <v>80</v>
      </c>
      <c r="V162" s="144" t="str">
        <f t="shared" si="94"/>
        <v>Baik</v>
      </c>
      <c r="W162" s="144" t="str">
        <f t="shared" si="95"/>
        <v>Cukup menguasai</v>
      </c>
      <c r="X162" s="144">
        <f t="shared" si="127"/>
        <v>4</v>
      </c>
      <c r="Y162" s="145">
        <f t="shared" si="128"/>
        <v>3</v>
      </c>
      <c r="Z162" s="218" t="str">
        <f>IF('PA-Non'!O162&lt;&gt;"",'PA-Non'!O162,IFERROR("Mempunyai kemampuan yang " &amp;IF(V162=W162,PROPER(W162)&amp;" dalam kompetensi "&amp;VLOOKUP(X162,$G$532:$I$539,3)&amp;" dan kompetensi "&amp;VLOOKUP(Y162,$G$532:$I$539,3),PROPER(V162)&amp;" dalam kompetensi "&amp;VLOOKUP(X162,$G$532:$I$539,3)&amp;" dan memiliki kemampuan yang "&amp;W162&amp;" pada kompetensi "&amp;VLOOKUP(Y162,$G$532:$I$539,3)),""))</f>
        <v>Mempunyai kemampuan yang Baik dalam kompetensi KD Pengetahuan-4 dan memiliki kemampuan yang Cukup menguasai pada kompetensi KD Pengetahuan-3</v>
      </c>
      <c r="AA162" s="343"/>
      <c r="AB162" s="344"/>
      <c r="AC162" s="344"/>
      <c r="AD162" s="344"/>
      <c r="AE162" s="344"/>
      <c r="AF162" s="344"/>
      <c r="AG162" s="344"/>
      <c r="AH162" s="345"/>
      <c r="AI162" s="220" t="str">
        <f t="shared" si="129"/>
        <v/>
      </c>
      <c r="AJ162" s="160" t="str">
        <f>IF(AI162="","",IF(AI162&gt;Data2!$C$12,Data2!$D$11,IF(AI162&gt;Data2!$C$13,Data2!$D$12,IF(AI162&gt;Data2!$C$14,Data2!$D$13,Data2!$D$14))))</f>
        <v/>
      </c>
      <c r="AK162" s="146">
        <f t="shared" si="130"/>
        <v>0</v>
      </c>
      <c r="AL162" s="146">
        <f t="shared" si="131"/>
        <v>0</v>
      </c>
      <c r="AM162" s="147" t="str">
        <f t="shared" si="96"/>
        <v>Mulai meningkat</v>
      </c>
      <c r="AN162" s="147" t="str">
        <f t="shared" si="97"/>
        <v>Mulai meningkat</v>
      </c>
      <c r="AO162" s="146" t="e">
        <f t="shared" si="132"/>
        <v>#N/A</v>
      </c>
      <c r="AP162" s="148" t="e">
        <f t="shared" si="133"/>
        <v>#N/A</v>
      </c>
      <c r="AQ162" s="158" t="str">
        <f>IF('PA-Non'!V162&lt;&gt;"",'PA-Non'!V162,IFERROR("Mempunyai keterampilan yang "&amp;IF(AM162=AN162,PROPER(AN162)&amp;" dalam kompetensi "&amp;VLOOKUP(AO162,$AA$532:$AC$539,3)&amp;", demikian juga dalam kompetensi "&amp;VLOOKUP(AP162,$AA$532:$AC$539,3),PROPER(AM162)&amp;" dalam kompetensi "&amp;VLOOKUP(AO162,$AA$532:$AC$539,3)&amp;" dan "&amp;AN162&amp;" pada kompetensi "&amp;VLOOKUP(AP162,$AA$532:$AC$539,3)),""))</f>
        <v/>
      </c>
      <c r="AR162" s="188"/>
    </row>
    <row r="163" spans="2:44" ht="27.9" customHeight="1" thickBot="1" x14ac:dyDescent="0.35">
      <c r="B163" s="384" t="s">
        <v>31</v>
      </c>
      <c r="C163" s="149">
        <f t="shared" si="122"/>
        <v>34</v>
      </c>
      <c r="D163" s="150" t="str">
        <f>IF(Data!F158="","",Data!F158)</f>
        <v>03746</v>
      </c>
      <c r="E163" s="151" t="str">
        <f>IF(Data!H158="","",Data!H158)</f>
        <v>Zahrotul Ilmada Chifa</v>
      </c>
      <c r="F163" s="152" t="str">
        <f>IF(Data!I158="","",Data!I158)</f>
        <v>Perempuan</v>
      </c>
      <c r="G163" s="343">
        <v>95</v>
      </c>
      <c r="H163" s="344">
        <v>90</v>
      </c>
      <c r="I163" s="344">
        <v>85.1</v>
      </c>
      <c r="J163" s="344">
        <v>85</v>
      </c>
      <c r="K163" s="344">
        <v>93</v>
      </c>
      <c r="L163" s="344"/>
      <c r="M163" s="344"/>
      <c r="N163" s="345"/>
      <c r="O163" s="157">
        <f t="shared" si="123"/>
        <v>75</v>
      </c>
      <c r="P163" s="344"/>
      <c r="Q163" s="346"/>
      <c r="R163" s="157" t="str">
        <f t="shared" si="124"/>
        <v/>
      </c>
      <c r="S163" s="159" t="str">
        <f>IF(R163="","",IF(R163&gt;Data2!$C$12,Data2!$D$11,IF(R163&gt;Data2!$C$13,Data2!$D$12,IF(R163&gt;Data2!$C$14,Data2!$D$13,Data2!$D$14))))</f>
        <v/>
      </c>
      <c r="T163" s="144">
        <f t="shared" si="125"/>
        <v>95</v>
      </c>
      <c r="U163" s="144">
        <f t="shared" si="126"/>
        <v>85</v>
      </c>
      <c r="V163" s="144" t="str">
        <f t="shared" si="94"/>
        <v>Sangat baik</v>
      </c>
      <c r="W163" s="144" t="str">
        <f t="shared" si="95"/>
        <v>Cukup menguasai</v>
      </c>
      <c r="X163" s="144">
        <f t="shared" si="127"/>
        <v>1</v>
      </c>
      <c r="Y163" s="145">
        <f t="shared" si="128"/>
        <v>4</v>
      </c>
      <c r="Z163" s="218" t="str">
        <f>IF('PA-Non'!O163&lt;&gt;"",'PA-Non'!O163,IFERROR("Mempunyai kemampuan yang " &amp;IF(V163=W163,PROPER(W163)&amp;" dalam kompetensi "&amp;VLOOKUP(X163,$G$532:$I$539,3)&amp;" dan kompetensi "&amp;VLOOKUP(Y163,$G$532:$I$539,3),PROPER(V163)&amp;" dalam kompetensi "&amp;VLOOKUP(X163,$G$532:$I$539,3)&amp;" dan memiliki kemampuan yang "&amp;W163&amp;" pada kompetensi "&amp;VLOOKUP(Y163,$G$532:$I$539,3)),""))</f>
        <v>Mempunyai kemampuan yang Sangat Baik dalam kompetensi KD Pengetahuan-1 dan memiliki kemampuan yang Cukup menguasai pada kompetensi KD Pengetahuan-4</v>
      </c>
      <c r="AA163" s="343"/>
      <c r="AB163" s="344"/>
      <c r="AC163" s="344"/>
      <c r="AD163" s="344"/>
      <c r="AE163" s="344"/>
      <c r="AF163" s="344"/>
      <c r="AG163" s="344"/>
      <c r="AH163" s="345"/>
      <c r="AI163" s="220" t="str">
        <f t="shared" si="129"/>
        <v/>
      </c>
      <c r="AJ163" s="160" t="str">
        <f>IF(AI163="","",IF(AI163&gt;Data2!$C$12,Data2!$D$11,IF(AI163&gt;Data2!$C$13,Data2!$D$12,IF(AI163&gt;Data2!$C$14,Data2!$D$13,Data2!$D$14))))</f>
        <v/>
      </c>
      <c r="AK163" s="146">
        <f t="shared" si="130"/>
        <v>0</v>
      </c>
      <c r="AL163" s="146">
        <f t="shared" si="131"/>
        <v>0</v>
      </c>
      <c r="AM163" s="147" t="str">
        <f t="shared" si="96"/>
        <v>Mulai meningkat</v>
      </c>
      <c r="AN163" s="147" t="str">
        <f t="shared" si="97"/>
        <v>Mulai meningkat</v>
      </c>
      <c r="AO163" s="146" t="e">
        <f t="shared" si="132"/>
        <v>#N/A</v>
      </c>
      <c r="AP163" s="148" t="e">
        <f t="shared" si="133"/>
        <v>#N/A</v>
      </c>
      <c r="AQ163" s="158" t="str">
        <f>IF('PA-Non'!V163&lt;&gt;"",'PA-Non'!V163,IFERROR("Mempunyai keterampilan yang "&amp;IF(AM163=AN163,PROPER(AN163)&amp;" dalam kompetensi "&amp;VLOOKUP(AO163,$AA$532:$AC$539,3)&amp;", demikian juga dalam kompetensi "&amp;VLOOKUP(AP163,$AA$532:$AC$539,3),PROPER(AM163)&amp;" dalam kompetensi "&amp;VLOOKUP(AO163,$AA$532:$AC$539,3)&amp;" dan "&amp;AN163&amp;" pada kompetensi "&amp;VLOOKUP(AP163,$AA$532:$AC$539,3)),""))</f>
        <v/>
      </c>
      <c r="AR163" s="188"/>
    </row>
    <row r="164" spans="2:44" ht="27.9" customHeight="1" thickBot="1" x14ac:dyDescent="0.35">
      <c r="B164" s="384" t="s">
        <v>31</v>
      </c>
      <c r="C164" s="149">
        <f t="shared" si="122"/>
        <v>35</v>
      </c>
      <c r="D164" s="150" t="str">
        <f>IF(Data!F159="","",Data!F159)</f>
        <v>03751</v>
      </c>
      <c r="E164" s="151" t="str">
        <f>IF(Data!H159="","",Data!H159)</f>
        <v>Zivana Raisa Yasmin</v>
      </c>
      <c r="F164" s="152" t="str">
        <f>IF(Data!I159="","",Data!I159)</f>
        <v>Perempuan</v>
      </c>
      <c r="G164" s="343">
        <v>95.1</v>
      </c>
      <c r="H164" s="344">
        <v>95</v>
      </c>
      <c r="I164" s="344">
        <v>85.2</v>
      </c>
      <c r="J164" s="344">
        <v>93</v>
      </c>
      <c r="K164" s="344">
        <v>85</v>
      </c>
      <c r="L164" s="344"/>
      <c r="M164" s="344"/>
      <c r="N164" s="345"/>
      <c r="O164" s="157">
        <f t="shared" si="123"/>
        <v>76</v>
      </c>
      <c r="P164" s="344"/>
      <c r="Q164" s="346"/>
      <c r="R164" s="157" t="str">
        <f t="shared" si="124"/>
        <v/>
      </c>
      <c r="S164" s="159" t="str">
        <f>IF(R164="","",IF(R164&gt;Data2!$C$12,Data2!$D$11,IF(R164&gt;Data2!$C$13,Data2!$D$12,IF(R164&gt;Data2!$C$14,Data2!$D$13,Data2!$D$14))))</f>
        <v/>
      </c>
      <c r="T164" s="144">
        <f t="shared" si="125"/>
        <v>95.1</v>
      </c>
      <c r="U164" s="144">
        <f t="shared" si="126"/>
        <v>85</v>
      </c>
      <c r="V164" s="144" t="str">
        <f t="shared" si="94"/>
        <v>Sangat baik</v>
      </c>
      <c r="W164" s="144" t="str">
        <f t="shared" si="95"/>
        <v>Cukup menguasai</v>
      </c>
      <c r="X164" s="144">
        <f t="shared" si="127"/>
        <v>1</v>
      </c>
      <c r="Y164" s="145">
        <f t="shared" si="128"/>
        <v>5</v>
      </c>
      <c r="Z164" s="218" t="str">
        <f>IF('PA-Non'!O164&lt;&gt;"",'PA-Non'!O164,IFERROR("Mempunyai kemampuan yang " &amp;IF(V164=W164,PROPER(W164)&amp;" dalam kompetensi "&amp;VLOOKUP(X164,$G$532:$I$539,3)&amp;" dan kompetensi "&amp;VLOOKUP(Y164,$G$532:$I$539,3),PROPER(V164)&amp;" dalam kompetensi "&amp;VLOOKUP(X164,$G$532:$I$539,3)&amp;" dan memiliki kemampuan yang "&amp;W164&amp;" pada kompetensi "&amp;VLOOKUP(Y164,$G$532:$I$539,3)),""))</f>
        <v>Mempunyai kemampuan yang Sangat Baik dalam kompetensi KD Pengetahuan-1 dan memiliki kemampuan yang Cukup menguasai pada kompetensi KD Pengetahuan-5</v>
      </c>
      <c r="AA164" s="343"/>
      <c r="AB164" s="344"/>
      <c r="AC164" s="344"/>
      <c r="AD164" s="344"/>
      <c r="AE164" s="344"/>
      <c r="AF164" s="344"/>
      <c r="AG164" s="344"/>
      <c r="AH164" s="345"/>
      <c r="AI164" s="220" t="str">
        <f t="shared" si="129"/>
        <v/>
      </c>
      <c r="AJ164" s="160" t="str">
        <f>IF(AI164="","",IF(AI164&gt;Data2!$C$12,Data2!$D$11,IF(AI164&gt;Data2!$C$13,Data2!$D$12,IF(AI164&gt;Data2!$C$14,Data2!$D$13,Data2!$D$14))))</f>
        <v/>
      </c>
      <c r="AK164" s="146">
        <f t="shared" si="130"/>
        <v>0</v>
      </c>
      <c r="AL164" s="146">
        <f t="shared" si="131"/>
        <v>0</v>
      </c>
      <c r="AM164" s="147" t="str">
        <f t="shared" si="96"/>
        <v>Mulai meningkat</v>
      </c>
      <c r="AN164" s="147" t="str">
        <f t="shared" si="97"/>
        <v>Mulai meningkat</v>
      </c>
      <c r="AO164" s="146" t="e">
        <f t="shared" si="132"/>
        <v>#N/A</v>
      </c>
      <c r="AP164" s="148" t="e">
        <f t="shared" si="133"/>
        <v>#N/A</v>
      </c>
      <c r="AQ164" s="158" t="str">
        <f>IF('PA-Non'!V164&lt;&gt;"",'PA-Non'!V164,IFERROR("Mempunyai keterampilan yang "&amp;IF(AM164=AN164,PROPER(AN164)&amp;" dalam kompetensi "&amp;VLOOKUP(AO164,$AA$532:$AC$539,3)&amp;", demikian juga dalam kompetensi "&amp;VLOOKUP(AP164,$AA$532:$AC$539,3),PROPER(AM164)&amp;" dalam kompetensi "&amp;VLOOKUP(AO164,$AA$532:$AC$539,3)&amp;" dan "&amp;AN164&amp;" pada kompetensi "&amp;VLOOKUP(AP164,$AA$532:$AC$539,3)),""))</f>
        <v/>
      </c>
      <c r="AR164" s="188"/>
    </row>
    <row r="165" spans="2:44" ht="27.9" customHeight="1" thickBot="1" x14ac:dyDescent="0.35">
      <c r="B165" s="384" t="s">
        <v>31</v>
      </c>
      <c r="C165" s="149" t="str">
        <f t="shared" si="122"/>
        <v/>
      </c>
      <c r="D165" s="150" t="str">
        <f>IF(Data!F160="","",Data!F160)</f>
        <v/>
      </c>
      <c r="E165" s="151" t="str">
        <f>IF(Data!H160="","",Data!H160)</f>
        <v/>
      </c>
      <c r="F165" s="152" t="str">
        <f>IF(Data!I160="","",Data!I160)</f>
        <v/>
      </c>
      <c r="G165" s="343"/>
      <c r="H165" s="344"/>
      <c r="I165" s="344"/>
      <c r="J165" s="344"/>
      <c r="K165" s="344"/>
      <c r="L165" s="344"/>
      <c r="M165" s="344"/>
      <c r="N165" s="345"/>
      <c r="O165" s="157" t="str">
        <f t="shared" si="123"/>
        <v/>
      </c>
      <c r="P165" s="344"/>
      <c r="Q165" s="346"/>
      <c r="R165" s="157" t="str">
        <f t="shared" si="124"/>
        <v/>
      </c>
      <c r="S165" s="159" t="str">
        <f>IF(R165="","",IF(R165&gt;Data2!$C$12,Data2!$D$11,IF(R165&gt;Data2!$C$13,Data2!$D$12,IF(R165&gt;Data2!$C$14,Data2!$D$13,Data2!$D$14))))</f>
        <v/>
      </c>
      <c r="T165" s="144">
        <f t="shared" si="125"/>
        <v>0</v>
      </c>
      <c r="U165" s="144">
        <f t="shared" si="126"/>
        <v>0</v>
      </c>
      <c r="V165" s="144" t="str">
        <f t="shared" si="94"/>
        <v>Mulai berkembang</v>
      </c>
      <c r="W165" s="144" t="str">
        <f t="shared" si="95"/>
        <v>Mulai berkembang</v>
      </c>
      <c r="X165" s="144" t="e">
        <f t="shared" si="127"/>
        <v>#N/A</v>
      </c>
      <c r="Y165" s="145" t="e">
        <f t="shared" si="128"/>
        <v>#N/A</v>
      </c>
      <c r="Z165" s="218" t="str">
        <f>IF('PA-Non'!O165&lt;&gt;"",'PA-Non'!O165,IFERROR("Mempunyai kemampuan yang " &amp;IF(V165=W165,PROPER(W165)&amp;" dalam kompetensi "&amp;VLOOKUP(X165,$G$532:$I$539,3)&amp;" dan kompetensi "&amp;VLOOKUP(Y165,$G$532:$I$539,3),PROPER(V165)&amp;" dalam kompetensi "&amp;VLOOKUP(X165,$G$532:$I$539,3)&amp;" dan memiliki kemampuan yang "&amp;W165&amp;" pada kompetensi "&amp;VLOOKUP(Y165,$G$532:$I$539,3)),""))</f>
        <v/>
      </c>
      <c r="AA165" s="343"/>
      <c r="AB165" s="344"/>
      <c r="AC165" s="344"/>
      <c r="AD165" s="344"/>
      <c r="AE165" s="344"/>
      <c r="AF165" s="344"/>
      <c r="AG165" s="344"/>
      <c r="AH165" s="345"/>
      <c r="AI165" s="220" t="str">
        <f t="shared" si="129"/>
        <v/>
      </c>
      <c r="AJ165" s="160" t="str">
        <f>IF(AI165="","",IF(AI165&gt;Data2!$C$12,Data2!$D$11,IF(AI165&gt;Data2!$C$13,Data2!$D$12,IF(AI165&gt;Data2!$C$14,Data2!$D$13,Data2!$D$14))))</f>
        <v/>
      </c>
      <c r="AK165" s="146">
        <f t="shared" si="130"/>
        <v>0</v>
      </c>
      <c r="AL165" s="146">
        <f t="shared" si="131"/>
        <v>0</v>
      </c>
      <c r="AM165" s="147" t="str">
        <f t="shared" si="96"/>
        <v>Mulai meningkat</v>
      </c>
      <c r="AN165" s="147" t="str">
        <f t="shared" si="97"/>
        <v>Mulai meningkat</v>
      </c>
      <c r="AO165" s="146" t="e">
        <f t="shared" si="132"/>
        <v>#N/A</v>
      </c>
      <c r="AP165" s="148" t="e">
        <f t="shared" si="133"/>
        <v>#N/A</v>
      </c>
      <c r="AQ165" s="158" t="str">
        <f>IF('PA-Non'!V165&lt;&gt;"",'PA-Non'!V165,IFERROR("Mempunyai keterampilan yang "&amp;IF(AM165=AN165,PROPER(AN165)&amp;" dalam kompetensi "&amp;VLOOKUP(AO165,$AA$532:$AC$539,3)&amp;", demikian juga dalam kompetensi "&amp;VLOOKUP(AP165,$AA$532:$AC$539,3),PROPER(AM165)&amp;" dalam kompetensi "&amp;VLOOKUP(AO165,$AA$532:$AC$539,3)&amp;" dan "&amp;AN165&amp;" pada kompetensi "&amp;VLOOKUP(AP165,$AA$532:$AC$539,3)),""))</f>
        <v/>
      </c>
      <c r="AR165" s="188"/>
    </row>
    <row r="166" spans="2:44" ht="27.9" customHeight="1" thickBot="1" x14ac:dyDescent="0.35">
      <c r="B166" s="384" t="s">
        <v>31</v>
      </c>
      <c r="C166" s="149" t="str">
        <f t="shared" si="122"/>
        <v/>
      </c>
      <c r="D166" s="150" t="str">
        <f>IF(Data!F161="","",Data!F161)</f>
        <v/>
      </c>
      <c r="E166" s="151" t="str">
        <f>IF(Data!H161="","",Data!H161)</f>
        <v/>
      </c>
      <c r="F166" s="152" t="str">
        <f>IF(Data!I161="","",Data!I161)</f>
        <v/>
      </c>
      <c r="G166" s="343"/>
      <c r="H166" s="344"/>
      <c r="I166" s="344"/>
      <c r="J166" s="344"/>
      <c r="K166" s="344"/>
      <c r="L166" s="344"/>
      <c r="M166" s="344"/>
      <c r="N166" s="345"/>
      <c r="O166" s="157" t="str">
        <f t="shared" si="123"/>
        <v/>
      </c>
      <c r="P166" s="344"/>
      <c r="Q166" s="346"/>
      <c r="R166" s="157" t="str">
        <f t="shared" si="124"/>
        <v/>
      </c>
      <c r="S166" s="159" t="str">
        <f>IF(R166="","",IF(R166&gt;Data2!$C$12,Data2!$D$11,IF(R166&gt;Data2!$C$13,Data2!$D$12,IF(R166&gt;Data2!$C$14,Data2!$D$13,Data2!$D$14))))</f>
        <v/>
      </c>
      <c r="T166" s="144">
        <f t="shared" si="125"/>
        <v>0</v>
      </c>
      <c r="U166" s="144">
        <f t="shared" si="126"/>
        <v>0</v>
      </c>
      <c r="V166" s="144" t="str">
        <f t="shared" si="94"/>
        <v>Mulai berkembang</v>
      </c>
      <c r="W166" s="144" t="str">
        <f t="shared" si="95"/>
        <v>Mulai berkembang</v>
      </c>
      <c r="X166" s="144" t="e">
        <f t="shared" si="127"/>
        <v>#N/A</v>
      </c>
      <c r="Y166" s="145" t="e">
        <f t="shared" si="128"/>
        <v>#N/A</v>
      </c>
      <c r="Z166" s="218" t="str">
        <f>IF('PA-Non'!O166&lt;&gt;"",'PA-Non'!O166,IFERROR("Mempunyai kemampuan yang " &amp;IF(V166=W166,PROPER(W166)&amp;" dalam kompetensi "&amp;VLOOKUP(X166,$G$532:$I$539,3)&amp;" dan kompetensi "&amp;VLOOKUP(Y166,$G$532:$I$539,3),PROPER(V166)&amp;" dalam kompetensi "&amp;VLOOKUP(X166,$G$532:$I$539,3)&amp;" dan memiliki kemampuan yang "&amp;W166&amp;" pada kompetensi "&amp;VLOOKUP(Y166,$G$532:$I$539,3)),""))</f>
        <v/>
      </c>
      <c r="AA166" s="343"/>
      <c r="AB166" s="344"/>
      <c r="AC166" s="344"/>
      <c r="AD166" s="344"/>
      <c r="AE166" s="344"/>
      <c r="AF166" s="344"/>
      <c r="AG166" s="344"/>
      <c r="AH166" s="345"/>
      <c r="AI166" s="220" t="str">
        <f t="shared" si="129"/>
        <v/>
      </c>
      <c r="AJ166" s="160" t="str">
        <f>IF(AI166="","",IF(AI166&gt;Data2!$C$12,Data2!$D$11,IF(AI166&gt;Data2!$C$13,Data2!$D$12,IF(AI166&gt;Data2!$C$14,Data2!$D$13,Data2!$D$14))))</f>
        <v/>
      </c>
      <c r="AK166" s="146">
        <f t="shared" si="130"/>
        <v>0</v>
      </c>
      <c r="AL166" s="146">
        <f t="shared" si="131"/>
        <v>0</v>
      </c>
      <c r="AM166" s="147" t="str">
        <f t="shared" si="96"/>
        <v>Mulai meningkat</v>
      </c>
      <c r="AN166" s="147" t="str">
        <f t="shared" si="97"/>
        <v>Mulai meningkat</v>
      </c>
      <c r="AO166" s="146" t="e">
        <f t="shared" si="132"/>
        <v>#N/A</v>
      </c>
      <c r="AP166" s="148" t="e">
        <f t="shared" si="133"/>
        <v>#N/A</v>
      </c>
      <c r="AQ166" s="158" t="str">
        <f>IF('PA-Non'!V166&lt;&gt;"",'PA-Non'!V166,IFERROR("Mempunyai keterampilan yang "&amp;IF(AM166=AN166,PROPER(AN166)&amp;" dalam kompetensi "&amp;VLOOKUP(AO166,$AA$532:$AC$539,3)&amp;", demikian juga dalam kompetensi "&amp;VLOOKUP(AP166,$AA$532:$AC$539,3),PROPER(AM166)&amp;" dalam kompetensi "&amp;VLOOKUP(AO166,$AA$532:$AC$539,3)&amp;" dan "&amp;AN166&amp;" pada kompetensi "&amp;VLOOKUP(AP166,$AA$532:$AC$539,3)),""))</f>
        <v/>
      </c>
      <c r="AR166" s="188"/>
    </row>
    <row r="167" spans="2:44" ht="27.9" customHeight="1" thickBot="1" x14ac:dyDescent="0.35">
      <c r="B167" s="384" t="s">
        <v>31</v>
      </c>
      <c r="C167" s="149" t="str">
        <f t="shared" si="122"/>
        <v/>
      </c>
      <c r="D167" s="150" t="str">
        <f>IF(Data!F162="","",Data!F162)</f>
        <v/>
      </c>
      <c r="E167" s="151" t="str">
        <f>IF(Data!H162="","",Data!H162)</f>
        <v/>
      </c>
      <c r="F167" s="152" t="str">
        <f>IF(Data!I162="","",Data!I162)</f>
        <v/>
      </c>
      <c r="G167" s="343"/>
      <c r="H167" s="344"/>
      <c r="I167" s="344"/>
      <c r="J167" s="344"/>
      <c r="K167" s="344"/>
      <c r="L167" s="344"/>
      <c r="M167" s="344"/>
      <c r="N167" s="345"/>
      <c r="O167" s="157" t="str">
        <f t="shared" si="123"/>
        <v/>
      </c>
      <c r="P167" s="344"/>
      <c r="Q167" s="346"/>
      <c r="R167" s="157" t="str">
        <f t="shared" si="124"/>
        <v/>
      </c>
      <c r="S167" s="159" t="str">
        <f>IF(R167="","",IF(R167&gt;Data2!$C$12,Data2!$D$11,IF(R167&gt;Data2!$C$13,Data2!$D$12,IF(R167&gt;Data2!$C$14,Data2!$D$13,Data2!$D$14))))</f>
        <v/>
      </c>
      <c r="T167" s="144">
        <f t="shared" si="125"/>
        <v>0</v>
      </c>
      <c r="U167" s="144">
        <f t="shared" si="126"/>
        <v>0</v>
      </c>
      <c r="V167" s="144" t="str">
        <f t="shared" si="94"/>
        <v>Mulai berkembang</v>
      </c>
      <c r="W167" s="144" t="str">
        <f t="shared" si="95"/>
        <v>Mulai berkembang</v>
      </c>
      <c r="X167" s="144" t="e">
        <f t="shared" si="127"/>
        <v>#N/A</v>
      </c>
      <c r="Y167" s="145" t="e">
        <f t="shared" si="128"/>
        <v>#N/A</v>
      </c>
      <c r="Z167" s="218" t="str">
        <f>IF('PA-Non'!O167&lt;&gt;"",'PA-Non'!O167,IFERROR("Mempunyai kemampuan yang " &amp;IF(V167=W167,PROPER(W167)&amp;" dalam kompetensi "&amp;VLOOKUP(X167,$G$532:$I$539,3)&amp;" dan kompetensi "&amp;VLOOKUP(Y167,$G$532:$I$539,3),PROPER(V167)&amp;" dalam kompetensi "&amp;VLOOKUP(X167,$G$532:$I$539,3)&amp;" dan memiliki kemampuan yang "&amp;W167&amp;" pada kompetensi "&amp;VLOOKUP(Y167,$G$532:$I$539,3)),""))</f>
        <v/>
      </c>
      <c r="AA167" s="343"/>
      <c r="AB167" s="344"/>
      <c r="AC167" s="344"/>
      <c r="AD167" s="344"/>
      <c r="AE167" s="344"/>
      <c r="AF167" s="344"/>
      <c r="AG167" s="344"/>
      <c r="AH167" s="345"/>
      <c r="AI167" s="220" t="str">
        <f t="shared" si="129"/>
        <v/>
      </c>
      <c r="AJ167" s="160" t="str">
        <f>IF(AI167="","",IF(AI167&gt;Data2!$C$12,Data2!$D$11,IF(AI167&gt;Data2!$C$13,Data2!$D$12,IF(AI167&gt;Data2!$C$14,Data2!$D$13,Data2!$D$14))))</f>
        <v/>
      </c>
      <c r="AK167" s="146">
        <f t="shared" si="130"/>
        <v>0</v>
      </c>
      <c r="AL167" s="146">
        <f t="shared" si="131"/>
        <v>0</v>
      </c>
      <c r="AM167" s="147" t="str">
        <f t="shared" si="96"/>
        <v>Mulai meningkat</v>
      </c>
      <c r="AN167" s="147" t="str">
        <f t="shared" si="97"/>
        <v>Mulai meningkat</v>
      </c>
      <c r="AO167" s="146" t="e">
        <f t="shared" si="132"/>
        <v>#N/A</v>
      </c>
      <c r="AP167" s="148" t="e">
        <f t="shared" si="133"/>
        <v>#N/A</v>
      </c>
      <c r="AQ167" s="158" t="str">
        <f>IF('PA-Non'!V167&lt;&gt;"",'PA-Non'!V167,IFERROR("Mempunyai keterampilan yang "&amp;IF(AM167=AN167,PROPER(AN167)&amp;" dalam kompetensi "&amp;VLOOKUP(AO167,$AA$532:$AC$539,3)&amp;", demikian juga dalam kompetensi "&amp;VLOOKUP(AP167,$AA$532:$AC$539,3),PROPER(AM167)&amp;" dalam kompetensi "&amp;VLOOKUP(AO167,$AA$532:$AC$539,3)&amp;" dan "&amp;AN167&amp;" pada kompetensi "&amp;VLOOKUP(AP167,$AA$532:$AC$539,3)),""))</f>
        <v/>
      </c>
      <c r="AR167" s="188"/>
    </row>
    <row r="168" spans="2:44" ht="27.9" customHeight="1" x14ac:dyDescent="0.3">
      <c r="B168" s="410" t="s">
        <v>31</v>
      </c>
      <c r="C168" s="387" t="str">
        <f t="shared" si="122"/>
        <v/>
      </c>
      <c r="D168" s="51" t="str">
        <f>IF(Data!F163="","",Data!F163)</f>
        <v/>
      </c>
      <c r="E168" s="91" t="str">
        <f>IF(Data!H163="","",Data!H163)</f>
        <v/>
      </c>
      <c r="F168" s="52" t="str">
        <f>IF(Data!I163="","",Data!I163)</f>
        <v/>
      </c>
      <c r="G168" s="411"/>
      <c r="H168" s="412"/>
      <c r="I168" s="412"/>
      <c r="J168" s="412"/>
      <c r="K168" s="412"/>
      <c r="L168" s="412"/>
      <c r="M168" s="412"/>
      <c r="N168" s="413"/>
      <c r="O168" s="391" t="str">
        <f t="shared" si="123"/>
        <v/>
      </c>
      <c r="P168" s="412"/>
      <c r="Q168" s="414"/>
      <c r="R168" s="391" t="str">
        <f t="shared" si="124"/>
        <v/>
      </c>
      <c r="S168" s="393" t="str">
        <f>IF(R168="","",IF(R168&gt;Data2!$C$12,Data2!$D$11,IF(R168&gt;Data2!$C$13,Data2!$D$12,IF(R168&gt;Data2!$C$14,Data2!$D$13,Data2!$D$14))))</f>
        <v/>
      </c>
      <c r="T168" s="394">
        <f t="shared" si="125"/>
        <v>0</v>
      </c>
      <c r="U168" s="394">
        <f t="shared" si="126"/>
        <v>0</v>
      </c>
      <c r="V168" s="394" t="str">
        <f t="shared" si="94"/>
        <v>Mulai berkembang</v>
      </c>
      <c r="W168" s="394" t="str">
        <f t="shared" si="95"/>
        <v>Mulai berkembang</v>
      </c>
      <c r="X168" s="394" t="e">
        <f t="shared" si="127"/>
        <v>#N/A</v>
      </c>
      <c r="Y168" s="395" t="e">
        <f t="shared" si="128"/>
        <v>#N/A</v>
      </c>
      <c r="Z168" s="396" t="str">
        <f>IF('PA-Non'!O168&lt;&gt;"",'PA-Non'!O168,IFERROR("Mempunyai kemampuan yang " &amp;IF(V168=W168,PROPER(W168)&amp;" dalam kompetensi "&amp;VLOOKUP(X168,$G$532:$I$539,3)&amp;" dan kompetensi "&amp;VLOOKUP(Y168,$G$532:$I$539,3),PROPER(V168)&amp;" dalam kompetensi "&amp;VLOOKUP(X168,$G$532:$I$539,3)&amp;" dan memiliki kemampuan yang "&amp;W168&amp;" pada kompetensi "&amp;VLOOKUP(Y168,$G$532:$I$539,3)),""))</f>
        <v/>
      </c>
      <c r="AA168" s="411"/>
      <c r="AB168" s="412"/>
      <c r="AC168" s="412"/>
      <c r="AD168" s="412"/>
      <c r="AE168" s="412"/>
      <c r="AF168" s="412"/>
      <c r="AG168" s="412"/>
      <c r="AH168" s="413"/>
      <c r="AI168" s="397" t="str">
        <f t="shared" si="129"/>
        <v/>
      </c>
      <c r="AJ168" s="398" t="str">
        <f>IF(AI168="","",IF(AI168&gt;Data2!$C$12,Data2!$D$11,IF(AI168&gt;Data2!$C$13,Data2!$D$12,IF(AI168&gt;Data2!$C$14,Data2!$D$13,Data2!$D$14))))</f>
        <v/>
      </c>
      <c r="AK168" s="399">
        <f t="shared" si="130"/>
        <v>0</v>
      </c>
      <c r="AL168" s="399">
        <f t="shared" si="131"/>
        <v>0</v>
      </c>
      <c r="AM168" s="400" t="str">
        <f t="shared" si="96"/>
        <v>Mulai meningkat</v>
      </c>
      <c r="AN168" s="400" t="str">
        <f t="shared" si="97"/>
        <v>Mulai meningkat</v>
      </c>
      <c r="AO168" s="399" t="e">
        <f t="shared" si="132"/>
        <v>#N/A</v>
      </c>
      <c r="AP168" s="401" t="e">
        <f t="shared" si="133"/>
        <v>#N/A</v>
      </c>
      <c r="AQ168" s="402" t="str">
        <f>IF('PA-Non'!V168&lt;&gt;"",'PA-Non'!V168,IFERROR("Mempunyai keterampilan yang "&amp;IF(AM168=AN168,PROPER(AN168)&amp;" dalam kompetensi "&amp;VLOOKUP(AO168,$AA$532:$AC$539,3)&amp;", demikian juga dalam kompetensi "&amp;VLOOKUP(AP168,$AA$532:$AC$539,3),PROPER(AM168)&amp;" dalam kompetensi "&amp;VLOOKUP(AO168,$AA$532:$AC$539,3)&amp;" dan "&amp;AN168&amp;" pada kompetensi "&amp;VLOOKUP(AP168,$AA$532:$AC$539,3)),""))</f>
        <v/>
      </c>
      <c r="AR168" s="188"/>
    </row>
    <row r="169" spans="2:44" ht="27.9" customHeight="1" thickBot="1" x14ac:dyDescent="0.35">
      <c r="B169" s="385" t="s">
        <v>31</v>
      </c>
      <c r="C169" s="366" t="str">
        <f t="shared" si="122"/>
        <v/>
      </c>
      <c r="D169" s="367" t="str">
        <f>IF(Data!F164="","",Data!F164)</f>
        <v/>
      </c>
      <c r="E169" s="368" t="str">
        <f>IF(Data!H164="","",Data!H164)</f>
        <v/>
      </c>
      <c r="F169" s="369" t="str">
        <f>IF(Data!I164="","",Data!I164)</f>
        <v/>
      </c>
      <c r="G169" s="379"/>
      <c r="H169" s="380"/>
      <c r="I169" s="380"/>
      <c r="J169" s="380"/>
      <c r="K169" s="380"/>
      <c r="L169" s="380"/>
      <c r="M169" s="380"/>
      <c r="N169" s="381"/>
      <c r="O169" s="373" t="str">
        <f t="shared" si="123"/>
        <v/>
      </c>
      <c r="P169" s="380"/>
      <c r="Q169" s="382"/>
      <c r="R169" s="373" t="str">
        <f t="shared" si="124"/>
        <v/>
      </c>
      <c r="S169" s="375" t="str">
        <f>IF(R169="","",IF(R169&gt;Data2!$C$12,Data2!$D$11,IF(R169&gt;Data2!$C$13,Data2!$D$12,IF(R169&gt;Data2!$C$14,Data2!$D$13,Data2!$D$14))))</f>
        <v/>
      </c>
      <c r="T169" s="404">
        <f t="shared" si="125"/>
        <v>0</v>
      </c>
      <c r="U169" s="404">
        <f t="shared" si="126"/>
        <v>0</v>
      </c>
      <c r="V169" s="404" t="str">
        <f t="shared" si="94"/>
        <v>Mulai berkembang</v>
      </c>
      <c r="W169" s="404" t="str">
        <f t="shared" si="95"/>
        <v>Mulai berkembang</v>
      </c>
      <c r="X169" s="404" t="e">
        <f t="shared" si="127"/>
        <v>#N/A</v>
      </c>
      <c r="Y169" s="405" t="e">
        <f t="shared" si="128"/>
        <v>#N/A</v>
      </c>
      <c r="Z169" s="376" t="str">
        <f>IF('PA-Non'!O169&lt;&gt;"",'PA-Non'!O169,IFERROR("Mempunyai kemampuan yang " &amp;IF(V169=W169,PROPER(W169)&amp;" dalam kompetensi "&amp;VLOOKUP(X169,$G$532:$I$539,3)&amp;" dan kompetensi "&amp;VLOOKUP(Y169,$G$532:$I$539,3),PROPER(V169)&amp;" dalam kompetensi "&amp;VLOOKUP(X169,$G$532:$I$539,3)&amp;" dan memiliki kemampuan yang "&amp;W169&amp;" pada kompetensi "&amp;VLOOKUP(Y169,$G$532:$I$539,3)),""))</f>
        <v/>
      </c>
      <c r="AA169" s="379"/>
      <c r="AB169" s="380"/>
      <c r="AC169" s="380"/>
      <c r="AD169" s="380"/>
      <c r="AE169" s="380"/>
      <c r="AF169" s="380"/>
      <c r="AG169" s="380"/>
      <c r="AH169" s="381"/>
      <c r="AI169" s="377" t="str">
        <f t="shared" si="129"/>
        <v/>
      </c>
      <c r="AJ169" s="378" t="str">
        <f>IF(AI169="","",IF(AI169&gt;Data2!$C$12,Data2!$D$11,IF(AI169&gt;Data2!$C$13,Data2!$D$12,IF(AI169&gt;Data2!$C$14,Data2!$D$13,Data2!$D$14))))</f>
        <v/>
      </c>
      <c r="AK169" s="406">
        <f t="shared" si="130"/>
        <v>0</v>
      </c>
      <c r="AL169" s="406">
        <f t="shared" si="131"/>
        <v>0</v>
      </c>
      <c r="AM169" s="407" t="str">
        <f t="shared" si="96"/>
        <v>Mulai meningkat</v>
      </c>
      <c r="AN169" s="407" t="str">
        <f t="shared" si="97"/>
        <v>Mulai meningkat</v>
      </c>
      <c r="AO169" s="406" t="e">
        <f t="shared" si="132"/>
        <v>#N/A</v>
      </c>
      <c r="AP169" s="408" t="e">
        <f t="shared" si="133"/>
        <v>#N/A</v>
      </c>
      <c r="AQ169" s="409" t="str">
        <f>IF('PA-Non'!V169&lt;&gt;"",'PA-Non'!V169,IFERROR("Mempunyai keterampilan yang "&amp;IF(AM169=AN169,PROPER(AN169)&amp;" dalam kompetensi "&amp;VLOOKUP(AO169,$AA$532:$AC$539,3)&amp;", demikian juga dalam kompetensi "&amp;VLOOKUP(AP169,$AA$532:$AC$539,3),PROPER(AM169)&amp;" dalam kompetensi "&amp;VLOOKUP(AO169,$AA$532:$AC$539,3)&amp;" dan "&amp;AN169&amp;" pada kompetensi "&amp;VLOOKUP(AP169,$AA$532:$AC$539,3)),""))</f>
        <v/>
      </c>
      <c r="AR169" s="188"/>
    </row>
    <row r="170" spans="2:44" ht="27.75" customHeight="1" thickBot="1" x14ac:dyDescent="0.35">
      <c r="B170" s="226" t="s">
        <v>123</v>
      </c>
      <c r="C170" s="137">
        <v>1</v>
      </c>
      <c r="D170" s="138" t="str">
        <f>IF(Data!F165="","",Data!F165)</f>
        <v>03629</v>
      </c>
      <c r="E170" s="139" t="str">
        <f>IF(Data!H165="","",Data!H165)</f>
        <v>Afika Putri Aprilia Anjani</v>
      </c>
      <c r="F170" s="140" t="str">
        <f>IF(Data!I165="","",Data!I165)</f>
        <v>Perempuan</v>
      </c>
      <c r="G170" s="153"/>
      <c r="H170" s="154">
        <v>95</v>
      </c>
      <c r="I170" s="154">
        <v>85</v>
      </c>
      <c r="J170" s="154">
        <v>80.099999999999994</v>
      </c>
      <c r="K170" s="154">
        <v>79</v>
      </c>
      <c r="L170" s="154">
        <v>80</v>
      </c>
      <c r="M170" s="154"/>
      <c r="N170" s="155"/>
      <c r="O170" s="143">
        <f t="shared" si="98"/>
        <v>70</v>
      </c>
      <c r="P170" s="141"/>
      <c r="Q170" s="142"/>
      <c r="R170" s="143" t="str">
        <f t="shared" si="109"/>
        <v/>
      </c>
      <c r="S170" s="159" t="str">
        <f>IF(R170="","",IF(R170&gt;Data2!$C$12,Data2!$D$11,IF(R170&gt;Data2!$C$13,Data2!$D$12,IF(R170&gt;Data2!$C$14,Data2!$D$13,Data2!$D$14))))</f>
        <v/>
      </c>
      <c r="T170" s="144">
        <f t="shared" si="99"/>
        <v>95</v>
      </c>
      <c r="U170" s="144">
        <f t="shared" si="100"/>
        <v>79</v>
      </c>
      <c r="V170" s="144" t="str">
        <f t="shared" si="94"/>
        <v>Sangat baik</v>
      </c>
      <c r="W170" s="144" t="str">
        <f t="shared" si="95"/>
        <v>Cukup menguasai</v>
      </c>
      <c r="X170" s="144">
        <f t="shared" si="101"/>
        <v>2</v>
      </c>
      <c r="Y170" s="145">
        <f t="shared" si="102"/>
        <v>5</v>
      </c>
      <c r="Z170" s="218" t="str">
        <f>IF('PA-Non'!O170&lt;&gt;"",'PA-Non'!O170,IFERROR("Mempunyai kemampuan yang " &amp;IF(V170=W170,PROPER(W170)&amp;" dalam kompetensi "&amp;VLOOKUP(X170,$G$532:$I$539,3)&amp;" dan kompetensi "&amp;VLOOKUP(Y170,$G$532:$I$539,3),PROPER(V170)&amp;" dalam kompetensi "&amp;VLOOKUP(X170,$G$532:$I$539,3)&amp;" dan memiliki kemampuan yang "&amp;W170&amp;" pada kompetensi "&amp;VLOOKUP(Y170,$G$532:$I$539,3)),""))</f>
        <v>Mempunyai kemampuan yang Sangat Baik dalam kompetensi KD Pengetahuan-2 dan memiliki kemampuan yang Cukup menguasai pada kompetensi KD Pengetahuan-5</v>
      </c>
      <c r="AA170" s="153"/>
      <c r="AB170" s="154"/>
      <c r="AC170" s="154"/>
      <c r="AD170" s="154"/>
      <c r="AE170" s="154"/>
      <c r="AF170" s="154"/>
      <c r="AG170" s="154"/>
      <c r="AH170" s="155"/>
      <c r="AI170" s="219" t="str">
        <f t="shared" si="103"/>
        <v/>
      </c>
      <c r="AJ170" s="160" t="str">
        <f>IF(AI170="","",IF(AI170&gt;Data2!$C$12,Data2!$D$11,IF(AI170&gt;Data2!$C$13,Data2!$D$12,IF(AI170&gt;Data2!$C$14,Data2!$D$13,Data2!$D$14))))</f>
        <v/>
      </c>
      <c r="AK170" s="146">
        <f t="shared" si="104"/>
        <v>0</v>
      </c>
      <c r="AL170" s="146">
        <f t="shared" si="105"/>
        <v>0</v>
      </c>
      <c r="AM170" s="147" t="str">
        <f t="shared" si="96"/>
        <v>Mulai meningkat</v>
      </c>
      <c r="AN170" s="147" t="str">
        <f t="shared" si="97"/>
        <v>Mulai meningkat</v>
      </c>
      <c r="AO170" s="146" t="e">
        <f t="shared" si="106"/>
        <v>#N/A</v>
      </c>
      <c r="AP170" s="148" t="e">
        <f t="shared" si="107"/>
        <v>#N/A</v>
      </c>
      <c r="AQ170" s="158" t="str">
        <f>IF('PA-Non'!V170&lt;&gt;"",'PA-Non'!V170,IFERROR("Mempunyai keterampilan yang "&amp;IF(AM170=AN170,PROPER(AN170)&amp;" dalam kompetensi "&amp;VLOOKUP(AO170,$AA$532:$AC$539,3)&amp;", demikian juga dalam kompetensi "&amp;VLOOKUP(AP170,$AA$532:$AC$539,3),PROPER(AM170)&amp;" dalam kompetensi "&amp;VLOOKUP(AO170,$AA$532:$AC$539,3)&amp;" dan "&amp;AN170&amp;" pada kompetensi "&amp;VLOOKUP(AP170,$AA$532:$AC$539,3)),""))</f>
        <v/>
      </c>
      <c r="AR170" s="188"/>
    </row>
    <row r="171" spans="2:44" ht="27.75" customHeight="1" thickBot="1" x14ac:dyDescent="0.35">
      <c r="B171" s="226" t="s">
        <v>123</v>
      </c>
      <c r="C171" s="149">
        <f t="shared" si="108"/>
        <v>2</v>
      </c>
      <c r="D171" s="150" t="str">
        <f>IF(Data!F166="","",Data!F166)</f>
        <v>03633</v>
      </c>
      <c r="E171" s="151" t="str">
        <f>IF(Data!H166="","",Data!H166)</f>
        <v>Anindya Naura Ashnafil Tazkiyah</v>
      </c>
      <c r="F171" s="152" t="str">
        <f>IF(Data!I166="","",Data!I166)</f>
        <v>Perempuan</v>
      </c>
      <c r="G171" s="153"/>
      <c r="H171" s="154">
        <v>78</v>
      </c>
      <c r="I171" s="154">
        <v>80</v>
      </c>
      <c r="J171" s="154">
        <v>81</v>
      </c>
      <c r="K171" s="154">
        <v>85</v>
      </c>
      <c r="L171" s="154">
        <v>84</v>
      </c>
      <c r="M171" s="154"/>
      <c r="N171" s="155"/>
      <c r="O171" s="157">
        <f t="shared" si="98"/>
        <v>68</v>
      </c>
      <c r="P171" s="154"/>
      <c r="Q171" s="156"/>
      <c r="R171" s="157" t="str">
        <f t="shared" si="109"/>
        <v/>
      </c>
      <c r="S171" s="159" t="str">
        <f>IF(R171="","",IF(R171&gt;Data2!$C$12,Data2!$D$11,IF(R171&gt;Data2!$C$13,Data2!$D$12,IF(R171&gt;Data2!$C$14,Data2!$D$13,Data2!$D$14))))</f>
        <v/>
      </c>
      <c r="T171" s="144">
        <f t="shared" si="99"/>
        <v>85</v>
      </c>
      <c r="U171" s="144">
        <f t="shared" si="100"/>
        <v>78</v>
      </c>
      <c r="V171" s="144" t="str">
        <f t="shared" si="94"/>
        <v>Cukup menguasai</v>
      </c>
      <c r="W171" s="144" t="str">
        <f t="shared" si="95"/>
        <v>Cukup menguasai</v>
      </c>
      <c r="X171" s="144">
        <f t="shared" si="101"/>
        <v>5</v>
      </c>
      <c r="Y171" s="145">
        <f t="shared" si="102"/>
        <v>2</v>
      </c>
      <c r="Z171" s="218" t="str">
        <f>IF('PA-Non'!O171&lt;&gt;"",'PA-Non'!O171,IFERROR("Mempunyai kemampuan yang " &amp;IF(V171=W171,PROPER(W171)&amp;" dalam kompetensi "&amp;VLOOKUP(X171,$G$532:$I$539,3)&amp;" dan kompetensi "&amp;VLOOKUP(Y171,$G$532:$I$539,3),PROPER(V171)&amp;" dalam kompetensi "&amp;VLOOKUP(X171,$G$532:$I$539,3)&amp;" dan memiliki kemampuan yang "&amp;W171&amp;" pada kompetensi "&amp;VLOOKUP(Y171,$G$532:$I$539,3)),""))</f>
        <v>Mempunyai kemampuan yang Cukup Menguasai dalam kompetensi KD Pengetahuan-5 dan kompetensi KD Pengetahuan-2</v>
      </c>
      <c r="AA171" s="153"/>
      <c r="AB171" s="154"/>
      <c r="AC171" s="154"/>
      <c r="AD171" s="154"/>
      <c r="AE171" s="154"/>
      <c r="AF171" s="154"/>
      <c r="AG171" s="154"/>
      <c r="AH171" s="155"/>
      <c r="AI171" s="220" t="str">
        <f t="shared" si="103"/>
        <v/>
      </c>
      <c r="AJ171" s="160" t="str">
        <f>IF(AI171="","",IF(AI171&gt;Data2!$C$12,Data2!$D$11,IF(AI171&gt;Data2!$C$13,Data2!$D$12,IF(AI171&gt;Data2!$C$14,Data2!$D$13,Data2!$D$14))))</f>
        <v/>
      </c>
      <c r="AK171" s="146">
        <f t="shared" si="104"/>
        <v>0</v>
      </c>
      <c r="AL171" s="146">
        <f t="shared" si="105"/>
        <v>0</v>
      </c>
      <c r="AM171" s="147" t="str">
        <f t="shared" si="96"/>
        <v>Mulai meningkat</v>
      </c>
      <c r="AN171" s="147" t="str">
        <f t="shared" si="97"/>
        <v>Mulai meningkat</v>
      </c>
      <c r="AO171" s="146" t="e">
        <f t="shared" si="106"/>
        <v>#N/A</v>
      </c>
      <c r="AP171" s="148" t="e">
        <f t="shared" si="107"/>
        <v>#N/A</v>
      </c>
      <c r="AQ171" s="158" t="str">
        <f>IF('PA-Non'!V171&lt;&gt;"",'PA-Non'!V171,IFERROR("Mempunyai keterampilan yang "&amp;IF(AM171=AN171,PROPER(AN171)&amp;" dalam kompetensi "&amp;VLOOKUP(AO171,$AA$532:$AC$539,3)&amp;", demikian juga dalam kompetensi "&amp;VLOOKUP(AP171,$AA$532:$AC$539,3),PROPER(AM171)&amp;" dalam kompetensi "&amp;VLOOKUP(AO171,$AA$532:$AC$539,3)&amp;" dan "&amp;AN171&amp;" pada kompetensi "&amp;VLOOKUP(AP171,$AA$532:$AC$539,3)),""))</f>
        <v/>
      </c>
      <c r="AR171" s="188"/>
    </row>
    <row r="172" spans="2:44" ht="27.75" customHeight="1" thickBot="1" x14ac:dyDescent="0.35">
      <c r="B172" s="226" t="s">
        <v>123</v>
      </c>
      <c r="C172" s="149">
        <f t="shared" si="108"/>
        <v>3</v>
      </c>
      <c r="D172" s="150" t="str">
        <f>IF(Data!F167="","",Data!F167)</f>
        <v>03635</v>
      </c>
      <c r="E172" s="151" t="str">
        <f>IF(Data!H167="","",Data!H167)</f>
        <v>Aprilia Zaskya Putri Inara</v>
      </c>
      <c r="F172" s="152" t="str">
        <f>IF(Data!I167="","",Data!I167)</f>
        <v>Perempuan</v>
      </c>
      <c r="G172" s="153"/>
      <c r="H172" s="154">
        <v>78</v>
      </c>
      <c r="I172" s="154">
        <v>80</v>
      </c>
      <c r="J172" s="154">
        <v>81</v>
      </c>
      <c r="K172" s="154">
        <v>85</v>
      </c>
      <c r="L172" s="154">
        <v>84</v>
      </c>
      <c r="M172" s="154"/>
      <c r="N172" s="155"/>
      <c r="O172" s="157">
        <f t="shared" si="98"/>
        <v>68</v>
      </c>
      <c r="P172" s="154"/>
      <c r="Q172" s="156"/>
      <c r="R172" s="157" t="str">
        <f t="shared" si="109"/>
        <v/>
      </c>
      <c r="S172" s="159" t="str">
        <f>IF(R172="","",IF(R172&gt;Data2!$C$12,Data2!$D$11,IF(R172&gt;Data2!$C$13,Data2!$D$12,IF(R172&gt;Data2!$C$14,Data2!$D$13,Data2!$D$14))))</f>
        <v/>
      </c>
      <c r="T172" s="144">
        <f t="shared" si="99"/>
        <v>85</v>
      </c>
      <c r="U172" s="144">
        <f t="shared" si="100"/>
        <v>78</v>
      </c>
      <c r="V172" s="144" t="str">
        <f t="shared" si="94"/>
        <v>Cukup menguasai</v>
      </c>
      <c r="W172" s="144" t="str">
        <f t="shared" si="95"/>
        <v>Cukup menguasai</v>
      </c>
      <c r="X172" s="144">
        <f t="shared" si="101"/>
        <v>5</v>
      </c>
      <c r="Y172" s="145">
        <f t="shared" si="102"/>
        <v>2</v>
      </c>
      <c r="Z172" s="218" t="str">
        <f>IF('PA-Non'!O172&lt;&gt;"",'PA-Non'!O172,IFERROR("Mempunyai kemampuan yang " &amp;IF(V172=W172,PROPER(W172)&amp;" dalam kompetensi "&amp;VLOOKUP(X172,$G$532:$I$539,3)&amp;" dan kompetensi "&amp;VLOOKUP(Y172,$G$532:$I$539,3),PROPER(V172)&amp;" dalam kompetensi "&amp;VLOOKUP(X172,$G$532:$I$539,3)&amp;" dan memiliki kemampuan yang "&amp;W172&amp;" pada kompetensi "&amp;VLOOKUP(Y172,$G$532:$I$539,3)),""))</f>
        <v>Mempunyai kemampuan yang Cukup Menguasai dalam kompetensi KD Pengetahuan-5 dan kompetensi KD Pengetahuan-2</v>
      </c>
      <c r="AA172" s="153"/>
      <c r="AB172" s="154"/>
      <c r="AC172" s="154"/>
      <c r="AD172" s="154"/>
      <c r="AE172" s="154"/>
      <c r="AF172" s="154"/>
      <c r="AG172" s="154"/>
      <c r="AH172" s="155"/>
      <c r="AI172" s="220" t="str">
        <f t="shared" si="103"/>
        <v/>
      </c>
      <c r="AJ172" s="160" t="str">
        <f>IF(AI172="","",IF(AI172&gt;Data2!$C$12,Data2!$D$11,IF(AI172&gt;Data2!$C$13,Data2!$D$12,IF(AI172&gt;Data2!$C$14,Data2!$D$13,Data2!$D$14))))</f>
        <v/>
      </c>
      <c r="AK172" s="146">
        <f t="shared" si="104"/>
        <v>0</v>
      </c>
      <c r="AL172" s="146">
        <f t="shared" si="105"/>
        <v>0</v>
      </c>
      <c r="AM172" s="147" t="str">
        <f t="shared" si="96"/>
        <v>Mulai meningkat</v>
      </c>
      <c r="AN172" s="147" t="str">
        <f t="shared" si="97"/>
        <v>Mulai meningkat</v>
      </c>
      <c r="AO172" s="146" t="e">
        <f t="shared" si="106"/>
        <v>#N/A</v>
      </c>
      <c r="AP172" s="148" t="e">
        <f t="shared" si="107"/>
        <v>#N/A</v>
      </c>
      <c r="AQ172" s="158" t="str">
        <f>IF('PA-Non'!V172&lt;&gt;"",'PA-Non'!V172,IFERROR("Mempunyai keterampilan yang "&amp;IF(AM172=AN172,PROPER(AN172)&amp;" dalam kompetensi "&amp;VLOOKUP(AO172,$AA$532:$AC$539,3)&amp;", demikian juga dalam kompetensi "&amp;VLOOKUP(AP172,$AA$532:$AC$539,3),PROPER(AM172)&amp;" dalam kompetensi "&amp;VLOOKUP(AO172,$AA$532:$AC$539,3)&amp;" dan "&amp;AN172&amp;" pada kompetensi "&amp;VLOOKUP(AP172,$AA$532:$AC$539,3)),""))</f>
        <v/>
      </c>
      <c r="AR172" s="188"/>
    </row>
    <row r="173" spans="2:44" ht="27.9" customHeight="1" thickBot="1" x14ac:dyDescent="0.35">
      <c r="B173" s="226" t="s">
        <v>123</v>
      </c>
      <c r="C173" s="149">
        <f t="shared" si="108"/>
        <v>4</v>
      </c>
      <c r="D173" s="150" t="str">
        <f>IF(Data!F168="","",Data!F168)</f>
        <v>03636</v>
      </c>
      <c r="E173" s="151" t="str">
        <f>IF(Data!H168="","",Data!H168)</f>
        <v>Aqila Syauqina Hidayati</v>
      </c>
      <c r="F173" s="152" t="str">
        <f>IF(Data!I168="","",Data!I168)</f>
        <v>Perempuan</v>
      </c>
      <c r="G173" s="153"/>
      <c r="H173" s="154">
        <v>95</v>
      </c>
      <c r="I173" s="154">
        <v>85</v>
      </c>
      <c r="J173" s="154">
        <v>84</v>
      </c>
      <c r="K173" s="154">
        <v>83</v>
      </c>
      <c r="L173" s="154">
        <v>80</v>
      </c>
      <c r="M173" s="154"/>
      <c r="N173" s="155"/>
      <c r="O173" s="157">
        <f t="shared" si="98"/>
        <v>71</v>
      </c>
      <c r="P173" s="154"/>
      <c r="Q173" s="156"/>
      <c r="R173" s="157" t="str">
        <f t="shared" si="109"/>
        <v/>
      </c>
      <c r="S173" s="159" t="str">
        <f>IF(R173="","",IF(R173&gt;Data2!$C$12,Data2!$D$11,IF(R173&gt;Data2!$C$13,Data2!$D$12,IF(R173&gt;Data2!$C$14,Data2!$D$13,Data2!$D$14))))</f>
        <v/>
      </c>
      <c r="T173" s="144">
        <f t="shared" si="99"/>
        <v>95</v>
      </c>
      <c r="U173" s="144">
        <f t="shared" si="100"/>
        <v>80</v>
      </c>
      <c r="V173" s="144" t="str">
        <f t="shared" si="94"/>
        <v>Sangat baik</v>
      </c>
      <c r="W173" s="144" t="str">
        <f t="shared" si="95"/>
        <v>Cukup menguasai</v>
      </c>
      <c r="X173" s="144">
        <f t="shared" si="101"/>
        <v>2</v>
      </c>
      <c r="Y173" s="145">
        <f t="shared" si="102"/>
        <v>6</v>
      </c>
      <c r="Z173" s="218" t="str">
        <f>IF('PA-Non'!O173&lt;&gt;"",'PA-Non'!O173,IFERROR("Mempunyai kemampuan yang " &amp;IF(V173=W173,PROPER(W173)&amp;" dalam kompetensi "&amp;VLOOKUP(X173,$G$532:$I$539,3)&amp;" dan kompetensi "&amp;VLOOKUP(Y173,$G$532:$I$539,3),PROPER(V173)&amp;" dalam kompetensi "&amp;VLOOKUP(X173,$G$532:$I$539,3)&amp;" dan memiliki kemampuan yang "&amp;W173&amp;" pada kompetensi "&amp;VLOOKUP(Y173,$G$532:$I$539,3)),""))</f>
        <v>Mempunyai kemampuan yang Sangat Baik dalam kompetensi KD Pengetahuan-2 dan memiliki kemampuan yang Cukup menguasai pada kompetensi KD Pengetahuan-6</v>
      </c>
      <c r="AA173" s="153"/>
      <c r="AB173" s="154"/>
      <c r="AC173" s="154"/>
      <c r="AD173" s="154"/>
      <c r="AE173" s="154"/>
      <c r="AF173" s="154"/>
      <c r="AG173" s="154"/>
      <c r="AH173" s="155"/>
      <c r="AI173" s="220" t="str">
        <f t="shared" si="103"/>
        <v/>
      </c>
      <c r="AJ173" s="160" t="str">
        <f>IF(AI173="","",IF(AI173&gt;Data2!$C$12,Data2!$D$11,IF(AI173&gt;Data2!$C$13,Data2!$D$12,IF(AI173&gt;Data2!$C$14,Data2!$D$13,Data2!$D$14))))</f>
        <v/>
      </c>
      <c r="AK173" s="146">
        <f t="shared" si="104"/>
        <v>0</v>
      </c>
      <c r="AL173" s="146">
        <f t="shared" si="105"/>
        <v>0</v>
      </c>
      <c r="AM173" s="147" t="str">
        <f t="shared" si="96"/>
        <v>Mulai meningkat</v>
      </c>
      <c r="AN173" s="147" t="str">
        <f t="shared" si="97"/>
        <v>Mulai meningkat</v>
      </c>
      <c r="AO173" s="146" t="e">
        <f t="shared" si="106"/>
        <v>#N/A</v>
      </c>
      <c r="AP173" s="148" t="e">
        <f t="shared" si="107"/>
        <v>#N/A</v>
      </c>
      <c r="AQ173" s="158" t="str">
        <f>IF('PA-Non'!V173&lt;&gt;"",'PA-Non'!V173,IFERROR("Mempunyai keterampilan yang "&amp;IF(AM173=AN173,PROPER(AN173)&amp;" dalam kompetensi "&amp;VLOOKUP(AO173,$AA$532:$AC$539,3)&amp;", demikian juga dalam kompetensi "&amp;VLOOKUP(AP173,$AA$532:$AC$539,3),PROPER(AM173)&amp;" dalam kompetensi "&amp;VLOOKUP(AO173,$AA$532:$AC$539,3)&amp;" dan "&amp;AN173&amp;" pada kompetensi "&amp;VLOOKUP(AP173,$AA$532:$AC$539,3)),""))</f>
        <v/>
      </c>
      <c r="AR173" s="188"/>
    </row>
    <row r="174" spans="2:44" ht="27.9" customHeight="1" thickBot="1" x14ac:dyDescent="0.35">
      <c r="B174" s="226" t="s">
        <v>123</v>
      </c>
      <c r="C174" s="149">
        <f t="shared" si="108"/>
        <v>5</v>
      </c>
      <c r="D174" s="150" t="str">
        <f>IF(Data!F169="","",Data!F169)</f>
        <v>03641</v>
      </c>
      <c r="E174" s="151" t="str">
        <f>IF(Data!H169="","",Data!H169)</f>
        <v>Atma Listya Atho'illah</v>
      </c>
      <c r="F174" s="152" t="str">
        <f>IF(Data!I169="","",Data!I169)</f>
        <v>Perempuan</v>
      </c>
      <c r="G174" s="153"/>
      <c r="H174" s="154">
        <v>80.099999999999994</v>
      </c>
      <c r="I174" s="154">
        <v>85</v>
      </c>
      <c r="J174" s="154">
        <v>84</v>
      </c>
      <c r="K174" s="154">
        <v>82</v>
      </c>
      <c r="L174" s="154">
        <v>80</v>
      </c>
      <c r="M174" s="154"/>
      <c r="N174" s="155"/>
      <c r="O174" s="157">
        <f t="shared" si="98"/>
        <v>69</v>
      </c>
      <c r="P174" s="154"/>
      <c r="Q174" s="156"/>
      <c r="R174" s="157" t="str">
        <f t="shared" si="109"/>
        <v/>
      </c>
      <c r="S174" s="159" t="str">
        <f>IF(R174="","",IF(R174&gt;Data2!$C$12,Data2!$D$11,IF(R174&gt;Data2!$C$13,Data2!$D$12,IF(R174&gt;Data2!$C$14,Data2!$D$13,Data2!$D$14))))</f>
        <v/>
      </c>
      <c r="T174" s="144">
        <f t="shared" si="99"/>
        <v>85</v>
      </c>
      <c r="U174" s="144">
        <f t="shared" si="100"/>
        <v>80</v>
      </c>
      <c r="V174" s="144" t="str">
        <f t="shared" si="94"/>
        <v>Cukup menguasai</v>
      </c>
      <c r="W174" s="144" t="str">
        <f t="shared" si="95"/>
        <v>Cukup menguasai</v>
      </c>
      <c r="X174" s="144">
        <f t="shared" si="101"/>
        <v>3</v>
      </c>
      <c r="Y174" s="145">
        <f t="shared" si="102"/>
        <v>6</v>
      </c>
      <c r="Z174" s="218" t="str">
        <f>IF('PA-Non'!O174&lt;&gt;"",'PA-Non'!O174,IFERROR("Mempunyai kemampuan yang " &amp;IF(V174=W174,PROPER(W174)&amp;" dalam kompetensi "&amp;VLOOKUP(X174,$G$532:$I$539,3)&amp;" dan kompetensi "&amp;VLOOKUP(Y174,$G$532:$I$539,3),PROPER(V174)&amp;" dalam kompetensi "&amp;VLOOKUP(X174,$G$532:$I$539,3)&amp;" dan memiliki kemampuan yang "&amp;W174&amp;" pada kompetensi "&amp;VLOOKUP(Y174,$G$532:$I$539,3)),""))</f>
        <v>Mempunyai kemampuan yang Cukup Menguasai dalam kompetensi KD Pengetahuan-3 dan kompetensi KD Pengetahuan-6</v>
      </c>
      <c r="AA174" s="153"/>
      <c r="AB174" s="154"/>
      <c r="AC174" s="154"/>
      <c r="AD174" s="154"/>
      <c r="AE174" s="154"/>
      <c r="AF174" s="154"/>
      <c r="AG174" s="154"/>
      <c r="AH174" s="155"/>
      <c r="AI174" s="220" t="str">
        <f t="shared" si="103"/>
        <v/>
      </c>
      <c r="AJ174" s="160" t="str">
        <f>IF(AI174="","",IF(AI174&gt;Data2!$C$12,Data2!$D$11,IF(AI174&gt;Data2!$C$13,Data2!$D$12,IF(AI174&gt;Data2!$C$14,Data2!$D$13,Data2!$D$14))))</f>
        <v/>
      </c>
      <c r="AK174" s="146">
        <f t="shared" si="104"/>
        <v>0</v>
      </c>
      <c r="AL174" s="146">
        <f t="shared" si="105"/>
        <v>0</v>
      </c>
      <c r="AM174" s="147" t="str">
        <f t="shared" si="96"/>
        <v>Mulai meningkat</v>
      </c>
      <c r="AN174" s="147" t="str">
        <f t="shared" si="97"/>
        <v>Mulai meningkat</v>
      </c>
      <c r="AO174" s="146" t="e">
        <f t="shared" si="106"/>
        <v>#N/A</v>
      </c>
      <c r="AP174" s="148" t="e">
        <f t="shared" si="107"/>
        <v>#N/A</v>
      </c>
      <c r="AQ174" s="158" t="str">
        <f>IF('PA-Non'!V174&lt;&gt;"",'PA-Non'!V174,IFERROR("Mempunyai keterampilan yang "&amp;IF(AM174=AN174,PROPER(AN174)&amp;" dalam kompetensi "&amp;VLOOKUP(AO174,$AA$532:$AC$539,3)&amp;", demikian juga dalam kompetensi "&amp;VLOOKUP(AP174,$AA$532:$AC$539,3),PROPER(AM174)&amp;" dalam kompetensi "&amp;VLOOKUP(AO174,$AA$532:$AC$539,3)&amp;" dan "&amp;AN174&amp;" pada kompetensi "&amp;VLOOKUP(AP174,$AA$532:$AC$539,3)),""))</f>
        <v/>
      </c>
      <c r="AR174" s="188"/>
    </row>
    <row r="175" spans="2:44" ht="27.9" customHeight="1" thickBot="1" x14ac:dyDescent="0.35">
      <c r="B175" s="226" t="s">
        <v>123</v>
      </c>
      <c r="C175" s="149">
        <f t="shared" si="108"/>
        <v>6</v>
      </c>
      <c r="D175" s="150" t="str">
        <f>IF(Data!F170="","",Data!F170)</f>
        <v>03642</v>
      </c>
      <c r="E175" s="151" t="str">
        <f>IF(Data!H170="","",Data!H170)</f>
        <v>Aulia Az-Zahra Ramadhani</v>
      </c>
      <c r="F175" s="152" t="str">
        <f>IF(Data!I170="","",Data!I170)</f>
        <v>Perempuan</v>
      </c>
      <c r="G175" s="153"/>
      <c r="H175" s="154">
        <v>90</v>
      </c>
      <c r="I175" s="154">
        <v>85</v>
      </c>
      <c r="J175" s="154">
        <v>84</v>
      </c>
      <c r="K175" s="154">
        <v>83</v>
      </c>
      <c r="L175" s="154">
        <v>80</v>
      </c>
      <c r="M175" s="154"/>
      <c r="N175" s="155"/>
      <c r="O175" s="157">
        <f t="shared" si="98"/>
        <v>70</v>
      </c>
      <c r="P175" s="154"/>
      <c r="Q175" s="156"/>
      <c r="R175" s="157" t="str">
        <f t="shared" si="109"/>
        <v/>
      </c>
      <c r="S175" s="159" t="str">
        <f>IF(R175="","",IF(R175&gt;Data2!$C$12,Data2!$D$11,IF(R175&gt;Data2!$C$13,Data2!$D$12,IF(R175&gt;Data2!$C$14,Data2!$D$13,Data2!$D$14))))</f>
        <v/>
      </c>
      <c r="T175" s="144">
        <f t="shared" si="99"/>
        <v>90</v>
      </c>
      <c r="U175" s="144">
        <f t="shared" si="100"/>
        <v>80</v>
      </c>
      <c r="V175" s="144" t="str">
        <f t="shared" si="94"/>
        <v>Baik</v>
      </c>
      <c r="W175" s="144" t="str">
        <f t="shared" si="95"/>
        <v>Cukup menguasai</v>
      </c>
      <c r="X175" s="144">
        <f t="shared" si="101"/>
        <v>2</v>
      </c>
      <c r="Y175" s="145">
        <f t="shared" si="102"/>
        <v>6</v>
      </c>
      <c r="Z175" s="218" t="str">
        <f>IF('PA-Non'!O175&lt;&gt;"",'PA-Non'!O175,IFERROR("Mempunyai kemampuan yang " &amp;IF(V175=W175,PROPER(W175)&amp;" dalam kompetensi "&amp;VLOOKUP(X175,$G$532:$I$539,3)&amp;" dan kompetensi "&amp;VLOOKUP(Y175,$G$532:$I$539,3),PROPER(V175)&amp;" dalam kompetensi "&amp;VLOOKUP(X175,$G$532:$I$539,3)&amp;" dan memiliki kemampuan yang "&amp;W175&amp;" pada kompetensi "&amp;VLOOKUP(Y175,$G$532:$I$539,3)),""))</f>
        <v>Mempunyai kemampuan yang Baik dalam kompetensi KD Pengetahuan-2 dan memiliki kemampuan yang Cukup menguasai pada kompetensi KD Pengetahuan-6</v>
      </c>
      <c r="AA175" s="153"/>
      <c r="AB175" s="154"/>
      <c r="AC175" s="154"/>
      <c r="AD175" s="154"/>
      <c r="AE175" s="154"/>
      <c r="AF175" s="154"/>
      <c r="AG175" s="154"/>
      <c r="AH175" s="155"/>
      <c r="AI175" s="220" t="str">
        <f t="shared" si="103"/>
        <v/>
      </c>
      <c r="AJ175" s="160" t="str">
        <f>IF(AI175="","",IF(AI175&gt;Data2!$C$12,Data2!$D$11,IF(AI175&gt;Data2!$C$13,Data2!$D$12,IF(AI175&gt;Data2!$C$14,Data2!$D$13,Data2!$D$14))))</f>
        <v/>
      </c>
      <c r="AK175" s="146">
        <f t="shared" si="104"/>
        <v>0</v>
      </c>
      <c r="AL175" s="146">
        <f t="shared" si="105"/>
        <v>0</v>
      </c>
      <c r="AM175" s="147" t="str">
        <f t="shared" si="96"/>
        <v>Mulai meningkat</v>
      </c>
      <c r="AN175" s="147" t="str">
        <f t="shared" si="97"/>
        <v>Mulai meningkat</v>
      </c>
      <c r="AO175" s="146" t="e">
        <f t="shared" si="106"/>
        <v>#N/A</v>
      </c>
      <c r="AP175" s="148" t="e">
        <f t="shared" si="107"/>
        <v>#N/A</v>
      </c>
      <c r="AQ175" s="158" t="str">
        <f>IF('PA-Non'!V175&lt;&gt;"",'PA-Non'!V175,IFERROR("Mempunyai keterampilan yang "&amp;IF(AM175=AN175,PROPER(AN175)&amp;" dalam kompetensi "&amp;VLOOKUP(AO175,$AA$532:$AC$539,3)&amp;", demikian juga dalam kompetensi "&amp;VLOOKUP(AP175,$AA$532:$AC$539,3),PROPER(AM175)&amp;" dalam kompetensi "&amp;VLOOKUP(AO175,$AA$532:$AC$539,3)&amp;" dan "&amp;AN175&amp;" pada kompetensi "&amp;VLOOKUP(AP175,$AA$532:$AC$539,3)),""))</f>
        <v/>
      </c>
      <c r="AR175" s="188"/>
    </row>
    <row r="176" spans="2:44" ht="27.9" customHeight="1" thickBot="1" x14ac:dyDescent="0.35">
      <c r="B176" s="226" t="s">
        <v>123</v>
      </c>
      <c r="C176" s="149">
        <f t="shared" si="108"/>
        <v>7</v>
      </c>
      <c r="D176" s="150" t="str">
        <f>IF(Data!F171="","",Data!F171)</f>
        <v>03656</v>
      </c>
      <c r="E176" s="151" t="str">
        <f>IF(Data!H171="","",Data!H171)</f>
        <v>Deva Renata Diyantika Putri</v>
      </c>
      <c r="F176" s="152" t="str">
        <f>IF(Data!I171="","",Data!I171)</f>
        <v>Perempuan</v>
      </c>
      <c r="G176" s="153"/>
      <c r="H176" s="154">
        <v>78</v>
      </c>
      <c r="I176" s="154">
        <v>80.099999999999994</v>
      </c>
      <c r="J176" s="154">
        <v>85</v>
      </c>
      <c r="K176" s="154">
        <v>84</v>
      </c>
      <c r="L176" s="154">
        <v>80</v>
      </c>
      <c r="M176" s="154"/>
      <c r="N176" s="155"/>
      <c r="O176" s="157">
        <f t="shared" si="98"/>
        <v>68</v>
      </c>
      <c r="P176" s="154"/>
      <c r="Q176" s="156"/>
      <c r="R176" s="157" t="str">
        <f t="shared" si="109"/>
        <v/>
      </c>
      <c r="S176" s="159" t="str">
        <f>IF(R176="","",IF(R176&gt;Data2!$C$12,Data2!$D$11,IF(R176&gt;Data2!$C$13,Data2!$D$12,IF(R176&gt;Data2!$C$14,Data2!$D$13,Data2!$D$14))))</f>
        <v/>
      </c>
      <c r="T176" s="144">
        <f t="shared" si="99"/>
        <v>85</v>
      </c>
      <c r="U176" s="144">
        <f t="shared" si="100"/>
        <v>78</v>
      </c>
      <c r="V176" s="144" t="str">
        <f t="shared" si="94"/>
        <v>Cukup menguasai</v>
      </c>
      <c r="W176" s="144" t="str">
        <f t="shared" si="95"/>
        <v>Cukup menguasai</v>
      </c>
      <c r="X176" s="144">
        <f t="shared" si="101"/>
        <v>4</v>
      </c>
      <c r="Y176" s="145">
        <f t="shared" si="102"/>
        <v>2</v>
      </c>
      <c r="Z176" s="218" t="str">
        <f>IF('PA-Non'!O176&lt;&gt;"",'PA-Non'!O176,IFERROR("Mempunyai kemampuan yang " &amp;IF(V176=W176,PROPER(W176)&amp;" dalam kompetensi "&amp;VLOOKUP(X176,$G$532:$I$539,3)&amp;" dan kompetensi "&amp;VLOOKUP(Y176,$G$532:$I$539,3),PROPER(V176)&amp;" dalam kompetensi "&amp;VLOOKUP(X176,$G$532:$I$539,3)&amp;" dan memiliki kemampuan yang "&amp;W176&amp;" pada kompetensi "&amp;VLOOKUP(Y176,$G$532:$I$539,3)),""))</f>
        <v>Mempunyai kemampuan yang Cukup Menguasai dalam kompetensi KD Pengetahuan-4 dan kompetensi KD Pengetahuan-2</v>
      </c>
      <c r="AA176" s="153"/>
      <c r="AB176" s="154"/>
      <c r="AC176" s="154"/>
      <c r="AD176" s="154"/>
      <c r="AE176" s="154"/>
      <c r="AF176" s="154"/>
      <c r="AG176" s="154"/>
      <c r="AH176" s="155"/>
      <c r="AI176" s="220" t="str">
        <f t="shared" si="103"/>
        <v/>
      </c>
      <c r="AJ176" s="160" t="str">
        <f>IF(AI176="","",IF(AI176&gt;Data2!$C$12,Data2!$D$11,IF(AI176&gt;Data2!$C$13,Data2!$D$12,IF(AI176&gt;Data2!$C$14,Data2!$D$13,Data2!$D$14))))</f>
        <v/>
      </c>
      <c r="AK176" s="146">
        <f t="shared" si="104"/>
        <v>0</v>
      </c>
      <c r="AL176" s="146">
        <f t="shared" si="105"/>
        <v>0</v>
      </c>
      <c r="AM176" s="147" t="str">
        <f t="shared" si="96"/>
        <v>Mulai meningkat</v>
      </c>
      <c r="AN176" s="147" t="str">
        <f t="shared" si="97"/>
        <v>Mulai meningkat</v>
      </c>
      <c r="AO176" s="146" t="e">
        <f t="shared" si="106"/>
        <v>#N/A</v>
      </c>
      <c r="AP176" s="148" t="e">
        <f t="shared" si="107"/>
        <v>#N/A</v>
      </c>
      <c r="AQ176" s="158" t="str">
        <f>IF('PA-Non'!V176&lt;&gt;"",'PA-Non'!V176,IFERROR("Mempunyai keterampilan yang "&amp;IF(AM176=AN176,PROPER(AN176)&amp;" dalam kompetensi "&amp;VLOOKUP(AO176,$AA$532:$AC$539,3)&amp;", demikian juga dalam kompetensi "&amp;VLOOKUP(AP176,$AA$532:$AC$539,3),PROPER(AM176)&amp;" dalam kompetensi "&amp;VLOOKUP(AO176,$AA$532:$AC$539,3)&amp;" dan "&amp;AN176&amp;" pada kompetensi "&amp;VLOOKUP(AP176,$AA$532:$AC$539,3)),""))</f>
        <v/>
      </c>
      <c r="AR176" s="188"/>
    </row>
    <row r="177" spans="2:44" ht="27.9" customHeight="1" thickBot="1" x14ac:dyDescent="0.35">
      <c r="B177" s="226" t="s">
        <v>123</v>
      </c>
      <c r="C177" s="149">
        <f t="shared" si="108"/>
        <v>8</v>
      </c>
      <c r="D177" s="150" t="str">
        <f>IF(Data!F172="","",Data!F172)</f>
        <v>03657</v>
      </c>
      <c r="E177" s="151" t="str">
        <f>IF(Data!H172="","",Data!H172)</f>
        <v>Devira Widariani Putri</v>
      </c>
      <c r="F177" s="152" t="str">
        <f>IF(Data!I172="","",Data!I172)</f>
        <v>Perempuan</v>
      </c>
      <c r="G177" s="153"/>
      <c r="H177" s="154">
        <v>90</v>
      </c>
      <c r="I177" s="154">
        <v>85</v>
      </c>
      <c r="J177" s="154">
        <v>84</v>
      </c>
      <c r="K177" s="154">
        <v>80</v>
      </c>
      <c r="L177" s="154">
        <v>83</v>
      </c>
      <c r="M177" s="154"/>
      <c r="N177" s="155"/>
      <c r="O177" s="157">
        <f t="shared" si="98"/>
        <v>70</v>
      </c>
      <c r="P177" s="154"/>
      <c r="Q177" s="156"/>
      <c r="R177" s="157" t="str">
        <f t="shared" si="109"/>
        <v/>
      </c>
      <c r="S177" s="159" t="str">
        <f>IF(R177="","",IF(R177&gt;Data2!$C$12,Data2!$D$11,IF(R177&gt;Data2!$C$13,Data2!$D$12,IF(R177&gt;Data2!$C$14,Data2!$D$13,Data2!$D$14))))</f>
        <v/>
      </c>
      <c r="T177" s="144">
        <f t="shared" si="99"/>
        <v>90</v>
      </c>
      <c r="U177" s="144">
        <f t="shared" si="100"/>
        <v>80</v>
      </c>
      <c r="V177" s="144" t="str">
        <f t="shared" si="94"/>
        <v>Baik</v>
      </c>
      <c r="W177" s="144" t="str">
        <f t="shared" si="95"/>
        <v>Cukup menguasai</v>
      </c>
      <c r="X177" s="144">
        <f t="shared" si="101"/>
        <v>2</v>
      </c>
      <c r="Y177" s="145">
        <f t="shared" si="102"/>
        <v>5</v>
      </c>
      <c r="Z177" s="218" t="str">
        <f>IF('PA-Non'!O177&lt;&gt;"",'PA-Non'!O177,IFERROR("Mempunyai kemampuan yang " &amp;IF(V177=W177,PROPER(W177)&amp;" dalam kompetensi "&amp;VLOOKUP(X177,$G$532:$I$539,3)&amp;" dan kompetensi "&amp;VLOOKUP(Y177,$G$532:$I$539,3),PROPER(V177)&amp;" dalam kompetensi "&amp;VLOOKUP(X177,$G$532:$I$539,3)&amp;" dan memiliki kemampuan yang "&amp;W177&amp;" pada kompetensi "&amp;VLOOKUP(Y177,$G$532:$I$539,3)),""))</f>
        <v>Mempunyai kemampuan yang Baik dalam kompetensi KD Pengetahuan-2 dan memiliki kemampuan yang Cukup menguasai pada kompetensi KD Pengetahuan-5</v>
      </c>
      <c r="AA177" s="153"/>
      <c r="AB177" s="154"/>
      <c r="AC177" s="154"/>
      <c r="AD177" s="154"/>
      <c r="AE177" s="154"/>
      <c r="AF177" s="154"/>
      <c r="AG177" s="154"/>
      <c r="AH177" s="155"/>
      <c r="AI177" s="220" t="str">
        <f t="shared" si="103"/>
        <v/>
      </c>
      <c r="AJ177" s="160" t="str">
        <f>IF(AI177="","",IF(AI177&gt;Data2!$C$12,Data2!$D$11,IF(AI177&gt;Data2!$C$13,Data2!$D$12,IF(AI177&gt;Data2!$C$14,Data2!$D$13,Data2!$D$14))))</f>
        <v/>
      </c>
      <c r="AK177" s="146">
        <f t="shared" si="104"/>
        <v>0</v>
      </c>
      <c r="AL177" s="146">
        <f t="shared" si="105"/>
        <v>0</v>
      </c>
      <c r="AM177" s="147" t="str">
        <f t="shared" si="96"/>
        <v>Mulai meningkat</v>
      </c>
      <c r="AN177" s="147" t="str">
        <f t="shared" si="97"/>
        <v>Mulai meningkat</v>
      </c>
      <c r="AO177" s="146" t="e">
        <f t="shared" si="106"/>
        <v>#N/A</v>
      </c>
      <c r="AP177" s="148" t="e">
        <f t="shared" si="107"/>
        <v>#N/A</v>
      </c>
      <c r="AQ177" s="158" t="str">
        <f>IF('PA-Non'!V177&lt;&gt;"",'PA-Non'!V177,IFERROR("Mempunyai keterampilan yang "&amp;IF(AM177=AN177,PROPER(AN177)&amp;" dalam kompetensi "&amp;VLOOKUP(AO177,$AA$532:$AC$539,3)&amp;", demikian juga dalam kompetensi "&amp;VLOOKUP(AP177,$AA$532:$AC$539,3),PROPER(AM177)&amp;" dalam kompetensi "&amp;VLOOKUP(AO177,$AA$532:$AC$539,3)&amp;" dan "&amp;AN177&amp;" pada kompetensi "&amp;VLOOKUP(AP177,$AA$532:$AC$539,3)),""))</f>
        <v/>
      </c>
      <c r="AR177" s="188"/>
    </row>
    <row r="178" spans="2:44" ht="27.9" customHeight="1" thickBot="1" x14ac:dyDescent="0.35">
      <c r="B178" s="226" t="s">
        <v>123</v>
      </c>
      <c r="C178" s="149">
        <f t="shared" si="108"/>
        <v>9</v>
      </c>
      <c r="D178" s="150" t="str">
        <f>IF(Data!F173="","",Data!F173)</f>
        <v>03659</v>
      </c>
      <c r="E178" s="151" t="str">
        <f>IF(Data!H173="","",Data!H173)</f>
        <v>Dhenova Hafiza Khaira Lubna</v>
      </c>
      <c r="F178" s="152" t="str">
        <f>IF(Data!I173="","",Data!I173)</f>
        <v>Perempuan</v>
      </c>
      <c r="G178" s="153"/>
      <c r="H178" s="154">
        <v>80.099999999999994</v>
      </c>
      <c r="I178" s="154">
        <v>85</v>
      </c>
      <c r="J178" s="154">
        <v>90</v>
      </c>
      <c r="K178" s="154">
        <v>83</v>
      </c>
      <c r="L178" s="154">
        <v>80</v>
      </c>
      <c r="M178" s="154"/>
      <c r="N178" s="155"/>
      <c r="O178" s="157">
        <f t="shared" si="98"/>
        <v>70</v>
      </c>
      <c r="P178" s="154"/>
      <c r="Q178" s="156"/>
      <c r="R178" s="157" t="str">
        <f t="shared" si="109"/>
        <v/>
      </c>
      <c r="S178" s="159" t="str">
        <f>IF(R178="","",IF(R178&gt;Data2!$C$12,Data2!$D$11,IF(R178&gt;Data2!$C$13,Data2!$D$12,IF(R178&gt;Data2!$C$14,Data2!$D$13,Data2!$D$14))))</f>
        <v/>
      </c>
      <c r="T178" s="144">
        <f t="shared" si="99"/>
        <v>90</v>
      </c>
      <c r="U178" s="144">
        <f t="shared" si="100"/>
        <v>80</v>
      </c>
      <c r="V178" s="144" t="str">
        <f t="shared" si="94"/>
        <v>Baik</v>
      </c>
      <c r="W178" s="144" t="str">
        <f t="shared" si="95"/>
        <v>Cukup menguasai</v>
      </c>
      <c r="X178" s="144">
        <f t="shared" si="101"/>
        <v>4</v>
      </c>
      <c r="Y178" s="145">
        <f t="shared" si="102"/>
        <v>6</v>
      </c>
      <c r="Z178" s="218" t="str">
        <f>IF('PA-Non'!O178&lt;&gt;"",'PA-Non'!O178,IFERROR("Mempunyai kemampuan yang " &amp;IF(V178=W178,PROPER(W178)&amp;" dalam kompetensi "&amp;VLOOKUP(X178,$G$532:$I$539,3)&amp;" dan kompetensi "&amp;VLOOKUP(Y178,$G$532:$I$539,3),PROPER(V178)&amp;" dalam kompetensi "&amp;VLOOKUP(X178,$G$532:$I$539,3)&amp;" dan memiliki kemampuan yang "&amp;W178&amp;" pada kompetensi "&amp;VLOOKUP(Y178,$G$532:$I$539,3)),""))</f>
        <v>Mempunyai kemampuan yang Baik dalam kompetensi KD Pengetahuan-4 dan memiliki kemampuan yang Cukup menguasai pada kompetensi KD Pengetahuan-6</v>
      </c>
      <c r="AA178" s="153"/>
      <c r="AB178" s="154"/>
      <c r="AC178" s="154"/>
      <c r="AD178" s="154"/>
      <c r="AE178" s="154"/>
      <c r="AF178" s="154"/>
      <c r="AG178" s="154"/>
      <c r="AH178" s="155"/>
      <c r="AI178" s="220" t="str">
        <f t="shared" si="103"/>
        <v/>
      </c>
      <c r="AJ178" s="160" t="str">
        <f>IF(AI178="","",IF(AI178&gt;Data2!$C$12,Data2!$D$11,IF(AI178&gt;Data2!$C$13,Data2!$D$12,IF(AI178&gt;Data2!$C$14,Data2!$D$13,Data2!$D$14))))</f>
        <v/>
      </c>
      <c r="AK178" s="146">
        <f t="shared" si="104"/>
        <v>0</v>
      </c>
      <c r="AL178" s="146">
        <f t="shared" si="105"/>
        <v>0</v>
      </c>
      <c r="AM178" s="147" t="str">
        <f t="shared" si="96"/>
        <v>Mulai meningkat</v>
      </c>
      <c r="AN178" s="147" t="str">
        <f t="shared" si="97"/>
        <v>Mulai meningkat</v>
      </c>
      <c r="AO178" s="146" t="e">
        <f t="shared" si="106"/>
        <v>#N/A</v>
      </c>
      <c r="AP178" s="148" t="e">
        <f t="shared" si="107"/>
        <v>#N/A</v>
      </c>
      <c r="AQ178" s="158" t="str">
        <f>IF('PA-Non'!V178&lt;&gt;"",'PA-Non'!V178,IFERROR("Mempunyai keterampilan yang "&amp;IF(AM178=AN178,PROPER(AN178)&amp;" dalam kompetensi "&amp;VLOOKUP(AO178,$AA$532:$AC$539,3)&amp;", demikian juga dalam kompetensi "&amp;VLOOKUP(AP178,$AA$532:$AC$539,3),PROPER(AM178)&amp;" dalam kompetensi "&amp;VLOOKUP(AO178,$AA$532:$AC$539,3)&amp;" dan "&amp;AN178&amp;" pada kompetensi "&amp;VLOOKUP(AP178,$AA$532:$AC$539,3)),""))</f>
        <v/>
      </c>
      <c r="AR178" s="188"/>
    </row>
    <row r="179" spans="2:44" ht="27.9" customHeight="1" thickBot="1" x14ac:dyDescent="0.35">
      <c r="B179" s="226" t="s">
        <v>123</v>
      </c>
      <c r="C179" s="149">
        <f t="shared" si="108"/>
        <v>10</v>
      </c>
      <c r="D179" s="150" t="str">
        <f>IF(Data!F174="","",Data!F174)</f>
        <v>03660</v>
      </c>
      <c r="E179" s="151" t="str">
        <f>IF(Data!H174="","",Data!H174)</f>
        <v>Diah Putri Dwi Lestari</v>
      </c>
      <c r="F179" s="152" t="str">
        <f>IF(Data!I174="","",Data!I174)</f>
        <v>Perempuan</v>
      </c>
      <c r="G179" s="153"/>
      <c r="H179" s="154">
        <v>90</v>
      </c>
      <c r="I179" s="154">
        <v>85.1</v>
      </c>
      <c r="J179" s="154">
        <v>84</v>
      </c>
      <c r="K179" s="154">
        <v>85</v>
      </c>
      <c r="L179" s="154">
        <v>80</v>
      </c>
      <c r="M179" s="154"/>
      <c r="N179" s="155"/>
      <c r="O179" s="157">
        <f t="shared" si="98"/>
        <v>71</v>
      </c>
      <c r="P179" s="154"/>
      <c r="Q179" s="156"/>
      <c r="R179" s="157" t="str">
        <f t="shared" si="109"/>
        <v/>
      </c>
      <c r="S179" s="159" t="str">
        <f>IF(R179="","",IF(R179&gt;Data2!$C$12,Data2!$D$11,IF(R179&gt;Data2!$C$13,Data2!$D$12,IF(R179&gt;Data2!$C$14,Data2!$D$13,Data2!$D$14))))</f>
        <v/>
      </c>
      <c r="T179" s="144">
        <f t="shared" si="99"/>
        <v>90</v>
      </c>
      <c r="U179" s="144">
        <f t="shared" si="100"/>
        <v>80</v>
      </c>
      <c r="V179" s="144" t="str">
        <f t="shared" si="94"/>
        <v>Baik</v>
      </c>
      <c r="W179" s="144" t="str">
        <f t="shared" si="95"/>
        <v>Cukup menguasai</v>
      </c>
      <c r="X179" s="144">
        <f t="shared" si="101"/>
        <v>2</v>
      </c>
      <c r="Y179" s="145">
        <f t="shared" si="102"/>
        <v>6</v>
      </c>
      <c r="Z179" s="218" t="str">
        <f>IF('PA-Non'!O179&lt;&gt;"",'PA-Non'!O179,IFERROR("Mempunyai kemampuan yang " &amp;IF(V179=W179,PROPER(W179)&amp;" dalam kompetensi "&amp;VLOOKUP(X179,$G$532:$I$539,3)&amp;" dan kompetensi "&amp;VLOOKUP(Y179,$G$532:$I$539,3),PROPER(V179)&amp;" dalam kompetensi "&amp;VLOOKUP(X179,$G$532:$I$539,3)&amp;" dan memiliki kemampuan yang "&amp;W179&amp;" pada kompetensi "&amp;VLOOKUP(Y179,$G$532:$I$539,3)),""))</f>
        <v>Mempunyai kemampuan yang Baik dalam kompetensi KD Pengetahuan-2 dan memiliki kemampuan yang Cukup menguasai pada kompetensi KD Pengetahuan-6</v>
      </c>
      <c r="AA179" s="153"/>
      <c r="AB179" s="154"/>
      <c r="AC179" s="154"/>
      <c r="AD179" s="154"/>
      <c r="AE179" s="154"/>
      <c r="AF179" s="154"/>
      <c r="AG179" s="154"/>
      <c r="AH179" s="155"/>
      <c r="AI179" s="220" t="str">
        <f t="shared" si="103"/>
        <v/>
      </c>
      <c r="AJ179" s="160" t="str">
        <f>IF(AI179="","",IF(AI179&gt;Data2!$C$12,Data2!$D$11,IF(AI179&gt;Data2!$C$13,Data2!$D$12,IF(AI179&gt;Data2!$C$14,Data2!$D$13,Data2!$D$14))))</f>
        <v/>
      </c>
      <c r="AK179" s="146">
        <f t="shared" si="104"/>
        <v>0</v>
      </c>
      <c r="AL179" s="146">
        <f t="shared" si="105"/>
        <v>0</v>
      </c>
      <c r="AM179" s="147" t="str">
        <f t="shared" si="96"/>
        <v>Mulai meningkat</v>
      </c>
      <c r="AN179" s="147" t="str">
        <f t="shared" si="97"/>
        <v>Mulai meningkat</v>
      </c>
      <c r="AO179" s="146" t="e">
        <f t="shared" si="106"/>
        <v>#N/A</v>
      </c>
      <c r="AP179" s="148" t="e">
        <f t="shared" si="107"/>
        <v>#N/A</v>
      </c>
      <c r="AQ179" s="158" t="str">
        <f>IF('PA-Non'!V179&lt;&gt;"",'PA-Non'!V179,IFERROR("Mempunyai keterampilan yang "&amp;IF(AM179=AN179,PROPER(AN179)&amp;" dalam kompetensi "&amp;VLOOKUP(AO179,$AA$532:$AC$539,3)&amp;", demikian juga dalam kompetensi "&amp;VLOOKUP(AP179,$AA$532:$AC$539,3),PROPER(AM179)&amp;" dalam kompetensi "&amp;VLOOKUP(AO179,$AA$532:$AC$539,3)&amp;" dan "&amp;AN179&amp;" pada kompetensi "&amp;VLOOKUP(AP179,$AA$532:$AC$539,3)),""))</f>
        <v/>
      </c>
      <c r="AR179" s="188"/>
    </row>
    <row r="180" spans="2:44" ht="27.9" customHeight="1" thickBot="1" x14ac:dyDescent="0.35">
      <c r="B180" s="226" t="s">
        <v>123</v>
      </c>
      <c r="C180" s="149">
        <f t="shared" si="108"/>
        <v>11</v>
      </c>
      <c r="D180" s="150" t="str">
        <f>IF(Data!F175="","",Data!F175)</f>
        <v>03666</v>
      </c>
      <c r="E180" s="151" t="str">
        <f>IF(Data!H175="","",Data!H175)</f>
        <v>Ernita Izzatunnisa Musdalifa</v>
      </c>
      <c r="F180" s="152" t="str">
        <f>IF(Data!I175="","",Data!I175)</f>
        <v>Perempuan</v>
      </c>
      <c r="G180" s="153"/>
      <c r="H180" s="154">
        <v>90</v>
      </c>
      <c r="I180" s="154">
        <v>87</v>
      </c>
      <c r="J180" s="154">
        <v>83</v>
      </c>
      <c r="K180" s="154">
        <v>82</v>
      </c>
      <c r="L180" s="154">
        <v>80</v>
      </c>
      <c r="M180" s="154"/>
      <c r="N180" s="155"/>
      <c r="O180" s="157">
        <f t="shared" si="98"/>
        <v>70</v>
      </c>
      <c r="P180" s="154"/>
      <c r="Q180" s="156"/>
      <c r="R180" s="157" t="str">
        <f t="shared" si="109"/>
        <v/>
      </c>
      <c r="S180" s="159" t="str">
        <f>IF(R180="","",IF(R180&gt;Data2!$C$12,Data2!$D$11,IF(R180&gt;Data2!$C$13,Data2!$D$12,IF(R180&gt;Data2!$C$14,Data2!$D$13,Data2!$D$14))))</f>
        <v/>
      </c>
      <c r="T180" s="144">
        <f t="shared" si="99"/>
        <v>90</v>
      </c>
      <c r="U180" s="144">
        <f t="shared" si="100"/>
        <v>80</v>
      </c>
      <c r="V180" s="144" t="str">
        <f t="shared" si="94"/>
        <v>Baik</v>
      </c>
      <c r="W180" s="144" t="str">
        <f t="shared" si="95"/>
        <v>Cukup menguasai</v>
      </c>
      <c r="X180" s="144">
        <f t="shared" si="101"/>
        <v>2</v>
      </c>
      <c r="Y180" s="145">
        <f t="shared" si="102"/>
        <v>6</v>
      </c>
      <c r="Z180" s="218" t="str">
        <f>IF('PA-Non'!O180&lt;&gt;"",'PA-Non'!O180,IFERROR("Mempunyai kemampuan yang " &amp;IF(V180=W180,PROPER(W180)&amp;" dalam kompetensi "&amp;VLOOKUP(X180,$G$532:$I$539,3)&amp;" dan kompetensi "&amp;VLOOKUP(Y180,$G$532:$I$539,3),PROPER(V180)&amp;" dalam kompetensi "&amp;VLOOKUP(X180,$G$532:$I$539,3)&amp;" dan memiliki kemampuan yang "&amp;W180&amp;" pada kompetensi "&amp;VLOOKUP(Y180,$G$532:$I$539,3)),""))</f>
        <v>Mempunyai kemampuan yang Baik dalam kompetensi KD Pengetahuan-2 dan memiliki kemampuan yang Cukup menguasai pada kompetensi KD Pengetahuan-6</v>
      </c>
      <c r="AA180" s="153"/>
      <c r="AB180" s="154"/>
      <c r="AC180" s="154"/>
      <c r="AD180" s="154"/>
      <c r="AE180" s="154"/>
      <c r="AF180" s="154"/>
      <c r="AG180" s="154"/>
      <c r="AH180" s="155"/>
      <c r="AI180" s="220" t="str">
        <f t="shared" si="103"/>
        <v/>
      </c>
      <c r="AJ180" s="160" t="str">
        <f>IF(AI180="","",IF(AI180&gt;Data2!$C$12,Data2!$D$11,IF(AI180&gt;Data2!$C$13,Data2!$D$12,IF(AI180&gt;Data2!$C$14,Data2!$D$13,Data2!$D$14))))</f>
        <v/>
      </c>
      <c r="AK180" s="146">
        <f t="shared" si="104"/>
        <v>0</v>
      </c>
      <c r="AL180" s="146">
        <f t="shared" si="105"/>
        <v>0</v>
      </c>
      <c r="AM180" s="147" t="str">
        <f t="shared" si="96"/>
        <v>Mulai meningkat</v>
      </c>
      <c r="AN180" s="147" t="str">
        <f t="shared" si="97"/>
        <v>Mulai meningkat</v>
      </c>
      <c r="AO180" s="146" t="e">
        <f t="shared" si="106"/>
        <v>#N/A</v>
      </c>
      <c r="AP180" s="148" t="e">
        <f t="shared" si="107"/>
        <v>#N/A</v>
      </c>
      <c r="AQ180" s="158" t="str">
        <f>IF('PA-Non'!V180&lt;&gt;"",'PA-Non'!V180,IFERROR("Mempunyai keterampilan yang "&amp;IF(AM180=AN180,PROPER(AN180)&amp;" dalam kompetensi "&amp;VLOOKUP(AO180,$AA$532:$AC$539,3)&amp;", demikian juga dalam kompetensi "&amp;VLOOKUP(AP180,$AA$532:$AC$539,3),PROPER(AM180)&amp;" dalam kompetensi "&amp;VLOOKUP(AO180,$AA$532:$AC$539,3)&amp;" dan "&amp;AN180&amp;" pada kompetensi "&amp;VLOOKUP(AP180,$AA$532:$AC$539,3)),""))</f>
        <v/>
      </c>
      <c r="AR180" s="188"/>
    </row>
    <row r="181" spans="2:44" ht="27.9" customHeight="1" thickBot="1" x14ac:dyDescent="0.35">
      <c r="B181" s="226" t="s">
        <v>123</v>
      </c>
      <c r="C181" s="149">
        <f t="shared" si="108"/>
        <v>12</v>
      </c>
      <c r="D181" s="150" t="str">
        <f>IF(Data!F176="","",Data!F176)</f>
        <v>03667</v>
      </c>
      <c r="E181" s="151" t="str">
        <f>IF(Data!H176="","",Data!H176)</f>
        <v>Erza Naila</v>
      </c>
      <c r="F181" s="152" t="str">
        <f>IF(Data!I176="","",Data!I176)</f>
        <v>Perempuan</v>
      </c>
      <c r="G181" s="153"/>
      <c r="H181" s="154">
        <v>95</v>
      </c>
      <c r="I181" s="154">
        <v>85</v>
      </c>
      <c r="J181" s="154">
        <v>84</v>
      </c>
      <c r="K181" s="154">
        <v>80.099999999999994</v>
      </c>
      <c r="L181" s="154">
        <v>80</v>
      </c>
      <c r="M181" s="154"/>
      <c r="N181" s="155"/>
      <c r="O181" s="157">
        <f t="shared" si="98"/>
        <v>71</v>
      </c>
      <c r="P181" s="154"/>
      <c r="Q181" s="156"/>
      <c r="R181" s="157" t="str">
        <f t="shared" si="109"/>
        <v/>
      </c>
      <c r="S181" s="159" t="str">
        <f>IF(R181="","",IF(R181&gt;Data2!$C$12,Data2!$D$11,IF(R181&gt;Data2!$C$13,Data2!$D$12,IF(R181&gt;Data2!$C$14,Data2!$D$13,Data2!$D$14))))</f>
        <v/>
      </c>
      <c r="T181" s="144">
        <f t="shared" si="99"/>
        <v>95</v>
      </c>
      <c r="U181" s="144">
        <f t="shared" si="100"/>
        <v>80</v>
      </c>
      <c r="V181" s="144" t="str">
        <f t="shared" si="94"/>
        <v>Sangat baik</v>
      </c>
      <c r="W181" s="144" t="str">
        <f t="shared" si="95"/>
        <v>Cukup menguasai</v>
      </c>
      <c r="X181" s="144">
        <f t="shared" si="101"/>
        <v>2</v>
      </c>
      <c r="Y181" s="145">
        <f t="shared" si="102"/>
        <v>6</v>
      </c>
      <c r="Z181" s="218" t="str">
        <f>IF('PA-Non'!O181&lt;&gt;"",'PA-Non'!O181,IFERROR("Mempunyai kemampuan yang " &amp;IF(V181=W181,PROPER(W181)&amp;" dalam kompetensi "&amp;VLOOKUP(X181,$G$532:$I$539,3)&amp;" dan kompetensi "&amp;VLOOKUP(Y181,$G$532:$I$539,3),PROPER(V181)&amp;" dalam kompetensi "&amp;VLOOKUP(X181,$G$532:$I$539,3)&amp;" dan memiliki kemampuan yang "&amp;W181&amp;" pada kompetensi "&amp;VLOOKUP(Y181,$G$532:$I$539,3)),""))</f>
        <v>Mempunyai kemampuan yang Sangat Baik dalam kompetensi KD Pengetahuan-2 dan memiliki kemampuan yang Cukup menguasai pada kompetensi KD Pengetahuan-6</v>
      </c>
      <c r="AA181" s="153"/>
      <c r="AB181" s="154"/>
      <c r="AC181" s="154"/>
      <c r="AD181" s="154"/>
      <c r="AE181" s="154"/>
      <c r="AF181" s="154"/>
      <c r="AG181" s="154"/>
      <c r="AH181" s="155"/>
      <c r="AI181" s="220" t="str">
        <f t="shared" si="103"/>
        <v/>
      </c>
      <c r="AJ181" s="160" t="str">
        <f>IF(AI181="","",IF(AI181&gt;Data2!$C$12,Data2!$D$11,IF(AI181&gt;Data2!$C$13,Data2!$D$12,IF(AI181&gt;Data2!$C$14,Data2!$D$13,Data2!$D$14))))</f>
        <v/>
      </c>
      <c r="AK181" s="146">
        <f t="shared" si="104"/>
        <v>0</v>
      </c>
      <c r="AL181" s="146">
        <f t="shared" si="105"/>
        <v>0</v>
      </c>
      <c r="AM181" s="147" t="str">
        <f t="shared" si="96"/>
        <v>Mulai meningkat</v>
      </c>
      <c r="AN181" s="147" t="str">
        <f t="shared" si="97"/>
        <v>Mulai meningkat</v>
      </c>
      <c r="AO181" s="146" t="e">
        <f t="shared" si="106"/>
        <v>#N/A</v>
      </c>
      <c r="AP181" s="148" t="e">
        <f t="shared" si="107"/>
        <v>#N/A</v>
      </c>
      <c r="AQ181" s="158" t="str">
        <f>IF('PA-Non'!V181&lt;&gt;"",'PA-Non'!V181,IFERROR("Mempunyai keterampilan yang "&amp;IF(AM181=AN181,PROPER(AN181)&amp;" dalam kompetensi "&amp;VLOOKUP(AO181,$AA$532:$AC$539,3)&amp;", demikian juga dalam kompetensi "&amp;VLOOKUP(AP181,$AA$532:$AC$539,3),PROPER(AM181)&amp;" dalam kompetensi "&amp;VLOOKUP(AO181,$AA$532:$AC$539,3)&amp;" dan "&amp;AN181&amp;" pada kompetensi "&amp;VLOOKUP(AP181,$AA$532:$AC$539,3)),""))</f>
        <v/>
      </c>
      <c r="AR181" s="188"/>
    </row>
    <row r="182" spans="2:44" ht="27.9" customHeight="1" thickBot="1" x14ac:dyDescent="0.35">
      <c r="B182" s="226" t="s">
        <v>123</v>
      </c>
      <c r="C182" s="149">
        <f t="shared" si="108"/>
        <v>13</v>
      </c>
      <c r="D182" s="150" t="str">
        <f>IF(Data!F177="","",Data!F177)</f>
        <v>03668</v>
      </c>
      <c r="E182" s="151" t="str">
        <f>IF(Data!H177="","",Data!H177)</f>
        <v>Faridatul Maulida</v>
      </c>
      <c r="F182" s="152" t="str">
        <f>IF(Data!I177="","",Data!I177)</f>
        <v>Perempuan</v>
      </c>
      <c r="G182" s="153"/>
      <c r="H182" s="154">
        <v>78</v>
      </c>
      <c r="I182" s="154">
        <v>79</v>
      </c>
      <c r="J182" s="154">
        <v>85</v>
      </c>
      <c r="K182" s="154">
        <v>84</v>
      </c>
      <c r="L182" s="154">
        <v>80</v>
      </c>
      <c r="M182" s="154"/>
      <c r="N182" s="155"/>
      <c r="O182" s="157">
        <f t="shared" si="98"/>
        <v>68</v>
      </c>
      <c r="P182" s="154"/>
      <c r="Q182" s="156"/>
      <c r="R182" s="157" t="str">
        <f t="shared" si="109"/>
        <v/>
      </c>
      <c r="S182" s="159" t="str">
        <f>IF(R182="","",IF(R182&gt;Data2!$C$12,Data2!$D$11,IF(R182&gt;Data2!$C$13,Data2!$D$12,IF(R182&gt;Data2!$C$14,Data2!$D$13,Data2!$D$14))))</f>
        <v/>
      </c>
      <c r="T182" s="144">
        <f t="shared" si="99"/>
        <v>85</v>
      </c>
      <c r="U182" s="144">
        <f t="shared" si="100"/>
        <v>78</v>
      </c>
      <c r="V182" s="144" t="str">
        <f t="shared" si="94"/>
        <v>Cukup menguasai</v>
      </c>
      <c r="W182" s="144" t="str">
        <f t="shared" si="95"/>
        <v>Cukup menguasai</v>
      </c>
      <c r="X182" s="144">
        <f t="shared" si="101"/>
        <v>4</v>
      </c>
      <c r="Y182" s="145">
        <f t="shared" si="102"/>
        <v>2</v>
      </c>
      <c r="Z182" s="218" t="str">
        <f>IF('PA-Non'!O182&lt;&gt;"",'PA-Non'!O182,IFERROR("Mempunyai kemampuan yang " &amp;IF(V182=W182,PROPER(W182)&amp;" dalam kompetensi "&amp;VLOOKUP(X182,$G$532:$I$539,3)&amp;" dan kompetensi "&amp;VLOOKUP(Y182,$G$532:$I$539,3),PROPER(V182)&amp;" dalam kompetensi "&amp;VLOOKUP(X182,$G$532:$I$539,3)&amp;" dan memiliki kemampuan yang "&amp;W182&amp;" pada kompetensi "&amp;VLOOKUP(Y182,$G$532:$I$539,3)),""))</f>
        <v>Mempunyai kemampuan yang Cukup Menguasai dalam kompetensi KD Pengetahuan-4 dan kompetensi KD Pengetahuan-2</v>
      </c>
      <c r="AA182" s="153"/>
      <c r="AB182" s="154"/>
      <c r="AC182" s="154"/>
      <c r="AD182" s="154"/>
      <c r="AE182" s="154"/>
      <c r="AF182" s="154"/>
      <c r="AG182" s="154"/>
      <c r="AH182" s="155"/>
      <c r="AI182" s="220" t="str">
        <f t="shared" si="103"/>
        <v/>
      </c>
      <c r="AJ182" s="160" t="str">
        <f>IF(AI182="","",IF(AI182&gt;Data2!$C$12,Data2!$D$11,IF(AI182&gt;Data2!$C$13,Data2!$D$12,IF(AI182&gt;Data2!$C$14,Data2!$D$13,Data2!$D$14))))</f>
        <v/>
      </c>
      <c r="AK182" s="146">
        <f t="shared" si="104"/>
        <v>0</v>
      </c>
      <c r="AL182" s="146">
        <f t="shared" si="105"/>
        <v>0</v>
      </c>
      <c r="AM182" s="147" t="str">
        <f t="shared" si="96"/>
        <v>Mulai meningkat</v>
      </c>
      <c r="AN182" s="147" t="str">
        <f t="shared" si="97"/>
        <v>Mulai meningkat</v>
      </c>
      <c r="AO182" s="146" t="e">
        <f t="shared" si="106"/>
        <v>#N/A</v>
      </c>
      <c r="AP182" s="148" t="e">
        <f t="shared" si="107"/>
        <v>#N/A</v>
      </c>
      <c r="AQ182" s="158" t="str">
        <f>IF('PA-Non'!V182&lt;&gt;"",'PA-Non'!V182,IFERROR("Mempunyai keterampilan yang "&amp;IF(AM182=AN182,PROPER(AN182)&amp;" dalam kompetensi "&amp;VLOOKUP(AO182,$AA$532:$AC$539,3)&amp;", demikian juga dalam kompetensi "&amp;VLOOKUP(AP182,$AA$532:$AC$539,3),PROPER(AM182)&amp;" dalam kompetensi "&amp;VLOOKUP(AO182,$AA$532:$AC$539,3)&amp;" dan "&amp;AN182&amp;" pada kompetensi "&amp;VLOOKUP(AP182,$AA$532:$AC$539,3)),""))</f>
        <v/>
      </c>
      <c r="AR182" s="188"/>
    </row>
    <row r="183" spans="2:44" ht="27.9" customHeight="1" thickBot="1" x14ac:dyDescent="0.35">
      <c r="B183" s="226" t="s">
        <v>123</v>
      </c>
      <c r="C183" s="149">
        <f t="shared" si="108"/>
        <v>14</v>
      </c>
      <c r="D183" s="150" t="str">
        <f>IF(Data!F178="","",Data!F178)</f>
        <v>03671</v>
      </c>
      <c r="E183" s="151" t="str">
        <f>IF(Data!H178="","",Data!H178)</f>
        <v>Hafiza Azmil Khoiriya</v>
      </c>
      <c r="F183" s="152" t="str">
        <f>IF(Data!I178="","",Data!I178)</f>
        <v>Perempuan</v>
      </c>
      <c r="G183" s="153"/>
      <c r="H183" s="154">
        <v>95</v>
      </c>
      <c r="I183" s="154">
        <v>85</v>
      </c>
      <c r="J183" s="154">
        <v>84</v>
      </c>
      <c r="K183" s="154">
        <v>78</v>
      </c>
      <c r="L183" s="154">
        <v>80</v>
      </c>
      <c r="M183" s="154"/>
      <c r="N183" s="155"/>
      <c r="O183" s="157">
        <f t="shared" si="98"/>
        <v>70</v>
      </c>
      <c r="P183" s="154"/>
      <c r="Q183" s="156"/>
      <c r="R183" s="157" t="str">
        <f t="shared" si="109"/>
        <v/>
      </c>
      <c r="S183" s="159" t="str">
        <f>IF(R183="","",IF(R183&gt;Data2!$C$12,Data2!$D$11,IF(R183&gt;Data2!$C$13,Data2!$D$12,IF(R183&gt;Data2!$C$14,Data2!$D$13,Data2!$D$14))))</f>
        <v/>
      </c>
      <c r="T183" s="144">
        <f t="shared" si="99"/>
        <v>95</v>
      </c>
      <c r="U183" s="144">
        <f t="shared" si="100"/>
        <v>78</v>
      </c>
      <c r="V183" s="144" t="str">
        <f t="shared" si="94"/>
        <v>Sangat baik</v>
      </c>
      <c r="W183" s="144" t="str">
        <f t="shared" si="95"/>
        <v>Cukup menguasai</v>
      </c>
      <c r="X183" s="144">
        <f t="shared" si="101"/>
        <v>2</v>
      </c>
      <c r="Y183" s="145">
        <f t="shared" si="102"/>
        <v>5</v>
      </c>
      <c r="Z183" s="218" t="str">
        <f>IF('PA-Non'!O183&lt;&gt;"",'PA-Non'!O183,IFERROR("Mempunyai kemampuan yang " &amp;IF(V183=W183,PROPER(W183)&amp;" dalam kompetensi "&amp;VLOOKUP(X183,$G$532:$I$539,3)&amp;" dan kompetensi "&amp;VLOOKUP(Y183,$G$532:$I$539,3),PROPER(V183)&amp;" dalam kompetensi "&amp;VLOOKUP(X183,$G$532:$I$539,3)&amp;" dan memiliki kemampuan yang "&amp;W183&amp;" pada kompetensi "&amp;VLOOKUP(Y183,$G$532:$I$539,3)),""))</f>
        <v>Mempunyai kemampuan yang Sangat Baik dalam kompetensi KD Pengetahuan-2 dan memiliki kemampuan yang Cukup menguasai pada kompetensi KD Pengetahuan-5</v>
      </c>
      <c r="AA183" s="153"/>
      <c r="AB183" s="154"/>
      <c r="AC183" s="154"/>
      <c r="AD183" s="154"/>
      <c r="AE183" s="154"/>
      <c r="AF183" s="154"/>
      <c r="AG183" s="154"/>
      <c r="AH183" s="155"/>
      <c r="AI183" s="220" t="str">
        <f t="shared" si="103"/>
        <v/>
      </c>
      <c r="AJ183" s="160" t="str">
        <f>IF(AI183="","",IF(AI183&gt;Data2!$C$12,Data2!$D$11,IF(AI183&gt;Data2!$C$13,Data2!$D$12,IF(AI183&gt;Data2!$C$14,Data2!$D$13,Data2!$D$14))))</f>
        <v/>
      </c>
      <c r="AK183" s="146">
        <f t="shared" si="104"/>
        <v>0</v>
      </c>
      <c r="AL183" s="146">
        <f t="shared" si="105"/>
        <v>0</v>
      </c>
      <c r="AM183" s="147" t="str">
        <f t="shared" si="96"/>
        <v>Mulai meningkat</v>
      </c>
      <c r="AN183" s="147" t="str">
        <f t="shared" si="97"/>
        <v>Mulai meningkat</v>
      </c>
      <c r="AO183" s="146" t="e">
        <f t="shared" si="106"/>
        <v>#N/A</v>
      </c>
      <c r="AP183" s="148" t="e">
        <f t="shared" si="107"/>
        <v>#N/A</v>
      </c>
      <c r="AQ183" s="158" t="str">
        <f>IF('PA-Non'!V183&lt;&gt;"",'PA-Non'!V183,IFERROR("Mempunyai keterampilan yang "&amp;IF(AM183=AN183,PROPER(AN183)&amp;" dalam kompetensi "&amp;VLOOKUP(AO183,$AA$532:$AC$539,3)&amp;", demikian juga dalam kompetensi "&amp;VLOOKUP(AP183,$AA$532:$AC$539,3),PROPER(AM183)&amp;" dalam kompetensi "&amp;VLOOKUP(AO183,$AA$532:$AC$539,3)&amp;" dan "&amp;AN183&amp;" pada kompetensi "&amp;VLOOKUP(AP183,$AA$532:$AC$539,3)),""))</f>
        <v/>
      </c>
      <c r="AR183" s="188"/>
    </row>
    <row r="184" spans="2:44" ht="27.9" customHeight="1" thickBot="1" x14ac:dyDescent="0.35">
      <c r="B184" s="226" t="s">
        <v>123</v>
      </c>
      <c r="C184" s="149">
        <f t="shared" si="108"/>
        <v>15</v>
      </c>
      <c r="D184" s="150" t="str">
        <f>IF(Data!F179="","",Data!F179)</f>
        <v>03672</v>
      </c>
      <c r="E184" s="151" t="str">
        <f>IF(Data!H179="","",Data!H179)</f>
        <v>Hamidatun Nafisa</v>
      </c>
      <c r="F184" s="152" t="str">
        <f>IF(Data!I179="","",Data!I179)</f>
        <v>Perempuan</v>
      </c>
      <c r="G184" s="153"/>
      <c r="H184" s="154">
        <v>90</v>
      </c>
      <c r="I184" s="154">
        <v>85</v>
      </c>
      <c r="J184" s="154">
        <v>84</v>
      </c>
      <c r="K184" s="154">
        <v>80.099999999999994</v>
      </c>
      <c r="L184" s="154">
        <v>80</v>
      </c>
      <c r="M184" s="154"/>
      <c r="N184" s="155"/>
      <c r="O184" s="157">
        <f t="shared" si="98"/>
        <v>70</v>
      </c>
      <c r="P184" s="154"/>
      <c r="Q184" s="156"/>
      <c r="R184" s="157" t="str">
        <f t="shared" si="109"/>
        <v/>
      </c>
      <c r="S184" s="159" t="str">
        <f>IF(R184="","",IF(R184&gt;Data2!$C$12,Data2!$D$11,IF(R184&gt;Data2!$C$13,Data2!$D$12,IF(R184&gt;Data2!$C$14,Data2!$D$13,Data2!$D$14))))</f>
        <v/>
      </c>
      <c r="T184" s="144">
        <f t="shared" si="99"/>
        <v>90</v>
      </c>
      <c r="U184" s="144">
        <f t="shared" si="100"/>
        <v>80</v>
      </c>
      <c r="V184" s="144" t="str">
        <f t="shared" si="94"/>
        <v>Baik</v>
      </c>
      <c r="W184" s="144" t="str">
        <f t="shared" si="95"/>
        <v>Cukup menguasai</v>
      </c>
      <c r="X184" s="144">
        <f t="shared" si="101"/>
        <v>2</v>
      </c>
      <c r="Y184" s="145">
        <f t="shared" si="102"/>
        <v>6</v>
      </c>
      <c r="Z184" s="218" t="str">
        <f>IF('PA-Non'!O184&lt;&gt;"",'PA-Non'!O184,IFERROR("Mempunyai kemampuan yang " &amp;IF(V184=W184,PROPER(W184)&amp;" dalam kompetensi "&amp;VLOOKUP(X184,$G$532:$I$539,3)&amp;" dan kompetensi "&amp;VLOOKUP(Y184,$G$532:$I$539,3),PROPER(V184)&amp;" dalam kompetensi "&amp;VLOOKUP(X184,$G$532:$I$539,3)&amp;" dan memiliki kemampuan yang "&amp;W184&amp;" pada kompetensi "&amp;VLOOKUP(Y184,$G$532:$I$539,3)),""))</f>
        <v>Mempunyai kemampuan yang Baik dalam kompetensi KD Pengetahuan-2 dan memiliki kemampuan yang Cukup menguasai pada kompetensi KD Pengetahuan-6</v>
      </c>
      <c r="AA184" s="153"/>
      <c r="AB184" s="154"/>
      <c r="AC184" s="154"/>
      <c r="AD184" s="154"/>
      <c r="AE184" s="154"/>
      <c r="AF184" s="154"/>
      <c r="AG184" s="154"/>
      <c r="AH184" s="155"/>
      <c r="AI184" s="220" t="str">
        <f t="shared" si="103"/>
        <v/>
      </c>
      <c r="AJ184" s="160" t="str">
        <f>IF(AI184="","",IF(AI184&gt;Data2!$C$12,Data2!$D$11,IF(AI184&gt;Data2!$C$13,Data2!$D$12,IF(AI184&gt;Data2!$C$14,Data2!$D$13,Data2!$D$14))))</f>
        <v/>
      </c>
      <c r="AK184" s="146">
        <f t="shared" si="104"/>
        <v>0</v>
      </c>
      <c r="AL184" s="146">
        <f t="shared" si="105"/>
        <v>0</v>
      </c>
      <c r="AM184" s="147" t="str">
        <f t="shared" si="96"/>
        <v>Mulai meningkat</v>
      </c>
      <c r="AN184" s="147" t="str">
        <f t="shared" si="97"/>
        <v>Mulai meningkat</v>
      </c>
      <c r="AO184" s="146" t="e">
        <f t="shared" si="106"/>
        <v>#N/A</v>
      </c>
      <c r="AP184" s="148" t="e">
        <f t="shared" si="107"/>
        <v>#N/A</v>
      </c>
      <c r="AQ184" s="158" t="str">
        <f>IF('PA-Non'!V184&lt;&gt;"",'PA-Non'!V184,IFERROR("Mempunyai keterampilan yang "&amp;IF(AM184=AN184,PROPER(AN184)&amp;" dalam kompetensi "&amp;VLOOKUP(AO184,$AA$532:$AC$539,3)&amp;", demikian juga dalam kompetensi "&amp;VLOOKUP(AP184,$AA$532:$AC$539,3),PROPER(AM184)&amp;" dalam kompetensi "&amp;VLOOKUP(AO184,$AA$532:$AC$539,3)&amp;" dan "&amp;AN184&amp;" pada kompetensi "&amp;VLOOKUP(AP184,$AA$532:$AC$539,3)),""))</f>
        <v/>
      </c>
      <c r="AR184" s="188"/>
    </row>
    <row r="185" spans="2:44" ht="27.9" customHeight="1" thickBot="1" x14ac:dyDescent="0.35">
      <c r="B185" s="226" t="s">
        <v>123</v>
      </c>
      <c r="C185" s="149">
        <f t="shared" si="108"/>
        <v>16</v>
      </c>
      <c r="D185" s="150" t="str">
        <f>IF(Data!F180="","",Data!F180)</f>
        <v>03675</v>
      </c>
      <c r="E185" s="151" t="str">
        <f>IF(Data!H180="","",Data!H180)</f>
        <v>Ilma Khoirotun Ni'mah</v>
      </c>
      <c r="F185" s="152" t="str">
        <f>IF(Data!I180="","",Data!I180)</f>
        <v>Perempuan</v>
      </c>
      <c r="G185" s="153"/>
      <c r="H185" s="154">
        <v>90</v>
      </c>
      <c r="I185" s="154">
        <v>87</v>
      </c>
      <c r="J185" s="154">
        <v>88</v>
      </c>
      <c r="K185" s="154">
        <v>85</v>
      </c>
      <c r="L185" s="154">
        <v>84</v>
      </c>
      <c r="M185" s="154"/>
      <c r="N185" s="155"/>
      <c r="O185" s="157">
        <f t="shared" si="98"/>
        <v>72</v>
      </c>
      <c r="P185" s="154"/>
      <c r="Q185" s="156"/>
      <c r="R185" s="157" t="str">
        <f t="shared" si="109"/>
        <v/>
      </c>
      <c r="S185" s="159" t="str">
        <f>IF(R185="","",IF(R185&gt;Data2!$C$12,Data2!$D$11,IF(R185&gt;Data2!$C$13,Data2!$D$12,IF(R185&gt;Data2!$C$14,Data2!$D$13,Data2!$D$14))))</f>
        <v/>
      </c>
      <c r="T185" s="144">
        <f t="shared" si="99"/>
        <v>90</v>
      </c>
      <c r="U185" s="144">
        <f t="shared" si="100"/>
        <v>84</v>
      </c>
      <c r="V185" s="144" t="str">
        <f t="shared" si="94"/>
        <v>Baik</v>
      </c>
      <c r="W185" s="144" t="str">
        <f t="shared" si="95"/>
        <v>Cukup menguasai</v>
      </c>
      <c r="X185" s="144">
        <f t="shared" si="101"/>
        <v>2</v>
      </c>
      <c r="Y185" s="145">
        <f t="shared" si="102"/>
        <v>6</v>
      </c>
      <c r="Z185" s="218" t="str">
        <f>IF('PA-Non'!O185&lt;&gt;"",'PA-Non'!O185,IFERROR("Mempunyai kemampuan yang " &amp;IF(V185=W185,PROPER(W185)&amp;" dalam kompetensi "&amp;VLOOKUP(X185,$G$532:$I$539,3)&amp;" dan kompetensi "&amp;VLOOKUP(Y185,$G$532:$I$539,3),PROPER(V185)&amp;" dalam kompetensi "&amp;VLOOKUP(X185,$G$532:$I$539,3)&amp;" dan memiliki kemampuan yang "&amp;W185&amp;" pada kompetensi "&amp;VLOOKUP(Y185,$G$532:$I$539,3)),""))</f>
        <v>Mempunyai kemampuan yang Baik dalam kompetensi KD Pengetahuan-2 dan memiliki kemampuan yang Cukup menguasai pada kompetensi KD Pengetahuan-6</v>
      </c>
      <c r="AA185" s="153"/>
      <c r="AB185" s="154"/>
      <c r="AC185" s="154"/>
      <c r="AD185" s="154"/>
      <c r="AE185" s="154"/>
      <c r="AF185" s="154"/>
      <c r="AG185" s="154"/>
      <c r="AH185" s="155"/>
      <c r="AI185" s="220" t="str">
        <f t="shared" si="103"/>
        <v/>
      </c>
      <c r="AJ185" s="160" t="str">
        <f>IF(AI185="","",IF(AI185&gt;Data2!$C$12,Data2!$D$11,IF(AI185&gt;Data2!$C$13,Data2!$D$12,IF(AI185&gt;Data2!$C$14,Data2!$D$13,Data2!$D$14))))</f>
        <v/>
      </c>
      <c r="AK185" s="146">
        <f t="shared" si="104"/>
        <v>0</v>
      </c>
      <c r="AL185" s="146">
        <f t="shared" si="105"/>
        <v>0</v>
      </c>
      <c r="AM185" s="147" t="str">
        <f t="shared" si="96"/>
        <v>Mulai meningkat</v>
      </c>
      <c r="AN185" s="147" t="str">
        <f t="shared" si="97"/>
        <v>Mulai meningkat</v>
      </c>
      <c r="AO185" s="146" t="e">
        <f t="shared" si="106"/>
        <v>#N/A</v>
      </c>
      <c r="AP185" s="148" t="e">
        <f t="shared" si="107"/>
        <v>#N/A</v>
      </c>
      <c r="AQ185" s="158" t="str">
        <f>IF('PA-Non'!V185&lt;&gt;"",'PA-Non'!V185,IFERROR("Mempunyai keterampilan yang "&amp;IF(AM185=AN185,PROPER(AN185)&amp;" dalam kompetensi "&amp;VLOOKUP(AO185,$AA$532:$AC$539,3)&amp;", demikian juga dalam kompetensi "&amp;VLOOKUP(AP185,$AA$532:$AC$539,3),PROPER(AM185)&amp;" dalam kompetensi "&amp;VLOOKUP(AO185,$AA$532:$AC$539,3)&amp;" dan "&amp;AN185&amp;" pada kompetensi "&amp;VLOOKUP(AP185,$AA$532:$AC$539,3)),""))</f>
        <v/>
      </c>
      <c r="AR185" s="188"/>
    </row>
    <row r="186" spans="2:44" ht="27.9" customHeight="1" thickBot="1" x14ac:dyDescent="0.35">
      <c r="B186" s="226" t="s">
        <v>123</v>
      </c>
      <c r="C186" s="149">
        <f t="shared" si="108"/>
        <v>17</v>
      </c>
      <c r="D186" s="150" t="str">
        <f>IF(Data!F181="","",Data!F181)</f>
        <v>03681</v>
      </c>
      <c r="E186" s="151" t="str">
        <f>IF(Data!H181="","",Data!H181)</f>
        <v>Kartika Ayu Nur Wahid</v>
      </c>
      <c r="F186" s="152" t="str">
        <f>IF(Data!I181="","",Data!I181)</f>
        <v>Perempuan</v>
      </c>
      <c r="G186" s="153"/>
      <c r="H186" s="154">
        <v>95</v>
      </c>
      <c r="I186" s="154">
        <v>80.099999999999994</v>
      </c>
      <c r="J186" s="154">
        <v>85</v>
      </c>
      <c r="K186" s="154">
        <v>84</v>
      </c>
      <c r="L186" s="154">
        <v>80</v>
      </c>
      <c r="M186" s="154"/>
      <c r="N186" s="155"/>
      <c r="O186" s="157">
        <f t="shared" si="98"/>
        <v>71</v>
      </c>
      <c r="P186" s="154"/>
      <c r="Q186" s="156"/>
      <c r="R186" s="157" t="str">
        <f t="shared" si="109"/>
        <v/>
      </c>
      <c r="S186" s="159" t="str">
        <f>IF(R186="","",IF(R186&gt;Data2!$C$12,Data2!$D$11,IF(R186&gt;Data2!$C$13,Data2!$D$12,IF(R186&gt;Data2!$C$14,Data2!$D$13,Data2!$D$14))))</f>
        <v/>
      </c>
      <c r="T186" s="144">
        <f t="shared" si="99"/>
        <v>95</v>
      </c>
      <c r="U186" s="144">
        <f t="shared" si="100"/>
        <v>80</v>
      </c>
      <c r="V186" s="144" t="str">
        <f t="shared" si="94"/>
        <v>Sangat baik</v>
      </c>
      <c r="W186" s="144" t="str">
        <f t="shared" si="95"/>
        <v>Cukup menguasai</v>
      </c>
      <c r="X186" s="144">
        <f t="shared" si="101"/>
        <v>2</v>
      </c>
      <c r="Y186" s="145">
        <f t="shared" si="102"/>
        <v>6</v>
      </c>
      <c r="Z186" s="218" t="str">
        <f>IF('PA-Non'!O186&lt;&gt;"",'PA-Non'!O186,IFERROR("Mempunyai kemampuan yang " &amp;IF(V186=W186,PROPER(W186)&amp;" dalam kompetensi "&amp;VLOOKUP(X186,$G$532:$I$539,3)&amp;" dan kompetensi "&amp;VLOOKUP(Y186,$G$532:$I$539,3),PROPER(V186)&amp;" dalam kompetensi "&amp;VLOOKUP(X186,$G$532:$I$539,3)&amp;" dan memiliki kemampuan yang "&amp;W186&amp;" pada kompetensi "&amp;VLOOKUP(Y186,$G$532:$I$539,3)),""))</f>
        <v>Mempunyai kemampuan yang Sangat Baik dalam kompetensi KD Pengetahuan-2 dan memiliki kemampuan yang Cukup menguasai pada kompetensi KD Pengetahuan-6</v>
      </c>
      <c r="AA186" s="153"/>
      <c r="AB186" s="154"/>
      <c r="AC186" s="154"/>
      <c r="AD186" s="154"/>
      <c r="AE186" s="154"/>
      <c r="AF186" s="154"/>
      <c r="AG186" s="154"/>
      <c r="AH186" s="155"/>
      <c r="AI186" s="220" t="str">
        <f t="shared" si="103"/>
        <v/>
      </c>
      <c r="AJ186" s="160" t="str">
        <f>IF(AI186="","",IF(AI186&gt;Data2!$C$12,Data2!$D$11,IF(AI186&gt;Data2!$C$13,Data2!$D$12,IF(AI186&gt;Data2!$C$14,Data2!$D$13,Data2!$D$14))))</f>
        <v/>
      </c>
      <c r="AK186" s="146">
        <f t="shared" si="104"/>
        <v>0</v>
      </c>
      <c r="AL186" s="146">
        <f t="shared" si="105"/>
        <v>0</v>
      </c>
      <c r="AM186" s="147" t="str">
        <f t="shared" si="96"/>
        <v>Mulai meningkat</v>
      </c>
      <c r="AN186" s="147" t="str">
        <f t="shared" si="97"/>
        <v>Mulai meningkat</v>
      </c>
      <c r="AO186" s="146" t="e">
        <f t="shared" si="106"/>
        <v>#N/A</v>
      </c>
      <c r="AP186" s="148" t="e">
        <f t="shared" si="107"/>
        <v>#N/A</v>
      </c>
      <c r="AQ186" s="158" t="str">
        <f>IF('PA-Non'!V186&lt;&gt;"",'PA-Non'!V186,IFERROR("Mempunyai keterampilan yang "&amp;IF(AM186=AN186,PROPER(AN186)&amp;" dalam kompetensi "&amp;VLOOKUP(AO186,$AA$532:$AC$539,3)&amp;", demikian juga dalam kompetensi "&amp;VLOOKUP(AP186,$AA$532:$AC$539,3),PROPER(AM186)&amp;" dalam kompetensi "&amp;VLOOKUP(AO186,$AA$532:$AC$539,3)&amp;" dan "&amp;AN186&amp;" pada kompetensi "&amp;VLOOKUP(AP186,$AA$532:$AC$539,3)),""))</f>
        <v/>
      </c>
      <c r="AR186" s="188"/>
    </row>
    <row r="187" spans="2:44" ht="27.9" customHeight="1" thickBot="1" x14ac:dyDescent="0.35">
      <c r="B187" s="226" t="s">
        <v>123</v>
      </c>
      <c r="C187" s="149">
        <f t="shared" si="108"/>
        <v>18</v>
      </c>
      <c r="D187" s="150" t="str">
        <f>IF(Data!F182="","",Data!F182)</f>
        <v>03683</v>
      </c>
      <c r="E187" s="151" t="str">
        <f>IF(Data!H182="","",Data!H182)</f>
        <v>Khaira Nadzifatuz Zahra</v>
      </c>
      <c r="F187" s="152" t="str">
        <f>IF(Data!I182="","",Data!I182)</f>
        <v>Perempuan</v>
      </c>
      <c r="G187" s="153"/>
      <c r="H187" s="154">
        <v>95</v>
      </c>
      <c r="I187" s="154">
        <v>85</v>
      </c>
      <c r="J187" s="154">
        <v>80.099999999999994</v>
      </c>
      <c r="K187" s="154">
        <v>78</v>
      </c>
      <c r="L187" s="154">
        <v>80</v>
      </c>
      <c r="M187" s="154"/>
      <c r="N187" s="155"/>
      <c r="O187" s="157">
        <f t="shared" si="98"/>
        <v>70</v>
      </c>
      <c r="P187" s="154"/>
      <c r="Q187" s="156"/>
      <c r="R187" s="157" t="str">
        <f t="shared" si="109"/>
        <v/>
      </c>
      <c r="S187" s="159" t="str">
        <f>IF(R187="","",IF(R187&gt;Data2!$C$12,Data2!$D$11,IF(R187&gt;Data2!$C$13,Data2!$D$12,IF(R187&gt;Data2!$C$14,Data2!$D$13,Data2!$D$14))))</f>
        <v/>
      </c>
      <c r="T187" s="144">
        <f t="shared" si="99"/>
        <v>95</v>
      </c>
      <c r="U187" s="144">
        <f t="shared" si="100"/>
        <v>78</v>
      </c>
      <c r="V187" s="144" t="str">
        <f t="shared" si="94"/>
        <v>Sangat baik</v>
      </c>
      <c r="W187" s="144" t="str">
        <f t="shared" si="95"/>
        <v>Cukup menguasai</v>
      </c>
      <c r="X187" s="144">
        <f t="shared" si="101"/>
        <v>2</v>
      </c>
      <c r="Y187" s="145">
        <f t="shared" si="102"/>
        <v>5</v>
      </c>
      <c r="Z187" s="218" t="str">
        <f>IF('PA-Non'!O187&lt;&gt;"",'PA-Non'!O187,IFERROR("Mempunyai kemampuan yang " &amp;IF(V187=W187,PROPER(W187)&amp;" dalam kompetensi "&amp;VLOOKUP(X187,$G$532:$I$539,3)&amp;" dan kompetensi "&amp;VLOOKUP(Y187,$G$532:$I$539,3),PROPER(V187)&amp;" dalam kompetensi "&amp;VLOOKUP(X187,$G$532:$I$539,3)&amp;" dan memiliki kemampuan yang "&amp;W187&amp;" pada kompetensi "&amp;VLOOKUP(Y187,$G$532:$I$539,3)),""))</f>
        <v>Mempunyai kemampuan yang Sangat Baik dalam kompetensi KD Pengetahuan-2 dan memiliki kemampuan yang Cukup menguasai pada kompetensi KD Pengetahuan-5</v>
      </c>
      <c r="AA187" s="153"/>
      <c r="AB187" s="154"/>
      <c r="AC187" s="154"/>
      <c r="AD187" s="154"/>
      <c r="AE187" s="154"/>
      <c r="AF187" s="154"/>
      <c r="AG187" s="154"/>
      <c r="AH187" s="155"/>
      <c r="AI187" s="220" t="str">
        <f t="shared" si="103"/>
        <v/>
      </c>
      <c r="AJ187" s="160" t="str">
        <f>IF(AI187="","",IF(AI187&gt;Data2!$C$12,Data2!$D$11,IF(AI187&gt;Data2!$C$13,Data2!$D$12,IF(AI187&gt;Data2!$C$14,Data2!$D$13,Data2!$D$14))))</f>
        <v/>
      </c>
      <c r="AK187" s="146">
        <f t="shared" si="104"/>
        <v>0</v>
      </c>
      <c r="AL187" s="146">
        <f t="shared" si="105"/>
        <v>0</v>
      </c>
      <c r="AM187" s="147" t="str">
        <f t="shared" si="96"/>
        <v>Mulai meningkat</v>
      </c>
      <c r="AN187" s="147" t="str">
        <f t="shared" si="97"/>
        <v>Mulai meningkat</v>
      </c>
      <c r="AO187" s="146" t="e">
        <f t="shared" si="106"/>
        <v>#N/A</v>
      </c>
      <c r="AP187" s="148" t="e">
        <f t="shared" si="107"/>
        <v>#N/A</v>
      </c>
      <c r="AQ187" s="158" t="str">
        <f>IF('PA-Non'!V187&lt;&gt;"",'PA-Non'!V187,IFERROR("Mempunyai keterampilan yang "&amp;IF(AM187=AN187,PROPER(AN187)&amp;" dalam kompetensi "&amp;VLOOKUP(AO187,$AA$532:$AC$539,3)&amp;", demikian juga dalam kompetensi "&amp;VLOOKUP(AP187,$AA$532:$AC$539,3),PROPER(AM187)&amp;" dalam kompetensi "&amp;VLOOKUP(AO187,$AA$532:$AC$539,3)&amp;" dan "&amp;AN187&amp;" pada kompetensi "&amp;VLOOKUP(AP187,$AA$532:$AC$539,3)),""))</f>
        <v/>
      </c>
      <c r="AR187" s="188"/>
    </row>
    <row r="188" spans="2:44" ht="27.9" customHeight="1" thickBot="1" x14ac:dyDescent="0.35">
      <c r="B188" s="226" t="s">
        <v>123</v>
      </c>
      <c r="C188" s="149">
        <f t="shared" si="108"/>
        <v>19</v>
      </c>
      <c r="D188" s="150" t="str">
        <f>IF(Data!F183="","",Data!F183)</f>
        <v>03687</v>
      </c>
      <c r="E188" s="151" t="str">
        <f>IF(Data!H183="","",Data!H183)</f>
        <v>Kholishtama Humairo' Putrinabilah</v>
      </c>
      <c r="F188" s="152" t="str">
        <f>IF(Data!I183="","",Data!I183)</f>
        <v>Perempuan</v>
      </c>
      <c r="G188" s="153"/>
      <c r="H188" s="154">
        <v>80.099999999999994</v>
      </c>
      <c r="I188" s="154">
        <v>85</v>
      </c>
      <c r="J188" s="154">
        <v>84</v>
      </c>
      <c r="K188" s="154">
        <v>83</v>
      </c>
      <c r="L188" s="154">
        <v>80</v>
      </c>
      <c r="M188" s="154"/>
      <c r="N188" s="155"/>
      <c r="O188" s="157">
        <f t="shared" si="98"/>
        <v>69</v>
      </c>
      <c r="P188" s="154"/>
      <c r="Q188" s="156"/>
      <c r="R188" s="157" t="str">
        <f t="shared" si="109"/>
        <v/>
      </c>
      <c r="S188" s="159" t="str">
        <f>IF(R188="","",IF(R188&gt;Data2!$C$12,Data2!$D$11,IF(R188&gt;Data2!$C$13,Data2!$D$12,IF(R188&gt;Data2!$C$14,Data2!$D$13,Data2!$D$14))))</f>
        <v/>
      </c>
      <c r="T188" s="144">
        <f t="shared" si="99"/>
        <v>85</v>
      </c>
      <c r="U188" s="144">
        <f t="shared" si="100"/>
        <v>80</v>
      </c>
      <c r="V188" s="144" t="str">
        <f t="shared" si="94"/>
        <v>Cukup menguasai</v>
      </c>
      <c r="W188" s="144" t="str">
        <f t="shared" si="95"/>
        <v>Cukup menguasai</v>
      </c>
      <c r="X188" s="144">
        <f t="shared" si="101"/>
        <v>3</v>
      </c>
      <c r="Y188" s="145">
        <f t="shared" si="102"/>
        <v>6</v>
      </c>
      <c r="Z188" s="218" t="str">
        <f>IF('PA-Non'!O188&lt;&gt;"",'PA-Non'!O188,IFERROR("Mempunyai kemampuan yang " &amp;IF(V188=W188,PROPER(W188)&amp;" dalam kompetensi "&amp;VLOOKUP(X188,$G$532:$I$539,3)&amp;" dan kompetensi "&amp;VLOOKUP(Y188,$G$532:$I$539,3),PROPER(V188)&amp;" dalam kompetensi "&amp;VLOOKUP(X188,$G$532:$I$539,3)&amp;" dan memiliki kemampuan yang "&amp;W188&amp;" pada kompetensi "&amp;VLOOKUP(Y188,$G$532:$I$539,3)),""))</f>
        <v>Mempunyai kemampuan yang Cukup Menguasai dalam kompetensi KD Pengetahuan-3 dan kompetensi KD Pengetahuan-6</v>
      </c>
      <c r="AA188" s="153"/>
      <c r="AB188" s="154"/>
      <c r="AC188" s="154"/>
      <c r="AD188" s="154"/>
      <c r="AE188" s="154"/>
      <c r="AF188" s="154"/>
      <c r="AG188" s="154"/>
      <c r="AH188" s="155"/>
      <c r="AI188" s="220" t="str">
        <f t="shared" si="103"/>
        <v/>
      </c>
      <c r="AJ188" s="160" t="str">
        <f>IF(AI188="","",IF(AI188&gt;Data2!$C$12,Data2!$D$11,IF(AI188&gt;Data2!$C$13,Data2!$D$12,IF(AI188&gt;Data2!$C$14,Data2!$D$13,Data2!$D$14))))</f>
        <v/>
      </c>
      <c r="AK188" s="146">
        <f t="shared" si="104"/>
        <v>0</v>
      </c>
      <c r="AL188" s="146">
        <f t="shared" si="105"/>
        <v>0</v>
      </c>
      <c r="AM188" s="147" t="str">
        <f t="shared" si="96"/>
        <v>Mulai meningkat</v>
      </c>
      <c r="AN188" s="147" t="str">
        <f t="shared" si="97"/>
        <v>Mulai meningkat</v>
      </c>
      <c r="AO188" s="146" t="e">
        <f t="shared" si="106"/>
        <v>#N/A</v>
      </c>
      <c r="AP188" s="148" t="e">
        <f t="shared" si="107"/>
        <v>#N/A</v>
      </c>
      <c r="AQ188" s="158" t="str">
        <f>IF('PA-Non'!V188&lt;&gt;"",'PA-Non'!V188,IFERROR("Mempunyai keterampilan yang "&amp;IF(AM188=AN188,PROPER(AN188)&amp;" dalam kompetensi "&amp;VLOOKUP(AO188,$AA$532:$AC$539,3)&amp;", demikian juga dalam kompetensi "&amp;VLOOKUP(AP188,$AA$532:$AC$539,3),PROPER(AM188)&amp;" dalam kompetensi "&amp;VLOOKUP(AO188,$AA$532:$AC$539,3)&amp;" dan "&amp;AN188&amp;" pada kompetensi "&amp;VLOOKUP(AP188,$AA$532:$AC$539,3)),""))</f>
        <v/>
      </c>
      <c r="AR188" s="188"/>
    </row>
    <row r="189" spans="2:44" ht="27.9" customHeight="1" thickBot="1" x14ac:dyDescent="0.35">
      <c r="B189" s="226" t="s">
        <v>123</v>
      </c>
      <c r="C189" s="149">
        <f t="shared" ref="C189:C192" si="134">IF(E189="","",C188+1)</f>
        <v>20</v>
      </c>
      <c r="D189" s="150" t="str">
        <f>IF(Data!F184="","",Data!F184)</f>
        <v>03690</v>
      </c>
      <c r="E189" s="151" t="str">
        <f>IF(Data!H184="","",Data!H184)</f>
        <v>Listy Andinia Aulia Fitri</v>
      </c>
      <c r="F189" s="152" t="str">
        <f>IF(Data!I184="","",Data!I184)</f>
        <v>Perempuan</v>
      </c>
      <c r="G189" s="153"/>
      <c r="H189" s="154">
        <v>90</v>
      </c>
      <c r="I189" s="154">
        <v>85</v>
      </c>
      <c r="J189" s="154">
        <v>84</v>
      </c>
      <c r="K189" s="154">
        <v>79</v>
      </c>
      <c r="L189" s="154">
        <v>80</v>
      </c>
      <c r="M189" s="154"/>
      <c r="N189" s="155"/>
      <c r="O189" s="157">
        <f t="shared" ref="O189:O192" si="135">IF(COUNT(G189:N189)&lt;3,"",ROUND(SUM(G189:N189)/$O$6,0))</f>
        <v>70</v>
      </c>
      <c r="P189" s="154"/>
      <c r="Q189" s="156"/>
      <c r="R189" s="157" t="str">
        <f t="shared" ref="R189:R192" si="136">IFERROR(IF(OR(P189="",Q189=""),"",ROUND(((O189*$O$8)+(P189*$P$8)+(Q189*$Q$8))/$Q$6,0)),"")</f>
        <v/>
      </c>
      <c r="S189" s="159" t="str">
        <f>IF(R189="","",IF(R189&gt;Data2!$C$12,Data2!$D$11,IF(R189&gt;Data2!$C$13,Data2!$D$12,IF(R189&gt;Data2!$C$14,Data2!$D$13,Data2!$D$14))))</f>
        <v/>
      </c>
      <c r="T189" s="144">
        <f t="shared" ref="T189:T192" si="137">MAX(G189:N189)</f>
        <v>90</v>
      </c>
      <c r="U189" s="144">
        <f t="shared" ref="U189:U192" si="138">MIN(G189:N189)</f>
        <v>79</v>
      </c>
      <c r="V189" s="144" t="str">
        <f t="shared" si="94"/>
        <v>Baik</v>
      </c>
      <c r="W189" s="144" t="str">
        <f t="shared" si="95"/>
        <v>Cukup menguasai</v>
      </c>
      <c r="X189" s="144">
        <f t="shared" ref="X189:X192" si="139">MATCH(T189,G189:N189,0)</f>
        <v>2</v>
      </c>
      <c r="Y189" s="145">
        <f t="shared" ref="Y189:Y192" si="140">MATCH(U189,G189:N189,0)</f>
        <v>5</v>
      </c>
      <c r="Z189" s="218" t="str">
        <f>IF('PA-Non'!O189&lt;&gt;"",'PA-Non'!O189,IFERROR("Mempunyai kemampuan yang " &amp;IF(V189=W189,PROPER(W189)&amp;" dalam kompetensi "&amp;VLOOKUP(X189,$G$532:$I$539,3)&amp;" dan kompetensi "&amp;VLOOKUP(Y189,$G$532:$I$539,3),PROPER(V189)&amp;" dalam kompetensi "&amp;VLOOKUP(X189,$G$532:$I$539,3)&amp;" dan memiliki kemampuan yang "&amp;W189&amp;" pada kompetensi "&amp;VLOOKUP(Y189,$G$532:$I$539,3)),""))</f>
        <v>Mempunyai kemampuan yang Baik dalam kompetensi KD Pengetahuan-2 dan memiliki kemampuan yang Cukup menguasai pada kompetensi KD Pengetahuan-5</v>
      </c>
      <c r="AA189" s="153"/>
      <c r="AB189" s="154"/>
      <c r="AC189" s="154"/>
      <c r="AD189" s="154"/>
      <c r="AE189" s="154"/>
      <c r="AF189" s="154"/>
      <c r="AG189" s="154"/>
      <c r="AH189" s="155"/>
      <c r="AI189" s="220" t="str">
        <f t="shared" ref="AI189:AI192" si="141">IF(COUNT(AA189:AH189)&lt;3,"",ROUND(((AA189*$AA$8)+(AB189*$AB$8)+(AC189*$AC$8)+(AD189*$AD$8)+(AE189*$AE$8)+(AF189*$AF$8)+(AG189*$AG$8)+(AH189*$AH$8))/$AI$6,0))</f>
        <v/>
      </c>
      <c r="AJ189" s="160" t="str">
        <f>IF(AI189="","",IF(AI189&gt;Data2!$C$12,Data2!$D$11,IF(AI189&gt;Data2!$C$13,Data2!$D$12,IF(AI189&gt;Data2!$C$14,Data2!$D$13,Data2!$D$14))))</f>
        <v/>
      </c>
      <c r="AK189" s="146">
        <f t="shared" ref="AK189:AK192" si="142">MAX(AA189:AH189)</f>
        <v>0</v>
      </c>
      <c r="AL189" s="146">
        <f t="shared" ref="AL189:AL192" si="143">MIN(AA189:AH189)</f>
        <v>0</v>
      </c>
      <c r="AM189" s="147" t="str">
        <f t="shared" si="96"/>
        <v>Mulai meningkat</v>
      </c>
      <c r="AN189" s="147" t="str">
        <f t="shared" si="97"/>
        <v>Mulai meningkat</v>
      </c>
      <c r="AO189" s="146" t="e">
        <f t="shared" ref="AO189:AO192" si="144">MATCH(AK189,AA189:AH189,0)</f>
        <v>#N/A</v>
      </c>
      <c r="AP189" s="148" t="e">
        <f t="shared" ref="AP189:AP192" si="145">MATCH(AL189,AA189:AH189,0)</f>
        <v>#N/A</v>
      </c>
      <c r="AQ189" s="158" t="str">
        <f>IF('PA-Non'!V189&lt;&gt;"",'PA-Non'!V189,IFERROR("Mempunyai keterampilan yang "&amp;IF(AM189=AN189,PROPER(AN189)&amp;" dalam kompetensi "&amp;VLOOKUP(AO189,$AA$532:$AC$539,3)&amp;", demikian juga dalam kompetensi "&amp;VLOOKUP(AP189,$AA$532:$AC$539,3),PROPER(AM189)&amp;" dalam kompetensi "&amp;VLOOKUP(AO189,$AA$532:$AC$539,3)&amp;" dan "&amp;AN189&amp;" pada kompetensi "&amp;VLOOKUP(AP189,$AA$532:$AC$539,3)),""))</f>
        <v/>
      </c>
      <c r="AR189" s="188"/>
    </row>
    <row r="190" spans="2:44" ht="27.9" customHeight="1" thickBot="1" x14ac:dyDescent="0.35">
      <c r="B190" s="226" t="s">
        <v>123</v>
      </c>
      <c r="C190" s="149">
        <f t="shared" si="134"/>
        <v>21</v>
      </c>
      <c r="D190" s="150" t="str">
        <f>IF(Data!F185="","",Data!F185)</f>
        <v>03696</v>
      </c>
      <c r="E190" s="151" t="str">
        <f>IF(Data!H185="","",Data!H185)</f>
        <v>Mufaazatul Imroah</v>
      </c>
      <c r="F190" s="152" t="str">
        <f>IF(Data!I185="","",Data!I185)</f>
        <v>Perempuan</v>
      </c>
      <c r="G190" s="153"/>
      <c r="H190" s="154">
        <v>80.099999999999994</v>
      </c>
      <c r="I190" s="154">
        <v>85</v>
      </c>
      <c r="J190" s="154">
        <v>84</v>
      </c>
      <c r="K190" s="154">
        <v>80</v>
      </c>
      <c r="L190" s="154">
        <v>78</v>
      </c>
      <c r="M190" s="154"/>
      <c r="N190" s="155"/>
      <c r="O190" s="157">
        <f t="shared" si="135"/>
        <v>68</v>
      </c>
      <c r="P190" s="154"/>
      <c r="Q190" s="156"/>
      <c r="R190" s="157" t="str">
        <f t="shared" si="136"/>
        <v/>
      </c>
      <c r="S190" s="159" t="str">
        <f>IF(R190="","",IF(R190&gt;Data2!$C$12,Data2!$D$11,IF(R190&gt;Data2!$C$13,Data2!$D$12,IF(R190&gt;Data2!$C$14,Data2!$D$13,Data2!$D$14))))</f>
        <v/>
      </c>
      <c r="T190" s="144">
        <f t="shared" si="137"/>
        <v>85</v>
      </c>
      <c r="U190" s="144">
        <f t="shared" si="138"/>
        <v>78</v>
      </c>
      <c r="V190" s="144" t="str">
        <f t="shared" si="94"/>
        <v>Cukup menguasai</v>
      </c>
      <c r="W190" s="144" t="str">
        <f t="shared" si="95"/>
        <v>Cukup menguasai</v>
      </c>
      <c r="X190" s="144">
        <f t="shared" si="139"/>
        <v>3</v>
      </c>
      <c r="Y190" s="145">
        <f t="shared" si="140"/>
        <v>6</v>
      </c>
      <c r="Z190" s="218" t="str">
        <f>IF('PA-Non'!O190&lt;&gt;"",'PA-Non'!O190,IFERROR("Mempunyai kemampuan yang " &amp;IF(V190=W190,PROPER(W190)&amp;" dalam kompetensi "&amp;VLOOKUP(X190,$G$532:$I$539,3)&amp;" dan kompetensi "&amp;VLOOKUP(Y190,$G$532:$I$539,3),PROPER(V190)&amp;" dalam kompetensi "&amp;VLOOKUP(X190,$G$532:$I$539,3)&amp;" dan memiliki kemampuan yang "&amp;W190&amp;" pada kompetensi "&amp;VLOOKUP(Y190,$G$532:$I$539,3)),""))</f>
        <v>Mempunyai kemampuan yang Cukup Menguasai dalam kompetensi KD Pengetahuan-3 dan kompetensi KD Pengetahuan-6</v>
      </c>
      <c r="AA190" s="153"/>
      <c r="AB190" s="154"/>
      <c r="AC190" s="154"/>
      <c r="AD190" s="154"/>
      <c r="AE190" s="154"/>
      <c r="AF190" s="154"/>
      <c r="AG190" s="154"/>
      <c r="AH190" s="155"/>
      <c r="AI190" s="220" t="str">
        <f t="shared" si="141"/>
        <v/>
      </c>
      <c r="AJ190" s="160" t="str">
        <f>IF(AI190="","",IF(AI190&gt;Data2!$C$12,Data2!$D$11,IF(AI190&gt;Data2!$C$13,Data2!$D$12,IF(AI190&gt;Data2!$C$14,Data2!$D$13,Data2!$D$14))))</f>
        <v/>
      </c>
      <c r="AK190" s="146">
        <f t="shared" si="142"/>
        <v>0</v>
      </c>
      <c r="AL190" s="146">
        <f t="shared" si="143"/>
        <v>0</v>
      </c>
      <c r="AM190" s="147" t="str">
        <f t="shared" si="96"/>
        <v>Mulai meningkat</v>
      </c>
      <c r="AN190" s="147" t="str">
        <f t="shared" si="97"/>
        <v>Mulai meningkat</v>
      </c>
      <c r="AO190" s="146" t="e">
        <f t="shared" si="144"/>
        <v>#N/A</v>
      </c>
      <c r="AP190" s="148" t="e">
        <f t="shared" si="145"/>
        <v>#N/A</v>
      </c>
      <c r="AQ190" s="158" t="str">
        <f>IF('PA-Non'!V190&lt;&gt;"",'PA-Non'!V190,IFERROR("Mempunyai keterampilan yang "&amp;IF(AM190=AN190,PROPER(AN190)&amp;" dalam kompetensi "&amp;VLOOKUP(AO190,$AA$532:$AC$539,3)&amp;", demikian juga dalam kompetensi "&amp;VLOOKUP(AP190,$AA$532:$AC$539,3),PROPER(AM190)&amp;" dalam kompetensi "&amp;VLOOKUP(AO190,$AA$532:$AC$539,3)&amp;" dan "&amp;AN190&amp;" pada kompetensi "&amp;VLOOKUP(AP190,$AA$532:$AC$539,3)),""))</f>
        <v/>
      </c>
      <c r="AR190" s="188"/>
    </row>
    <row r="191" spans="2:44" ht="27.9" customHeight="1" thickBot="1" x14ac:dyDescent="0.35">
      <c r="B191" s="226" t="s">
        <v>123</v>
      </c>
      <c r="C191" s="149">
        <f t="shared" si="134"/>
        <v>22</v>
      </c>
      <c r="D191" s="150" t="str">
        <f>IF(Data!F186="","",Data!F186)</f>
        <v>03699</v>
      </c>
      <c r="E191" s="151" t="str">
        <f>IF(Data!H186="","",Data!H186)</f>
        <v>Nabila Diya Putri Anindya</v>
      </c>
      <c r="F191" s="152" t="str">
        <f>IF(Data!I186="","",Data!I186)</f>
        <v>Perempuan</v>
      </c>
      <c r="G191" s="153"/>
      <c r="H191" s="154">
        <v>78</v>
      </c>
      <c r="I191" s="154">
        <v>80.099999999999994</v>
      </c>
      <c r="J191" s="154">
        <v>85</v>
      </c>
      <c r="K191" s="154">
        <v>84</v>
      </c>
      <c r="L191" s="154">
        <v>80</v>
      </c>
      <c r="M191" s="154"/>
      <c r="N191" s="155"/>
      <c r="O191" s="157">
        <f t="shared" si="135"/>
        <v>68</v>
      </c>
      <c r="P191" s="154"/>
      <c r="Q191" s="156"/>
      <c r="R191" s="157" t="str">
        <f t="shared" si="136"/>
        <v/>
      </c>
      <c r="S191" s="159" t="str">
        <f>IF(R191="","",IF(R191&gt;Data2!$C$12,Data2!$D$11,IF(R191&gt;Data2!$C$13,Data2!$D$12,IF(R191&gt;Data2!$C$14,Data2!$D$13,Data2!$D$14))))</f>
        <v/>
      </c>
      <c r="T191" s="144">
        <f t="shared" si="137"/>
        <v>85</v>
      </c>
      <c r="U191" s="144">
        <f t="shared" si="138"/>
        <v>78</v>
      </c>
      <c r="V191" s="144" t="str">
        <f t="shared" si="94"/>
        <v>Cukup menguasai</v>
      </c>
      <c r="W191" s="144" t="str">
        <f t="shared" si="95"/>
        <v>Cukup menguasai</v>
      </c>
      <c r="X191" s="144">
        <f t="shared" si="139"/>
        <v>4</v>
      </c>
      <c r="Y191" s="145">
        <f t="shared" si="140"/>
        <v>2</v>
      </c>
      <c r="Z191" s="218" t="str">
        <f>IF('PA-Non'!O191&lt;&gt;"",'PA-Non'!O191,IFERROR("Mempunyai kemampuan yang " &amp;IF(V191=W191,PROPER(W191)&amp;" dalam kompetensi "&amp;VLOOKUP(X191,$G$532:$I$539,3)&amp;" dan kompetensi "&amp;VLOOKUP(Y191,$G$532:$I$539,3),PROPER(V191)&amp;" dalam kompetensi "&amp;VLOOKUP(X191,$G$532:$I$539,3)&amp;" dan memiliki kemampuan yang "&amp;W191&amp;" pada kompetensi "&amp;VLOOKUP(Y191,$G$532:$I$539,3)),""))</f>
        <v>Mempunyai kemampuan yang Cukup Menguasai dalam kompetensi KD Pengetahuan-4 dan kompetensi KD Pengetahuan-2</v>
      </c>
      <c r="AA191" s="153"/>
      <c r="AB191" s="154"/>
      <c r="AC191" s="154"/>
      <c r="AD191" s="154"/>
      <c r="AE191" s="154"/>
      <c r="AF191" s="154"/>
      <c r="AG191" s="154"/>
      <c r="AH191" s="155"/>
      <c r="AI191" s="220" t="str">
        <f t="shared" si="141"/>
        <v/>
      </c>
      <c r="AJ191" s="160" t="str">
        <f>IF(AI191="","",IF(AI191&gt;Data2!$C$12,Data2!$D$11,IF(AI191&gt;Data2!$C$13,Data2!$D$12,IF(AI191&gt;Data2!$C$14,Data2!$D$13,Data2!$D$14))))</f>
        <v/>
      </c>
      <c r="AK191" s="146">
        <f t="shared" si="142"/>
        <v>0</v>
      </c>
      <c r="AL191" s="146">
        <f t="shared" si="143"/>
        <v>0</v>
      </c>
      <c r="AM191" s="147" t="str">
        <f t="shared" si="96"/>
        <v>Mulai meningkat</v>
      </c>
      <c r="AN191" s="147" t="str">
        <f t="shared" si="97"/>
        <v>Mulai meningkat</v>
      </c>
      <c r="AO191" s="146" t="e">
        <f t="shared" si="144"/>
        <v>#N/A</v>
      </c>
      <c r="AP191" s="148" t="e">
        <f t="shared" si="145"/>
        <v>#N/A</v>
      </c>
      <c r="AQ191" s="158" t="str">
        <f>IF('PA-Non'!V191&lt;&gt;"",'PA-Non'!V191,IFERROR("Mempunyai keterampilan yang "&amp;IF(AM191=AN191,PROPER(AN191)&amp;" dalam kompetensi "&amp;VLOOKUP(AO191,$AA$532:$AC$539,3)&amp;", demikian juga dalam kompetensi "&amp;VLOOKUP(AP191,$AA$532:$AC$539,3),PROPER(AM191)&amp;" dalam kompetensi "&amp;VLOOKUP(AO191,$AA$532:$AC$539,3)&amp;" dan "&amp;AN191&amp;" pada kompetensi "&amp;VLOOKUP(AP191,$AA$532:$AC$539,3)),""))</f>
        <v/>
      </c>
      <c r="AR191" s="188"/>
    </row>
    <row r="192" spans="2:44" ht="27.9" customHeight="1" thickBot="1" x14ac:dyDescent="0.35">
      <c r="B192" s="226" t="s">
        <v>123</v>
      </c>
      <c r="C192" s="149">
        <f t="shared" si="134"/>
        <v>23</v>
      </c>
      <c r="D192" s="150" t="str">
        <f>IF(Data!F187="","",Data!F187)</f>
        <v>03705</v>
      </c>
      <c r="E192" s="151" t="str">
        <f>IF(Data!H187="","",Data!H187)</f>
        <v>Nakeysha Ardya Putri</v>
      </c>
      <c r="F192" s="152" t="str">
        <f>IF(Data!I187="","",Data!I187)</f>
        <v>Perempuan</v>
      </c>
      <c r="G192" s="153"/>
      <c r="H192" s="154">
        <v>78</v>
      </c>
      <c r="I192" s="154">
        <v>80.099999999999994</v>
      </c>
      <c r="J192" s="154">
        <v>79</v>
      </c>
      <c r="K192" s="154">
        <v>80</v>
      </c>
      <c r="L192" s="154">
        <v>81</v>
      </c>
      <c r="M192" s="154"/>
      <c r="N192" s="155"/>
      <c r="O192" s="157">
        <f t="shared" si="135"/>
        <v>66</v>
      </c>
      <c r="P192" s="154"/>
      <c r="Q192" s="156"/>
      <c r="R192" s="157" t="str">
        <f t="shared" si="136"/>
        <v/>
      </c>
      <c r="S192" s="159" t="str">
        <f>IF(R192="","",IF(R192&gt;Data2!$C$12,Data2!$D$11,IF(R192&gt;Data2!$C$13,Data2!$D$12,IF(R192&gt;Data2!$C$14,Data2!$D$13,Data2!$D$14))))</f>
        <v/>
      </c>
      <c r="T192" s="144">
        <f t="shared" si="137"/>
        <v>81</v>
      </c>
      <c r="U192" s="144">
        <f t="shared" si="138"/>
        <v>78</v>
      </c>
      <c r="V192" s="144" t="str">
        <f t="shared" si="94"/>
        <v>Cukup menguasai</v>
      </c>
      <c r="W192" s="144" t="str">
        <f t="shared" si="95"/>
        <v>Cukup menguasai</v>
      </c>
      <c r="X192" s="144">
        <f t="shared" si="139"/>
        <v>6</v>
      </c>
      <c r="Y192" s="145">
        <f t="shared" si="140"/>
        <v>2</v>
      </c>
      <c r="Z192" s="218" t="str">
        <f>IF('PA-Non'!O192&lt;&gt;"",'PA-Non'!O192,IFERROR("Mempunyai kemampuan yang " &amp;IF(V192=W192,PROPER(W192)&amp;" dalam kompetensi "&amp;VLOOKUP(X192,$G$532:$I$539,3)&amp;" dan kompetensi "&amp;VLOOKUP(Y192,$G$532:$I$539,3),PROPER(V192)&amp;" dalam kompetensi "&amp;VLOOKUP(X192,$G$532:$I$539,3)&amp;" dan memiliki kemampuan yang "&amp;W192&amp;" pada kompetensi "&amp;VLOOKUP(Y192,$G$532:$I$539,3)),""))</f>
        <v>Mempunyai kemampuan yang Cukup Menguasai dalam kompetensi KD Pengetahuan-6 dan kompetensi KD Pengetahuan-2</v>
      </c>
      <c r="AA192" s="153"/>
      <c r="AB192" s="154"/>
      <c r="AC192" s="154"/>
      <c r="AD192" s="154"/>
      <c r="AE192" s="154"/>
      <c r="AF192" s="154"/>
      <c r="AG192" s="154"/>
      <c r="AH192" s="155"/>
      <c r="AI192" s="220" t="str">
        <f t="shared" si="141"/>
        <v/>
      </c>
      <c r="AJ192" s="160" t="str">
        <f>IF(AI192="","",IF(AI192&gt;Data2!$C$12,Data2!$D$11,IF(AI192&gt;Data2!$C$13,Data2!$D$12,IF(AI192&gt;Data2!$C$14,Data2!$D$13,Data2!$D$14))))</f>
        <v/>
      </c>
      <c r="AK192" s="146">
        <f t="shared" si="142"/>
        <v>0</v>
      </c>
      <c r="AL192" s="146">
        <f t="shared" si="143"/>
        <v>0</v>
      </c>
      <c r="AM192" s="147" t="str">
        <f t="shared" si="96"/>
        <v>Mulai meningkat</v>
      </c>
      <c r="AN192" s="147" t="str">
        <f t="shared" si="97"/>
        <v>Mulai meningkat</v>
      </c>
      <c r="AO192" s="146" t="e">
        <f t="shared" si="144"/>
        <v>#N/A</v>
      </c>
      <c r="AP192" s="148" t="e">
        <f t="shared" si="145"/>
        <v>#N/A</v>
      </c>
      <c r="AQ192" s="158" t="str">
        <f>IF('PA-Non'!V192&lt;&gt;"",'PA-Non'!V192,IFERROR("Mempunyai keterampilan yang "&amp;IF(AM192=AN192,PROPER(AN192)&amp;" dalam kompetensi "&amp;VLOOKUP(AO192,$AA$532:$AC$539,3)&amp;", demikian juga dalam kompetensi "&amp;VLOOKUP(AP192,$AA$532:$AC$539,3),PROPER(AM192)&amp;" dalam kompetensi "&amp;VLOOKUP(AO192,$AA$532:$AC$539,3)&amp;" dan "&amp;AN192&amp;" pada kompetensi "&amp;VLOOKUP(AP192,$AA$532:$AC$539,3)),""))</f>
        <v/>
      </c>
      <c r="AR192" s="188"/>
    </row>
    <row r="193" spans="2:44" ht="27.9" customHeight="1" thickBot="1" x14ac:dyDescent="0.35">
      <c r="B193" s="226" t="s">
        <v>123</v>
      </c>
      <c r="C193" s="149">
        <f t="shared" ref="C193:C209" si="146">IF(E193="","",C192+1)</f>
        <v>24</v>
      </c>
      <c r="D193" s="150" t="str">
        <f>IF(Data!F188="","",Data!F188)</f>
        <v>03707</v>
      </c>
      <c r="E193" s="151" t="str">
        <f>IF(Data!H188="","",Data!H188)</f>
        <v>Naura Fitriani Salsabilah</v>
      </c>
      <c r="F193" s="152" t="str">
        <f>IF(Data!I188="","",Data!I188)</f>
        <v>Perempuan</v>
      </c>
      <c r="G193" s="153"/>
      <c r="H193" s="154">
        <v>78.099999999999994</v>
      </c>
      <c r="I193" s="154">
        <v>80</v>
      </c>
      <c r="J193" s="154">
        <v>79.2</v>
      </c>
      <c r="K193" s="154">
        <v>78</v>
      </c>
      <c r="L193" s="154">
        <v>79</v>
      </c>
      <c r="M193" s="154"/>
      <c r="N193" s="155"/>
      <c r="O193" s="157">
        <f t="shared" ref="O193:O209" si="147">IF(COUNT(G193:N193)&lt;3,"",ROUND(SUM(G193:N193)/$O$6,0))</f>
        <v>66</v>
      </c>
      <c r="P193" s="154"/>
      <c r="Q193" s="156"/>
      <c r="R193" s="157" t="str">
        <f t="shared" ref="R193:R209" si="148">IFERROR(IF(OR(P193="",Q193=""),"",ROUND(((O193*$O$8)+(P193*$P$8)+(Q193*$Q$8))/$Q$6,0)),"")</f>
        <v/>
      </c>
      <c r="S193" s="159" t="str">
        <f>IF(R193="","",IF(R193&gt;Data2!$C$12,Data2!$D$11,IF(R193&gt;Data2!$C$13,Data2!$D$12,IF(R193&gt;Data2!$C$14,Data2!$D$13,Data2!$D$14))))</f>
        <v/>
      </c>
      <c r="T193" s="144">
        <f t="shared" ref="T193:T209" si="149">MAX(G193:N193)</f>
        <v>80</v>
      </c>
      <c r="U193" s="144">
        <f t="shared" ref="U193:U209" si="150">MIN(G193:N193)</f>
        <v>78</v>
      </c>
      <c r="V193" s="144" t="str">
        <f t="shared" si="94"/>
        <v>Cukup menguasai</v>
      </c>
      <c r="W193" s="144" t="str">
        <f t="shared" si="95"/>
        <v>Cukup menguasai</v>
      </c>
      <c r="X193" s="144">
        <f t="shared" ref="X193:X209" si="151">MATCH(T193,G193:N193,0)</f>
        <v>3</v>
      </c>
      <c r="Y193" s="145">
        <f t="shared" ref="Y193:Y209" si="152">MATCH(U193,G193:N193,0)</f>
        <v>5</v>
      </c>
      <c r="Z193" s="218" t="str">
        <f>IF('PA-Non'!O193&lt;&gt;"",'PA-Non'!O193,IFERROR("Mempunyai kemampuan yang " &amp;IF(V193=W193,PROPER(W193)&amp;" dalam kompetensi "&amp;VLOOKUP(X193,$G$532:$I$539,3)&amp;" dan kompetensi "&amp;VLOOKUP(Y193,$G$532:$I$539,3),PROPER(V193)&amp;" dalam kompetensi "&amp;VLOOKUP(X193,$G$532:$I$539,3)&amp;" dan memiliki kemampuan yang "&amp;W193&amp;" pada kompetensi "&amp;VLOOKUP(Y193,$G$532:$I$539,3)),""))</f>
        <v>Mempunyai kemampuan yang Cukup Menguasai dalam kompetensi KD Pengetahuan-3 dan kompetensi KD Pengetahuan-5</v>
      </c>
      <c r="AA193" s="153"/>
      <c r="AB193" s="154"/>
      <c r="AC193" s="154"/>
      <c r="AD193" s="154"/>
      <c r="AE193" s="154"/>
      <c r="AF193" s="154"/>
      <c r="AG193" s="154"/>
      <c r="AH193" s="155"/>
      <c r="AI193" s="220" t="str">
        <f t="shared" ref="AI193:AI209" si="153">IF(COUNT(AA193:AH193)&lt;3,"",ROUND(((AA193*$AA$8)+(AB193*$AB$8)+(AC193*$AC$8)+(AD193*$AD$8)+(AE193*$AE$8)+(AF193*$AF$8)+(AG193*$AG$8)+(AH193*$AH$8))/$AI$6,0))</f>
        <v/>
      </c>
      <c r="AJ193" s="160" t="str">
        <f>IF(AI193="","",IF(AI193&gt;Data2!$C$12,Data2!$D$11,IF(AI193&gt;Data2!$C$13,Data2!$D$12,IF(AI193&gt;Data2!$C$14,Data2!$D$13,Data2!$D$14))))</f>
        <v/>
      </c>
      <c r="AK193" s="146">
        <f t="shared" ref="AK193:AK209" si="154">MAX(AA193:AH193)</f>
        <v>0</v>
      </c>
      <c r="AL193" s="146">
        <f t="shared" ref="AL193:AL209" si="155">MIN(AA193:AH193)</f>
        <v>0</v>
      </c>
      <c r="AM193" s="147" t="str">
        <f t="shared" si="96"/>
        <v>Mulai meningkat</v>
      </c>
      <c r="AN193" s="147" t="str">
        <f t="shared" si="97"/>
        <v>Mulai meningkat</v>
      </c>
      <c r="AO193" s="146" t="e">
        <f t="shared" ref="AO193:AO209" si="156">MATCH(AK193,AA193:AH193,0)</f>
        <v>#N/A</v>
      </c>
      <c r="AP193" s="148" t="e">
        <f t="shared" ref="AP193:AP209" si="157">MATCH(AL193,AA193:AH193,0)</f>
        <v>#N/A</v>
      </c>
      <c r="AQ193" s="158" t="str">
        <f>IF('PA-Non'!V193&lt;&gt;"",'PA-Non'!V193,IFERROR("Mempunyai keterampilan yang "&amp;IF(AM193=AN193,PROPER(AN193)&amp;" dalam kompetensi "&amp;VLOOKUP(AO193,$AA$532:$AC$539,3)&amp;", demikian juga dalam kompetensi "&amp;VLOOKUP(AP193,$AA$532:$AC$539,3),PROPER(AM193)&amp;" dalam kompetensi "&amp;VLOOKUP(AO193,$AA$532:$AC$539,3)&amp;" dan "&amp;AN193&amp;" pada kompetensi "&amp;VLOOKUP(AP193,$AA$532:$AC$539,3)),""))</f>
        <v/>
      </c>
      <c r="AR193" s="188"/>
    </row>
    <row r="194" spans="2:44" ht="27.9" customHeight="1" thickBot="1" x14ac:dyDescent="0.35">
      <c r="B194" s="226" t="s">
        <v>123</v>
      </c>
      <c r="C194" s="149">
        <f t="shared" si="146"/>
        <v>25</v>
      </c>
      <c r="D194" s="150" t="str">
        <f>IF(Data!F189="","",Data!F189)</f>
        <v>03708</v>
      </c>
      <c r="E194" s="151" t="str">
        <f>IF(Data!H189="","",Data!H189)</f>
        <v>Naura Hasna Annida</v>
      </c>
      <c r="F194" s="152" t="str">
        <f>IF(Data!I189="","",Data!I189)</f>
        <v>Perempuan</v>
      </c>
      <c r="G194" s="153"/>
      <c r="H194" s="154">
        <v>90</v>
      </c>
      <c r="I194" s="154">
        <v>85.1</v>
      </c>
      <c r="J194" s="154">
        <v>85</v>
      </c>
      <c r="K194" s="154">
        <v>80</v>
      </c>
      <c r="L194" s="154">
        <v>95</v>
      </c>
      <c r="M194" s="154"/>
      <c r="N194" s="155"/>
      <c r="O194" s="157">
        <f t="shared" si="147"/>
        <v>73</v>
      </c>
      <c r="P194" s="154"/>
      <c r="Q194" s="156"/>
      <c r="R194" s="157" t="str">
        <f t="shared" si="148"/>
        <v/>
      </c>
      <c r="S194" s="159" t="str">
        <f>IF(R194="","",IF(R194&gt;Data2!$C$12,Data2!$D$11,IF(R194&gt;Data2!$C$13,Data2!$D$12,IF(R194&gt;Data2!$C$14,Data2!$D$13,Data2!$D$14))))</f>
        <v/>
      </c>
      <c r="T194" s="144">
        <f t="shared" si="149"/>
        <v>95</v>
      </c>
      <c r="U194" s="144">
        <f t="shared" si="150"/>
        <v>80</v>
      </c>
      <c r="V194" s="144" t="str">
        <f t="shared" si="94"/>
        <v>Sangat baik</v>
      </c>
      <c r="W194" s="144" t="str">
        <f t="shared" si="95"/>
        <v>Cukup menguasai</v>
      </c>
      <c r="X194" s="144">
        <f t="shared" si="151"/>
        <v>6</v>
      </c>
      <c r="Y194" s="145">
        <f t="shared" si="152"/>
        <v>5</v>
      </c>
      <c r="Z194" s="218" t="str">
        <f>IF('PA-Non'!O194&lt;&gt;"",'PA-Non'!O194,IFERROR("Mempunyai kemampuan yang " &amp;IF(V194=W194,PROPER(W194)&amp;" dalam kompetensi "&amp;VLOOKUP(X194,$G$532:$I$539,3)&amp;" dan kompetensi "&amp;VLOOKUP(Y194,$G$532:$I$539,3),PROPER(V194)&amp;" dalam kompetensi "&amp;VLOOKUP(X194,$G$532:$I$539,3)&amp;" dan memiliki kemampuan yang "&amp;W194&amp;" pada kompetensi "&amp;VLOOKUP(Y194,$G$532:$I$539,3)),""))</f>
        <v>Mempunyai kemampuan yang Sangat Baik dalam kompetensi KD Pengetahuan-6 dan memiliki kemampuan yang Cukup menguasai pada kompetensi KD Pengetahuan-5</v>
      </c>
      <c r="AA194" s="153"/>
      <c r="AB194" s="154"/>
      <c r="AC194" s="154"/>
      <c r="AD194" s="154"/>
      <c r="AE194" s="154"/>
      <c r="AF194" s="154"/>
      <c r="AG194" s="154"/>
      <c r="AH194" s="155"/>
      <c r="AI194" s="220" t="str">
        <f t="shared" si="153"/>
        <v/>
      </c>
      <c r="AJ194" s="160" t="str">
        <f>IF(AI194="","",IF(AI194&gt;Data2!$C$12,Data2!$D$11,IF(AI194&gt;Data2!$C$13,Data2!$D$12,IF(AI194&gt;Data2!$C$14,Data2!$D$13,Data2!$D$14))))</f>
        <v/>
      </c>
      <c r="AK194" s="146">
        <f t="shared" si="154"/>
        <v>0</v>
      </c>
      <c r="AL194" s="146">
        <f t="shared" si="155"/>
        <v>0</v>
      </c>
      <c r="AM194" s="147" t="str">
        <f t="shared" si="96"/>
        <v>Mulai meningkat</v>
      </c>
      <c r="AN194" s="147" t="str">
        <f t="shared" si="97"/>
        <v>Mulai meningkat</v>
      </c>
      <c r="AO194" s="146" t="e">
        <f t="shared" si="156"/>
        <v>#N/A</v>
      </c>
      <c r="AP194" s="148" t="e">
        <f t="shared" si="157"/>
        <v>#N/A</v>
      </c>
      <c r="AQ194" s="158" t="str">
        <f>IF('PA-Non'!V194&lt;&gt;"",'PA-Non'!V194,IFERROR("Mempunyai keterampilan yang "&amp;IF(AM194=AN194,PROPER(AN194)&amp;" dalam kompetensi "&amp;VLOOKUP(AO194,$AA$532:$AC$539,3)&amp;", demikian juga dalam kompetensi "&amp;VLOOKUP(AP194,$AA$532:$AC$539,3),PROPER(AM194)&amp;" dalam kompetensi "&amp;VLOOKUP(AO194,$AA$532:$AC$539,3)&amp;" dan "&amp;AN194&amp;" pada kompetensi "&amp;VLOOKUP(AP194,$AA$532:$AC$539,3)),""))</f>
        <v/>
      </c>
      <c r="AR194" s="188"/>
    </row>
    <row r="195" spans="2:44" ht="27.9" customHeight="1" thickBot="1" x14ac:dyDescent="0.35">
      <c r="B195" s="226" t="s">
        <v>123</v>
      </c>
      <c r="C195" s="149">
        <f t="shared" si="146"/>
        <v>26</v>
      </c>
      <c r="D195" s="150" t="str">
        <f>IF(Data!F190="","",Data!F190)</f>
        <v>03709</v>
      </c>
      <c r="E195" s="151" t="str">
        <f>IF(Data!H190="","",Data!H190)</f>
        <v>Naylla Putri Nur Aeny</v>
      </c>
      <c r="F195" s="152" t="str">
        <f>IF(Data!I190="","",Data!I190)</f>
        <v>Perempuan</v>
      </c>
      <c r="G195" s="153"/>
      <c r="H195" s="154">
        <v>90.1</v>
      </c>
      <c r="I195" s="154">
        <v>91</v>
      </c>
      <c r="J195" s="154">
        <v>85.2</v>
      </c>
      <c r="K195" s="154">
        <v>85</v>
      </c>
      <c r="L195" s="154">
        <v>90</v>
      </c>
      <c r="M195" s="154"/>
      <c r="N195" s="155"/>
      <c r="O195" s="157">
        <f t="shared" si="147"/>
        <v>74</v>
      </c>
      <c r="P195" s="154"/>
      <c r="Q195" s="156"/>
      <c r="R195" s="157" t="str">
        <f t="shared" si="148"/>
        <v/>
      </c>
      <c r="S195" s="159" t="str">
        <f>IF(R195="","",IF(R195&gt;Data2!$C$12,Data2!$D$11,IF(R195&gt;Data2!$C$13,Data2!$D$12,IF(R195&gt;Data2!$C$14,Data2!$D$13,Data2!$D$14))))</f>
        <v/>
      </c>
      <c r="T195" s="144">
        <f t="shared" si="149"/>
        <v>91</v>
      </c>
      <c r="U195" s="144">
        <f t="shared" si="150"/>
        <v>85</v>
      </c>
      <c r="V195" s="144" t="str">
        <f t="shared" si="94"/>
        <v>Baik</v>
      </c>
      <c r="W195" s="144" t="str">
        <f t="shared" si="95"/>
        <v>Cukup menguasai</v>
      </c>
      <c r="X195" s="144">
        <f t="shared" si="151"/>
        <v>3</v>
      </c>
      <c r="Y195" s="145">
        <f t="shared" si="152"/>
        <v>5</v>
      </c>
      <c r="Z195" s="218" t="str">
        <f>IF('PA-Non'!O195&lt;&gt;"",'PA-Non'!O195,IFERROR("Mempunyai kemampuan yang " &amp;IF(V195=W195,PROPER(W195)&amp;" dalam kompetensi "&amp;VLOOKUP(X195,$G$532:$I$539,3)&amp;" dan kompetensi "&amp;VLOOKUP(Y195,$G$532:$I$539,3),PROPER(V195)&amp;" dalam kompetensi "&amp;VLOOKUP(X195,$G$532:$I$539,3)&amp;" dan memiliki kemampuan yang "&amp;W195&amp;" pada kompetensi "&amp;VLOOKUP(Y195,$G$532:$I$539,3)),""))</f>
        <v>Mempunyai kemampuan yang Baik dalam kompetensi KD Pengetahuan-3 dan memiliki kemampuan yang Cukup menguasai pada kompetensi KD Pengetahuan-5</v>
      </c>
      <c r="AA195" s="153"/>
      <c r="AB195" s="154"/>
      <c r="AC195" s="154"/>
      <c r="AD195" s="154"/>
      <c r="AE195" s="154"/>
      <c r="AF195" s="154"/>
      <c r="AG195" s="154"/>
      <c r="AH195" s="155"/>
      <c r="AI195" s="220" t="str">
        <f t="shared" si="153"/>
        <v/>
      </c>
      <c r="AJ195" s="160" t="str">
        <f>IF(AI195="","",IF(AI195&gt;Data2!$C$12,Data2!$D$11,IF(AI195&gt;Data2!$C$13,Data2!$D$12,IF(AI195&gt;Data2!$C$14,Data2!$D$13,Data2!$D$14))))</f>
        <v/>
      </c>
      <c r="AK195" s="146">
        <f t="shared" si="154"/>
        <v>0</v>
      </c>
      <c r="AL195" s="146">
        <f t="shared" si="155"/>
        <v>0</v>
      </c>
      <c r="AM195" s="147" t="str">
        <f t="shared" si="96"/>
        <v>Mulai meningkat</v>
      </c>
      <c r="AN195" s="147" t="str">
        <f t="shared" si="97"/>
        <v>Mulai meningkat</v>
      </c>
      <c r="AO195" s="146" t="e">
        <f t="shared" si="156"/>
        <v>#N/A</v>
      </c>
      <c r="AP195" s="148" t="e">
        <f t="shared" si="157"/>
        <v>#N/A</v>
      </c>
      <c r="AQ195" s="158" t="str">
        <f>IF('PA-Non'!V195&lt;&gt;"",'PA-Non'!V195,IFERROR("Mempunyai keterampilan yang "&amp;IF(AM195=AN195,PROPER(AN195)&amp;" dalam kompetensi "&amp;VLOOKUP(AO195,$AA$532:$AC$539,3)&amp;", demikian juga dalam kompetensi "&amp;VLOOKUP(AP195,$AA$532:$AC$539,3),PROPER(AM195)&amp;" dalam kompetensi "&amp;VLOOKUP(AO195,$AA$532:$AC$539,3)&amp;" dan "&amp;AN195&amp;" pada kompetensi "&amp;VLOOKUP(AP195,$AA$532:$AC$539,3)),""))</f>
        <v/>
      </c>
      <c r="AR195" s="188"/>
    </row>
    <row r="196" spans="2:44" ht="27.9" customHeight="1" thickBot="1" x14ac:dyDescent="0.35">
      <c r="B196" s="226" t="s">
        <v>123</v>
      </c>
      <c r="C196" s="149">
        <f t="shared" si="146"/>
        <v>27</v>
      </c>
      <c r="D196" s="150" t="str">
        <f>IF(Data!F191="","",Data!F191)</f>
        <v>03731</v>
      </c>
      <c r="E196" s="151" t="str">
        <f>IF(Data!H191="","",Data!H191)</f>
        <v>Sofiyatun Khasanah</v>
      </c>
      <c r="F196" s="152" t="str">
        <f>IF(Data!I191="","",Data!I191)</f>
        <v>Perempuan</v>
      </c>
      <c r="G196" s="153"/>
      <c r="H196" s="154">
        <v>85.1</v>
      </c>
      <c r="I196" s="154">
        <v>80</v>
      </c>
      <c r="J196" s="154">
        <v>85</v>
      </c>
      <c r="K196" s="154">
        <v>86</v>
      </c>
      <c r="L196" s="154">
        <v>90</v>
      </c>
      <c r="M196" s="154"/>
      <c r="N196" s="155"/>
      <c r="O196" s="157">
        <f t="shared" si="147"/>
        <v>71</v>
      </c>
      <c r="P196" s="154"/>
      <c r="Q196" s="156"/>
      <c r="R196" s="157" t="str">
        <f t="shared" si="148"/>
        <v/>
      </c>
      <c r="S196" s="159" t="str">
        <f>IF(R196="","",IF(R196&gt;Data2!$C$12,Data2!$D$11,IF(R196&gt;Data2!$C$13,Data2!$D$12,IF(R196&gt;Data2!$C$14,Data2!$D$13,Data2!$D$14))))</f>
        <v/>
      </c>
      <c r="T196" s="144">
        <f t="shared" si="149"/>
        <v>90</v>
      </c>
      <c r="U196" s="144">
        <f t="shared" si="150"/>
        <v>80</v>
      </c>
      <c r="V196" s="144" t="str">
        <f t="shared" si="94"/>
        <v>Baik</v>
      </c>
      <c r="W196" s="144" t="str">
        <f t="shared" si="95"/>
        <v>Cukup menguasai</v>
      </c>
      <c r="X196" s="144">
        <f t="shared" si="151"/>
        <v>6</v>
      </c>
      <c r="Y196" s="145">
        <f t="shared" si="152"/>
        <v>3</v>
      </c>
      <c r="Z196" s="218" t="str">
        <f>IF('PA-Non'!O196&lt;&gt;"",'PA-Non'!O196,IFERROR("Mempunyai kemampuan yang " &amp;IF(V196=W196,PROPER(W196)&amp;" dalam kompetensi "&amp;VLOOKUP(X196,$G$532:$I$539,3)&amp;" dan kompetensi "&amp;VLOOKUP(Y196,$G$532:$I$539,3),PROPER(V196)&amp;" dalam kompetensi "&amp;VLOOKUP(X196,$G$532:$I$539,3)&amp;" dan memiliki kemampuan yang "&amp;W196&amp;" pada kompetensi "&amp;VLOOKUP(Y196,$G$532:$I$539,3)),""))</f>
        <v>Mempunyai kemampuan yang Baik dalam kompetensi KD Pengetahuan-6 dan memiliki kemampuan yang Cukup menguasai pada kompetensi KD Pengetahuan-3</v>
      </c>
      <c r="AA196" s="153"/>
      <c r="AB196" s="154"/>
      <c r="AC196" s="154"/>
      <c r="AD196" s="154"/>
      <c r="AE196" s="154"/>
      <c r="AF196" s="154"/>
      <c r="AG196" s="154"/>
      <c r="AH196" s="155"/>
      <c r="AI196" s="220" t="str">
        <f t="shared" si="153"/>
        <v/>
      </c>
      <c r="AJ196" s="160" t="str">
        <f>IF(AI196="","",IF(AI196&gt;Data2!$C$12,Data2!$D$11,IF(AI196&gt;Data2!$C$13,Data2!$D$12,IF(AI196&gt;Data2!$C$14,Data2!$D$13,Data2!$D$14))))</f>
        <v/>
      </c>
      <c r="AK196" s="146">
        <f t="shared" si="154"/>
        <v>0</v>
      </c>
      <c r="AL196" s="146">
        <f t="shared" si="155"/>
        <v>0</v>
      </c>
      <c r="AM196" s="147" t="str">
        <f t="shared" si="96"/>
        <v>Mulai meningkat</v>
      </c>
      <c r="AN196" s="147" t="str">
        <f t="shared" si="97"/>
        <v>Mulai meningkat</v>
      </c>
      <c r="AO196" s="146" t="e">
        <f t="shared" si="156"/>
        <v>#N/A</v>
      </c>
      <c r="AP196" s="148" t="e">
        <f t="shared" si="157"/>
        <v>#N/A</v>
      </c>
      <c r="AQ196" s="158" t="str">
        <f>IF('PA-Non'!V196&lt;&gt;"",'PA-Non'!V196,IFERROR("Mempunyai keterampilan yang "&amp;IF(AM196=AN196,PROPER(AN196)&amp;" dalam kompetensi "&amp;VLOOKUP(AO196,$AA$532:$AC$539,3)&amp;", demikian juga dalam kompetensi "&amp;VLOOKUP(AP196,$AA$532:$AC$539,3),PROPER(AM196)&amp;" dalam kompetensi "&amp;VLOOKUP(AO196,$AA$532:$AC$539,3)&amp;" dan "&amp;AN196&amp;" pada kompetensi "&amp;VLOOKUP(AP196,$AA$532:$AC$539,3)),""))</f>
        <v/>
      </c>
      <c r="AR196" s="188"/>
    </row>
    <row r="197" spans="2:44" ht="27.9" customHeight="1" thickBot="1" x14ac:dyDescent="0.35">
      <c r="B197" s="226" t="s">
        <v>123</v>
      </c>
      <c r="C197" s="149">
        <f t="shared" si="146"/>
        <v>28</v>
      </c>
      <c r="D197" s="150" t="str">
        <f>IF(Data!F192="","",Data!F192)</f>
        <v>03737</v>
      </c>
      <c r="E197" s="151" t="str">
        <f>IF(Data!H192="","",Data!H192)</f>
        <v>Vandalea Aisyah Nuril Illiyin</v>
      </c>
      <c r="F197" s="152" t="str">
        <f>IF(Data!I192="","",Data!I192)</f>
        <v>Perempuan</v>
      </c>
      <c r="G197" s="153"/>
      <c r="H197" s="154">
        <v>90</v>
      </c>
      <c r="I197" s="154">
        <v>85</v>
      </c>
      <c r="J197" s="154">
        <v>86</v>
      </c>
      <c r="K197" s="154">
        <v>80.099999999999994</v>
      </c>
      <c r="L197" s="154">
        <v>80</v>
      </c>
      <c r="M197" s="154"/>
      <c r="N197" s="155"/>
      <c r="O197" s="157">
        <f t="shared" si="147"/>
        <v>70</v>
      </c>
      <c r="P197" s="154"/>
      <c r="Q197" s="156"/>
      <c r="R197" s="157" t="str">
        <f t="shared" si="148"/>
        <v/>
      </c>
      <c r="S197" s="159" t="str">
        <f>IF(R197="","",IF(R197&gt;Data2!$C$12,Data2!$D$11,IF(R197&gt;Data2!$C$13,Data2!$D$12,IF(R197&gt;Data2!$C$14,Data2!$D$13,Data2!$D$14))))</f>
        <v/>
      </c>
      <c r="T197" s="144">
        <f t="shared" si="149"/>
        <v>90</v>
      </c>
      <c r="U197" s="144">
        <f t="shared" si="150"/>
        <v>80</v>
      </c>
      <c r="V197" s="144" t="str">
        <f t="shared" si="94"/>
        <v>Baik</v>
      </c>
      <c r="W197" s="144" t="str">
        <f t="shared" si="95"/>
        <v>Cukup menguasai</v>
      </c>
      <c r="X197" s="144">
        <f t="shared" si="151"/>
        <v>2</v>
      </c>
      <c r="Y197" s="145">
        <f t="shared" si="152"/>
        <v>6</v>
      </c>
      <c r="Z197" s="218" t="str">
        <f>IF('PA-Non'!O197&lt;&gt;"",'PA-Non'!O197,IFERROR("Mempunyai kemampuan yang " &amp;IF(V197=W197,PROPER(W197)&amp;" dalam kompetensi "&amp;VLOOKUP(X197,$G$532:$I$539,3)&amp;" dan kompetensi "&amp;VLOOKUP(Y197,$G$532:$I$539,3),PROPER(V197)&amp;" dalam kompetensi "&amp;VLOOKUP(X197,$G$532:$I$539,3)&amp;" dan memiliki kemampuan yang "&amp;W197&amp;" pada kompetensi "&amp;VLOOKUP(Y197,$G$532:$I$539,3)),""))</f>
        <v>Mempunyai kemampuan yang Baik dalam kompetensi KD Pengetahuan-2 dan memiliki kemampuan yang Cukup menguasai pada kompetensi KD Pengetahuan-6</v>
      </c>
      <c r="AA197" s="153"/>
      <c r="AB197" s="154"/>
      <c r="AC197" s="154"/>
      <c r="AD197" s="154"/>
      <c r="AE197" s="154"/>
      <c r="AF197" s="154"/>
      <c r="AG197" s="154"/>
      <c r="AH197" s="155"/>
      <c r="AI197" s="220" t="str">
        <f t="shared" si="153"/>
        <v/>
      </c>
      <c r="AJ197" s="160" t="str">
        <f>IF(AI197="","",IF(AI197&gt;Data2!$C$12,Data2!$D$11,IF(AI197&gt;Data2!$C$13,Data2!$D$12,IF(AI197&gt;Data2!$C$14,Data2!$D$13,Data2!$D$14))))</f>
        <v/>
      </c>
      <c r="AK197" s="146">
        <f t="shared" si="154"/>
        <v>0</v>
      </c>
      <c r="AL197" s="146">
        <f t="shared" si="155"/>
        <v>0</v>
      </c>
      <c r="AM197" s="147" t="str">
        <f t="shared" si="96"/>
        <v>Mulai meningkat</v>
      </c>
      <c r="AN197" s="147" t="str">
        <f t="shared" si="97"/>
        <v>Mulai meningkat</v>
      </c>
      <c r="AO197" s="146" t="e">
        <f t="shared" si="156"/>
        <v>#N/A</v>
      </c>
      <c r="AP197" s="148" t="e">
        <f t="shared" si="157"/>
        <v>#N/A</v>
      </c>
      <c r="AQ197" s="158" t="str">
        <f>IF('PA-Non'!V197&lt;&gt;"",'PA-Non'!V197,IFERROR("Mempunyai keterampilan yang "&amp;IF(AM197=AN197,PROPER(AN197)&amp;" dalam kompetensi "&amp;VLOOKUP(AO197,$AA$532:$AC$539,3)&amp;", demikian juga dalam kompetensi "&amp;VLOOKUP(AP197,$AA$532:$AC$539,3),PROPER(AM197)&amp;" dalam kompetensi "&amp;VLOOKUP(AO197,$AA$532:$AC$539,3)&amp;" dan "&amp;AN197&amp;" pada kompetensi "&amp;VLOOKUP(AP197,$AA$532:$AC$539,3)),""))</f>
        <v/>
      </c>
      <c r="AR197" s="188"/>
    </row>
    <row r="198" spans="2:44" ht="27.9" customHeight="1" thickBot="1" x14ac:dyDescent="0.35">
      <c r="B198" s="226" t="s">
        <v>123</v>
      </c>
      <c r="C198" s="149">
        <f t="shared" si="146"/>
        <v>29</v>
      </c>
      <c r="D198" s="150" t="str">
        <f>IF(Data!F193="","",Data!F193)</f>
        <v>03738</v>
      </c>
      <c r="E198" s="151" t="str">
        <f>IF(Data!H193="","",Data!H193)</f>
        <v>Vivi Putri Amanda</v>
      </c>
      <c r="F198" s="152" t="str">
        <f>IF(Data!I193="","",Data!I193)</f>
        <v>Perempuan</v>
      </c>
      <c r="G198" s="153"/>
      <c r="H198" s="154">
        <v>95</v>
      </c>
      <c r="I198" s="154">
        <v>85.1</v>
      </c>
      <c r="J198" s="154">
        <v>86</v>
      </c>
      <c r="K198" s="154">
        <v>80</v>
      </c>
      <c r="L198" s="154">
        <v>85</v>
      </c>
      <c r="M198" s="154"/>
      <c r="N198" s="155"/>
      <c r="O198" s="157">
        <f t="shared" si="147"/>
        <v>72</v>
      </c>
      <c r="P198" s="154"/>
      <c r="Q198" s="156"/>
      <c r="R198" s="157" t="str">
        <f t="shared" si="148"/>
        <v/>
      </c>
      <c r="S198" s="159" t="str">
        <f>IF(R198="","",IF(R198&gt;Data2!$C$12,Data2!$D$11,IF(R198&gt;Data2!$C$13,Data2!$D$12,IF(R198&gt;Data2!$C$14,Data2!$D$13,Data2!$D$14))))</f>
        <v/>
      </c>
      <c r="T198" s="144">
        <f t="shared" si="149"/>
        <v>95</v>
      </c>
      <c r="U198" s="144">
        <f t="shared" si="150"/>
        <v>80</v>
      </c>
      <c r="V198" s="144" t="str">
        <f t="shared" si="94"/>
        <v>Sangat baik</v>
      </c>
      <c r="W198" s="144" t="str">
        <f t="shared" si="95"/>
        <v>Cukup menguasai</v>
      </c>
      <c r="X198" s="144">
        <f t="shared" si="151"/>
        <v>2</v>
      </c>
      <c r="Y198" s="145">
        <f t="shared" si="152"/>
        <v>5</v>
      </c>
      <c r="Z198" s="218" t="str">
        <f>IF('PA-Non'!O198&lt;&gt;"",'PA-Non'!O198,IFERROR("Mempunyai kemampuan yang " &amp;IF(V198=W198,PROPER(W198)&amp;" dalam kompetensi "&amp;VLOOKUP(X198,$G$532:$I$539,3)&amp;" dan kompetensi "&amp;VLOOKUP(Y198,$G$532:$I$539,3),PROPER(V198)&amp;" dalam kompetensi "&amp;VLOOKUP(X198,$G$532:$I$539,3)&amp;" dan memiliki kemampuan yang "&amp;W198&amp;" pada kompetensi "&amp;VLOOKUP(Y198,$G$532:$I$539,3)),""))</f>
        <v>Mempunyai kemampuan yang Sangat Baik dalam kompetensi KD Pengetahuan-2 dan memiliki kemampuan yang Cukup menguasai pada kompetensi KD Pengetahuan-5</v>
      </c>
      <c r="AA198" s="153"/>
      <c r="AB198" s="154"/>
      <c r="AC198" s="154"/>
      <c r="AD198" s="154"/>
      <c r="AE198" s="154"/>
      <c r="AF198" s="154"/>
      <c r="AG198" s="154"/>
      <c r="AH198" s="155"/>
      <c r="AI198" s="220" t="str">
        <f t="shared" si="153"/>
        <v/>
      </c>
      <c r="AJ198" s="160" t="str">
        <f>IF(AI198="","",IF(AI198&gt;Data2!$C$12,Data2!$D$11,IF(AI198&gt;Data2!$C$13,Data2!$D$12,IF(AI198&gt;Data2!$C$14,Data2!$D$13,Data2!$D$14))))</f>
        <v/>
      </c>
      <c r="AK198" s="146">
        <f t="shared" si="154"/>
        <v>0</v>
      </c>
      <c r="AL198" s="146">
        <f t="shared" si="155"/>
        <v>0</v>
      </c>
      <c r="AM198" s="147" t="str">
        <f t="shared" si="96"/>
        <v>Mulai meningkat</v>
      </c>
      <c r="AN198" s="147" t="str">
        <f t="shared" si="97"/>
        <v>Mulai meningkat</v>
      </c>
      <c r="AO198" s="146" t="e">
        <f t="shared" si="156"/>
        <v>#N/A</v>
      </c>
      <c r="AP198" s="148" t="e">
        <f t="shared" si="157"/>
        <v>#N/A</v>
      </c>
      <c r="AQ198" s="158" t="str">
        <f>IF('PA-Non'!V198&lt;&gt;"",'PA-Non'!V198,IFERROR("Mempunyai keterampilan yang "&amp;IF(AM198=AN198,PROPER(AN198)&amp;" dalam kompetensi "&amp;VLOOKUP(AO198,$AA$532:$AC$539,3)&amp;", demikian juga dalam kompetensi "&amp;VLOOKUP(AP198,$AA$532:$AC$539,3),PROPER(AM198)&amp;" dalam kompetensi "&amp;VLOOKUP(AO198,$AA$532:$AC$539,3)&amp;" dan "&amp;AN198&amp;" pada kompetensi "&amp;VLOOKUP(AP198,$AA$532:$AC$539,3)),""))</f>
        <v/>
      </c>
      <c r="AR198" s="188"/>
    </row>
    <row r="199" spans="2:44" ht="27.9" customHeight="1" thickBot="1" x14ac:dyDescent="0.35">
      <c r="B199" s="226" t="s">
        <v>123</v>
      </c>
      <c r="C199" s="149">
        <f t="shared" si="146"/>
        <v>30</v>
      </c>
      <c r="D199" s="150" t="str">
        <f>IF(Data!F194="","",Data!F194)</f>
        <v>03741</v>
      </c>
      <c r="E199" s="151" t="str">
        <f>IF(Data!H194="","",Data!H194)</f>
        <v>Wulan Sevian Febianty</v>
      </c>
      <c r="F199" s="152" t="str">
        <f>IF(Data!I194="","",Data!I194)</f>
        <v>Perempuan</v>
      </c>
      <c r="G199" s="153"/>
      <c r="H199" s="154">
        <v>80.099999999999994</v>
      </c>
      <c r="I199" s="154">
        <v>81</v>
      </c>
      <c r="J199" s="154">
        <v>83</v>
      </c>
      <c r="K199" s="154">
        <v>85</v>
      </c>
      <c r="L199" s="154">
        <v>80</v>
      </c>
      <c r="M199" s="154"/>
      <c r="N199" s="155"/>
      <c r="O199" s="157">
        <f t="shared" si="147"/>
        <v>68</v>
      </c>
      <c r="P199" s="154"/>
      <c r="Q199" s="156"/>
      <c r="R199" s="157" t="str">
        <f t="shared" si="148"/>
        <v/>
      </c>
      <c r="S199" s="159" t="str">
        <f>IF(R199="","",IF(R199&gt;Data2!$C$12,Data2!$D$11,IF(R199&gt;Data2!$C$13,Data2!$D$12,IF(R199&gt;Data2!$C$14,Data2!$D$13,Data2!$D$14))))</f>
        <v/>
      </c>
      <c r="T199" s="144">
        <f t="shared" si="149"/>
        <v>85</v>
      </c>
      <c r="U199" s="144">
        <f t="shared" si="150"/>
        <v>80</v>
      </c>
      <c r="V199" s="144" t="str">
        <f t="shared" si="94"/>
        <v>Cukup menguasai</v>
      </c>
      <c r="W199" s="144" t="str">
        <f t="shared" si="95"/>
        <v>Cukup menguasai</v>
      </c>
      <c r="X199" s="144">
        <f t="shared" si="151"/>
        <v>5</v>
      </c>
      <c r="Y199" s="145">
        <f t="shared" si="152"/>
        <v>6</v>
      </c>
      <c r="Z199" s="218" t="str">
        <f>IF('PA-Non'!O199&lt;&gt;"",'PA-Non'!O199,IFERROR("Mempunyai kemampuan yang " &amp;IF(V199=W199,PROPER(W199)&amp;" dalam kompetensi "&amp;VLOOKUP(X199,$G$532:$I$539,3)&amp;" dan kompetensi "&amp;VLOOKUP(Y199,$G$532:$I$539,3),PROPER(V199)&amp;" dalam kompetensi "&amp;VLOOKUP(X199,$G$532:$I$539,3)&amp;" dan memiliki kemampuan yang "&amp;W199&amp;" pada kompetensi "&amp;VLOOKUP(Y199,$G$532:$I$539,3)),""))</f>
        <v>Mempunyai kemampuan yang Cukup Menguasai dalam kompetensi KD Pengetahuan-5 dan kompetensi KD Pengetahuan-6</v>
      </c>
      <c r="AA199" s="153"/>
      <c r="AB199" s="154"/>
      <c r="AC199" s="154"/>
      <c r="AD199" s="154"/>
      <c r="AE199" s="154"/>
      <c r="AF199" s="154"/>
      <c r="AG199" s="154"/>
      <c r="AH199" s="155"/>
      <c r="AI199" s="220" t="str">
        <f t="shared" si="153"/>
        <v/>
      </c>
      <c r="AJ199" s="160" t="str">
        <f>IF(AI199="","",IF(AI199&gt;Data2!$C$12,Data2!$D$11,IF(AI199&gt;Data2!$C$13,Data2!$D$12,IF(AI199&gt;Data2!$C$14,Data2!$D$13,Data2!$D$14))))</f>
        <v/>
      </c>
      <c r="AK199" s="146">
        <f t="shared" si="154"/>
        <v>0</v>
      </c>
      <c r="AL199" s="146">
        <f t="shared" si="155"/>
        <v>0</v>
      </c>
      <c r="AM199" s="147" t="str">
        <f t="shared" si="96"/>
        <v>Mulai meningkat</v>
      </c>
      <c r="AN199" s="147" t="str">
        <f t="shared" si="97"/>
        <v>Mulai meningkat</v>
      </c>
      <c r="AO199" s="146" t="e">
        <f t="shared" si="156"/>
        <v>#N/A</v>
      </c>
      <c r="AP199" s="148" t="e">
        <f t="shared" si="157"/>
        <v>#N/A</v>
      </c>
      <c r="AQ199" s="158" t="str">
        <f>IF('PA-Non'!V199&lt;&gt;"",'PA-Non'!V199,IFERROR("Mempunyai keterampilan yang "&amp;IF(AM199=AN199,PROPER(AN199)&amp;" dalam kompetensi "&amp;VLOOKUP(AO199,$AA$532:$AC$539,3)&amp;", demikian juga dalam kompetensi "&amp;VLOOKUP(AP199,$AA$532:$AC$539,3),PROPER(AM199)&amp;" dalam kompetensi "&amp;VLOOKUP(AO199,$AA$532:$AC$539,3)&amp;" dan "&amp;AN199&amp;" pada kompetensi "&amp;VLOOKUP(AP199,$AA$532:$AC$539,3)),""))</f>
        <v/>
      </c>
      <c r="AR199" s="188"/>
    </row>
    <row r="200" spans="2:44" ht="27.9" customHeight="1" thickBot="1" x14ac:dyDescent="0.35">
      <c r="B200" s="226" t="s">
        <v>123</v>
      </c>
      <c r="C200" s="149">
        <f t="shared" si="146"/>
        <v>31</v>
      </c>
      <c r="D200" s="150" t="str">
        <f>IF(Data!F195="","",Data!F195)</f>
        <v>03743</v>
      </c>
      <c r="E200" s="151" t="str">
        <f>IF(Data!H195="","",Data!H195)</f>
        <v>Yulistia Tsania Salma</v>
      </c>
      <c r="F200" s="152" t="str">
        <f>IF(Data!I195="","",Data!I195)</f>
        <v>Perempuan</v>
      </c>
      <c r="G200" s="153"/>
      <c r="H200" s="154">
        <v>80</v>
      </c>
      <c r="I200" s="154">
        <v>81</v>
      </c>
      <c r="J200" s="154">
        <v>82</v>
      </c>
      <c r="K200" s="154">
        <v>85.1</v>
      </c>
      <c r="L200" s="154">
        <v>85</v>
      </c>
      <c r="M200" s="154"/>
      <c r="N200" s="155"/>
      <c r="O200" s="157">
        <f t="shared" si="147"/>
        <v>69</v>
      </c>
      <c r="P200" s="154"/>
      <c r="Q200" s="156"/>
      <c r="R200" s="157" t="str">
        <f t="shared" si="148"/>
        <v/>
      </c>
      <c r="S200" s="159" t="str">
        <f>IF(R200="","",IF(R200&gt;Data2!$C$12,Data2!$D$11,IF(R200&gt;Data2!$C$13,Data2!$D$12,IF(R200&gt;Data2!$C$14,Data2!$D$13,Data2!$D$14))))</f>
        <v/>
      </c>
      <c r="T200" s="144">
        <f t="shared" si="149"/>
        <v>85.1</v>
      </c>
      <c r="U200" s="144">
        <f t="shared" si="150"/>
        <v>80</v>
      </c>
      <c r="V200" s="144" t="str">
        <f t="shared" si="94"/>
        <v>Baik</v>
      </c>
      <c r="W200" s="144" t="str">
        <f t="shared" si="95"/>
        <v>Cukup menguasai</v>
      </c>
      <c r="X200" s="144">
        <f t="shared" si="151"/>
        <v>5</v>
      </c>
      <c r="Y200" s="145">
        <f t="shared" si="152"/>
        <v>2</v>
      </c>
      <c r="Z200" s="218" t="str">
        <f>IF('PA-Non'!O200&lt;&gt;"",'PA-Non'!O200,IFERROR("Mempunyai kemampuan yang " &amp;IF(V200=W200,PROPER(W200)&amp;" dalam kompetensi "&amp;VLOOKUP(X200,$G$532:$I$539,3)&amp;" dan kompetensi "&amp;VLOOKUP(Y200,$G$532:$I$539,3),PROPER(V200)&amp;" dalam kompetensi "&amp;VLOOKUP(X200,$G$532:$I$539,3)&amp;" dan memiliki kemampuan yang "&amp;W200&amp;" pada kompetensi "&amp;VLOOKUP(Y200,$G$532:$I$539,3)),""))</f>
        <v>Mempunyai kemampuan yang Baik dalam kompetensi KD Pengetahuan-5 dan memiliki kemampuan yang Cukup menguasai pada kompetensi KD Pengetahuan-2</v>
      </c>
      <c r="AA200" s="153"/>
      <c r="AB200" s="154"/>
      <c r="AC200" s="154"/>
      <c r="AD200" s="154"/>
      <c r="AE200" s="154"/>
      <c r="AF200" s="154"/>
      <c r="AG200" s="154"/>
      <c r="AH200" s="155"/>
      <c r="AI200" s="220" t="str">
        <f t="shared" si="153"/>
        <v/>
      </c>
      <c r="AJ200" s="160" t="str">
        <f>IF(AI200="","",IF(AI200&gt;Data2!$C$12,Data2!$D$11,IF(AI200&gt;Data2!$C$13,Data2!$D$12,IF(AI200&gt;Data2!$C$14,Data2!$D$13,Data2!$D$14))))</f>
        <v/>
      </c>
      <c r="AK200" s="146">
        <f t="shared" si="154"/>
        <v>0</v>
      </c>
      <c r="AL200" s="146">
        <f t="shared" si="155"/>
        <v>0</v>
      </c>
      <c r="AM200" s="147" t="str">
        <f t="shared" si="96"/>
        <v>Mulai meningkat</v>
      </c>
      <c r="AN200" s="147" t="str">
        <f t="shared" si="97"/>
        <v>Mulai meningkat</v>
      </c>
      <c r="AO200" s="146" t="e">
        <f t="shared" si="156"/>
        <v>#N/A</v>
      </c>
      <c r="AP200" s="148" t="e">
        <f t="shared" si="157"/>
        <v>#N/A</v>
      </c>
      <c r="AQ200" s="158" t="str">
        <f>IF('PA-Non'!V200&lt;&gt;"",'PA-Non'!V200,IFERROR("Mempunyai keterampilan yang "&amp;IF(AM200=AN200,PROPER(AN200)&amp;" dalam kompetensi "&amp;VLOOKUP(AO200,$AA$532:$AC$539,3)&amp;", demikian juga dalam kompetensi "&amp;VLOOKUP(AP200,$AA$532:$AC$539,3),PROPER(AM200)&amp;" dalam kompetensi "&amp;VLOOKUP(AO200,$AA$532:$AC$539,3)&amp;" dan "&amp;AN200&amp;" pada kompetensi "&amp;VLOOKUP(AP200,$AA$532:$AC$539,3)),""))</f>
        <v/>
      </c>
      <c r="AR200" s="188"/>
    </row>
    <row r="201" spans="2:44" ht="27.9" customHeight="1" thickBot="1" x14ac:dyDescent="0.35">
      <c r="B201" s="226" t="s">
        <v>123</v>
      </c>
      <c r="C201" s="149" t="str">
        <f t="shared" si="146"/>
        <v/>
      </c>
      <c r="D201" s="150" t="str">
        <f>IF(Data!F196="","",Data!F196)</f>
        <v/>
      </c>
      <c r="E201" s="151" t="str">
        <f>IF(Data!H196="","",Data!H196)</f>
        <v/>
      </c>
      <c r="F201" s="152" t="str">
        <f>IF(Data!I196="","",Data!I196)</f>
        <v/>
      </c>
      <c r="G201" s="153"/>
      <c r="H201" s="154"/>
      <c r="I201" s="154"/>
      <c r="J201" s="154"/>
      <c r="K201" s="154"/>
      <c r="L201" s="154"/>
      <c r="M201" s="154"/>
      <c r="N201" s="155"/>
      <c r="O201" s="157" t="str">
        <f t="shared" si="147"/>
        <v/>
      </c>
      <c r="P201" s="154"/>
      <c r="Q201" s="156"/>
      <c r="R201" s="157" t="str">
        <f t="shared" si="148"/>
        <v/>
      </c>
      <c r="S201" s="159" t="str">
        <f>IF(R201="","",IF(R201&gt;Data2!$C$12,Data2!$D$11,IF(R201&gt;Data2!$C$13,Data2!$D$12,IF(R201&gt;Data2!$C$14,Data2!$D$13,Data2!$D$14))))</f>
        <v/>
      </c>
      <c r="T201" s="144">
        <f t="shared" si="149"/>
        <v>0</v>
      </c>
      <c r="U201" s="144">
        <f t="shared" si="150"/>
        <v>0</v>
      </c>
      <c r="V201" s="144" t="str">
        <f t="shared" si="94"/>
        <v>Mulai berkembang</v>
      </c>
      <c r="W201" s="144" t="str">
        <f t="shared" si="95"/>
        <v>Mulai berkembang</v>
      </c>
      <c r="X201" s="144" t="e">
        <f t="shared" si="151"/>
        <v>#N/A</v>
      </c>
      <c r="Y201" s="145" t="e">
        <f t="shared" si="152"/>
        <v>#N/A</v>
      </c>
      <c r="Z201" s="218" t="str">
        <f>IF('PA-Non'!O201&lt;&gt;"",'PA-Non'!O201,IFERROR("Mempunyai kemampuan yang " &amp;IF(V201=W201,PROPER(W201)&amp;" dalam kompetensi "&amp;VLOOKUP(X201,$G$532:$I$539,3)&amp;" dan kompetensi "&amp;VLOOKUP(Y201,$G$532:$I$539,3),PROPER(V201)&amp;" dalam kompetensi "&amp;VLOOKUP(X201,$G$532:$I$539,3)&amp;" dan memiliki kemampuan yang "&amp;W201&amp;" pada kompetensi "&amp;VLOOKUP(Y201,$G$532:$I$539,3)),""))</f>
        <v/>
      </c>
      <c r="AA201" s="153"/>
      <c r="AB201" s="154"/>
      <c r="AC201" s="154"/>
      <c r="AD201" s="154"/>
      <c r="AE201" s="154"/>
      <c r="AF201" s="154"/>
      <c r="AG201" s="154"/>
      <c r="AH201" s="155"/>
      <c r="AI201" s="220" t="str">
        <f t="shared" si="153"/>
        <v/>
      </c>
      <c r="AJ201" s="160" t="str">
        <f>IF(AI201="","",IF(AI201&gt;Data2!$C$12,Data2!$D$11,IF(AI201&gt;Data2!$C$13,Data2!$D$12,IF(AI201&gt;Data2!$C$14,Data2!$D$13,Data2!$D$14))))</f>
        <v/>
      </c>
      <c r="AK201" s="146">
        <f t="shared" si="154"/>
        <v>0</v>
      </c>
      <c r="AL201" s="146">
        <f t="shared" si="155"/>
        <v>0</v>
      </c>
      <c r="AM201" s="147" t="str">
        <f t="shared" si="96"/>
        <v>Mulai meningkat</v>
      </c>
      <c r="AN201" s="147" t="str">
        <f t="shared" si="97"/>
        <v>Mulai meningkat</v>
      </c>
      <c r="AO201" s="146" t="e">
        <f t="shared" si="156"/>
        <v>#N/A</v>
      </c>
      <c r="AP201" s="148" t="e">
        <f t="shared" si="157"/>
        <v>#N/A</v>
      </c>
      <c r="AQ201" s="158" t="str">
        <f>IF('PA-Non'!V201&lt;&gt;"",'PA-Non'!V201,IFERROR("Mempunyai keterampilan yang "&amp;IF(AM201=AN201,PROPER(AN201)&amp;" dalam kompetensi "&amp;VLOOKUP(AO201,$AA$532:$AC$539,3)&amp;", demikian juga dalam kompetensi "&amp;VLOOKUP(AP201,$AA$532:$AC$539,3),PROPER(AM201)&amp;" dalam kompetensi "&amp;VLOOKUP(AO201,$AA$532:$AC$539,3)&amp;" dan "&amp;AN201&amp;" pada kompetensi "&amp;VLOOKUP(AP201,$AA$532:$AC$539,3)),""))</f>
        <v/>
      </c>
      <c r="AR201" s="188"/>
    </row>
    <row r="202" spans="2:44" ht="27.9" customHeight="1" thickBot="1" x14ac:dyDescent="0.35">
      <c r="B202" s="226" t="s">
        <v>123</v>
      </c>
      <c r="C202" s="149" t="str">
        <f t="shared" si="146"/>
        <v/>
      </c>
      <c r="D202" s="150" t="str">
        <f>IF(Data!F197="","",Data!F197)</f>
        <v/>
      </c>
      <c r="E202" s="151" t="str">
        <f>IF(Data!H197="","",Data!H197)</f>
        <v/>
      </c>
      <c r="F202" s="152" t="str">
        <f>IF(Data!I197="","",Data!I197)</f>
        <v/>
      </c>
      <c r="G202" s="153"/>
      <c r="H202" s="154"/>
      <c r="I202" s="154"/>
      <c r="J202" s="154"/>
      <c r="K202" s="154"/>
      <c r="L202" s="154"/>
      <c r="M202" s="154"/>
      <c r="N202" s="155"/>
      <c r="O202" s="157" t="str">
        <f t="shared" si="147"/>
        <v/>
      </c>
      <c r="P202" s="154"/>
      <c r="Q202" s="156"/>
      <c r="R202" s="157" t="str">
        <f t="shared" si="148"/>
        <v/>
      </c>
      <c r="S202" s="159" t="str">
        <f>IF(R202="","",IF(R202&gt;Data2!$C$12,Data2!$D$11,IF(R202&gt;Data2!$C$13,Data2!$D$12,IF(R202&gt;Data2!$C$14,Data2!$D$13,Data2!$D$14))))</f>
        <v/>
      </c>
      <c r="T202" s="144">
        <f t="shared" si="149"/>
        <v>0</v>
      </c>
      <c r="U202" s="144">
        <f t="shared" si="150"/>
        <v>0</v>
      </c>
      <c r="V202" s="144" t="str">
        <f t="shared" ref="V202:V265" si="158">IF(T202&gt;$I$560,$J$559,IF(T202&gt;$I$561,$J$560,IF(T202&gt;$I$562,$J$561,$J$562)))</f>
        <v>Mulai berkembang</v>
      </c>
      <c r="W202" s="144" t="str">
        <f t="shared" ref="W202:W265" si="159">IF(U202&gt;$I$560,$J$559,IF(U202&gt;$I$561,$J$560,IF(U202&gt;$I$562,$J$561,$J$562)))</f>
        <v>Mulai berkembang</v>
      </c>
      <c r="X202" s="144" t="e">
        <f t="shared" si="151"/>
        <v>#N/A</v>
      </c>
      <c r="Y202" s="145" t="e">
        <f t="shared" si="152"/>
        <v>#N/A</v>
      </c>
      <c r="Z202" s="218" t="str">
        <f>IF('PA-Non'!O202&lt;&gt;"",'PA-Non'!O202,IFERROR("Mempunyai kemampuan yang " &amp;IF(V202=W202,PROPER(W202)&amp;" dalam kompetensi "&amp;VLOOKUP(X202,$G$532:$I$539,3)&amp;" dan kompetensi "&amp;VLOOKUP(Y202,$G$532:$I$539,3),PROPER(V202)&amp;" dalam kompetensi "&amp;VLOOKUP(X202,$G$532:$I$539,3)&amp;" dan memiliki kemampuan yang "&amp;W202&amp;" pada kompetensi "&amp;VLOOKUP(Y202,$G$532:$I$539,3)),""))</f>
        <v/>
      </c>
      <c r="AA202" s="153"/>
      <c r="AB202" s="154"/>
      <c r="AC202" s="154"/>
      <c r="AD202" s="154"/>
      <c r="AE202" s="154"/>
      <c r="AF202" s="154"/>
      <c r="AG202" s="154"/>
      <c r="AH202" s="155"/>
      <c r="AI202" s="220" t="str">
        <f t="shared" si="153"/>
        <v/>
      </c>
      <c r="AJ202" s="160" t="str">
        <f>IF(AI202="","",IF(AI202&gt;Data2!$C$12,Data2!$D$11,IF(AI202&gt;Data2!$C$13,Data2!$D$12,IF(AI202&gt;Data2!$C$14,Data2!$D$13,Data2!$D$14))))</f>
        <v/>
      </c>
      <c r="AK202" s="146">
        <f t="shared" si="154"/>
        <v>0</v>
      </c>
      <c r="AL202" s="146">
        <f t="shared" si="155"/>
        <v>0</v>
      </c>
      <c r="AM202" s="147" t="str">
        <f t="shared" ref="AM202:AM265" si="160">IF(AK202&gt;$I$560,$AD$559,IF(AK202&gt;$I$561,$AD$560,IF(AK202&gt;$I$562,$AD$561,$AD$562)))</f>
        <v>Mulai meningkat</v>
      </c>
      <c r="AN202" s="147" t="str">
        <f t="shared" ref="AN202:AN265" si="161">IF(AL202&gt;$I$560,$AD$559,IF(AL202&gt;$I$561,$AD$560,IF(AL202&gt;$I$562,$AD$561,$AD$562)))</f>
        <v>Mulai meningkat</v>
      </c>
      <c r="AO202" s="146" t="e">
        <f t="shared" si="156"/>
        <v>#N/A</v>
      </c>
      <c r="AP202" s="148" t="e">
        <f t="shared" si="157"/>
        <v>#N/A</v>
      </c>
      <c r="AQ202" s="158" t="str">
        <f>IF('PA-Non'!V202&lt;&gt;"",'PA-Non'!V202,IFERROR("Mempunyai keterampilan yang "&amp;IF(AM202=AN202,PROPER(AN202)&amp;" dalam kompetensi "&amp;VLOOKUP(AO202,$AA$532:$AC$539,3)&amp;", demikian juga dalam kompetensi "&amp;VLOOKUP(AP202,$AA$532:$AC$539,3),PROPER(AM202)&amp;" dalam kompetensi "&amp;VLOOKUP(AO202,$AA$532:$AC$539,3)&amp;" dan "&amp;AN202&amp;" pada kompetensi "&amp;VLOOKUP(AP202,$AA$532:$AC$539,3)),""))</f>
        <v/>
      </c>
      <c r="AR202" s="188"/>
    </row>
    <row r="203" spans="2:44" ht="27.9" customHeight="1" thickBot="1" x14ac:dyDescent="0.35">
      <c r="B203" s="226" t="s">
        <v>123</v>
      </c>
      <c r="C203" s="149" t="str">
        <f t="shared" si="146"/>
        <v/>
      </c>
      <c r="D203" s="150" t="str">
        <f>IF(Data!F198="","",Data!F198)</f>
        <v/>
      </c>
      <c r="E203" s="151" t="str">
        <f>IF(Data!H198="","",Data!H198)</f>
        <v/>
      </c>
      <c r="F203" s="152" t="str">
        <f>IF(Data!I198="","",Data!I198)</f>
        <v/>
      </c>
      <c r="G203" s="153"/>
      <c r="H203" s="154"/>
      <c r="I203" s="154"/>
      <c r="J203" s="154"/>
      <c r="K203" s="154"/>
      <c r="L203" s="154"/>
      <c r="M203" s="154"/>
      <c r="N203" s="155"/>
      <c r="O203" s="157" t="str">
        <f t="shared" si="147"/>
        <v/>
      </c>
      <c r="P203" s="154"/>
      <c r="Q203" s="156"/>
      <c r="R203" s="157" t="str">
        <f t="shared" si="148"/>
        <v/>
      </c>
      <c r="S203" s="159" t="str">
        <f>IF(R203="","",IF(R203&gt;Data2!$C$12,Data2!$D$11,IF(R203&gt;Data2!$C$13,Data2!$D$12,IF(R203&gt;Data2!$C$14,Data2!$D$13,Data2!$D$14))))</f>
        <v/>
      </c>
      <c r="T203" s="144">
        <f t="shared" si="149"/>
        <v>0</v>
      </c>
      <c r="U203" s="144">
        <f t="shared" si="150"/>
        <v>0</v>
      </c>
      <c r="V203" s="144" t="str">
        <f t="shared" si="158"/>
        <v>Mulai berkembang</v>
      </c>
      <c r="W203" s="144" t="str">
        <f t="shared" si="159"/>
        <v>Mulai berkembang</v>
      </c>
      <c r="X203" s="144" t="e">
        <f t="shared" si="151"/>
        <v>#N/A</v>
      </c>
      <c r="Y203" s="145" t="e">
        <f t="shared" si="152"/>
        <v>#N/A</v>
      </c>
      <c r="Z203" s="218" t="str">
        <f>IF('PA-Non'!O203&lt;&gt;"",'PA-Non'!O203,IFERROR("Mempunyai kemampuan yang " &amp;IF(V203=W203,PROPER(W203)&amp;" dalam kompetensi "&amp;VLOOKUP(X203,$G$532:$I$539,3)&amp;" dan kompetensi "&amp;VLOOKUP(Y203,$G$532:$I$539,3),PROPER(V203)&amp;" dalam kompetensi "&amp;VLOOKUP(X203,$G$532:$I$539,3)&amp;" dan memiliki kemampuan yang "&amp;W203&amp;" pada kompetensi "&amp;VLOOKUP(Y203,$G$532:$I$539,3)),""))</f>
        <v/>
      </c>
      <c r="AA203" s="153"/>
      <c r="AB203" s="154"/>
      <c r="AC203" s="154"/>
      <c r="AD203" s="154"/>
      <c r="AE203" s="154"/>
      <c r="AF203" s="154"/>
      <c r="AG203" s="154"/>
      <c r="AH203" s="155"/>
      <c r="AI203" s="220" t="str">
        <f t="shared" si="153"/>
        <v/>
      </c>
      <c r="AJ203" s="160" t="str">
        <f>IF(AI203="","",IF(AI203&gt;Data2!$C$12,Data2!$D$11,IF(AI203&gt;Data2!$C$13,Data2!$D$12,IF(AI203&gt;Data2!$C$14,Data2!$D$13,Data2!$D$14))))</f>
        <v/>
      </c>
      <c r="AK203" s="146">
        <f t="shared" si="154"/>
        <v>0</v>
      </c>
      <c r="AL203" s="146">
        <f t="shared" si="155"/>
        <v>0</v>
      </c>
      <c r="AM203" s="147" t="str">
        <f t="shared" si="160"/>
        <v>Mulai meningkat</v>
      </c>
      <c r="AN203" s="147" t="str">
        <f t="shared" si="161"/>
        <v>Mulai meningkat</v>
      </c>
      <c r="AO203" s="146" t="e">
        <f t="shared" si="156"/>
        <v>#N/A</v>
      </c>
      <c r="AP203" s="148" t="e">
        <f t="shared" si="157"/>
        <v>#N/A</v>
      </c>
      <c r="AQ203" s="158" t="str">
        <f>IF('PA-Non'!V203&lt;&gt;"",'PA-Non'!V203,IFERROR("Mempunyai keterampilan yang "&amp;IF(AM203=AN203,PROPER(AN203)&amp;" dalam kompetensi "&amp;VLOOKUP(AO203,$AA$532:$AC$539,3)&amp;", demikian juga dalam kompetensi "&amp;VLOOKUP(AP203,$AA$532:$AC$539,3),PROPER(AM203)&amp;" dalam kompetensi "&amp;VLOOKUP(AO203,$AA$532:$AC$539,3)&amp;" dan "&amp;AN203&amp;" pada kompetensi "&amp;VLOOKUP(AP203,$AA$532:$AC$539,3)),""))</f>
        <v/>
      </c>
      <c r="AR203" s="188"/>
    </row>
    <row r="204" spans="2:44" ht="27.9" customHeight="1" thickBot="1" x14ac:dyDescent="0.35">
      <c r="B204" s="226" t="s">
        <v>123</v>
      </c>
      <c r="C204" s="149" t="str">
        <f t="shared" si="146"/>
        <v/>
      </c>
      <c r="D204" s="150" t="str">
        <f>IF(Data!F199="","",Data!F199)</f>
        <v/>
      </c>
      <c r="E204" s="151" t="str">
        <f>IF(Data!H199="","",Data!H199)</f>
        <v/>
      </c>
      <c r="F204" s="152" t="str">
        <f>IF(Data!I199="","",Data!I199)</f>
        <v/>
      </c>
      <c r="G204" s="153"/>
      <c r="H204" s="154"/>
      <c r="I204" s="154"/>
      <c r="J204" s="154"/>
      <c r="K204" s="154"/>
      <c r="L204" s="154"/>
      <c r="M204" s="154"/>
      <c r="N204" s="155"/>
      <c r="O204" s="157" t="str">
        <f t="shared" si="147"/>
        <v/>
      </c>
      <c r="P204" s="154"/>
      <c r="Q204" s="156"/>
      <c r="R204" s="157" t="str">
        <f t="shared" si="148"/>
        <v/>
      </c>
      <c r="S204" s="159" t="str">
        <f>IF(R204="","",IF(R204&gt;Data2!$C$12,Data2!$D$11,IF(R204&gt;Data2!$C$13,Data2!$D$12,IF(R204&gt;Data2!$C$14,Data2!$D$13,Data2!$D$14))))</f>
        <v/>
      </c>
      <c r="T204" s="144">
        <f t="shared" si="149"/>
        <v>0</v>
      </c>
      <c r="U204" s="144">
        <f t="shared" si="150"/>
        <v>0</v>
      </c>
      <c r="V204" s="144" t="str">
        <f t="shared" si="158"/>
        <v>Mulai berkembang</v>
      </c>
      <c r="W204" s="144" t="str">
        <f t="shared" si="159"/>
        <v>Mulai berkembang</v>
      </c>
      <c r="X204" s="144" t="e">
        <f t="shared" si="151"/>
        <v>#N/A</v>
      </c>
      <c r="Y204" s="145" t="e">
        <f t="shared" si="152"/>
        <v>#N/A</v>
      </c>
      <c r="Z204" s="218" t="str">
        <f>IF('PA-Non'!O204&lt;&gt;"",'PA-Non'!O204,IFERROR("Mempunyai kemampuan yang " &amp;IF(V204=W204,PROPER(W204)&amp;" dalam kompetensi "&amp;VLOOKUP(X204,$G$532:$I$539,3)&amp;" dan kompetensi "&amp;VLOOKUP(Y204,$G$532:$I$539,3),PROPER(V204)&amp;" dalam kompetensi "&amp;VLOOKUP(X204,$G$532:$I$539,3)&amp;" dan memiliki kemampuan yang "&amp;W204&amp;" pada kompetensi "&amp;VLOOKUP(Y204,$G$532:$I$539,3)),""))</f>
        <v/>
      </c>
      <c r="AA204" s="153"/>
      <c r="AB204" s="154"/>
      <c r="AC204" s="154"/>
      <c r="AD204" s="154"/>
      <c r="AE204" s="154"/>
      <c r="AF204" s="154"/>
      <c r="AG204" s="154"/>
      <c r="AH204" s="155"/>
      <c r="AI204" s="220" t="str">
        <f t="shared" si="153"/>
        <v/>
      </c>
      <c r="AJ204" s="160" t="str">
        <f>IF(AI204="","",IF(AI204&gt;Data2!$C$12,Data2!$D$11,IF(AI204&gt;Data2!$C$13,Data2!$D$12,IF(AI204&gt;Data2!$C$14,Data2!$D$13,Data2!$D$14))))</f>
        <v/>
      </c>
      <c r="AK204" s="146">
        <f t="shared" si="154"/>
        <v>0</v>
      </c>
      <c r="AL204" s="146">
        <f t="shared" si="155"/>
        <v>0</v>
      </c>
      <c r="AM204" s="147" t="str">
        <f t="shared" si="160"/>
        <v>Mulai meningkat</v>
      </c>
      <c r="AN204" s="147" t="str">
        <f t="shared" si="161"/>
        <v>Mulai meningkat</v>
      </c>
      <c r="AO204" s="146" t="e">
        <f t="shared" si="156"/>
        <v>#N/A</v>
      </c>
      <c r="AP204" s="148" t="e">
        <f t="shared" si="157"/>
        <v>#N/A</v>
      </c>
      <c r="AQ204" s="158" t="str">
        <f>IF('PA-Non'!V204&lt;&gt;"",'PA-Non'!V204,IFERROR("Mempunyai keterampilan yang "&amp;IF(AM204=AN204,PROPER(AN204)&amp;" dalam kompetensi "&amp;VLOOKUP(AO204,$AA$532:$AC$539,3)&amp;", demikian juga dalam kompetensi "&amp;VLOOKUP(AP204,$AA$532:$AC$539,3),PROPER(AM204)&amp;" dalam kompetensi "&amp;VLOOKUP(AO204,$AA$532:$AC$539,3)&amp;" dan "&amp;AN204&amp;" pada kompetensi "&amp;VLOOKUP(AP204,$AA$532:$AC$539,3)),""))</f>
        <v/>
      </c>
      <c r="AR204" s="188"/>
    </row>
    <row r="205" spans="2:44" ht="27.9" customHeight="1" thickBot="1" x14ac:dyDescent="0.35">
      <c r="B205" s="226" t="s">
        <v>123</v>
      </c>
      <c r="C205" s="149" t="str">
        <f t="shared" si="146"/>
        <v/>
      </c>
      <c r="D205" s="150" t="str">
        <f>IF(Data!F200="","",Data!F200)</f>
        <v/>
      </c>
      <c r="E205" s="151" t="str">
        <f>IF(Data!H200="","",Data!H200)</f>
        <v/>
      </c>
      <c r="F205" s="152" t="str">
        <f>IF(Data!I200="","",Data!I200)</f>
        <v/>
      </c>
      <c r="G205" s="153"/>
      <c r="H205" s="154"/>
      <c r="I205" s="154"/>
      <c r="J205" s="154"/>
      <c r="K205" s="154"/>
      <c r="L205" s="154"/>
      <c r="M205" s="154"/>
      <c r="N205" s="155"/>
      <c r="O205" s="157" t="str">
        <f t="shared" si="147"/>
        <v/>
      </c>
      <c r="P205" s="154"/>
      <c r="Q205" s="156"/>
      <c r="R205" s="157" t="str">
        <f t="shared" si="148"/>
        <v/>
      </c>
      <c r="S205" s="159" t="str">
        <f>IF(R205="","",IF(R205&gt;Data2!$C$12,Data2!$D$11,IF(R205&gt;Data2!$C$13,Data2!$D$12,IF(R205&gt;Data2!$C$14,Data2!$D$13,Data2!$D$14))))</f>
        <v/>
      </c>
      <c r="T205" s="144">
        <f t="shared" si="149"/>
        <v>0</v>
      </c>
      <c r="U205" s="144">
        <f t="shared" si="150"/>
        <v>0</v>
      </c>
      <c r="V205" s="144" t="str">
        <f t="shared" si="158"/>
        <v>Mulai berkembang</v>
      </c>
      <c r="W205" s="144" t="str">
        <f t="shared" si="159"/>
        <v>Mulai berkembang</v>
      </c>
      <c r="X205" s="144" t="e">
        <f t="shared" si="151"/>
        <v>#N/A</v>
      </c>
      <c r="Y205" s="145" t="e">
        <f t="shared" si="152"/>
        <v>#N/A</v>
      </c>
      <c r="Z205" s="218" t="str">
        <f>IF('PA-Non'!O205&lt;&gt;"",'PA-Non'!O205,IFERROR("Mempunyai kemampuan yang " &amp;IF(V205=W205,PROPER(W205)&amp;" dalam kompetensi "&amp;VLOOKUP(X205,$G$532:$I$539,3)&amp;" dan kompetensi "&amp;VLOOKUP(Y205,$G$532:$I$539,3),PROPER(V205)&amp;" dalam kompetensi "&amp;VLOOKUP(X205,$G$532:$I$539,3)&amp;" dan memiliki kemampuan yang "&amp;W205&amp;" pada kompetensi "&amp;VLOOKUP(Y205,$G$532:$I$539,3)),""))</f>
        <v/>
      </c>
      <c r="AA205" s="153"/>
      <c r="AB205" s="154"/>
      <c r="AC205" s="154"/>
      <c r="AD205" s="154"/>
      <c r="AE205" s="154"/>
      <c r="AF205" s="154"/>
      <c r="AG205" s="154"/>
      <c r="AH205" s="155"/>
      <c r="AI205" s="220" t="str">
        <f t="shared" si="153"/>
        <v/>
      </c>
      <c r="AJ205" s="160" t="str">
        <f>IF(AI205="","",IF(AI205&gt;Data2!$C$12,Data2!$D$11,IF(AI205&gt;Data2!$C$13,Data2!$D$12,IF(AI205&gt;Data2!$C$14,Data2!$D$13,Data2!$D$14))))</f>
        <v/>
      </c>
      <c r="AK205" s="146">
        <f t="shared" si="154"/>
        <v>0</v>
      </c>
      <c r="AL205" s="146">
        <f t="shared" si="155"/>
        <v>0</v>
      </c>
      <c r="AM205" s="147" t="str">
        <f t="shared" si="160"/>
        <v>Mulai meningkat</v>
      </c>
      <c r="AN205" s="147" t="str">
        <f t="shared" si="161"/>
        <v>Mulai meningkat</v>
      </c>
      <c r="AO205" s="146" t="e">
        <f t="shared" si="156"/>
        <v>#N/A</v>
      </c>
      <c r="AP205" s="148" t="e">
        <f t="shared" si="157"/>
        <v>#N/A</v>
      </c>
      <c r="AQ205" s="158" t="str">
        <f>IF('PA-Non'!V205&lt;&gt;"",'PA-Non'!V205,IFERROR("Mempunyai keterampilan yang "&amp;IF(AM205=AN205,PROPER(AN205)&amp;" dalam kompetensi "&amp;VLOOKUP(AO205,$AA$532:$AC$539,3)&amp;", demikian juga dalam kompetensi "&amp;VLOOKUP(AP205,$AA$532:$AC$539,3),PROPER(AM205)&amp;" dalam kompetensi "&amp;VLOOKUP(AO205,$AA$532:$AC$539,3)&amp;" dan "&amp;AN205&amp;" pada kompetensi "&amp;VLOOKUP(AP205,$AA$532:$AC$539,3)),""))</f>
        <v/>
      </c>
      <c r="AR205" s="188"/>
    </row>
    <row r="206" spans="2:44" ht="27.9" customHeight="1" thickBot="1" x14ac:dyDescent="0.35">
      <c r="B206" s="226" t="s">
        <v>123</v>
      </c>
      <c r="C206" s="149" t="str">
        <f t="shared" si="146"/>
        <v/>
      </c>
      <c r="D206" s="150" t="str">
        <f>IF(Data!F201="","",Data!F201)</f>
        <v/>
      </c>
      <c r="E206" s="151" t="str">
        <f>IF(Data!H201="","",Data!H201)</f>
        <v/>
      </c>
      <c r="F206" s="152" t="str">
        <f>IF(Data!I201="","",Data!I201)</f>
        <v/>
      </c>
      <c r="G206" s="153"/>
      <c r="H206" s="154"/>
      <c r="I206" s="154"/>
      <c r="J206" s="154"/>
      <c r="K206" s="154"/>
      <c r="L206" s="154"/>
      <c r="M206" s="154"/>
      <c r="N206" s="155"/>
      <c r="O206" s="157" t="str">
        <f t="shared" si="147"/>
        <v/>
      </c>
      <c r="P206" s="154"/>
      <c r="Q206" s="156"/>
      <c r="R206" s="157" t="str">
        <f t="shared" si="148"/>
        <v/>
      </c>
      <c r="S206" s="159" t="str">
        <f>IF(R206="","",IF(R206&gt;Data2!$C$12,Data2!$D$11,IF(R206&gt;Data2!$C$13,Data2!$D$12,IF(R206&gt;Data2!$C$14,Data2!$D$13,Data2!$D$14))))</f>
        <v/>
      </c>
      <c r="T206" s="144">
        <f t="shared" si="149"/>
        <v>0</v>
      </c>
      <c r="U206" s="144">
        <f t="shared" si="150"/>
        <v>0</v>
      </c>
      <c r="V206" s="144" t="str">
        <f t="shared" si="158"/>
        <v>Mulai berkembang</v>
      </c>
      <c r="W206" s="144" t="str">
        <f t="shared" si="159"/>
        <v>Mulai berkembang</v>
      </c>
      <c r="X206" s="144" t="e">
        <f t="shared" si="151"/>
        <v>#N/A</v>
      </c>
      <c r="Y206" s="145" t="e">
        <f t="shared" si="152"/>
        <v>#N/A</v>
      </c>
      <c r="Z206" s="218" t="str">
        <f>IF('PA-Non'!O206&lt;&gt;"",'PA-Non'!O206,IFERROR("Mempunyai kemampuan yang " &amp;IF(V206=W206,PROPER(W206)&amp;" dalam kompetensi "&amp;VLOOKUP(X206,$G$532:$I$539,3)&amp;" dan kompetensi "&amp;VLOOKUP(Y206,$G$532:$I$539,3),PROPER(V206)&amp;" dalam kompetensi "&amp;VLOOKUP(X206,$G$532:$I$539,3)&amp;" dan memiliki kemampuan yang "&amp;W206&amp;" pada kompetensi "&amp;VLOOKUP(Y206,$G$532:$I$539,3)),""))</f>
        <v/>
      </c>
      <c r="AA206" s="153"/>
      <c r="AB206" s="154"/>
      <c r="AC206" s="154"/>
      <c r="AD206" s="154"/>
      <c r="AE206" s="154"/>
      <c r="AF206" s="154"/>
      <c r="AG206" s="154"/>
      <c r="AH206" s="155"/>
      <c r="AI206" s="220" t="str">
        <f t="shared" si="153"/>
        <v/>
      </c>
      <c r="AJ206" s="160" t="str">
        <f>IF(AI206="","",IF(AI206&gt;Data2!$C$12,Data2!$D$11,IF(AI206&gt;Data2!$C$13,Data2!$D$12,IF(AI206&gt;Data2!$C$14,Data2!$D$13,Data2!$D$14))))</f>
        <v/>
      </c>
      <c r="AK206" s="146">
        <f t="shared" si="154"/>
        <v>0</v>
      </c>
      <c r="AL206" s="146">
        <f t="shared" si="155"/>
        <v>0</v>
      </c>
      <c r="AM206" s="147" t="str">
        <f t="shared" si="160"/>
        <v>Mulai meningkat</v>
      </c>
      <c r="AN206" s="147" t="str">
        <f t="shared" si="161"/>
        <v>Mulai meningkat</v>
      </c>
      <c r="AO206" s="146" t="e">
        <f t="shared" si="156"/>
        <v>#N/A</v>
      </c>
      <c r="AP206" s="148" t="e">
        <f t="shared" si="157"/>
        <v>#N/A</v>
      </c>
      <c r="AQ206" s="158" t="str">
        <f>IF('PA-Non'!V206&lt;&gt;"",'PA-Non'!V206,IFERROR("Mempunyai keterampilan yang "&amp;IF(AM206=AN206,PROPER(AN206)&amp;" dalam kompetensi "&amp;VLOOKUP(AO206,$AA$532:$AC$539,3)&amp;", demikian juga dalam kompetensi "&amp;VLOOKUP(AP206,$AA$532:$AC$539,3),PROPER(AM206)&amp;" dalam kompetensi "&amp;VLOOKUP(AO206,$AA$532:$AC$539,3)&amp;" dan "&amp;AN206&amp;" pada kompetensi "&amp;VLOOKUP(AP206,$AA$532:$AC$539,3)),""))</f>
        <v/>
      </c>
      <c r="AR206" s="188"/>
    </row>
    <row r="207" spans="2:44" ht="27.9" customHeight="1" thickBot="1" x14ac:dyDescent="0.35">
      <c r="B207" s="226" t="s">
        <v>123</v>
      </c>
      <c r="C207" s="149" t="str">
        <f t="shared" si="146"/>
        <v/>
      </c>
      <c r="D207" s="150" t="str">
        <f>IF(Data!F202="","",Data!F202)</f>
        <v/>
      </c>
      <c r="E207" s="151" t="str">
        <f>IF(Data!H202="","",Data!H202)</f>
        <v/>
      </c>
      <c r="F207" s="152" t="str">
        <f>IF(Data!I202="","",Data!I202)</f>
        <v/>
      </c>
      <c r="G207" s="153"/>
      <c r="H207" s="154"/>
      <c r="I207" s="154"/>
      <c r="J207" s="154"/>
      <c r="K207" s="154"/>
      <c r="L207" s="154"/>
      <c r="M207" s="154"/>
      <c r="N207" s="155"/>
      <c r="O207" s="157" t="str">
        <f t="shared" si="147"/>
        <v/>
      </c>
      <c r="P207" s="154"/>
      <c r="Q207" s="156"/>
      <c r="R207" s="157" t="str">
        <f t="shared" si="148"/>
        <v/>
      </c>
      <c r="S207" s="159" t="str">
        <f>IF(R207="","",IF(R207&gt;Data2!$C$12,Data2!$D$11,IF(R207&gt;Data2!$C$13,Data2!$D$12,IF(R207&gt;Data2!$C$14,Data2!$D$13,Data2!$D$14))))</f>
        <v/>
      </c>
      <c r="T207" s="144">
        <f t="shared" si="149"/>
        <v>0</v>
      </c>
      <c r="U207" s="144">
        <f t="shared" si="150"/>
        <v>0</v>
      </c>
      <c r="V207" s="144" t="str">
        <f t="shared" si="158"/>
        <v>Mulai berkembang</v>
      </c>
      <c r="W207" s="144" t="str">
        <f t="shared" si="159"/>
        <v>Mulai berkembang</v>
      </c>
      <c r="X207" s="144" t="e">
        <f t="shared" si="151"/>
        <v>#N/A</v>
      </c>
      <c r="Y207" s="145" t="e">
        <f t="shared" si="152"/>
        <v>#N/A</v>
      </c>
      <c r="Z207" s="218" t="str">
        <f>IF('PA-Non'!O207&lt;&gt;"",'PA-Non'!O207,IFERROR("Mempunyai kemampuan yang " &amp;IF(V207=W207,PROPER(W207)&amp;" dalam kompetensi "&amp;VLOOKUP(X207,$G$532:$I$539,3)&amp;" dan kompetensi "&amp;VLOOKUP(Y207,$G$532:$I$539,3),PROPER(V207)&amp;" dalam kompetensi "&amp;VLOOKUP(X207,$G$532:$I$539,3)&amp;" dan memiliki kemampuan yang "&amp;W207&amp;" pada kompetensi "&amp;VLOOKUP(Y207,$G$532:$I$539,3)),""))</f>
        <v/>
      </c>
      <c r="AA207" s="153"/>
      <c r="AB207" s="154"/>
      <c r="AC207" s="154"/>
      <c r="AD207" s="154"/>
      <c r="AE207" s="154"/>
      <c r="AF207" s="154"/>
      <c r="AG207" s="154"/>
      <c r="AH207" s="155"/>
      <c r="AI207" s="220" t="str">
        <f t="shared" si="153"/>
        <v/>
      </c>
      <c r="AJ207" s="160" t="str">
        <f>IF(AI207="","",IF(AI207&gt;Data2!$C$12,Data2!$D$11,IF(AI207&gt;Data2!$C$13,Data2!$D$12,IF(AI207&gt;Data2!$C$14,Data2!$D$13,Data2!$D$14))))</f>
        <v/>
      </c>
      <c r="AK207" s="146">
        <f t="shared" si="154"/>
        <v>0</v>
      </c>
      <c r="AL207" s="146">
        <f t="shared" si="155"/>
        <v>0</v>
      </c>
      <c r="AM207" s="147" t="str">
        <f t="shared" si="160"/>
        <v>Mulai meningkat</v>
      </c>
      <c r="AN207" s="147" t="str">
        <f t="shared" si="161"/>
        <v>Mulai meningkat</v>
      </c>
      <c r="AO207" s="146" t="e">
        <f t="shared" si="156"/>
        <v>#N/A</v>
      </c>
      <c r="AP207" s="148" t="e">
        <f t="shared" si="157"/>
        <v>#N/A</v>
      </c>
      <c r="AQ207" s="158" t="str">
        <f>IF('PA-Non'!V207&lt;&gt;"",'PA-Non'!V207,IFERROR("Mempunyai keterampilan yang "&amp;IF(AM207=AN207,PROPER(AN207)&amp;" dalam kompetensi "&amp;VLOOKUP(AO207,$AA$532:$AC$539,3)&amp;", demikian juga dalam kompetensi "&amp;VLOOKUP(AP207,$AA$532:$AC$539,3),PROPER(AM207)&amp;" dalam kompetensi "&amp;VLOOKUP(AO207,$AA$532:$AC$539,3)&amp;" dan "&amp;AN207&amp;" pada kompetensi "&amp;VLOOKUP(AP207,$AA$532:$AC$539,3)),""))</f>
        <v/>
      </c>
      <c r="AR207" s="188"/>
    </row>
    <row r="208" spans="2:44" ht="27.9" customHeight="1" x14ac:dyDescent="0.3">
      <c r="B208" s="386" t="s">
        <v>123</v>
      </c>
      <c r="C208" s="387" t="str">
        <f t="shared" si="146"/>
        <v/>
      </c>
      <c r="D208" s="51" t="str">
        <f>IF(Data!F203="","",Data!F203)</f>
        <v/>
      </c>
      <c r="E208" s="91" t="str">
        <f>IF(Data!H203="","",Data!H203)</f>
        <v/>
      </c>
      <c r="F208" s="52" t="str">
        <f>IF(Data!I203="","",Data!I203)</f>
        <v/>
      </c>
      <c r="G208" s="388"/>
      <c r="H208" s="389"/>
      <c r="I208" s="389"/>
      <c r="J208" s="389"/>
      <c r="K208" s="389"/>
      <c r="L208" s="389"/>
      <c r="M208" s="389"/>
      <c r="N208" s="390"/>
      <c r="O208" s="391" t="str">
        <f t="shared" si="147"/>
        <v/>
      </c>
      <c r="P208" s="389"/>
      <c r="Q208" s="392"/>
      <c r="R208" s="391" t="str">
        <f t="shared" si="148"/>
        <v/>
      </c>
      <c r="S208" s="393" t="str">
        <f>IF(R208="","",IF(R208&gt;Data2!$C$12,Data2!$D$11,IF(R208&gt;Data2!$C$13,Data2!$D$12,IF(R208&gt;Data2!$C$14,Data2!$D$13,Data2!$D$14))))</f>
        <v/>
      </c>
      <c r="T208" s="394">
        <f t="shared" si="149"/>
        <v>0</v>
      </c>
      <c r="U208" s="394">
        <f t="shared" si="150"/>
        <v>0</v>
      </c>
      <c r="V208" s="394" t="str">
        <f t="shared" si="158"/>
        <v>Mulai berkembang</v>
      </c>
      <c r="W208" s="394" t="str">
        <f t="shared" si="159"/>
        <v>Mulai berkembang</v>
      </c>
      <c r="X208" s="394" t="e">
        <f t="shared" si="151"/>
        <v>#N/A</v>
      </c>
      <c r="Y208" s="395" t="e">
        <f t="shared" si="152"/>
        <v>#N/A</v>
      </c>
      <c r="Z208" s="396" t="str">
        <f>IF('PA-Non'!O208&lt;&gt;"",'PA-Non'!O208,IFERROR("Mempunyai kemampuan yang " &amp;IF(V208=W208,PROPER(W208)&amp;" dalam kompetensi "&amp;VLOOKUP(X208,$G$532:$I$539,3)&amp;" dan kompetensi "&amp;VLOOKUP(Y208,$G$532:$I$539,3),PROPER(V208)&amp;" dalam kompetensi "&amp;VLOOKUP(X208,$G$532:$I$539,3)&amp;" dan memiliki kemampuan yang "&amp;W208&amp;" pada kompetensi "&amp;VLOOKUP(Y208,$G$532:$I$539,3)),""))</f>
        <v/>
      </c>
      <c r="AA208" s="388"/>
      <c r="AB208" s="389"/>
      <c r="AC208" s="389"/>
      <c r="AD208" s="389"/>
      <c r="AE208" s="389"/>
      <c r="AF208" s="389"/>
      <c r="AG208" s="389"/>
      <c r="AH208" s="390"/>
      <c r="AI208" s="397" t="str">
        <f t="shared" si="153"/>
        <v/>
      </c>
      <c r="AJ208" s="398" t="str">
        <f>IF(AI208="","",IF(AI208&gt;Data2!$C$12,Data2!$D$11,IF(AI208&gt;Data2!$C$13,Data2!$D$12,IF(AI208&gt;Data2!$C$14,Data2!$D$13,Data2!$D$14))))</f>
        <v/>
      </c>
      <c r="AK208" s="399">
        <f t="shared" si="154"/>
        <v>0</v>
      </c>
      <c r="AL208" s="399">
        <f t="shared" si="155"/>
        <v>0</v>
      </c>
      <c r="AM208" s="400" t="str">
        <f t="shared" si="160"/>
        <v>Mulai meningkat</v>
      </c>
      <c r="AN208" s="400" t="str">
        <f t="shared" si="161"/>
        <v>Mulai meningkat</v>
      </c>
      <c r="AO208" s="399" t="e">
        <f t="shared" si="156"/>
        <v>#N/A</v>
      </c>
      <c r="AP208" s="401" t="e">
        <f t="shared" si="157"/>
        <v>#N/A</v>
      </c>
      <c r="AQ208" s="402" t="str">
        <f>IF('PA-Non'!V208&lt;&gt;"",'PA-Non'!V208,IFERROR("Mempunyai keterampilan yang "&amp;IF(AM208=AN208,PROPER(AN208)&amp;" dalam kompetensi "&amp;VLOOKUP(AO208,$AA$532:$AC$539,3)&amp;", demikian juga dalam kompetensi "&amp;VLOOKUP(AP208,$AA$532:$AC$539,3),PROPER(AM208)&amp;" dalam kompetensi "&amp;VLOOKUP(AO208,$AA$532:$AC$539,3)&amp;" dan "&amp;AN208&amp;" pada kompetensi "&amp;VLOOKUP(AP208,$AA$532:$AC$539,3)),""))</f>
        <v/>
      </c>
      <c r="AR208" s="188"/>
    </row>
    <row r="209" spans="2:44" ht="27.9" customHeight="1" thickBot="1" x14ac:dyDescent="0.35">
      <c r="B209" s="365" t="s">
        <v>123</v>
      </c>
      <c r="C209" s="366" t="str">
        <f t="shared" si="146"/>
        <v/>
      </c>
      <c r="D209" s="367" t="str">
        <f>IF(Data!F204="","",Data!F204)</f>
        <v/>
      </c>
      <c r="E209" s="368" t="str">
        <f>IF(Data!H204="","",Data!H204)</f>
        <v/>
      </c>
      <c r="F209" s="369" t="str">
        <f>IF(Data!I204="","",Data!I204)</f>
        <v/>
      </c>
      <c r="G209" s="370"/>
      <c r="H209" s="371"/>
      <c r="I209" s="371"/>
      <c r="J209" s="371"/>
      <c r="K209" s="371"/>
      <c r="L209" s="371"/>
      <c r="M209" s="371"/>
      <c r="N209" s="372"/>
      <c r="O209" s="373" t="str">
        <f t="shared" si="147"/>
        <v/>
      </c>
      <c r="P209" s="371"/>
      <c r="Q209" s="374"/>
      <c r="R209" s="373" t="str">
        <f t="shared" si="148"/>
        <v/>
      </c>
      <c r="S209" s="375" t="str">
        <f>IF(R209="","",IF(R209&gt;Data2!$C$12,Data2!$D$11,IF(R209&gt;Data2!$C$13,Data2!$D$12,IF(R209&gt;Data2!$C$14,Data2!$D$13,Data2!$D$14))))</f>
        <v/>
      </c>
      <c r="T209" s="404">
        <f t="shared" si="149"/>
        <v>0</v>
      </c>
      <c r="U209" s="404">
        <f t="shared" si="150"/>
        <v>0</v>
      </c>
      <c r="V209" s="404" t="str">
        <f t="shared" si="158"/>
        <v>Mulai berkembang</v>
      </c>
      <c r="W209" s="404" t="str">
        <f t="shared" si="159"/>
        <v>Mulai berkembang</v>
      </c>
      <c r="X209" s="404" t="e">
        <f t="shared" si="151"/>
        <v>#N/A</v>
      </c>
      <c r="Y209" s="405" t="e">
        <f t="shared" si="152"/>
        <v>#N/A</v>
      </c>
      <c r="Z209" s="376" t="str">
        <f>IF('PA-Non'!O209&lt;&gt;"",'PA-Non'!O209,IFERROR("Mempunyai kemampuan yang " &amp;IF(V209=W209,PROPER(W209)&amp;" dalam kompetensi "&amp;VLOOKUP(X209,$G$532:$I$539,3)&amp;" dan kompetensi "&amp;VLOOKUP(Y209,$G$532:$I$539,3),PROPER(V209)&amp;" dalam kompetensi "&amp;VLOOKUP(X209,$G$532:$I$539,3)&amp;" dan memiliki kemampuan yang "&amp;W209&amp;" pada kompetensi "&amp;VLOOKUP(Y209,$G$532:$I$539,3)),""))</f>
        <v/>
      </c>
      <c r="AA209" s="370"/>
      <c r="AB209" s="371"/>
      <c r="AC209" s="371"/>
      <c r="AD209" s="371"/>
      <c r="AE209" s="371"/>
      <c r="AF209" s="371"/>
      <c r="AG209" s="371"/>
      <c r="AH209" s="372"/>
      <c r="AI209" s="377" t="str">
        <f t="shared" si="153"/>
        <v/>
      </c>
      <c r="AJ209" s="378" t="str">
        <f>IF(AI209="","",IF(AI209&gt;Data2!$C$12,Data2!$D$11,IF(AI209&gt;Data2!$C$13,Data2!$D$12,IF(AI209&gt;Data2!$C$14,Data2!$D$13,Data2!$D$14))))</f>
        <v/>
      </c>
      <c r="AK209" s="406">
        <f t="shared" si="154"/>
        <v>0</v>
      </c>
      <c r="AL209" s="406">
        <f t="shared" si="155"/>
        <v>0</v>
      </c>
      <c r="AM209" s="407" t="str">
        <f t="shared" si="160"/>
        <v>Mulai meningkat</v>
      </c>
      <c r="AN209" s="407" t="str">
        <f t="shared" si="161"/>
        <v>Mulai meningkat</v>
      </c>
      <c r="AO209" s="406" t="e">
        <f t="shared" si="156"/>
        <v>#N/A</v>
      </c>
      <c r="AP209" s="408" t="e">
        <f t="shared" si="157"/>
        <v>#N/A</v>
      </c>
      <c r="AQ209" s="409" t="str">
        <f>IF('PA-Non'!V209&lt;&gt;"",'PA-Non'!V209,IFERROR("Mempunyai keterampilan yang "&amp;IF(AM209=AN209,PROPER(AN209)&amp;" dalam kompetensi "&amp;VLOOKUP(AO209,$AA$532:$AC$539,3)&amp;", demikian juga dalam kompetensi "&amp;VLOOKUP(AP209,$AA$532:$AC$539,3),PROPER(AM209)&amp;" dalam kompetensi "&amp;VLOOKUP(AO209,$AA$532:$AC$539,3)&amp;" dan "&amp;AN209&amp;" pada kompetensi "&amp;VLOOKUP(AP209,$AA$532:$AC$539,3)),""))</f>
        <v/>
      </c>
      <c r="AR209" s="188"/>
    </row>
    <row r="210" spans="2:44" ht="27.9" customHeight="1" thickBot="1" x14ac:dyDescent="0.35">
      <c r="B210" s="383" t="s">
        <v>124</v>
      </c>
      <c r="C210" s="347">
        <v>1</v>
      </c>
      <c r="D210" s="348" t="str">
        <f>IF(Data!F205="","",Data!F205)</f>
        <v>03627</v>
      </c>
      <c r="E210" s="349" t="str">
        <f>IF(Data!H205="","",Data!H205)</f>
        <v>Afica Az-Zahra Kalila Bilqis</v>
      </c>
      <c r="F210" s="350" t="str">
        <f>IF(Data!I205="","",Data!I205)</f>
        <v>Perempuan</v>
      </c>
      <c r="G210" s="351">
        <v>80.099999999999994</v>
      </c>
      <c r="H210" s="352">
        <v>81</v>
      </c>
      <c r="I210" s="352">
        <v>79</v>
      </c>
      <c r="J210" s="352">
        <v>85</v>
      </c>
      <c r="K210" s="352">
        <v>80</v>
      </c>
      <c r="L210" s="352"/>
      <c r="M210" s="352"/>
      <c r="N210" s="353"/>
      <c r="O210" s="354">
        <f t="shared" ref="O210:O294" si="162">IF(COUNT(G210:N210)&lt;3,"",ROUND(SUM(G210:N210)/$O$6,0))</f>
        <v>68</v>
      </c>
      <c r="P210" s="352"/>
      <c r="Q210" s="355"/>
      <c r="R210" s="354" t="str">
        <f t="shared" ref="R210:R295" si="163">IFERROR(IF(OR(P210="",Q210=""),"",ROUND(((O210*$O$8)+(P210*$P$8)+(Q210*$Q$8))/$Q$6,0)),"")</f>
        <v/>
      </c>
      <c r="S210" s="356" t="str">
        <f>IF(R210="","",IF(R210&gt;Data2!$C$12,Data2!$D$11,IF(R210&gt;Data2!$C$13,Data2!$D$12,IF(R210&gt;Data2!$C$14,Data2!$D$13,Data2!$D$14))))</f>
        <v/>
      </c>
      <c r="T210" s="357">
        <f t="shared" ref="T210:T294" si="164">MAX(G210:N210)</f>
        <v>85</v>
      </c>
      <c r="U210" s="357">
        <f t="shared" ref="U210:U294" si="165">MIN(G210:N210)</f>
        <v>79</v>
      </c>
      <c r="V210" s="357" t="str">
        <f t="shared" si="158"/>
        <v>Cukup menguasai</v>
      </c>
      <c r="W210" s="357" t="str">
        <f t="shared" si="159"/>
        <v>Cukup menguasai</v>
      </c>
      <c r="X210" s="357">
        <f t="shared" ref="X210:X294" si="166">MATCH(T210,G210:N210,0)</f>
        <v>4</v>
      </c>
      <c r="Y210" s="358">
        <f t="shared" ref="Y210:Y294" si="167">MATCH(U210,G210:N210,0)</f>
        <v>3</v>
      </c>
      <c r="Z210" s="359" t="str">
        <f>IF('PA-Non'!O210&lt;&gt;"",'PA-Non'!O210,IFERROR("Mempunyai kemampuan yang " &amp;IF(V210=W210,PROPER(W210)&amp;" dalam kompetensi "&amp;VLOOKUP(X210,$G$532:$I$539,3)&amp;" dan kompetensi "&amp;VLOOKUP(Y210,$G$532:$I$539,3),PROPER(V210)&amp;" dalam kompetensi "&amp;VLOOKUP(X210,$G$532:$I$539,3)&amp;" dan memiliki kemampuan yang "&amp;W210&amp;" pada kompetensi "&amp;VLOOKUP(Y210,$G$532:$I$539,3)),""))</f>
        <v>Mempunyai kemampuan yang Cukup Menguasai dalam kompetensi KD Pengetahuan-4 dan kompetensi KD Pengetahuan-3</v>
      </c>
      <c r="AA210" s="351"/>
      <c r="AB210" s="352"/>
      <c r="AC210" s="352"/>
      <c r="AD210" s="352"/>
      <c r="AE210" s="352"/>
      <c r="AF210" s="352"/>
      <c r="AG210" s="352"/>
      <c r="AH210" s="353"/>
      <c r="AI210" s="360" t="str">
        <f t="shared" ref="AI210:AI294" si="168">IF(COUNT(AA210:AH210)&lt;3,"",ROUND(((AA210*$AA$8)+(AB210*$AB$8)+(AC210*$AC$8)+(AD210*$AD$8)+(AE210*$AE$8)+(AF210*$AF$8)+(AG210*$AG$8)+(AH210*$AH$8))/$AI$6,0))</f>
        <v/>
      </c>
      <c r="AJ210" s="361" t="str">
        <f>IF(AI210="","",IF(AI210&gt;Data2!$C$12,Data2!$D$11,IF(AI210&gt;Data2!$C$13,Data2!$D$12,IF(AI210&gt;Data2!$C$14,Data2!$D$13,Data2!$D$14))))</f>
        <v/>
      </c>
      <c r="AK210" s="362">
        <f t="shared" ref="AK210:AK294" si="169">MAX(AA210:AH210)</f>
        <v>0</v>
      </c>
      <c r="AL210" s="362">
        <f t="shared" ref="AL210:AL294" si="170">MIN(AA210:AH210)</f>
        <v>0</v>
      </c>
      <c r="AM210" s="363" t="str">
        <f t="shared" si="160"/>
        <v>Mulai meningkat</v>
      </c>
      <c r="AN210" s="363" t="str">
        <f t="shared" si="161"/>
        <v>Mulai meningkat</v>
      </c>
      <c r="AO210" s="362" t="e">
        <f t="shared" ref="AO210:AO294" si="171">MATCH(AK210,AA210:AH210,0)</f>
        <v>#N/A</v>
      </c>
      <c r="AP210" s="364" t="e">
        <f t="shared" ref="AP210:AP294" si="172">MATCH(AL210,AA210:AH210,0)</f>
        <v>#N/A</v>
      </c>
      <c r="AQ210" s="403" t="str">
        <f>IF('PA-Non'!V210&lt;&gt;"",'PA-Non'!V210,IFERROR("Mempunyai keterampilan yang "&amp;IF(AM210=AN210,PROPER(AN210)&amp;" dalam kompetensi "&amp;VLOOKUP(AO210,$AA$532:$AC$539,3)&amp;", demikian juga dalam kompetensi "&amp;VLOOKUP(AP210,$AA$532:$AC$539,3),PROPER(AM210)&amp;" dalam kompetensi "&amp;VLOOKUP(AO210,$AA$532:$AC$539,3)&amp;" dan "&amp;AN210&amp;" pada kompetensi "&amp;VLOOKUP(AP210,$AA$532:$AC$539,3)),""))</f>
        <v/>
      </c>
      <c r="AR210" s="188"/>
    </row>
    <row r="211" spans="2:44" ht="27.9" customHeight="1" thickBot="1" x14ac:dyDescent="0.35">
      <c r="B211" s="384" t="s">
        <v>124</v>
      </c>
      <c r="C211" s="149">
        <f t="shared" ref="C211:C301" si="173">IF(E211="","",C210+1)</f>
        <v>2</v>
      </c>
      <c r="D211" s="150" t="str">
        <f>IF(Data!F206="","",Data!F206)</f>
        <v>03628</v>
      </c>
      <c r="E211" s="151" t="str">
        <f>IF(Data!H206="","",Data!H206)</f>
        <v>Afika Cahaya Anggraini</v>
      </c>
      <c r="F211" s="152" t="str">
        <f>IF(Data!I206="","",Data!I206)</f>
        <v>Perempuan</v>
      </c>
      <c r="G211" s="343">
        <v>80.099999999999994</v>
      </c>
      <c r="H211" s="344">
        <v>81</v>
      </c>
      <c r="I211" s="344">
        <v>83</v>
      </c>
      <c r="J211" s="344">
        <v>85</v>
      </c>
      <c r="K211" s="344">
        <v>80</v>
      </c>
      <c r="L211" s="344"/>
      <c r="M211" s="344"/>
      <c r="N211" s="345"/>
      <c r="O211" s="157">
        <f t="shared" si="162"/>
        <v>68</v>
      </c>
      <c r="P211" s="344"/>
      <c r="Q211" s="346"/>
      <c r="R211" s="157" t="str">
        <f t="shared" si="163"/>
        <v/>
      </c>
      <c r="S211" s="159" t="str">
        <f>IF(R211="","",IF(R211&gt;Data2!$C$12,Data2!$D$11,IF(R211&gt;Data2!$C$13,Data2!$D$12,IF(R211&gt;Data2!$C$14,Data2!$D$13,Data2!$D$14))))</f>
        <v/>
      </c>
      <c r="T211" s="144">
        <f t="shared" si="164"/>
        <v>85</v>
      </c>
      <c r="U211" s="144">
        <f t="shared" si="165"/>
        <v>80</v>
      </c>
      <c r="V211" s="144" t="str">
        <f t="shared" si="158"/>
        <v>Cukup menguasai</v>
      </c>
      <c r="W211" s="144" t="str">
        <f t="shared" si="159"/>
        <v>Cukup menguasai</v>
      </c>
      <c r="X211" s="144">
        <f t="shared" si="166"/>
        <v>4</v>
      </c>
      <c r="Y211" s="145">
        <f t="shared" si="167"/>
        <v>5</v>
      </c>
      <c r="Z211" s="218" t="str">
        <f>IF('PA-Non'!O211&lt;&gt;"",'PA-Non'!O211,IFERROR("Mempunyai kemampuan yang " &amp;IF(V211=W211,PROPER(W211)&amp;" dalam kompetensi "&amp;VLOOKUP(X211,$G$532:$I$539,3)&amp;" dan kompetensi "&amp;VLOOKUP(Y211,$G$532:$I$539,3),PROPER(V211)&amp;" dalam kompetensi "&amp;VLOOKUP(X211,$G$532:$I$539,3)&amp;" dan memiliki kemampuan yang "&amp;W211&amp;" pada kompetensi "&amp;VLOOKUP(Y211,$G$532:$I$539,3)),""))</f>
        <v>Mempunyai kemampuan yang Cukup Menguasai dalam kompetensi KD Pengetahuan-4 dan kompetensi KD Pengetahuan-5</v>
      </c>
      <c r="AA211" s="343"/>
      <c r="AB211" s="344"/>
      <c r="AC211" s="344"/>
      <c r="AD211" s="344"/>
      <c r="AE211" s="344"/>
      <c r="AF211" s="344"/>
      <c r="AG211" s="344"/>
      <c r="AH211" s="345"/>
      <c r="AI211" s="220" t="str">
        <f t="shared" si="168"/>
        <v/>
      </c>
      <c r="AJ211" s="160" t="str">
        <f>IF(AI211="","",IF(AI211&gt;Data2!$C$12,Data2!$D$11,IF(AI211&gt;Data2!$C$13,Data2!$D$12,IF(AI211&gt;Data2!$C$14,Data2!$D$13,Data2!$D$14))))</f>
        <v/>
      </c>
      <c r="AK211" s="146">
        <f t="shared" si="169"/>
        <v>0</v>
      </c>
      <c r="AL211" s="146">
        <f t="shared" si="170"/>
        <v>0</v>
      </c>
      <c r="AM211" s="147" t="str">
        <f t="shared" si="160"/>
        <v>Mulai meningkat</v>
      </c>
      <c r="AN211" s="147" t="str">
        <f t="shared" si="161"/>
        <v>Mulai meningkat</v>
      </c>
      <c r="AO211" s="146" t="e">
        <f t="shared" si="171"/>
        <v>#N/A</v>
      </c>
      <c r="AP211" s="148" t="e">
        <f t="shared" si="172"/>
        <v>#N/A</v>
      </c>
      <c r="AQ211" s="158" t="str">
        <f>IF('PA-Non'!V211&lt;&gt;"",'PA-Non'!V211,IFERROR("Mempunyai keterampilan yang "&amp;IF(AM211=AN211,PROPER(AN211)&amp;" dalam kompetensi "&amp;VLOOKUP(AO211,$AA$532:$AC$539,3)&amp;", demikian juga dalam kompetensi "&amp;VLOOKUP(AP211,$AA$532:$AC$539,3),PROPER(AM211)&amp;" dalam kompetensi "&amp;VLOOKUP(AO211,$AA$532:$AC$539,3)&amp;" dan "&amp;AN211&amp;" pada kompetensi "&amp;VLOOKUP(AP211,$AA$532:$AC$539,3)),""))</f>
        <v/>
      </c>
      <c r="AR211" s="188"/>
    </row>
    <row r="212" spans="2:44" ht="27.9" customHeight="1" thickBot="1" x14ac:dyDescent="0.35">
      <c r="B212" s="384" t="s">
        <v>124</v>
      </c>
      <c r="C212" s="149">
        <f t="shared" si="173"/>
        <v>3</v>
      </c>
      <c r="D212" s="150" t="str">
        <f>IF(Data!F207="","",Data!F207)</f>
        <v>03631</v>
      </c>
      <c r="E212" s="151" t="str">
        <f>IF(Data!H207="","",Data!H207)</f>
        <v>Amanda Kurnia Nur Afifah</v>
      </c>
      <c r="F212" s="152" t="str">
        <f>IF(Data!I207="","",Data!I207)</f>
        <v>Perempuan</v>
      </c>
      <c r="G212" s="343">
        <v>80</v>
      </c>
      <c r="H212" s="344">
        <v>83</v>
      </c>
      <c r="I212" s="344">
        <v>85</v>
      </c>
      <c r="J212" s="344">
        <v>86</v>
      </c>
      <c r="K212" s="344">
        <v>82</v>
      </c>
      <c r="L212" s="344"/>
      <c r="M212" s="344"/>
      <c r="N212" s="345"/>
      <c r="O212" s="157">
        <f t="shared" si="162"/>
        <v>69</v>
      </c>
      <c r="P212" s="344"/>
      <c r="Q212" s="346"/>
      <c r="R212" s="157" t="str">
        <f t="shared" si="163"/>
        <v/>
      </c>
      <c r="S212" s="159" t="str">
        <f>IF(R212="","",IF(R212&gt;Data2!$C$12,Data2!$D$11,IF(R212&gt;Data2!$C$13,Data2!$D$12,IF(R212&gt;Data2!$C$14,Data2!$D$13,Data2!$D$14))))</f>
        <v/>
      </c>
      <c r="T212" s="144">
        <f t="shared" si="164"/>
        <v>86</v>
      </c>
      <c r="U212" s="144">
        <f t="shared" si="165"/>
        <v>80</v>
      </c>
      <c r="V212" s="144" t="str">
        <f t="shared" si="158"/>
        <v>Baik</v>
      </c>
      <c r="W212" s="144" t="str">
        <f t="shared" si="159"/>
        <v>Cukup menguasai</v>
      </c>
      <c r="X212" s="144">
        <f t="shared" si="166"/>
        <v>4</v>
      </c>
      <c r="Y212" s="145">
        <f t="shared" si="167"/>
        <v>1</v>
      </c>
      <c r="Z212" s="218" t="str">
        <f>IF('PA-Non'!O212&lt;&gt;"",'PA-Non'!O212,IFERROR("Mempunyai kemampuan yang " &amp;IF(V212=W212,PROPER(W212)&amp;" dalam kompetensi "&amp;VLOOKUP(X212,$G$532:$I$539,3)&amp;" dan kompetensi "&amp;VLOOKUP(Y212,$G$532:$I$539,3),PROPER(V212)&amp;" dalam kompetensi "&amp;VLOOKUP(X212,$G$532:$I$539,3)&amp;" dan memiliki kemampuan yang "&amp;W212&amp;" pada kompetensi "&amp;VLOOKUP(Y212,$G$532:$I$539,3)),""))</f>
        <v>Mempunyai kemampuan yang Baik dalam kompetensi KD Pengetahuan-4 dan memiliki kemampuan yang Cukup menguasai pada kompetensi KD Pengetahuan-1</v>
      </c>
      <c r="AA212" s="343"/>
      <c r="AB212" s="344"/>
      <c r="AC212" s="344"/>
      <c r="AD212" s="344"/>
      <c r="AE212" s="344"/>
      <c r="AF212" s="344"/>
      <c r="AG212" s="344"/>
      <c r="AH212" s="345"/>
      <c r="AI212" s="220" t="str">
        <f t="shared" si="168"/>
        <v/>
      </c>
      <c r="AJ212" s="160" t="str">
        <f>IF(AI212="","",IF(AI212&gt;Data2!$C$12,Data2!$D$11,IF(AI212&gt;Data2!$C$13,Data2!$D$12,IF(AI212&gt;Data2!$C$14,Data2!$D$13,Data2!$D$14))))</f>
        <v/>
      </c>
      <c r="AK212" s="146">
        <f t="shared" si="169"/>
        <v>0</v>
      </c>
      <c r="AL212" s="146">
        <f t="shared" si="170"/>
        <v>0</v>
      </c>
      <c r="AM212" s="147" t="str">
        <f t="shared" si="160"/>
        <v>Mulai meningkat</v>
      </c>
      <c r="AN212" s="147" t="str">
        <f t="shared" si="161"/>
        <v>Mulai meningkat</v>
      </c>
      <c r="AO212" s="146" t="e">
        <f t="shared" si="171"/>
        <v>#N/A</v>
      </c>
      <c r="AP212" s="148" t="e">
        <f t="shared" si="172"/>
        <v>#N/A</v>
      </c>
      <c r="AQ212" s="158" t="str">
        <f>IF('PA-Non'!V212&lt;&gt;"",'PA-Non'!V212,IFERROR("Mempunyai keterampilan yang "&amp;IF(AM212=AN212,PROPER(AN212)&amp;" dalam kompetensi "&amp;VLOOKUP(AO212,$AA$532:$AC$539,3)&amp;", demikian juga dalam kompetensi "&amp;VLOOKUP(AP212,$AA$532:$AC$539,3),PROPER(AM212)&amp;" dalam kompetensi "&amp;VLOOKUP(AO212,$AA$532:$AC$539,3)&amp;" dan "&amp;AN212&amp;" pada kompetensi "&amp;VLOOKUP(AP212,$AA$532:$AC$539,3)),""))</f>
        <v/>
      </c>
      <c r="AR212" s="188"/>
    </row>
    <row r="213" spans="2:44" ht="27.9" customHeight="1" thickBot="1" x14ac:dyDescent="0.35">
      <c r="B213" s="384" t="s">
        <v>124</v>
      </c>
      <c r="C213" s="149">
        <f t="shared" si="173"/>
        <v>4</v>
      </c>
      <c r="D213" s="150" t="str">
        <f>IF(Data!F208="","",Data!F208)</f>
        <v>03634</v>
      </c>
      <c r="E213" s="151" t="str">
        <f>IF(Data!H208="","",Data!H208)</f>
        <v>Anna Ollivia</v>
      </c>
      <c r="F213" s="152" t="str">
        <f>IF(Data!I208="","",Data!I208)</f>
        <v>Perempuan</v>
      </c>
      <c r="G213" s="343">
        <v>83</v>
      </c>
      <c r="H213" s="344">
        <v>85</v>
      </c>
      <c r="I213" s="344">
        <v>86</v>
      </c>
      <c r="J213" s="344">
        <v>80</v>
      </c>
      <c r="K213" s="344">
        <v>81</v>
      </c>
      <c r="L213" s="344"/>
      <c r="M213" s="344"/>
      <c r="N213" s="345"/>
      <c r="O213" s="157">
        <f t="shared" si="162"/>
        <v>69</v>
      </c>
      <c r="P213" s="344"/>
      <c r="Q213" s="346"/>
      <c r="R213" s="157" t="str">
        <f t="shared" si="163"/>
        <v/>
      </c>
      <c r="S213" s="159" t="str">
        <f>IF(R213="","",IF(R213&gt;Data2!$C$12,Data2!$D$11,IF(R213&gt;Data2!$C$13,Data2!$D$12,IF(R213&gt;Data2!$C$14,Data2!$D$13,Data2!$D$14))))</f>
        <v/>
      </c>
      <c r="T213" s="144">
        <f t="shared" si="164"/>
        <v>86</v>
      </c>
      <c r="U213" s="144">
        <f t="shared" si="165"/>
        <v>80</v>
      </c>
      <c r="V213" s="144" t="str">
        <f t="shared" si="158"/>
        <v>Baik</v>
      </c>
      <c r="W213" s="144" t="str">
        <f t="shared" si="159"/>
        <v>Cukup menguasai</v>
      </c>
      <c r="X213" s="144">
        <f t="shared" si="166"/>
        <v>3</v>
      </c>
      <c r="Y213" s="145">
        <f t="shared" si="167"/>
        <v>4</v>
      </c>
      <c r="Z213" s="218" t="str">
        <f>IF('PA-Non'!O213&lt;&gt;"",'PA-Non'!O213,IFERROR("Mempunyai kemampuan yang " &amp;IF(V213=W213,PROPER(W213)&amp;" dalam kompetensi "&amp;VLOOKUP(X213,$G$532:$I$539,3)&amp;" dan kompetensi "&amp;VLOOKUP(Y213,$G$532:$I$539,3),PROPER(V213)&amp;" dalam kompetensi "&amp;VLOOKUP(X213,$G$532:$I$539,3)&amp;" dan memiliki kemampuan yang "&amp;W213&amp;" pada kompetensi "&amp;VLOOKUP(Y213,$G$532:$I$539,3)),""))</f>
        <v>Mempunyai kemampuan yang Baik dalam kompetensi KD Pengetahuan-3 dan memiliki kemampuan yang Cukup menguasai pada kompetensi KD Pengetahuan-4</v>
      </c>
      <c r="AA213" s="343"/>
      <c r="AB213" s="344"/>
      <c r="AC213" s="344"/>
      <c r="AD213" s="344"/>
      <c r="AE213" s="344"/>
      <c r="AF213" s="344"/>
      <c r="AG213" s="344"/>
      <c r="AH213" s="345"/>
      <c r="AI213" s="220" t="str">
        <f t="shared" si="168"/>
        <v/>
      </c>
      <c r="AJ213" s="160" t="str">
        <f>IF(AI213="","",IF(AI213&gt;Data2!$C$12,Data2!$D$11,IF(AI213&gt;Data2!$C$13,Data2!$D$12,IF(AI213&gt;Data2!$C$14,Data2!$D$13,Data2!$D$14))))</f>
        <v/>
      </c>
      <c r="AK213" s="146">
        <f t="shared" si="169"/>
        <v>0</v>
      </c>
      <c r="AL213" s="146">
        <f t="shared" si="170"/>
        <v>0</v>
      </c>
      <c r="AM213" s="147" t="str">
        <f t="shared" si="160"/>
        <v>Mulai meningkat</v>
      </c>
      <c r="AN213" s="147" t="str">
        <f t="shared" si="161"/>
        <v>Mulai meningkat</v>
      </c>
      <c r="AO213" s="146" t="e">
        <f t="shared" si="171"/>
        <v>#N/A</v>
      </c>
      <c r="AP213" s="148" t="e">
        <f t="shared" si="172"/>
        <v>#N/A</v>
      </c>
      <c r="AQ213" s="158" t="str">
        <f>IF('PA-Non'!V213&lt;&gt;"",'PA-Non'!V213,IFERROR("Mempunyai keterampilan yang "&amp;IF(AM213=AN213,PROPER(AN213)&amp;" dalam kompetensi "&amp;VLOOKUP(AO213,$AA$532:$AC$539,3)&amp;", demikian juga dalam kompetensi "&amp;VLOOKUP(AP213,$AA$532:$AC$539,3),PROPER(AM213)&amp;" dalam kompetensi "&amp;VLOOKUP(AO213,$AA$532:$AC$539,3)&amp;" dan "&amp;AN213&amp;" pada kompetensi "&amp;VLOOKUP(AP213,$AA$532:$AC$539,3)),""))</f>
        <v/>
      </c>
      <c r="AR213" s="188"/>
    </row>
    <row r="214" spans="2:44" ht="27.9" customHeight="1" thickBot="1" x14ac:dyDescent="0.35">
      <c r="B214" s="384" t="s">
        <v>124</v>
      </c>
      <c r="C214" s="149">
        <f t="shared" si="173"/>
        <v>5</v>
      </c>
      <c r="D214" s="150" t="str">
        <f>IF(Data!F209="","",Data!F209)</f>
        <v>03637</v>
      </c>
      <c r="E214" s="151" t="str">
        <f>IF(Data!H209="","",Data!H209)</f>
        <v>Aqilatus Syahiro</v>
      </c>
      <c r="F214" s="152" t="str">
        <f>IF(Data!I209="","",Data!I209)</f>
        <v>Perempuan</v>
      </c>
      <c r="G214" s="343">
        <v>95</v>
      </c>
      <c r="H214" s="344">
        <v>85</v>
      </c>
      <c r="I214" s="344">
        <v>86</v>
      </c>
      <c r="J214" s="344">
        <v>80</v>
      </c>
      <c r="K214" s="344">
        <v>81</v>
      </c>
      <c r="L214" s="344"/>
      <c r="M214" s="344"/>
      <c r="N214" s="345"/>
      <c r="O214" s="157">
        <f t="shared" si="162"/>
        <v>71</v>
      </c>
      <c r="P214" s="344"/>
      <c r="Q214" s="346"/>
      <c r="R214" s="157" t="str">
        <f t="shared" si="163"/>
        <v/>
      </c>
      <c r="S214" s="159" t="str">
        <f>IF(R214="","",IF(R214&gt;Data2!$C$12,Data2!$D$11,IF(R214&gt;Data2!$C$13,Data2!$D$12,IF(R214&gt;Data2!$C$14,Data2!$D$13,Data2!$D$14))))</f>
        <v/>
      </c>
      <c r="T214" s="144">
        <f t="shared" si="164"/>
        <v>95</v>
      </c>
      <c r="U214" s="144">
        <f t="shared" si="165"/>
        <v>80</v>
      </c>
      <c r="V214" s="144" t="str">
        <f t="shared" si="158"/>
        <v>Sangat baik</v>
      </c>
      <c r="W214" s="144" t="str">
        <f t="shared" si="159"/>
        <v>Cukup menguasai</v>
      </c>
      <c r="X214" s="144">
        <f t="shared" si="166"/>
        <v>1</v>
      </c>
      <c r="Y214" s="145">
        <f t="shared" si="167"/>
        <v>4</v>
      </c>
      <c r="Z214" s="218" t="str">
        <f>IF('PA-Non'!O214&lt;&gt;"",'PA-Non'!O214,IFERROR("Mempunyai kemampuan yang " &amp;IF(V214=W214,PROPER(W214)&amp;" dalam kompetensi "&amp;VLOOKUP(X214,$G$532:$I$539,3)&amp;" dan kompetensi "&amp;VLOOKUP(Y214,$G$532:$I$539,3),PROPER(V214)&amp;" dalam kompetensi "&amp;VLOOKUP(X214,$G$532:$I$539,3)&amp;" dan memiliki kemampuan yang "&amp;W214&amp;" pada kompetensi "&amp;VLOOKUP(Y214,$G$532:$I$539,3)),""))</f>
        <v>Mempunyai kemampuan yang Sangat Baik dalam kompetensi KD Pengetahuan-1 dan memiliki kemampuan yang Cukup menguasai pada kompetensi KD Pengetahuan-4</v>
      </c>
      <c r="AA214" s="343"/>
      <c r="AB214" s="344"/>
      <c r="AC214" s="344"/>
      <c r="AD214" s="344"/>
      <c r="AE214" s="344"/>
      <c r="AF214" s="344"/>
      <c r="AG214" s="344"/>
      <c r="AH214" s="345"/>
      <c r="AI214" s="220" t="str">
        <f t="shared" si="168"/>
        <v/>
      </c>
      <c r="AJ214" s="160" t="str">
        <f>IF(AI214="","",IF(AI214&gt;Data2!$C$12,Data2!$D$11,IF(AI214&gt;Data2!$C$13,Data2!$D$12,IF(AI214&gt;Data2!$C$14,Data2!$D$13,Data2!$D$14))))</f>
        <v/>
      </c>
      <c r="AK214" s="146">
        <f t="shared" si="169"/>
        <v>0</v>
      </c>
      <c r="AL214" s="146">
        <f t="shared" si="170"/>
        <v>0</v>
      </c>
      <c r="AM214" s="147" t="str">
        <f t="shared" si="160"/>
        <v>Mulai meningkat</v>
      </c>
      <c r="AN214" s="147" t="str">
        <f t="shared" si="161"/>
        <v>Mulai meningkat</v>
      </c>
      <c r="AO214" s="146" t="e">
        <f t="shared" si="171"/>
        <v>#N/A</v>
      </c>
      <c r="AP214" s="148" t="e">
        <f t="shared" si="172"/>
        <v>#N/A</v>
      </c>
      <c r="AQ214" s="158" t="str">
        <f>IF('PA-Non'!V214&lt;&gt;"",'PA-Non'!V214,IFERROR("Mempunyai keterampilan yang "&amp;IF(AM214=AN214,PROPER(AN214)&amp;" dalam kompetensi "&amp;VLOOKUP(AO214,$AA$532:$AC$539,3)&amp;", demikian juga dalam kompetensi "&amp;VLOOKUP(AP214,$AA$532:$AC$539,3),PROPER(AM214)&amp;" dalam kompetensi "&amp;VLOOKUP(AO214,$AA$532:$AC$539,3)&amp;" dan "&amp;AN214&amp;" pada kompetensi "&amp;VLOOKUP(AP214,$AA$532:$AC$539,3)),""))</f>
        <v/>
      </c>
      <c r="AR214" s="188"/>
    </row>
    <row r="215" spans="2:44" ht="27.9" customHeight="1" thickBot="1" x14ac:dyDescent="0.35">
      <c r="B215" s="384" t="s">
        <v>124</v>
      </c>
      <c r="C215" s="149">
        <f t="shared" si="173"/>
        <v>6</v>
      </c>
      <c r="D215" s="150" t="str">
        <f>IF(Data!F210="","",Data!F210)</f>
        <v>03638</v>
      </c>
      <c r="E215" s="151" t="str">
        <f>IF(Data!H210="","",Data!H210)</f>
        <v>Ardian Pramesti Regita Cahyani</v>
      </c>
      <c r="F215" s="152" t="str">
        <f>IF(Data!I210="","",Data!I210)</f>
        <v>Perempuan</v>
      </c>
      <c r="G215" s="343">
        <v>89</v>
      </c>
      <c r="H215" s="344">
        <v>85.1</v>
      </c>
      <c r="I215" s="344">
        <v>83</v>
      </c>
      <c r="J215" s="344">
        <v>85</v>
      </c>
      <c r="K215" s="344">
        <v>86</v>
      </c>
      <c r="L215" s="344"/>
      <c r="M215" s="344"/>
      <c r="N215" s="345"/>
      <c r="O215" s="157">
        <f t="shared" si="162"/>
        <v>71</v>
      </c>
      <c r="P215" s="344"/>
      <c r="Q215" s="346"/>
      <c r="R215" s="157" t="str">
        <f t="shared" si="163"/>
        <v/>
      </c>
      <c r="S215" s="159" t="str">
        <f>IF(R215="","",IF(R215&gt;Data2!$C$12,Data2!$D$11,IF(R215&gt;Data2!$C$13,Data2!$D$12,IF(R215&gt;Data2!$C$14,Data2!$D$13,Data2!$D$14))))</f>
        <v/>
      </c>
      <c r="T215" s="144">
        <f t="shared" si="164"/>
        <v>89</v>
      </c>
      <c r="U215" s="144">
        <f t="shared" si="165"/>
        <v>83</v>
      </c>
      <c r="V215" s="144" t="str">
        <f t="shared" si="158"/>
        <v>Baik</v>
      </c>
      <c r="W215" s="144" t="str">
        <f t="shared" si="159"/>
        <v>Cukup menguasai</v>
      </c>
      <c r="X215" s="144">
        <f t="shared" si="166"/>
        <v>1</v>
      </c>
      <c r="Y215" s="145">
        <f t="shared" si="167"/>
        <v>3</v>
      </c>
      <c r="Z215" s="218" t="str">
        <f>IF('PA-Non'!O215&lt;&gt;"",'PA-Non'!O215,IFERROR("Mempunyai kemampuan yang " &amp;IF(V215=W215,PROPER(W215)&amp;" dalam kompetensi "&amp;VLOOKUP(X215,$G$532:$I$539,3)&amp;" dan kompetensi "&amp;VLOOKUP(Y215,$G$532:$I$539,3),PROPER(V215)&amp;" dalam kompetensi "&amp;VLOOKUP(X215,$G$532:$I$539,3)&amp;" dan memiliki kemampuan yang "&amp;W215&amp;" pada kompetensi "&amp;VLOOKUP(Y215,$G$532:$I$539,3)),""))</f>
        <v>Mempunyai kemampuan yang Baik dalam kompetensi KD Pengetahuan-1 dan memiliki kemampuan yang Cukup menguasai pada kompetensi KD Pengetahuan-3</v>
      </c>
      <c r="AA215" s="343"/>
      <c r="AB215" s="344"/>
      <c r="AC215" s="344"/>
      <c r="AD215" s="344"/>
      <c r="AE215" s="344"/>
      <c r="AF215" s="344"/>
      <c r="AG215" s="344"/>
      <c r="AH215" s="345"/>
      <c r="AI215" s="220" t="str">
        <f t="shared" si="168"/>
        <v/>
      </c>
      <c r="AJ215" s="160" t="str">
        <f>IF(AI215="","",IF(AI215&gt;Data2!$C$12,Data2!$D$11,IF(AI215&gt;Data2!$C$13,Data2!$D$12,IF(AI215&gt;Data2!$C$14,Data2!$D$13,Data2!$D$14))))</f>
        <v/>
      </c>
      <c r="AK215" s="146">
        <f t="shared" si="169"/>
        <v>0</v>
      </c>
      <c r="AL215" s="146">
        <f t="shared" si="170"/>
        <v>0</v>
      </c>
      <c r="AM215" s="147" t="str">
        <f t="shared" si="160"/>
        <v>Mulai meningkat</v>
      </c>
      <c r="AN215" s="147" t="str">
        <f t="shared" si="161"/>
        <v>Mulai meningkat</v>
      </c>
      <c r="AO215" s="146" t="e">
        <f t="shared" si="171"/>
        <v>#N/A</v>
      </c>
      <c r="AP215" s="148" t="e">
        <f t="shared" si="172"/>
        <v>#N/A</v>
      </c>
      <c r="AQ215" s="158" t="str">
        <f>IF('PA-Non'!V215&lt;&gt;"",'PA-Non'!V215,IFERROR("Mempunyai keterampilan yang "&amp;IF(AM215=AN215,PROPER(AN215)&amp;" dalam kompetensi "&amp;VLOOKUP(AO215,$AA$532:$AC$539,3)&amp;", demikian juga dalam kompetensi "&amp;VLOOKUP(AP215,$AA$532:$AC$539,3),PROPER(AM215)&amp;" dalam kompetensi "&amp;VLOOKUP(AO215,$AA$532:$AC$539,3)&amp;" dan "&amp;AN215&amp;" pada kompetensi "&amp;VLOOKUP(AP215,$AA$532:$AC$539,3)),""))</f>
        <v/>
      </c>
      <c r="AR215" s="188"/>
    </row>
    <row r="216" spans="2:44" ht="27.9" customHeight="1" thickBot="1" x14ac:dyDescent="0.35">
      <c r="B216" s="384" t="s">
        <v>124</v>
      </c>
      <c r="C216" s="149">
        <f t="shared" si="173"/>
        <v>7</v>
      </c>
      <c r="D216" s="150" t="str">
        <f>IF(Data!F211="","",Data!F211)</f>
        <v>03652</v>
      </c>
      <c r="E216" s="151" t="str">
        <f>IF(Data!H211="","",Data!H211)</f>
        <v>Chika Ramadhani Nur Khomariyah</v>
      </c>
      <c r="F216" s="152" t="str">
        <f>IF(Data!I211="","",Data!I211)</f>
        <v>Perempuan</v>
      </c>
      <c r="G216" s="343">
        <v>83.1</v>
      </c>
      <c r="H216" s="344">
        <v>85</v>
      </c>
      <c r="I216" s="344">
        <v>80.2</v>
      </c>
      <c r="J216" s="344">
        <v>83</v>
      </c>
      <c r="K216" s="344">
        <v>80</v>
      </c>
      <c r="L216" s="344"/>
      <c r="M216" s="344"/>
      <c r="N216" s="345"/>
      <c r="O216" s="157">
        <f t="shared" si="162"/>
        <v>69</v>
      </c>
      <c r="P216" s="344"/>
      <c r="Q216" s="346"/>
      <c r="R216" s="157" t="str">
        <f t="shared" si="163"/>
        <v/>
      </c>
      <c r="S216" s="159" t="str">
        <f>IF(R216="","",IF(R216&gt;Data2!$C$12,Data2!$D$11,IF(R216&gt;Data2!$C$13,Data2!$D$12,IF(R216&gt;Data2!$C$14,Data2!$D$13,Data2!$D$14))))</f>
        <v/>
      </c>
      <c r="T216" s="144">
        <f t="shared" si="164"/>
        <v>85</v>
      </c>
      <c r="U216" s="144">
        <f t="shared" si="165"/>
        <v>80</v>
      </c>
      <c r="V216" s="144" t="str">
        <f t="shared" si="158"/>
        <v>Cukup menguasai</v>
      </c>
      <c r="W216" s="144" t="str">
        <f t="shared" si="159"/>
        <v>Cukup menguasai</v>
      </c>
      <c r="X216" s="144">
        <f t="shared" si="166"/>
        <v>2</v>
      </c>
      <c r="Y216" s="145">
        <f t="shared" si="167"/>
        <v>5</v>
      </c>
      <c r="Z216" s="218" t="str">
        <f>IF('PA-Non'!O216&lt;&gt;"",'PA-Non'!O216,IFERROR("Mempunyai kemampuan yang " &amp;IF(V216=W216,PROPER(W216)&amp;" dalam kompetensi "&amp;VLOOKUP(X216,$G$532:$I$539,3)&amp;" dan kompetensi "&amp;VLOOKUP(Y216,$G$532:$I$539,3),PROPER(V216)&amp;" dalam kompetensi "&amp;VLOOKUP(X216,$G$532:$I$539,3)&amp;" dan memiliki kemampuan yang "&amp;W216&amp;" pada kompetensi "&amp;VLOOKUP(Y216,$G$532:$I$539,3)),""))</f>
        <v>Mempunyai kemampuan yang Cukup Menguasai dalam kompetensi KD Pengetahuan-2 dan kompetensi KD Pengetahuan-5</v>
      </c>
      <c r="AA216" s="343"/>
      <c r="AB216" s="344"/>
      <c r="AC216" s="344"/>
      <c r="AD216" s="344"/>
      <c r="AE216" s="344"/>
      <c r="AF216" s="344"/>
      <c r="AG216" s="344"/>
      <c r="AH216" s="345"/>
      <c r="AI216" s="220" t="str">
        <f t="shared" si="168"/>
        <v/>
      </c>
      <c r="AJ216" s="160" t="str">
        <f>IF(AI216="","",IF(AI216&gt;Data2!$C$12,Data2!$D$11,IF(AI216&gt;Data2!$C$13,Data2!$D$12,IF(AI216&gt;Data2!$C$14,Data2!$D$13,Data2!$D$14))))</f>
        <v/>
      </c>
      <c r="AK216" s="146">
        <f t="shared" si="169"/>
        <v>0</v>
      </c>
      <c r="AL216" s="146">
        <f t="shared" si="170"/>
        <v>0</v>
      </c>
      <c r="AM216" s="147" t="str">
        <f t="shared" si="160"/>
        <v>Mulai meningkat</v>
      </c>
      <c r="AN216" s="147" t="str">
        <f t="shared" si="161"/>
        <v>Mulai meningkat</v>
      </c>
      <c r="AO216" s="146" t="e">
        <f t="shared" si="171"/>
        <v>#N/A</v>
      </c>
      <c r="AP216" s="148" t="e">
        <f t="shared" si="172"/>
        <v>#N/A</v>
      </c>
      <c r="AQ216" s="158" t="str">
        <f>IF('PA-Non'!V216&lt;&gt;"",'PA-Non'!V216,IFERROR("Mempunyai keterampilan yang "&amp;IF(AM216=AN216,PROPER(AN216)&amp;" dalam kompetensi "&amp;VLOOKUP(AO216,$AA$532:$AC$539,3)&amp;", demikian juga dalam kompetensi "&amp;VLOOKUP(AP216,$AA$532:$AC$539,3),PROPER(AM216)&amp;" dalam kompetensi "&amp;VLOOKUP(AO216,$AA$532:$AC$539,3)&amp;" dan "&amp;AN216&amp;" pada kompetensi "&amp;VLOOKUP(AP216,$AA$532:$AC$539,3)),""))</f>
        <v/>
      </c>
      <c r="AR216" s="188"/>
    </row>
    <row r="217" spans="2:44" ht="27.9" customHeight="1" thickBot="1" x14ac:dyDescent="0.35">
      <c r="B217" s="384" t="s">
        <v>124</v>
      </c>
      <c r="C217" s="149">
        <f t="shared" si="173"/>
        <v>8</v>
      </c>
      <c r="D217" s="150" t="str">
        <f>IF(Data!F212="","",Data!F212)</f>
        <v>03665</v>
      </c>
      <c r="E217" s="151" t="str">
        <f>IF(Data!H212="","",Data!H212)</f>
        <v>Dwi Astutik</v>
      </c>
      <c r="F217" s="152" t="str">
        <f>IF(Data!I212="","",Data!I212)</f>
        <v>Perempuan</v>
      </c>
      <c r="G217" s="343">
        <v>95</v>
      </c>
      <c r="H217" s="344">
        <v>85</v>
      </c>
      <c r="I217" s="344">
        <v>86</v>
      </c>
      <c r="J217" s="344">
        <v>80</v>
      </c>
      <c r="K217" s="344">
        <v>81</v>
      </c>
      <c r="L217" s="344"/>
      <c r="M217" s="344"/>
      <c r="N217" s="345"/>
      <c r="O217" s="157">
        <f t="shared" si="162"/>
        <v>71</v>
      </c>
      <c r="P217" s="344"/>
      <c r="Q217" s="346"/>
      <c r="R217" s="157" t="str">
        <f t="shared" si="163"/>
        <v/>
      </c>
      <c r="S217" s="159" t="str">
        <f>IF(R217="","",IF(R217&gt;Data2!$C$12,Data2!$D$11,IF(R217&gt;Data2!$C$13,Data2!$D$12,IF(R217&gt;Data2!$C$14,Data2!$D$13,Data2!$D$14))))</f>
        <v/>
      </c>
      <c r="T217" s="144">
        <f t="shared" si="164"/>
        <v>95</v>
      </c>
      <c r="U217" s="144">
        <f t="shared" si="165"/>
        <v>80</v>
      </c>
      <c r="V217" s="144" t="str">
        <f t="shared" si="158"/>
        <v>Sangat baik</v>
      </c>
      <c r="W217" s="144" t="str">
        <f t="shared" si="159"/>
        <v>Cukup menguasai</v>
      </c>
      <c r="X217" s="144">
        <f t="shared" si="166"/>
        <v>1</v>
      </c>
      <c r="Y217" s="145">
        <f t="shared" si="167"/>
        <v>4</v>
      </c>
      <c r="Z217" s="218" t="str">
        <f>IF('PA-Non'!O217&lt;&gt;"",'PA-Non'!O217,IFERROR("Mempunyai kemampuan yang " &amp;IF(V217=W217,PROPER(W217)&amp;" dalam kompetensi "&amp;VLOOKUP(X217,$G$532:$I$539,3)&amp;" dan kompetensi "&amp;VLOOKUP(Y217,$G$532:$I$539,3),PROPER(V217)&amp;" dalam kompetensi "&amp;VLOOKUP(X217,$G$532:$I$539,3)&amp;" dan memiliki kemampuan yang "&amp;W217&amp;" pada kompetensi "&amp;VLOOKUP(Y217,$G$532:$I$539,3)),""))</f>
        <v>Mempunyai kemampuan yang Sangat Baik dalam kompetensi KD Pengetahuan-1 dan memiliki kemampuan yang Cukup menguasai pada kompetensi KD Pengetahuan-4</v>
      </c>
      <c r="AA217" s="343"/>
      <c r="AB217" s="344"/>
      <c r="AC217" s="344"/>
      <c r="AD217" s="344"/>
      <c r="AE217" s="344"/>
      <c r="AF217" s="344"/>
      <c r="AG217" s="344"/>
      <c r="AH217" s="345"/>
      <c r="AI217" s="220" t="str">
        <f t="shared" si="168"/>
        <v/>
      </c>
      <c r="AJ217" s="160" t="str">
        <f>IF(AI217="","",IF(AI217&gt;Data2!$C$12,Data2!$D$11,IF(AI217&gt;Data2!$C$13,Data2!$D$12,IF(AI217&gt;Data2!$C$14,Data2!$D$13,Data2!$D$14))))</f>
        <v/>
      </c>
      <c r="AK217" s="146">
        <f t="shared" si="169"/>
        <v>0</v>
      </c>
      <c r="AL217" s="146">
        <f t="shared" si="170"/>
        <v>0</v>
      </c>
      <c r="AM217" s="147" t="str">
        <f t="shared" si="160"/>
        <v>Mulai meningkat</v>
      </c>
      <c r="AN217" s="147" t="str">
        <f t="shared" si="161"/>
        <v>Mulai meningkat</v>
      </c>
      <c r="AO217" s="146" t="e">
        <f t="shared" si="171"/>
        <v>#N/A</v>
      </c>
      <c r="AP217" s="148" t="e">
        <f t="shared" si="172"/>
        <v>#N/A</v>
      </c>
      <c r="AQ217" s="158" t="str">
        <f>IF('PA-Non'!V217&lt;&gt;"",'PA-Non'!V217,IFERROR("Mempunyai keterampilan yang "&amp;IF(AM217=AN217,PROPER(AN217)&amp;" dalam kompetensi "&amp;VLOOKUP(AO217,$AA$532:$AC$539,3)&amp;", demikian juga dalam kompetensi "&amp;VLOOKUP(AP217,$AA$532:$AC$539,3),PROPER(AM217)&amp;" dalam kompetensi "&amp;VLOOKUP(AO217,$AA$532:$AC$539,3)&amp;" dan "&amp;AN217&amp;" pada kompetensi "&amp;VLOOKUP(AP217,$AA$532:$AC$539,3)),""))</f>
        <v/>
      </c>
      <c r="AR217" s="188"/>
    </row>
    <row r="218" spans="2:44" ht="27.9" customHeight="1" thickBot="1" x14ac:dyDescent="0.35">
      <c r="B218" s="384" t="s">
        <v>124</v>
      </c>
      <c r="C218" s="149">
        <f t="shared" si="173"/>
        <v>9</v>
      </c>
      <c r="D218" s="150" t="str">
        <f>IF(Data!F213="","",Data!F213)</f>
        <v>03669</v>
      </c>
      <c r="E218" s="151" t="str">
        <f>IF(Data!H213="","",Data!H213)</f>
        <v>Fatimatuz Zahro Fina Ramadani</v>
      </c>
      <c r="F218" s="152" t="str">
        <f>IF(Data!I213="","",Data!I213)</f>
        <v>Perempuan</v>
      </c>
      <c r="G218" s="343">
        <v>85</v>
      </c>
      <c r="H218" s="344">
        <v>86</v>
      </c>
      <c r="I218" s="344">
        <v>80.099999999999994</v>
      </c>
      <c r="J218" s="344">
        <v>83</v>
      </c>
      <c r="K218" s="344">
        <v>80</v>
      </c>
      <c r="L218" s="344"/>
      <c r="M218" s="344"/>
      <c r="N218" s="345"/>
      <c r="O218" s="157">
        <f t="shared" si="162"/>
        <v>69</v>
      </c>
      <c r="P218" s="344"/>
      <c r="Q218" s="346"/>
      <c r="R218" s="157" t="str">
        <f t="shared" si="163"/>
        <v/>
      </c>
      <c r="S218" s="159" t="str">
        <f>IF(R218="","",IF(R218&gt;Data2!$C$12,Data2!$D$11,IF(R218&gt;Data2!$C$13,Data2!$D$12,IF(R218&gt;Data2!$C$14,Data2!$D$13,Data2!$D$14))))</f>
        <v/>
      </c>
      <c r="T218" s="144">
        <f t="shared" si="164"/>
        <v>86</v>
      </c>
      <c r="U218" s="144">
        <f t="shared" si="165"/>
        <v>80</v>
      </c>
      <c r="V218" s="144" t="str">
        <f t="shared" si="158"/>
        <v>Baik</v>
      </c>
      <c r="W218" s="144" t="str">
        <f t="shared" si="159"/>
        <v>Cukup menguasai</v>
      </c>
      <c r="X218" s="144">
        <f t="shared" si="166"/>
        <v>2</v>
      </c>
      <c r="Y218" s="145">
        <f t="shared" si="167"/>
        <v>5</v>
      </c>
      <c r="Z218" s="218" t="str">
        <f>IF('PA-Non'!O218&lt;&gt;"",'PA-Non'!O218,IFERROR("Mempunyai kemampuan yang " &amp;IF(V218=W218,PROPER(W218)&amp;" dalam kompetensi "&amp;VLOOKUP(X218,$G$532:$I$539,3)&amp;" dan kompetensi "&amp;VLOOKUP(Y218,$G$532:$I$539,3),PROPER(V218)&amp;" dalam kompetensi "&amp;VLOOKUP(X218,$G$532:$I$539,3)&amp;" dan memiliki kemampuan yang "&amp;W218&amp;" pada kompetensi "&amp;VLOOKUP(Y218,$G$532:$I$539,3)),""))</f>
        <v>Mempunyai kemampuan yang Baik dalam kompetensi KD Pengetahuan-2 dan memiliki kemampuan yang Cukup menguasai pada kompetensi KD Pengetahuan-5</v>
      </c>
      <c r="AA218" s="343"/>
      <c r="AB218" s="344"/>
      <c r="AC218" s="344"/>
      <c r="AD218" s="344"/>
      <c r="AE218" s="344"/>
      <c r="AF218" s="344"/>
      <c r="AG218" s="344"/>
      <c r="AH218" s="345"/>
      <c r="AI218" s="220" t="str">
        <f t="shared" si="168"/>
        <v/>
      </c>
      <c r="AJ218" s="160" t="str">
        <f>IF(AI218="","",IF(AI218&gt;Data2!$C$12,Data2!$D$11,IF(AI218&gt;Data2!$C$13,Data2!$D$12,IF(AI218&gt;Data2!$C$14,Data2!$D$13,Data2!$D$14))))</f>
        <v/>
      </c>
      <c r="AK218" s="146">
        <f t="shared" si="169"/>
        <v>0</v>
      </c>
      <c r="AL218" s="146">
        <f t="shared" si="170"/>
        <v>0</v>
      </c>
      <c r="AM218" s="147" t="str">
        <f t="shared" si="160"/>
        <v>Mulai meningkat</v>
      </c>
      <c r="AN218" s="147" t="str">
        <f t="shared" si="161"/>
        <v>Mulai meningkat</v>
      </c>
      <c r="AO218" s="146" t="e">
        <f t="shared" si="171"/>
        <v>#N/A</v>
      </c>
      <c r="AP218" s="148" t="e">
        <f t="shared" si="172"/>
        <v>#N/A</v>
      </c>
      <c r="AQ218" s="158" t="str">
        <f>IF('PA-Non'!V218&lt;&gt;"",'PA-Non'!V218,IFERROR("Mempunyai keterampilan yang "&amp;IF(AM218=AN218,PROPER(AN218)&amp;" dalam kompetensi "&amp;VLOOKUP(AO218,$AA$532:$AC$539,3)&amp;", demikian juga dalam kompetensi "&amp;VLOOKUP(AP218,$AA$532:$AC$539,3),PROPER(AM218)&amp;" dalam kompetensi "&amp;VLOOKUP(AO218,$AA$532:$AC$539,3)&amp;" dan "&amp;AN218&amp;" pada kompetensi "&amp;VLOOKUP(AP218,$AA$532:$AC$539,3)),""))</f>
        <v/>
      </c>
      <c r="AR218" s="188"/>
    </row>
    <row r="219" spans="2:44" ht="27.9" customHeight="1" thickBot="1" x14ac:dyDescent="0.35">
      <c r="B219" s="384" t="s">
        <v>124</v>
      </c>
      <c r="C219" s="149">
        <f t="shared" si="173"/>
        <v>10</v>
      </c>
      <c r="D219" s="150" t="str">
        <f>IF(Data!F214="","",Data!F214)</f>
        <v>03674</v>
      </c>
      <c r="E219" s="151" t="str">
        <f>IF(Data!H214="","",Data!H214)</f>
        <v>Hikmatul Aulya</v>
      </c>
      <c r="F219" s="152" t="str">
        <f>IF(Data!I214="","",Data!I214)</f>
        <v>Perempuan</v>
      </c>
      <c r="G219" s="343">
        <v>85</v>
      </c>
      <c r="H219" s="344">
        <v>86</v>
      </c>
      <c r="I219" s="344">
        <v>83</v>
      </c>
      <c r="J219" s="344">
        <v>82</v>
      </c>
      <c r="K219" s="344">
        <v>80</v>
      </c>
      <c r="L219" s="344"/>
      <c r="M219" s="344"/>
      <c r="N219" s="345"/>
      <c r="O219" s="157">
        <f t="shared" si="162"/>
        <v>69</v>
      </c>
      <c r="P219" s="344"/>
      <c r="Q219" s="346"/>
      <c r="R219" s="157" t="str">
        <f t="shared" si="163"/>
        <v/>
      </c>
      <c r="S219" s="159" t="str">
        <f>IF(R219="","",IF(R219&gt;Data2!$C$12,Data2!$D$11,IF(R219&gt;Data2!$C$13,Data2!$D$12,IF(R219&gt;Data2!$C$14,Data2!$D$13,Data2!$D$14))))</f>
        <v/>
      </c>
      <c r="T219" s="144">
        <f t="shared" si="164"/>
        <v>86</v>
      </c>
      <c r="U219" s="144">
        <f t="shared" si="165"/>
        <v>80</v>
      </c>
      <c r="V219" s="144" t="str">
        <f t="shared" si="158"/>
        <v>Baik</v>
      </c>
      <c r="W219" s="144" t="str">
        <f t="shared" si="159"/>
        <v>Cukup menguasai</v>
      </c>
      <c r="X219" s="144">
        <f t="shared" si="166"/>
        <v>2</v>
      </c>
      <c r="Y219" s="145">
        <f t="shared" si="167"/>
        <v>5</v>
      </c>
      <c r="Z219" s="218" t="str">
        <f>IF('PA-Non'!O219&lt;&gt;"",'PA-Non'!O219,IFERROR("Mempunyai kemampuan yang " &amp;IF(V219=W219,PROPER(W219)&amp;" dalam kompetensi "&amp;VLOOKUP(X219,$G$532:$I$539,3)&amp;" dan kompetensi "&amp;VLOOKUP(Y219,$G$532:$I$539,3),PROPER(V219)&amp;" dalam kompetensi "&amp;VLOOKUP(X219,$G$532:$I$539,3)&amp;" dan memiliki kemampuan yang "&amp;W219&amp;" pada kompetensi "&amp;VLOOKUP(Y219,$G$532:$I$539,3)),""))</f>
        <v>Mempunyai kemampuan yang Baik dalam kompetensi KD Pengetahuan-2 dan memiliki kemampuan yang Cukup menguasai pada kompetensi KD Pengetahuan-5</v>
      </c>
      <c r="AA219" s="343"/>
      <c r="AB219" s="344"/>
      <c r="AC219" s="344"/>
      <c r="AD219" s="344"/>
      <c r="AE219" s="344"/>
      <c r="AF219" s="344"/>
      <c r="AG219" s="344"/>
      <c r="AH219" s="345"/>
      <c r="AI219" s="220" t="str">
        <f t="shared" si="168"/>
        <v/>
      </c>
      <c r="AJ219" s="160" t="str">
        <f>IF(AI219="","",IF(AI219&gt;Data2!$C$12,Data2!$D$11,IF(AI219&gt;Data2!$C$13,Data2!$D$12,IF(AI219&gt;Data2!$C$14,Data2!$D$13,Data2!$D$14))))</f>
        <v/>
      </c>
      <c r="AK219" s="146">
        <f t="shared" si="169"/>
        <v>0</v>
      </c>
      <c r="AL219" s="146">
        <f t="shared" si="170"/>
        <v>0</v>
      </c>
      <c r="AM219" s="147" t="str">
        <f t="shared" si="160"/>
        <v>Mulai meningkat</v>
      </c>
      <c r="AN219" s="147" t="str">
        <f t="shared" si="161"/>
        <v>Mulai meningkat</v>
      </c>
      <c r="AO219" s="146" t="e">
        <f t="shared" si="171"/>
        <v>#N/A</v>
      </c>
      <c r="AP219" s="148" t="e">
        <f t="shared" si="172"/>
        <v>#N/A</v>
      </c>
      <c r="AQ219" s="158" t="str">
        <f>IF('PA-Non'!V219&lt;&gt;"",'PA-Non'!V219,IFERROR("Mempunyai keterampilan yang "&amp;IF(AM219=AN219,PROPER(AN219)&amp;" dalam kompetensi "&amp;VLOOKUP(AO219,$AA$532:$AC$539,3)&amp;", demikian juga dalam kompetensi "&amp;VLOOKUP(AP219,$AA$532:$AC$539,3),PROPER(AM219)&amp;" dalam kompetensi "&amp;VLOOKUP(AO219,$AA$532:$AC$539,3)&amp;" dan "&amp;AN219&amp;" pada kompetensi "&amp;VLOOKUP(AP219,$AA$532:$AC$539,3)),""))</f>
        <v/>
      </c>
      <c r="AR219" s="188"/>
    </row>
    <row r="220" spans="2:44" ht="27.9" customHeight="1" thickBot="1" x14ac:dyDescent="0.35">
      <c r="B220" s="384" t="s">
        <v>124</v>
      </c>
      <c r="C220" s="149">
        <f t="shared" si="173"/>
        <v>11</v>
      </c>
      <c r="D220" s="150" t="str">
        <f>IF(Data!F215="","",Data!F215)</f>
        <v>03682</v>
      </c>
      <c r="E220" s="151" t="str">
        <f>IF(Data!H215="","",Data!H215)</f>
        <v>Kenes Zenobia Rahmawan</v>
      </c>
      <c r="F220" s="152" t="str">
        <f>IF(Data!I215="","",Data!I215)</f>
        <v>Perempuan</v>
      </c>
      <c r="G220" s="343">
        <v>85</v>
      </c>
      <c r="H220" s="344">
        <v>86</v>
      </c>
      <c r="I220" s="344">
        <v>83</v>
      </c>
      <c r="J220" s="344">
        <v>80</v>
      </c>
      <c r="K220" s="344">
        <v>81</v>
      </c>
      <c r="L220" s="344"/>
      <c r="M220" s="344"/>
      <c r="N220" s="345"/>
      <c r="O220" s="157">
        <f t="shared" si="162"/>
        <v>69</v>
      </c>
      <c r="P220" s="344"/>
      <c r="Q220" s="346"/>
      <c r="R220" s="157" t="str">
        <f t="shared" si="163"/>
        <v/>
      </c>
      <c r="S220" s="159" t="str">
        <f>IF(R220="","",IF(R220&gt;Data2!$C$12,Data2!$D$11,IF(R220&gt;Data2!$C$13,Data2!$D$12,IF(R220&gt;Data2!$C$14,Data2!$D$13,Data2!$D$14))))</f>
        <v/>
      </c>
      <c r="T220" s="144">
        <f t="shared" si="164"/>
        <v>86</v>
      </c>
      <c r="U220" s="144">
        <f t="shared" si="165"/>
        <v>80</v>
      </c>
      <c r="V220" s="144" t="str">
        <f t="shared" si="158"/>
        <v>Baik</v>
      </c>
      <c r="W220" s="144" t="str">
        <f t="shared" si="159"/>
        <v>Cukup menguasai</v>
      </c>
      <c r="X220" s="144">
        <f t="shared" si="166"/>
        <v>2</v>
      </c>
      <c r="Y220" s="145">
        <f t="shared" si="167"/>
        <v>4</v>
      </c>
      <c r="Z220" s="218" t="str">
        <f>IF('PA-Non'!O220&lt;&gt;"",'PA-Non'!O220,IFERROR("Mempunyai kemampuan yang " &amp;IF(V220=W220,PROPER(W220)&amp;" dalam kompetensi "&amp;VLOOKUP(X220,$G$532:$I$539,3)&amp;" dan kompetensi "&amp;VLOOKUP(Y220,$G$532:$I$539,3),PROPER(V220)&amp;" dalam kompetensi "&amp;VLOOKUP(X220,$G$532:$I$539,3)&amp;" dan memiliki kemampuan yang "&amp;W220&amp;" pada kompetensi "&amp;VLOOKUP(Y220,$G$532:$I$539,3)),""))</f>
        <v>Mempunyai kemampuan yang Baik dalam kompetensi KD Pengetahuan-2 dan memiliki kemampuan yang Cukup menguasai pada kompetensi KD Pengetahuan-4</v>
      </c>
      <c r="AA220" s="343"/>
      <c r="AB220" s="344"/>
      <c r="AC220" s="344"/>
      <c r="AD220" s="344"/>
      <c r="AE220" s="344"/>
      <c r="AF220" s="344"/>
      <c r="AG220" s="344"/>
      <c r="AH220" s="345"/>
      <c r="AI220" s="220" t="str">
        <f t="shared" si="168"/>
        <v/>
      </c>
      <c r="AJ220" s="160" t="str">
        <f>IF(AI220="","",IF(AI220&gt;Data2!$C$12,Data2!$D$11,IF(AI220&gt;Data2!$C$13,Data2!$D$12,IF(AI220&gt;Data2!$C$14,Data2!$D$13,Data2!$D$14))))</f>
        <v/>
      </c>
      <c r="AK220" s="146">
        <f t="shared" si="169"/>
        <v>0</v>
      </c>
      <c r="AL220" s="146">
        <f t="shared" si="170"/>
        <v>0</v>
      </c>
      <c r="AM220" s="147" t="str">
        <f t="shared" si="160"/>
        <v>Mulai meningkat</v>
      </c>
      <c r="AN220" s="147" t="str">
        <f t="shared" si="161"/>
        <v>Mulai meningkat</v>
      </c>
      <c r="AO220" s="146" t="e">
        <f t="shared" si="171"/>
        <v>#N/A</v>
      </c>
      <c r="AP220" s="148" t="e">
        <f t="shared" si="172"/>
        <v>#N/A</v>
      </c>
      <c r="AQ220" s="158" t="str">
        <f>IF('PA-Non'!V220&lt;&gt;"",'PA-Non'!V220,IFERROR("Mempunyai keterampilan yang "&amp;IF(AM220=AN220,PROPER(AN220)&amp;" dalam kompetensi "&amp;VLOOKUP(AO220,$AA$532:$AC$539,3)&amp;", demikian juga dalam kompetensi "&amp;VLOOKUP(AP220,$AA$532:$AC$539,3),PROPER(AM220)&amp;" dalam kompetensi "&amp;VLOOKUP(AO220,$AA$532:$AC$539,3)&amp;" dan "&amp;AN220&amp;" pada kompetensi "&amp;VLOOKUP(AP220,$AA$532:$AC$539,3)),""))</f>
        <v/>
      </c>
      <c r="AR220" s="188"/>
    </row>
    <row r="221" spans="2:44" ht="27.9" customHeight="1" thickBot="1" x14ac:dyDescent="0.35">
      <c r="B221" s="384" t="s">
        <v>124</v>
      </c>
      <c r="C221" s="149">
        <f t="shared" si="173"/>
        <v>12</v>
      </c>
      <c r="D221" s="150" t="str">
        <f>IF(Data!F216="","",Data!F216)</f>
        <v>03684</v>
      </c>
      <c r="E221" s="151" t="str">
        <f>IF(Data!H216="","",Data!H216)</f>
        <v>Kheina Nadia Rahmania</v>
      </c>
      <c r="F221" s="152" t="str">
        <f>IF(Data!I216="","",Data!I216)</f>
        <v>Perempuan</v>
      </c>
      <c r="G221" s="343">
        <v>85</v>
      </c>
      <c r="H221" s="344">
        <v>83</v>
      </c>
      <c r="I221" s="344">
        <v>80.099999999999994</v>
      </c>
      <c r="J221" s="344">
        <v>82</v>
      </c>
      <c r="K221" s="344">
        <v>80</v>
      </c>
      <c r="L221" s="344"/>
      <c r="M221" s="344"/>
      <c r="N221" s="345"/>
      <c r="O221" s="157">
        <f t="shared" si="162"/>
        <v>68</v>
      </c>
      <c r="P221" s="344"/>
      <c r="Q221" s="346"/>
      <c r="R221" s="157" t="str">
        <f t="shared" si="163"/>
        <v/>
      </c>
      <c r="S221" s="159" t="str">
        <f>IF(R221="","",IF(R221&gt;Data2!$C$12,Data2!$D$11,IF(R221&gt;Data2!$C$13,Data2!$D$12,IF(R221&gt;Data2!$C$14,Data2!$D$13,Data2!$D$14))))</f>
        <v/>
      </c>
      <c r="T221" s="144">
        <f t="shared" si="164"/>
        <v>85</v>
      </c>
      <c r="U221" s="144">
        <f t="shared" si="165"/>
        <v>80</v>
      </c>
      <c r="V221" s="144" t="str">
        <f t="shared" si="158"/>
        <v>Cukup menguasai</v>
      </c>
      <c r="W221" s="144" t="str">
        <f t="shared" si="159"/>
        <v>Cukup menguasai</v>
      </c>
      <c r="X221" s="144">
        <f t="shared" si="166"/>
        <v>1</v>
      </c>
      <c r="Y221" s="145">
        <f t="shared" si="167"/>
        <v>5</v>
      </c>
      <c r="Z221" s="218" t="str">
        <f>IF('PA-Non'!O221&lt;&gt;"",'PA-Non'!O221,IFERROR("Mempunyai kemampuan yang " &amp;IF(V221=W221,PROPER(W221)&amp;" dalam kompetensi "&amp;VLOOKUP(X221,$G$532:$I$539,3)&amp;" dan kompetensi "&amp;VLOOKUP(Y221,$G$532:$I$539,3),PROPER(V221)&amp;" dalam kompetensi "&amp;VLOOKUP(X221,$G$532:$I$539,3)&amp;" dan memiliki kemampuan yang "&amp;W221&amp;" pada kompetensi "&amp;VLOOKUP(Y221,$G$532:$I$539,3)),""))</f>
        <v>Mempunyai kemampuan yang Cukup Menguasai dalam kompetensi KD Pengetahuan-1 dan kompetensi KD Pengetahuan-5</v>
      </c>
      <c r="AA221" s="343"/>
      <c r="AB221" s="344"/>
      <c r="AC221" s="344"/>
      <c r="AD221" s="344"/>
      <c r="AE221" s="344"/>
      <c r="AF221" s="344"/>
      <c r="AG221" s="344"/>
      <c r="AH221" s="345"/>
      <c r="AI221" s="220" t="str">
        <f t="shared" si="168"/>
        <v/>
      </c>
      <c r="AJ221" s="160" t="str">
        <f>IF(AI221="","",IF(AI221&gt;Data2!$C$12,Data2!$D$11,IF(AI221&gt;Data2!$C$13,Data2!$D$12,IF(AI221&gt;Data2!$C$14,Data2!$D$13,Data2!$D$14))))</f>
        <v/>
      </c>
      <c r="AK221" s="146">
        <f t="shared" si="169"/>
        <v>0</v>
      </c>
      <c r="AL221" s="146">
        <f t="shared" si="170"/>
        <v>0</v>
      </c>
      <c r="AM221" s="147" t="str">
        <f t="shared" si="160"/>
        <v>Mulai meningkat</v>
      </c>
      <c r="AN221" s="147" t="str">
        <f t="shared" si="161"/>
        <v>Mulai meningkat</v>
      </c>
      <c r="AO221" s="146" t="e">
        <f t="shared" si="171"/>
        <v>#N/A</v>
      </c>
      <c r="AP221" s="148" t="e">
        <f t="shared" si="172"/>
        <v>#N/A</v>
      </c>
      <c r="AQ221" s="158" t="str">
        <f>IF('PA-Non'!V221&lt;&gt;"",'PA-Non'!V221,IFERROR("Mempunyai keterampilan yang "&amp;IF(AM221=AN221,PROPER(AN221)&amp;" dalam kompetensi "&amp;VLOOKUP(AO221,$AA$532:$AC$539,3)&amp;", demikian juga dalam kompetensi "&amp;VLOOKUP(AP221,$AA$532:$AC$539,3),PROPER(AM221)&amp;" dalam kompetensi "&amp;VLOOKUP(AO221,$AA$532:$AC$539,3)&amp;" dan "&amp;AN221&amp;" pada kompetensi "&amp;VLOOKUP(AP221,$AA$532:$AC$539,3)),""))</f>
        <v/>
      </c>
      <c r="AR221" s="188"/>
    </row>
    <row r="222" spans="2:44" ht="27.9" customHeight="1" thickBot="1" x14ac:dyDescent="0.35">
      <c r="B222" s="384" t="s">
        <v>124</v>
      </c>
      <c r="C222" s="149">
        <f t="shared" si="173"/>
        <v>13</v>
      </c>
      <c r="D222" s="150" t="str">
        <f>IF(Data!F217="","",Data!F217)</f>
        <v>03686</v>
      </c>
      <c r="E222" s="151" t="str">
        <f>IF(Data!H217="","",Data!H217)</f>
        <v>Kholishotul Mahmudah</v>
      </c>
      <c r="F222" s="152" t="str">
        <f>IF(Data!I217="","",Data!I217)</f>
        <v>Perempuan</v>
      </c>
      <c r="G222" s="343">
        <v>90</v>
      </c>
      <c r="H222" s="344">
        <v>85</v>
      </c>
      <c r="I222" s="344">
        <v>86</v>
      </c>
      <c r="J222" s="344">
        <v>83</v>
      </c>
      <c r="K222" s="344">
        <v>80</v>
      </c>
      <c r="L222" s="344"/>
      <c r="M222" s="344"/>
      <c r="N222" s="345"/>
      <c r="O222" s="157">
        <f t="shared" si="162"/>
        <v>71</v>
      </c>
      <c r="P222" s="344"/>
      <c r="Q222" s="346"/>
      <c r="R222" s="157" t="str">
        <f t="shared" si="163"/>
        <v/>
      </c>
      <c r="S222" s="159" t="str">
        <f>IF(R222="","",IF(R222&gt;Data2!$C$12,Data2!$D$11,IF(R222&gt;Data2!$C$13,Data2!$D$12,IF(R222&gt;Data2!$C$14,Data2!$D$13,Data2!$D$14))))</f>
        <v/>
      </c>
      <c r="T222" s="144">
        <f t="shared" si="164"/>
        <v>90</v>
      </c>
      <c r="U222" s="144">
        <f t="shared" si="165"/>
        <v>80</v>
      </c>
      <c r="V222" s="144" t="str">
        <f t="shared" si="158"/>
        <v>Baik</v>
      </c>
      <c r="W222" s="144" t="str">
        <f t="shared" si="159"/>
        <v>Cukup menguasai</v>
      </c>
      <c r="X222" s="144">
        <f t="shared" si="166"/>
        <v>1</v>
      </c>
      <c r="Y222" s="145">
        <f t="shared" si="167"/>
        <v>5</v>
      </c>
      <c r="Z222" s="218" t="str">
        <f>IF('PA-Non'!O222&lt;&gt;"",'PA-Non'!O222,IFERROR("Mempunyai kemampuan yang " &amp;IF(V222=W222,PROPER(W222)&amp;" dalam kompetensi "&amp;VLOOKUP(X222,$G$532:$I$539,3)&amp;" dan kompetensi "&amp;VLOOKUP(Y222,$G$532:$I$539,3),PROPER(V222)&amp;" dalam kompetensi "&amp;VLOOKUP(X222,$G$532:$I$539,3)&amp;" dan memiliki kemampuan yang "&amp;W222&amp;" pada kompetensi "&amp;VLOOKUP(Y222,$G$532:$I$539,3)),""))</f>
        <v>Mempunyai kemampuan yang Baik dalam kompetensi KD Pengetahuan-1 dan memiliki kemampuan yang Cukup menguasai pada kompetensi KD Pengetahuan-5</v>
      </c>
      <c r="AA222" s="343"/>
      <c r="AB222" s="344"/>
      <c r="AC222" s="344"/>
      <c r="AD222" s="344"/>
      <c r="AE222" s="344"/>
      <c r="AF222" s="344"/>
      <c r="AG222" s="344"/>
      <c r="AH222" s="345"/>
      <c r="AI222" s="220" t="str">
        <f t="shared" si="168"/>
        <v/>
      </c>
      <c r="AJ222" s="160" t="str">
        <f>IF(AI222="","",IF(AI222&gt;Data2!$C$12,Data2!$D$11,IF(AI222&gt;Data2!$C$13,Data2!$D$12,IF(AI222&gt;Data2!$C$14,Data2!$D$13,Data2!$D$14))))</f>
        <v/>
      </c>
      <c r="AK222" s="146">
        <f t="shared" si="169"/>
        <v>0</v>
      </c>
      <c r="AL222" s="146">
        <f t="shared" si="170"/>
        <v>0</v>
      </c>
      <c r="AM222" s="147" t="str">
        <f t="shared" si="160"/>
        <v>Mulai meningkat</v>
      </c>
      <c r="AN222" s="147" t="str">
        <f t="shared" si="161"/>
        <v>Mulai meningkat</v>
      </c>
      <c r="AO222" s="146" t="e">
        <f t="shared" si="171"/>
        <v>#N/A</v>
      </c>
      <c r="AP222" s="148" t="e">
        <f t="shared" si="172"/>
        <v>#N/A</v>
      </c>
      <c r="AQ222" s="158" t="str">
        <f>IF('PA-Non'!V222&lt;&gt;"",'PA-Non'!V222,IFERROR("Mempunyai keterampilan yang "&amp;IF(AM222=AN222,PROPER(AN222)&amp;" dalam kompetensi "&amp;VLOOKUP(AO222,$AA$532:$AC$539,3)&amp;", demikian juga dalam kompetensi "&amp;VLOOKUP(AP222,$AA$532:$AC$539,3),PROPER(AM222)&amp;" dalam kompetensi "&amp;VLOOKUP(AO222,$AA$532:$AC$539,3)&amp;" dan "&amp;AN222&amp;" pada kompetensi "&amp;VLOOKUP(AP222,$AA$532:$AC$539,3)),""))</f>
        <v/>
      </c>
      <c r="AR222" s="188"/>
    </row>
    <row r="223" spans="2:44" ht="27.9" customHeight="1" thickBot="1" x14ac:dyDescent="0.35">
      <c r="B223" s="384" t="s">
        <v>124</v>
      </c>
      <c r="C223" s="149">
        <f t="shared" si="173"/>
        <v>14</v>
      </c>
      <c r="D223" s="150" t="str">
        <f>IF(Data!F218="","",Data!F218)</f>
        <v>03689</v>
      </c>
      <c r="E223" s="151" t="str">
        <f>IF(Data!H218="","",Data!H218)</f>
        <v>Laylatul Nurjana</v>
      </c>
      <c r="F223" s="152" t="str">
        <f>IF(Data!I218="","",Data!I218)</f>
        <v>Perempuan</v>
      </c>
      <c r="G223" s="343">
        <v>85.1</v>
      </c>
      <c r="H223" s="344">
        <v>86</v>
      </c>
      <c r="I223" s="344">
        <v>85</v>
      </c>
      <c r="J223" s="344">
        <v>80</v>
      </c>
      <c r="K223" s="344">
        <v>81</v>
      </c>
      <c r="L223" s="344"/>
      <c r="M223" s="344"/>
      <c r="N223" s="345"/>
      <c r="O223" s="157">
        <f t="shared" si="162"/>
        <v>70</v>
      </c>
      <c r="P223" s="344"/>
      <c r="Q223" s="346"/>
      <c r="R223" s="157" t="str">
        <f t="shared" si="163"/>
        <v/>
      </c>
      <c r="S223" s="159" t="str">
        <f>IF(R223="","",IF(R223&gt;Data2!$C$12,Data2!$D$11,IF(R223&gt;Data2!$C$13,Data2!$D$12,IF(R223&gt;Data2!$C$14,Data2!$D$13,Data2!$D$14))))</f>
        <v/>
      </c>
      <c r="T223" s="144">
        <f t="shared" si="164"/>
        <v>86</v>
      </c>
      <c r="U223" s="144">
        <f t="shared" si="165"/>
        <v>80</v>
      </c>
      <c r="V223" s="144" t="str">
        <f t="shared" si="158"/>
        <v>Baik</v>
      </c>
      <c r="W223" s="144" t="str">
        <f t="shared" si="159"/>
        <v>Cukup menguasai</v>
      </c>
      <c r="X223" s="144">
        <f t="shared" si="166"/>
        <v>2</v>
      </c>
      <c r="Y223" s="145">
        <f t="shared" si="167"/>
        <v>4</v>
      </c>
      <c r="Z223" s="218" t="str">
        <f>IF('PA-Non'!O223&lt;&gt;"",'PA-Non'!O223,IFERROR("Mempunyai kemampuan yang " &amp;IF(V223=W223,PROPER(W223)&amp;" dalam kompetensi "&amp;VLOOKUP(X223,$G$532:$I$539,3)&amp;" dan kompetensi "&amp;VLOOKUP(Y223,$G$532:$I$539,3),PROPER(V223)&amp;" dalam kompetensi "&amp;VLOOKUP(X223,$G$532:$I$539,3)&amp;" dan memiliki kemampuan yang "&amp;W223&amp;" pada kompetensi "&amp;VLOOKUP(Y223,$G$532:$I$539,3)),""))</f>
        <v>Mempunyai kemampuan yang Baik dalam kompetensi KD Pengetahuan-2 dan memiliki kemampuan yang Cukup menguasai pada kompetensi KD Pengetahuan-4</v>
      </c>
      <c r="AA223" s="343"/>
      <c r="AB223" s="344"/>
      <c r="AC223" s="344"/>
      <c r="AD223" s="344"/>
      <c r="AE223" s="344"/>
      <c r="AF223" s="344"/>
      <c r="AG223" s="344"/>
      <c r="AH223" s="345"/>
      <c r="AI223" s="220" t="str">
        <f t="shared" si="168"/>
        <v/>
      </c>
      <c r="AJ223" s="160" t="str">
        <f>IF(AI223="","",IF(AI223&gt;Data2!$C$12,Data2!$D$11,IF(AI223&gt;Data2!$C$13,Data2!$D$12,IF(AI223&gt;Data2!$C$14,Data2!$D$13,Data2!$D$14))))</f>
        <v/>
      </c>
      <c r="AK223" s="146">
        <f t="shared" si="169"/>
        <v>0</v>
      </c>
      <c r="AL223" s="146">
        <f t="shared" si="170"/>
        <v>0</v>
      </c>
      <c r="AM223" s="147" t="str">
        <f t="shared" si="160"/>
        <v>Mulai meningkat</v>
      </c>
      <c r="AN223" s="147" t="str">
        <f t="shared" si="161"/>
        <v>Mulai meningkat</v>
      </c>
      <c r="AO223" s="146" t="e">
        <f t="shared" si="171"/>
        <v>#N/A</v>
      </c>
      <c r="AP223" s="148" t="e">
        <f t="shared" si="172"/>
        <v>#N/A</v>
      </c>
      <c r="AQ223" s="158" t="str">
        <f>IF('PA-Non'!V223&lt;&gt;"",'PA-Non'!V223,IFERROR("Mempunyai keterampilan yang "&amp;IF(AM223=AN223,PROPER(AN223)&amp;" dalam kompetensi "&amp;VLOOKUP(AO223,$AA$532:$AC$539,3)&amp;", demikian juga dalam kompetensi "&amp;VLOOKUP(AP223,$AA$532:$AC$539,3),PROPER(AM223)&amp;" dalam kompetensi "&amp;VLOOKUP(AO223,$AA$532:$AC$539,3)&amp;" dan "&amp;AN223&amp;" pada kompetensi "&amp;VLOOKUP(AP223,$AA$532:$AC$539,3)),""))</f>
        <v/>
      </c>
      <c r="AR223" s="188"/>
    </row>
    <row r="224" spans="2:44" ht="27.9" customHeight="1" thickBot="1" x14ac:dyDescent="0.35">
      <c r="B224" s="384" t="s">
        <v>124</v>
      </c>
      <c r="C224" s="149">
        <f t="shared" si="173"/>
        <v>15</v>
      </c>
      <c r="D224" s="150" t="str">
        <f>IF(Data!F219="","",Data!F219)</f>
        <v>03700</v>
      </c>
      <c r="E224" s="151" t="str">
        <f>IF(Data!H219="","",Data!H219)</f>
        <v>Nadhira Rahma Fitriyana</v>
      </c>
      <c r="F224" s="152" t="str">
        <f>IF(Data!I219="","",Data!I219)</f>
        <v>Perempuan</v>
      </c>
      <c r="G224" s="343">
        <v>90</v>
      </c>
      <c r="H224" s="344">
        <v>83</v>
      </c>
      <c r="I224" s="344">
        <v>80</v>
      </c>
      <c r="J224" s="344">
        <v>85</v>
      </c>
      <c r="K224" s="344">
        <v>86</v>
      </c>
      <c r="L224" s="344"/>
      <c r="M224" s="344"/>
      <c r="N224" s="345"/>
      <c r="O224" s="157">
        <f t="shared" si="162"/>
        <v>71</v>
      </c>
      <c r="P224" s="344"/>
      <c r="Q224" s="346"/>
      <c r="R224" s="157" t="str">
        <f t="shared" si="163"/>
        <v/>
      </c>
      <c r="S224" s="159" t="str">
        <f>IF(R224="","",IF(R224&gt;Data2!$C$12,Data2!$D$11,IF(R224&gt;Data2!$C$13,Data2!$D$12,IF(R224&gt;Data2!$C$14,Data2!$D$13,Data2!$D$14))))</f>
        <v/>
      </c>
      <c r="T224" s="144">
        <f t="shared" si="164"/>
        <v>90</v>
      </c>
      <c r="U224" s="144">
        <f t="shared" si="165"/>
        <v>80</v>
      </c>
      <c r="V224" s="144" t="str">
        <f t="shared" si="158"/>
        <v>Baik</v>
      </c>
      <c r="W224" s="144" t="str">
        <f t="shared" si="159"/>
        <v>Cukup menguasai</v>
      </c>
      <c r="X224" s="144">
        <f t="shared" si="166"/>
        <v>1</v>
      </c>
      <c r="Y224" s="145">
        <f t="shared" si="167"/>
        <v>3</v>
      </c>
      <c r="Z224" s="218" t="str">
        <f>IF('PA-Non'!O224&lt;&gt;"",'PA-Non'!O224,IFERROR("Mempunyai kemampuan yang " &amp;IF(V224=W224,PROPER(W224)&amp;" dalam kompetensi "&amp;VLOOKUP(X224,$G$532:$I$539,3)&amp;" dan kompetensi "&amp;VLOOKUP(Y224,$G$532:$I$539,3),PROPER(V224)&amp;" dalam kompetensi "&amp;VLOOKUP(X224,$G$532:$I$539,3)&amp;" dan memiliki kemampuan yang "&amp;W224&amp;" pada kompetensi "&amp;VLOOKUP(Y224,$G$532:$I$539,3)),""))</f>
        <v>Mempunyai kemampuan yang Baik dalam kompetensi KD Pengetahuan-1 dan memiliki kemampuan yang Cukup menguasai pada kompetensi KD Pengetahuan-3</v>
      </c>
      <c r="AA224" s="343"/>
      <c r="AB224" s="344"/>
      <c r="AC224" s="344"/>
      <c r="AD224" s="344"/>
      <c r="AE224" s="344"/>
      <c r="AF224" s="344"/>
      <c r="AG224" s="344"/>
      <c r="AH224" s="345"/>
      <c r="AI224" s="220" t="str">
        <f t="shared" si="168"/>
        <v/>
      </c>
      <c r="AJ224" s="160" t="str">
        <f>IF(AI224="","",IF(AI224&gt;Data2!$C$12,Data2!$D$11,IF(AI224&gt;Data2!$C$13,Data2!$D$12,IF(AI224&gt;Data2!$C$14,Data2!$D$13,Data2!$D$14))))</f>
        <v/>
      </c>
      <c r="AK224" s="146">
        <f t="shared" si="169"/>
        <v>0</v>
      </c>
      <c r="AL224" s="146">
        <f t="shared" si="170"/>
        <v>0</v>
      </c>
      <c r="AM224" s="147" t="str">
        <f t="shared" si="160"/>
        <v>Mulai meningkat</v>
      </c>
      <c r="AN224" s="147" t="str">
        <f t="shared" si="161"/>
        <v>Mulai meningkat</v>
      </c>
      <c r="AO224" s="146" t="e">
        <f t="shared" si="171"/>
        <v>#N/A</v>
      </c>
      <c r="AP224" s="148" t="e">
        <f t="shared" si="172"/>
        <v>#N/A</v>
      </c>
      <c r="AQ224" s="158" t="str">
        <f>IF('PA-Non'!V224&lt;&gt;"",'PA-Non'!V224,IFERROR("Mempunyai keterampilan yang "&amp;IF(AM224=AN224,PROPER(AN224)&amp;" dalam kompetensi "&amp;VLOOKUP(AO224,$AA$532:$AC$539,3)&amp;", demikian juga dalam kompetensi "&amp;VLOOKUP(AP224,$AA$532:$AC$539,3),PROPER(AM224)&amp;" dalam kompetensi "&amp;VLOOKUP(AO224,$AA$532:$AC$539,3)&amp;" dan "&amp;AN224&amp;" pada kompetensi "&amp;VLOOKUP(AP224,$AA$532:$AC$539,3)),""))</f>
        <v/>
      </c>
      <c r="AR224" s="188"/>
    </row>
    <row r="225" spans="2:44" ht="27.9" customHeight="1" thickBot="1" x14ac:dyDescent="0.35">
      <c r="B225" s="384" t="s">
        <v>124</v>
      </c>
      <c r="C225" s="149">
        <f t="shared" ref="C225:C228" si="174">IF(E225="","",C224+1)</f>
        <v>16</v>
      </c>
      <c r="D225" s="150" t="str">
        <f>IF(Data!F220="","",Data!F220)</f>
        <v>03701</v>
      </c>
      <c r="E225" s="151" t="str">
        <f>IF(Data!H220="","",Data!H220)</f>
        <v>Nadila Ayu Febryana Putrianata</v>
      </c>
      <c r="F225" s="152" t="str">
        <f>IF(Data!I220="","",Data!I220)</f>
        <v>Perempuan</v>
      </c>
      <c r="G225" s="343">
        <v>85</v>
      </c>
      <c r="H225" s="344">
        <v>86</v>
      </c>
      <c r="I225" s="344">
        <v>83</v>
      </c>
      <c r="J225" s="344">
        <v>80</v>
      </c>
      <c r="K225" s="344">
        <v>81</v>
      </c>
      <c r="L225" s="344"/>
      <c r="M225" s="344"/>
      <c r="N225" s="345"/>
      <c r="O225" s="157">
        <f t="shared" ref="O225:O228" si="175">IF(COUNT(G225:N225)&lt;3,"",ROUND(SUM(G225:N225)/$O$6,0))</f>
        <v>69</v>
      </c>
      <c r="P225" s="344"/>
      <c r="Q225" s="346"/>
      <c r="R225" s="157" t="str">
        <f t="shared" ref="R225:R228" si="176">IFERROR(IF(OR(P225="",Q225=""),"",ROUND(((O225*$O$8)+(P225*$P$8)+(Q225*$Q$8))/$Q$6,0)),"")</f>
        <v/>
      </c>
      <c r="S225" s="159" t="str">
        <f>IF(R225="","",IF(R225&gt;Data2!$C$12,Data2!$D$11,IF(R225&gt;Data2!$C$13,Data2!$D$12,IF(R225&gt;Data2!$C$14,Data2!$D$13,Data2!$D$14))))</f>
        <v/>
      </c>
      <c r="T225" s="144">
        <f t="shared" ref="T225:T228" si="177">MAX(G225:N225)</f>
        <v>86</v>
      </c>
      <c r="U225" s="144">
        <f t="shared" ref="U225:U228" si="178">MIN(G225:N225)</f>
        <v>80</v>
      </c>
      <c r="V225" s="144" t="str">
        <f t="shared" si="158"/>
        <v>Baik</v>
      </c>
      <c r="W225" s="144" t="str">
        <f t="shared" si="159"/>
        <v>Cukup menguasai</v>
      </c>
      <c r="X225" s="144">
        <f t="shared" ref="X225:X228" si="179">MATCH(T225,G225:N225,0)</f>
        <v>2</v>
      </c>
      <c r="Y225" s="145">
        <f t="shared" ref="Y225:Y228" si="180">MATCH(U225,G225:N225,0)</f>
        <v>4</v>
      </c>
      <c r="Z225" s="218" t="str">
        <f>IF('PA-Non'!O225&lt;&gt;"",'PA-Non'!O225,IFERROR("Mempunyai kemampuan yang " &amp;IF(V225=W225,PROPER(W225)&amp;" dalam kompetensi "&amp;VLOOKUP(X225,$G$532:$I$539,3)&amp;" dan kompetensi "&amp;VLOOKUP(Y225,$G$532:$I$539,3),PROPER(V225)&amp;" dalam kompetensi "&amp;VLOOKUP(X225,$G$532:$I$539,3)&amp;" dan memiliki kemampuan yang "&amp;W225&amp;" pada kompetensi "&amp;VLOOKUP(Y225,$G$532:$I$539,3)),""))</f>
        <v>Mempunyai kemampuan yang Baik dalam kompetensi KD Pengetahuan-2 dan memiliki kemampuan yang Cukup menguasai pada kompetensi KD Pengetahuan-4</v>
      </c>
      <c r="AA225" s="343"/>
      <c r="AB225" s="344"/>
      <c r="AC225" s="344"/>
      <c r="AD225" s="344"/>
      <c r="AE225" s="344"/>
      <c r="AF225" s="344"/>
      <c r="AG225" s="344"/>
      <c r="AH225" s="345"/>
      <c r="AI225" s="220" t="str">
        <f t="shared" ref="AI225:AI228" si="181">IF(COUNT(AA225:AH225)&lt;3,"",ROUND(((AA225*$AA$8)+(AB225*$AB$8)+(AC225*$AC$8)+(AD225*$AD$8)+(AE225*$AE$8)+(AF225*$AF$8)+(AG225*$AG$8)+(AH225*$AH$8))/$AI$6,0))</f>
        <v/>
      </c>
      <c r="AJ225" s="160" t="str">
        <f>IF(AI225="","",IF(AI225&gt;Data2!$C$12,Data2!$D$11,IF(AI225&gt;Data2!$C$13,Data2!$D$12,IF(AI225&gt;Data2!$C$14,Data2!$D$13,Data2!$D$14))))</f>
        <v/>
      </c>
      <c r="AK225" s="146">
        <f t="shared" ref="AK225:AK228" si="182">MAX(AA225:AH225)</f>
        <v>0</v>
      </c>
      <c r="AL225" s="146">
        <f t="shared" ref="AL225:AL228" si="183">MIN(AA225:AH225)</f>
        <v>0</v>
      </c>
      <c r="AM225" s="147" t="str">
        <f t="shared" si="160"/>
        <v>Mulai meningkat</v>
      </c>
      <c r="AN225" s="147" t="str">
        <f t="shared" si="161"/>
        <v>Mulai meningkat</v>
      </c>
      <c r="AO225" s="146" t="e">
        <f t="shared" ref="AO225:AO228" si="184">MATCH(AK225,AA225:AH225,0)</f>
        <v>#N/A</v>
      </c>
      <c r="AP225" s="148" t="e">
        <f t="shared" ref="AP225:AP228" si="185">MATCH(AL225,AA225:AH225,0)</f>
        <v>#N/A</v>
      </c>
      <c r="AQ225" s="158" t="str">
        <f>IF('PA-Non'!V225&lt;&gt;"",'PA-Non'!V225,IFERROR("Mempunyai keterampilan yang "&amp;IF(AM225=AN225,PROPER(AN225)&amp;" dalam kompetensi "&amp;VLOOKUP(AO225,$AA$532:$AC$539,3)&amp;", demikian juga dalam kompetensi "&amp;VLOOKUP(AP225,$AA$532:$AC$539,3),PROPER(AM225)&amp;" dalam kompetensi "&amp;VLOOKUP(AO225,$AA$532:$AC$539,3)&amp;" dan "&amp;AN225&amp;" pada kompetensi "&amp;VLOOKUP(AP225,$AA$532:$AC$539,3)),""))</f>
        <v/>
      </c>
      <c r="AR225" s="188"/>
    </row>
    <row r="226" spans="2:44" ht="27.9" customHeight="1" thickBot="1" x14ac:dyDescent="0.35">
      <c r="B226" s="384" t="s">
        <v>124</v>
      </c>
      <c r="C226" s="149">
        <f t="shared" si="174"/>
        <v>17</v>
      </c>
      <c r="D226" s="150" t="str">
        <f>IF(Data!F221="","",Data!F221)</f>
        <v>03703</v>
      </c>
      <c r="E226" s="151" t="str">
        <f>IF(Data!H221="","",Data!H221)</f>
        <v>Nailatul Rijciya</v>
      </c>
      <c r="F226" s="152" t="str">
        <f>IF(Data!I221="","",Data!I221)</f>
        <v>Perempuan</v>
      </c>
      <c r="G226" s="343">
        <v>85</v>
      </c>
      <c r="H226" s="344">
        <v>80.099999999999994</v>
      </c>
      <c r="I226" s="344">
        <v>82</v>
      </c>
      <c r="J226" s="344">
        <v>80</v>
      </c>
      <c r="K226" s="344">
        <v>81</v>
      </c>
      <c r="L226" s="344"/>
      <c r="M226" s="344"/>
      <c r="N226" s="345"/>
      <c r="O226" s="157">
        <f t="shared" si="175"/>
        <v>68</v>
      </c>
      <c r="P226" s="344"/>
      <c r="Q226" s="346"/>
      <c r="R226" s="157" t="str">
        <f t="shared" si="176"/>
        <v/>
      </c>
      <c r="S226" s="159" t="str">
        <f>IF(R226="","",IF(R226&gt;Data2!$C$12,Data2!$D$11,IF(R226&gt;Data2!$C$13,Data2!$D$12,IF(R226&gt;Data2!$C$14,Data2!$D$13,Data2!$D$14))))</f>
        <v/>
      </c>
      <c r="T226" s="144">
        <f t="shared" si="177"/>
        <v>85</v>
      </c>
      <c r="U226" s="144">
        <f t="shared" si="178"/>
        <v>80</v>
      </c>
      <c r="V226" s="144" t="str">
        <f t="shared" si="158"/>
        <v>Cukup menguasai</v>
      </c>
      <c r="W226" s="144" t="str">
        <f t="shared" si="159"/>
        <v>Cukup menguasai</v>
      </c>
      <c r="X226" s="144">
        <f t="shared" si="179"/>
        <v>1</v>
      </c>
      <c r="Y226" s="145">
        <f t="shared" si="180"/>
        <v>4</v>
      </c>
      <c r="Z226" s="218" t="str">
        <f>IF('PA-Non'!O226&lt;&gt;"",'PA-Non'!O226,IFERROR("Mempunyai kemampuan yang " &amp;IF(V226=W226,PROPER(W226)&amp;" dalam kompetensi "&amp;VLOOKUP(X226,$G$532:$I$539,3)&amp;" dan kompetensi "&amp;VLOOKUP(Y226,$G$532:$I$539,3),PROPER(V226)&amp;" dalam kompetensi "&amp;VLOOKUP(X226,$G$532:$I$539,3)&amp;" dan memiliki kemampuan yang "&amp;W226&amp;" pada kompetensi "&amp;VLOOKUP(Y226,$G$532:$I$539,3)),""))</f>
        <v>Mempunyai kemampuan yang Cukup Menguasai dalam kompetensi KD Pengetahuan-1 dan kompetensi KD Pengetahuan-4</v>
      </c>
      <c r="AA226" s="343"/>
      <c r="AB226" s="344"/>
      <c r="AC226" s="344"/>
      <c r="AD226" s="344"/>
      <c r="AE226" s="344"/>
      <c r="AF226" s="344"/>
      <c r="AG226" s="344"/>
      <c r="AH226" s="345"/>
      <c r="AI226" s="220" t="str">
        <f t="shared" si="181"/>
        <v/>
      </c>
      <c r="AJ226" s="160" t="str">
        <f>IF(AI226="","",IF(AI226&gt;Data2!$C$12,Data2!$D$11,IF(AI226&gt;Data2!$C$13,Data2!$D$12,IF(AI226&gt;Data2!$C$14,Data2!$D$13,Data2!$D$14))))</f>
        <v/>
      </c>
      <c r="AK226" s="146">
        <f t="shared" si="182"/>
        <v>0</v>
      </c>
      <c r="AL226" s="146">
        <f t="shared" si="183"/>
        <v>0</v>
      </c>
      <c r="AM226" s="147" t="str">
        <f t="shared" si="160"/>
        <v>Mulai meningkat</v>
      </c>
      <c r="AN226" s="147" t="str">
        <f t="shared" si="161"/>
        <v>Mulai meningkat</v>
      </c>
      <c r="AO226" s="146" t="e">
        <f t="shared" si="184"/>
        <v>#N/A</v>
      </c>
      <c r="AP226" s="148" t="e">
        <f t="shared" si="185"/>
        <v>#N/A</v>
      </c>
      <c r="AQ226" s="158" t="str">
        <f>IF('PA-Non'!V226&lt;&gt;"",'PA-Non'!V226,IFERROR("Mempunyai keterampilan yang "&amp;IF(AM226=AN226,PROPER(AN226)&amp;" dalam kompetensi "&amp;VLOOKUP(AO226,$AA$532:$AC$539,3)&amp;", demikian juga dalam kompetensi "&amp;VLOOKUP(AP226,$AA$532:$AC$539,3),PROPER(AM226)&amp;" dalam kompetensi "&amp;VLOOKUP(AO226,$AA$532:$AC$539,3)&amp;" dan "&amp;AN226&amp;" pada kompetensi "&amp;VLOOKUP(AP226,$AA$532:$AC$539,3)),""))</f>
        <v/>
      </c>
      <c r="AR226" s="188"/>
    </row>
    <row r="227" spans="2:44" ht="27.9" customHeight="1" thickBot="1" x14ac:dyDescent="0.35">
      <c r="B227" s="384" t="s">
        <v>124</v>
      </c>
      <c r="C227" s="149">
        <f t="shared" si="174"/>
        <v>18</v>
      </c>
      <c r="D227" s="150" t="str">
        <f>IF(Data!F222="","",Data!F222)</f>
        <v>03704</v>
      </c>
      <c r="E227" s="151" t="str">
        <f>IF(Data!H222="","",Data!H222)</f>
        <v>Najwa Asyila Salsabila</v>
      </c>
      <c r="F227" s="152" t="str">
        <f>IF(Data!I222="","",Data!I222)</f>
        <v>Perempuan</v>
      </c>
      <c r="G227" s="343">
        <v>85</v>
      </c>
      <c r="H227" s="344">
        <v>86</v>
      </c>
      <c r="I227" s="344">
        <v>83</v>
      </c>
      <c r="J227" s="344">
        <v>80</v>
      </c>
      <c r="K227" s="344">
        <v>81</v>
      </c>
      <c r="L227" s="344"/>
      <c r="M227" s="344"/>
      <c r="N227" s="345"/>
      <c r="O227" s="157">
        <f t="shared" si="175"/>
        <v>69</v>
      </c>
      <c r="P227" s="344"/>
      <c r="Q227" s="346"/>
      <c r="R227" s="157" t="str">
        <f t="shared" si="176"/>
        <v/>
      </c>
      <c r="S227" s="159" t="str">
        <f>IF(R227="","",IF(R227&gt;Data2!$C$12,Data2!$D$11,IF(R227&gt;Data2!$C$13,Data2!$D$12,IF(R227&gt;Data2!$C$14,Data2!$D$13,Data2!$D$14))))</f>
        <v/>
      </c>
      <c r="T227" s="144">
        <f t="shared" si="177"/>
        <v>86</v>
      </c>
      <c r="U227" s="144">
        <f t="shared" si="178"/>
        <v>80</v>
      </c>
      <c r="V227" s="144" t="str">
        <f t="shared" si="158"/>
        <v>Baik</v>
      </c>
      <c r="W227" s="144" t="str">
        <f t="shared" si="159"/>
        <v>Cukup menguasai</v>
      </c>
      <c r="X227" s="144">
        <f t="shared" si="179"/>
        <v>2</v>
      </c>
      <c r="Y227" s="145">
        <f t="shared" si="180"/>
        <v>4</v>
      </c>
      <c r="Z227" s="218" t="str">
        <f>IF('PA-Non'!O227&lt;&gt;"",'PA-Non'!O227,IFERROR("Mempunyai kemampuan yang " &amp;IF(V227=W227,PROPER(W227)&amp;" dalam kompetensi "&amp;VLOOKUP(X227,$G$532:$I$539,3)&amp;" dan kompetensi "&amp;VLOOKUP(Y227,$G$532:$I$539,3),PROPER(V227)&amp;" dalam kompetensi "&amp;VLOOKUP(X227,$G$532:$I$539,3)&amp;" dan memiliki kemampuan yang "&amp;W227&amp;" pada kompetensi "&amp;VLOOKUP(Y227,$G$532:$I$539,3)),""))</f>
        <v>Mempunyai kemampuan yang Baik dalam kompetensi KD Pengetahuan-2 dan memiliki kemampuan yang Cukup menguasai pada kompetensi KD Pengetahuan-4</v>
      </c>
      <c r="AA227" s="343"/>
      <c r="AB227" s="344"/>
      <c r="AC227" s="344"/>
      <c r="AD227" s="344"/>
      <c r="AE227" s="344"/>
      <c r="AF227" s="344"/>
      <c r="AG227" s="344"/>
      <c r="AH227" s="345"/>
      <c r="AI227" s="220" t="str">
        <f t="shared" si="181"/>
        <v/>
      </c>
      <c r="AJ227" s="160" t="str">
        <f>IF(AI227="","",IF(AI227&gt;Data2!$C$12,Data2!$D$11,IF(AI227&gt;Data2!$C$13,Data2!$D$12,IF(AI227&gt;Data2!$C$14,Data2!$D$13,Data2!$D$14))))</f>
        <v/>
      </c>
      <c r="AK227" s="146">
        <f t="shared" si="182"/>
        <v>0</v>
      </c>
      <c r="AL227" s="146">
        <f t="shared" si="183"/>
        <v>0</v>
      </c>
      <c r="AM227" s="147" t="str">
        <f t="shared" si="160"/>
        <v>Mulai meningkat</v>
      </c>
      <c r="AN227" s="147" t="str">
        <f t="shared" si="161"/>
        <v>Mulai meningkat</v>
      </c>
      <c r="AO227" s="146" t="e">
        <f t="shared" si="184"/>
        <v>#N/A</v>
      </c>
      <c r="AP227" s="148" t="e">
        <f t="shared" si="185"/>
        <v>#N/A</v>
      </c>
      <c r="AQ227" s="158" t="str">
        <f>IF('PA-Non'!V227&lt;&gt;"",'PA-Non'!V227,IFERROR("Mempunyai keterampilan yang "&amp;IF(AM227=AN227,PROPER(AN227)&amp;" dalam kompetensi "&amp;VLOOKUP(AO227,$AA$532:$AC$539,3)&amp;", demikian juga dalam kompetensi "&amp;VLOOKUP(AP227,$AA$532:$AC$539,3),PROPER(AM227)&amp;" dalam kompetensi "&amp;VLOOKUP(AO227,$AA$532:$AC$539,3)&amp;" dan "&amp;AN227&amp;" pada kompetensi "&amp;VLOOKUP(AP227,$AA$532:$AC$539,3)),""))</f>
        <v/>
      </c>
      <c r="AR227" s="188"/>
    </row>
    <row r="228" spans="2:44" ht="27.9" customHeight="1" thickBot="1" x14ac:dyDescent="0.35">
      <c r="B228" s="384" t="s">
        <v>124</v>
      </c>
      <c r="C228" s="149">
        <f t="shared" si="174"/>
        <v>19</v>
      </c>
      <c r="D228" s="150" t="str">
        <f>IF(Data!F223="","",Data!F223)</f>
        <v>03706</v>
      </c>
      <c r="E228" s="151" t="str">
        <f>IF(Data!H223="","",Data!H223)</f>
        <v>Natasya Elina Putri</v>
      </c>
      <c r="F228" s="152" t="str">
        <f>IF(Data!I223="","",Data!I223)</f>
        <v>Perempuan</v>
      </c>
      <c r="G228" s="343">
        <v>87</v>
      </c>
      <c r="H228" s="344">
        <v>80.099999999999994</v>
      </c>
      <c r="I228" s="344">
        <v>85</v>
      </c>
      <c r="J228" s="344">
        <v>83</v>
      </c>
      <c r="K228" s="344">
        <v>80</v>
      </c>
      <c r="L228" s="344"/>
      <c r="M228" s="344"/>
      <c r="N228" s="345"/>
      <c r="O228" s="157">
        <f t="shared" si="175"/>
        <v>69</v>
      </c>
      <c r="P228" s="344"/>
      <c r="Q228" s="346"/>
      <c r="R228" s="157" t="str">
        <f t="shared" si="176"/>
        <v/>
      </c>
      <c r="S228" s="159" t="str">
        <f>IF(R228="","",IF(R228&gt;Data2!$C$12,Data2!$D$11,IF(R228&gt;Data2!$C$13,Data2!$D$12,IF(R228&gt;Data2!$C$14,Data2!$D$13,Data2!$D$14))))</f>
        <v/>
      </c>
      <c r="T228" s="144">
        <f t="shared" si="177"/>
        <v>87</v>
      </c>
      <c r="U228" s="144">
        <f t="shared" si="178"/>
        <v>80</v>
      </c>
      <c r="V228" s="144" t="str">
        <f t="shared" si="158"/>
        <v>Baik</v>
      </c>
      <c r="W228" s="144" t="str">
        <f t="shared" si="159"/>
        <v>Cukup menguasai</v>
      </c>
      <c r="X228" s="144">
        <f t="shared" si="179"/>
        <v>1</v>
      </c>
      <c r="Y228" s="145">
        <f t="shared" si="180"/>
        <v>5</v>
      </c>
      <c r="Z228" s="218" t="str">
        <f>IF('PA-Non'!O228&lt;&gt;"",'PA-Non'!O228,IFERROR("Mempunyai kemampuan yang " &amp;IF(V228=W228,PROPER(W228)&amp;" dalam kompetensi "&amp;VLOOKUP(X228,$G$532:$I$539,3)&amp;" dan kompetensi "&amp;VLOOKUP(Y228,$G$532:$I$539,3),PROPER(V228)&amp;" dalam kompetensi "&amp;VLOOKUP(X228,$G$532:$I$539,3)&amp;" dan memiliki kemampuan yang "&amp;W228&amp;" pada kompetensi "&amp;VLOOKUP(Y228,$G$532:$I$539,3)),""))</f>
        <v>Mempunyai kemampuan yang Baik dalam kompetensi KD Pengetahuan-1 dan memiliki kemampuan yang Cukup menguasai pada kompetensi KD Pengetahuan-5</v>
      </c>
      <c r="AA228" s="343"/>
      <c r="AB228" s="344"/>
      <c r="AC228" s="344"/>
      <c r="AD228" s="344"/>
      <c r="AE228" s="344"/>
      <c r="AF228" s="344"/>
      <c r="AG228" s="344"/>
      <c r="AH228" s="345"/>
      <c r="AI228" s="220" t="str">
        <f t="shared" si="181"/>
        <v/>
      </c>
      <c r="AJ228" s="160" t="str">
        <f>IF(AI228="","",IF(AI228&gt;Data2!$C$12,Data2!$D$11,IF(AI228&gt;Data2!$C$13,Data2!$D$12,IF(AI228&gt;Data2!$C$14,Data2!$D$13,Data2!$D$14))))</f>
        <v/>
      </c>
      <c r="AK228" s="146">
        <f t="shared" si="182"/>
        <v>0</v>
      </c>
      <c r="AL228" s="146">
        <f t="shared" si="183"/>
        <v>0</v>
      </c>
      <c r="AM228" s="147" t="str">
        <f t="shared" si="160"/>
        <v>Mulai meningkat</v>
      </c>
      <c r="AN228" s="147" t="str">
        <f t="shared" si="161"/>
        <v>Mulai meningkat</v>
      </c>
      <c r="AO228" s="146" t="e">
        <f t="shared" si="184"/>
        <v>#N/A</v>
      </c>
      <c r="AP228" s="148" t="e">
        <f t="shared" si="185"/>
        <v>#N/A</v>
      </c>
      <c r="AQ228" s="158" t="str">
        <f>IF('PA-Non'!V228&lt;&gt;"",'PA-Non'!V228,IFERROR("Mempunyai keterampilan yang "&amp;IF(AM228=AN228,PROPER(AN228)&amp;" dalam kompetensi "&amp;VLOOKUP(AO228,$AA$532:$AC$539,3)&amp;", demikian juga dalam kompetensi "&amp;VLOOKUP(AP228,$AA$532:$AC$539,3),PROPER(AM228)&amp;" dalam kompetensi "&amp;VLOOKUP(AO228,$AA$532:$AC$539,3)&amp;" dan "&amp;AN228&amp;" pada kompetensi "&amp;VLOOKUP(AP228,$AA$532:$AC$539,3)),""))</f>
        <v/>
      </c>
      <c r="AR228" s="188"/>
    </row>
    <row r="229" spans="2:44" ht="27.9" customHeight="1" thickBot="1" x14ac:dyDescent="0.35">
      <c r="B229" s="384" t="s">
        <v>124</v>
      </c>
      <c r="C229" s="149">
        <f t="shared" ref="C229:C236" si="186">IF(E229="","",C228+1)</f>
        <v>20</v>
      </c>
      <c r="D229" s="150" t="str">
        <f>IF(Data!F224="","",Data!F224)</f>
        <v>03712</v>
      </c>
      <c r="E229" s="151" t="str">
        <f>IF(Data!H224="","",Data!H224)</f>
        <v>Niken Maulia Ambarwati</v>
      </c>
      <c r="F229" s="152" t="str">
        <f>IF(Data!I224="","",Data!I224)</f>
        <v>Perempuan</v>
      </c>
      <c r="G229" s="343">
        <v>85</v>
      </c>
      <c r="H229" s="344">
        <v>86</v>
      </c>
      <c r="I229" s="344">
        <v>83</v>
      </c>
      <c r="J229" s="344">
        <v>82</v>
      </c>
      <c r="K229" s="344">
        <v>80</v>
      </c>
      <c r="L229" s="344"/>
      <c r="M229" s="344"/>
      <c r="N229" s="345"/>
      <c r="O229" s="157">
        <f t="shared" ref="O229:O236" si="187">IF(COUNT(G229:N229)&lt;3,"",ROUND(SUM(G229:N229)/$O$6,0))</f>
        <v>69</v>
      </c>
      <c r="P229" s="344"/>
      <c r="Q229" s="346"/>
      <c r="R229" s="157" t="str">
        <f t="shared" ref="R229:R236" si="188">IFERROR(IF(OR(P229="",Q229=""),"",ROUND(((O229*$O$8)+(P229*$P$8)+(Q229*$Q$8))/$Q$6,0)),"")</f>
        <v/>
      </c>
      <c r="S229" s="159" t="str">
        <f>IF(R229="","",IF(R229&gt;Data2!$C$12,Data2!$D$11,IF(R229&gt;Data2!$C$13,Data2!$D$12,IF(R229&gt;Data2!$C$14,Data2!$D$13,Data2!$D$14))))</f>
        <v/>
      </c>
      <c r="T229" s="144">
        <f t="shared" ref="T229:T236" si="189">MAX(G229:N229)</f>
        <v>86</v>
      </c>
      <c r="U229" s="144">
        <f t="shared" ref="U229:U236" si="190">MIN(G229:N229)</f>
        <v>80</v>
      </c>
      <c r="V229" s="144" t="str">
        <f t="shared" si="158"/>
        <v>Baik</v>
      </c>
      <c r="W229" s="144" t="str">
        <f t="shared" si="159"/>
        <v>Cukup menguasai</v>
      </c>
      <c r="X229" s="144">
        <f t="shared" ref="X229:X236" si="191">MATCH(T229,G229:N229,0)</f>
        <v>2</v>
      </c>
      <c r="Y229" s="145">
        <f t="shared" ref="Y229:Y236" si="192">MATCH(U229,G229:N229,0)</f>
        <v>5</v>
      </c>
      <c r="Z229" s="218" t="str">
        <f>IF('PA-Non'!O229&lt;&gt;"",'PA-Non'!O229,IFERROR("Mempunyai kemampuan yang " &amp;IF(V229=W229,PROPER(W229)&amp;" dalam kompetensi "&amp;VLOOKUP(X229,$G$532:$I$539,3)&amp;" dan kompetensi "&amp;VLOOKUP(Y229,$G$532:$I$539,3),PROPER(V229)&amp;" dalam kompetensi "&amp;VLOOKUP(X229,$G$532:$I$539,3)&amp;" dan memiliki kemampuan yang "&amp;W229&amp;" pada kompetensi "&amp;VLOOKUP(Y229,$G$532:$I$539,3)),""))</f>
        <v>Mempunyai kemampuan yang Baik dalam kompetensi KD Pengetahuan-2 dan memiliki kemampuan yang Cukup menguasai pada kompetensi KD Pengetahuan-5</v>
      </c>
      <c r="AA229" s="343"/>
      <c r="AB229" s="344"/>
      <c r="AC229" s="344"/>
      <c r="AD229" s="344"/>
      <c r="AE229" s="344"/>
      <c r="AF229" s="344"/>
      <c r="AG229" s="344"/>
      <c r="AH229" s="345"/>
      <c r="AI229" s="220" t="str">
        <f t="shared" ref="AI229:AI236" si="193">IF(COUNT(AA229:AH229)&lt;3,"",ROUND(((AA229*$AA$8)+(AB229*$AB$8)+(AC229*$AC$8)+(AD229*$AD$8)+(AE229*$AE$8)+(AF229*$AF$8)+(AG229*$AG$8)+(AH229*$AH$8))/$AI$6,0))</f>
        <v/>
      </c>
      <c r="AJ229" s="160" t="str">
        <f>IF(AI229="","",IF(AI229&gt;Data2!$C$12,Data2!$D$11,IF(AI229&gt;Data2!$C$13,Data2!$D$12,IF(AI229&gt;Data2!$C$14,Data2!$D$13,Data2!$D$14))))</f>
        <v/>
      </c>
      <c r="AK229" s="146">
        <f t="shared" ref="AK229:AK236" si="194">MAX(AA229:AH229)</f>
        <v>0</v>
      </c>
      <c r="AL229" s="146">
        <f t="shared" ref="AL229:AL236" si="195">MIN(AA229:AH229)</f>
        <v>0</v>
      </c>
      <c r="AM229" s="147" t="str">
        <f t="shared" si="160"/>
        <v>Mulai meningkat</v>
      </c>
      <c r="AN229" s="147" t="str">
        <f t="shared" si="161"/>
        <v>Mulai meningkat</v>
      </c>
      <c r="AO229" s="146" t="e">
        <f t="shared" ref="AO229:AO236" si="196">MATCH(AK229,AA229:AH229,0)</f>
        <v>#N/A</v>
      </c>
      <c r="AP229" s="148" t="e">
        <f t="shared" ref="AP229:AP236" si="197">MATCH(AL229,AA229:AH229,0)</f>
        <v>#N/A</v>
      </c>
      <c r="AQ229" s="158" t="str">
        <f>IF('PA-Non'!V229&lt;&gt;"",'PA-Non'!V229,IFERROR("Mempunyai keterampilan yang "&amp;IF(AM229=AN229,PROPER(AN229)&amp;" dalam kompetensi "&amp;VLOOKUP(AO229,$AA$532:$AC$539,3)&amp;", demikian juga dalam kompetensi "&amp;VLOOKUP(AP229,$AA$532:$AC$539,3),PROPER(AM229)&amp;" dalam kompetensi "&amp;VLOOKUP(AO229,$AA$532:$AC$539,3)&amp;" dan "&amp;AN229&amp;" pada kompetensi "&amp;VLOOKUP(AP229,$AA$532:$AC$539,3)),""))</f>
        <v/>
      </c>
      <c r="AR229" s="188"/>
    </row>
    <row r="230" spans="2:44" ht="27.9" customHeight="1" thickBot="1" x14ac:dyDescent="0.35">
      <c r="B230" s="384" t="s">
        <v>124</v>
      </c>
      <c r="C230" s="149">
        <f t="shared" si="186"/>
        <v>21</v>
      </c>
      <c r="D230" s="150" t="str">
        <f>IF(Data!F225="","",Data!F225)</f>
        <v>03715</v>
      </c>
      <c r="E230" s="151" t="str">
        <f>IF(Data!H225="","",Data!H225)</f>
        <v>Nuris Fatimatu Zahra</v>
      </c>
      <c r="F230" s="152" t="str">
        <f>IF(Data!I225="","",Data!I225)</f>
        <v>Perempuan</v>
      </c>
      <c r="G230" s="343">
        <v>86.1</v>
      </c>
      <c r="H230" s="344">
        <v>85</v>
      </c>
      <c r="I230" s="344">
        <v>86</v>
      </c>
      <c r="J230" s="344">
        <v>89</v>
      </c>
      <c r="K230" s="344">
        <v>80</v>
      </c>
      <c r="L230" s="344"/>
      <c r="M230" s="344"/>
      <c r="N230" s="345"/>
      <c r="O230" s="157">
        <f t="shared" si="187"/>
        <v>71</v>
      </c>
      <c r="P230" s="344"/>
      <c r="Q230" s="346"/>
      <c r="R230" s="157" t="str">
        <f t="shared" si="188"/>
        <v/>
      </c>
      <c r="S230" s="159" t="str">
        <f>IF(R230="","",IF(R230&gt;Data2!$C$12,Data2!$D$11,IF(R230&gt;Data2!$C$13,Data2!$D$12,IF(R230&gt;Data2!$C$14,Data2!$D$13,Data2!$D$14))))</f>
        <v/>
      </c>
      <c r="T230" s="144">
        <f t="shared" si="189"/>
        <v>89</v>
      </c>
      <c r="U230" s="144">
        <f t="shared" si="190"/>
        <v>80</v>
      </c>
      <c r="V230" s="144" t="str">
        <f t="shared" si="158"/>
        <v>Baik</v>
      </c>
      <c r="W230" s="144" t="str">
        <f t="shared" si="159"/>
        <v>Cukup menguasai</v>
      </c>
      <c r="X230" s="144">
        <f t="shared" si="191"/>
        <v>4</v>
      </c>
      <c r="Y230" s="145">
        <f t="shared" si="192"/>
        <v>5</v>
      </c>
      <c r="Z230" s="218" t="str">
        <f>IF('PA-Non'!O230&lt;&gt;"",'PA-Non'!O230,IFERROR("Mempunyai kemampuan yang " &amp;IF(V230=W230,PROPER(W230)&amp;" dalam kompetensi "&amp;VLOOKUP(X230,$G$532:$I$539,3)&amp;" dan kompetensi "&amp;VLOOKUP(Y230,$G$532:$I$539,3),PROPER(V230)&amp;" dalam kompetensi "&amp;VLOOKUP(X230,$G$532:$I$539,3)&amp;" dan memiliki kemampuan yang "&amp;W230&amp;" pada kompetensi "&amp;VLOOKUP(Y230,$G$532:$I$539,3)),""))</f>
        <v>Mempunyai kemampuan yang Baik dalam kompetensi KD Pengetahuan-4 dan memiliki kemampuan yang Cukup menguasai pada kompetensi KD Pengetahuan-5</v>
      </c>
      <c r="AA230" s="343"/>
      <c r="AB230" s="344"/>
      <c r="AC230" s="344"/>
      <c r="AD230" s="344"/>
      <c r="AE230" s="344"/>
      <c r="AF230" s="344"/>
      <c r="AG230" s="344"/>
      <c r="AH230" s="345"/>
      <c r="AI230" s="220" t="str">
        <f t="shared" si="193"/>
        <v/>
      </c>
      <c r="AJ230" s="160" t="str">
        <f>IF(AI230="","",IF(AI230&gt;Data2!$C$12,Data2!$D$11,IF(AI230&gt;Data2!$C$13,Data2!$D$12,IF(AI230&gt;Data2!$C$14,Data2!$D$13,Data2!$D$14))))</f>
        <v/>
      </c>
      <c r="AK230" s="146">
        <f t="shared" si="194"/>
        <v>0</v>
      </c>
      <c r="AL230" s="146">
        <f t="shared" si="195"/>
        <v>0</v>
      </c>
      <c r="AM230" s="147" t="str">
        <f t="shared" si="160"/>
        <v>Mulai meningkat</v>
      </c>
      <c r="AN230" s="147" t="str">
        <f t="shared" si="161"/>
        <v>Mulai meningkat</v>
      </c>
      <c r="AO230" s="146" t="e">
        <f t="shared" si="196"/>
        <v>#N/A</v>
      </c>
      <c r="AP230" s="148" t="e">
        <f t="shared" si="197"/>
        <v>#N/A</v>
      </c>
      <c r="AQ230" s="158" t="str">
        <f>IF('PA-Non'!V230&lt;&gt;"",'PA-Non'!V230,IFERROR("Mempunyai keterampilan yang "&amp;IF(AM230=AN230,PROPER(AN230)&amp;" dalam kompetensi "&amp;VLOOKUP(AO230,$AA$532:$AC$539,3)&amp;", demikian juga dalam kompetensi "&amp;VLOOKUP(AP230,$AA$532:$AC$539,3),PROPER(AM230)&amp;" dalam kompetensi "&amp;VLOOKUP(AO230,$AA$532:$AC$539,3)&amp;" dan "&amp;AN230&amp;" pada kompetensi "&amp;VLOOKUP(AP230,$AA$532:$AC$539,3)),""))</f>
        <v/>
      </c>
      <c r="AR230" s="188"/>
    </row>
    <row r="231" spans="2:44" ht="27.9" customHeight="1" thickBot="1" x14ac:dyDescent="0.35">
      <c r="B231" s="384" t="s">
        <v>124</v>
      </c>
      <c r="C231" s="149">
        <f t="shared" si="186"/>
        <v>22</v>
      </c>
      <c r="D231" s="150" t="str">
        <f>IF(Data!F226="","",Data!F226)</f>
        <v>03717</v>
      </c>
      <c r="E231" s="151" t="str">
        <f>IF(Data!H226="","",Data!H226)</f>
        <v>Rianti Yomi Dwi Admaja</v>
      </c>
      <c r="F231" s="152" t="str">
        <f>IF(Data!I226="","",Data!I226)</f>
        <v>Perempuan</v>
      </c>
      <c r="G231" s="343">
        <v>85.1</v>
      </c>
      <c r="H231" s="344">
        <v>80</v>
      </c>
      <c r="I231" s="344">
        <v>83</v>
      </c>
      <c r="J231" s="344">
        <v>85</v>
      </c>
      <c r="K231" s="344">
        <v>86</v>
      </c>
      <c r="L231" s="344"/>
      <c r="M231" s="344"/>
      <c r="N231" s="345"/>
      <c r="O231" s="157">
        <f t="shared" si="187"/>
        <v>70</v>
      </c>
      <c r="P231" s="344"/>
      <c r="Q231" s="346"/>
      <c r="R231" s="157" t="str">
        <f t="shared" si="188"/>
        <v/>
      </c>
      <c r="S231" s="159" t="str">
        <f>IF(R231="","",IF(R231&gt;Data2!$C$12,Data2!$D$11,IF(R231&gt;Data2!$C$13,Data2!$D$12,IF(R231&gt;Data2!$C$14,Data2!$D$13,Data2!$D$14))))</f>
        <v/>
      </c>
      <c r="T231" s="144">
        <f t="shared" si="189"/>
        <v>86</v>
      </c>
      <c r="U231" s="144">
        <f t="shared" si="190"/>
        <v>80</v>
      </c>
      <c r="V231" s="144" t="str">
        <f t="shared" si="158"/>
        <v>Baik</v>
      </c>
      <c r="W231" s="144" t="str">
        <f t="shared" si="159"/>
        <v>Cukup menguasai</v>
      </c>
      <c r="X231" s="144">
        <f t="shared" si="191"/>
        <v>5</v>
      </c>
      <c r="Y231" s="145">
        <f t="shared" si="192"/>
        <v>2</v>
      </c>
      <c r="Z231" s="218" t="str">
        <f>IF('PA-Non'!O231&lt;&gt;"",'PA-Non'!O231,IFERROR("Mempunyai kemampuan yang " &amp;IF(V231=W231,PROPER(W231)&amp;" dalam kompetensi "&amp;VLOOKUP(X231,$G$532:$I$539,3)&amp;" dan kompetensi "&amp;VLOOKUP(Y231,$G$532:$I$539,3),PROPER(V231)&amp;" dalam kompetensi "&amp;VLOOKUP(X231,$G$532:$I$539,3)&amp;" dan memiliki kemampuan yang "&amp;W231&amp;" pada kompetensi "&amp;VLOOKUP(Y231,$G$532:$I$539,3)),""))</f>
        <v>Mempunyai kemampuan yang Baik dalam kompetensi KD Pengetahuan-5 dan memiliki kemampuan yang Cukup menguasai pada kompetensi KD Pengetahuan-2</v>
      </c>
      <c r="AA231" s="343"/>
      <c r="AB231" s="344"/>
      <c r="AC231" s="344"/>
      <c r="AD231" s="344"/>
      <c r="AE231" s="344"/>
      <c r="AF231" s="344"/>
      <c r="AG231" s="344"/>
      <c r="AH231" s="345"/>
      <c r="AI231" s="220" t="str">
        <f t="shared" si="193"/>
        <v/>
      </c>
      <c r="AJ231" s="160" t="str">
        <f>IF(AI231="","",IF(AI231&gt;Data2!$C$12,Data2!$D$11,IF(AI231&gt;Data2!$C$13,Data2!$D$12,IF(AI231&gt;Data2!$C$14,Data2!$D$13,Data2!$D$14))))</f>
        <v/>
      </c>
      <c r="AK231" s="146">
        <f t="shared" si="194"/>
        <v>0</v>
      </c>
      <c r="AL231" s="146">
        <f t="shared" si="195"/>
        <v>0</v>
      </c>
      <c r="AM231" s="147" t="str">
        <f t="shared" si="160"/>
        <v>Mulai meningkat</v>
      </c>
      <c r="AN231" s="147" t="str">
        <f t="shared" si="161"/>
        <v>Mulai meningkat</v>
      </c>
      <c r="AO231" s="146" t="e">
        <f t="shared" si="196"/>
        <v>#N/A</v>
      </c>
      <c r="AP231" s="148" t="e">
        <f t="shared" si="197"/>
        <v>#N/A</v>
      </c>
      <c r="AQ231" s="158" t="str">
        <f>IF('PA-Non'!V231&lt;&gt;"",'PA-Non'!V231,IFERROR("Mempunyai keterampilan yang "&amp;IF(AM231=AN231,PROPER(AN231)&amp;" dalam kompetensi "&amp;VLOOKUP(AO231,$AA$532:$AC$539,3)&amp;", demikian juga dalam kompetensi "&amp;VLOOKUP(AP231,$AA$532:$AC$539,3),PROPER(AM231)&amp;" dalam kompetensi "&amp;VLOOKUP(AO231,$AA$532:$AC$539,3)&amp;" dan "&amp;AN231&amp;" pada kompetensi "&amp;VLOOKUP(AP231,$AA$532:$AC$539,3)),""))</f>
        <v/>
      </c>
      <c r="AR231" s="188"/>
    </row>
    <row r="232" spans="2:44" ht="27.9" customHeight="1" thickBot="1" x14ac:dyDescent="0.35">
      <c r="B232" s="384" t="s">
        <v>124</v>
      </c>
      <c r="C232" s="149">
        <f t="shared" si="186"/>
        <v>23</v>
      </c>
      <c r="D232" s="150" t="str">
        <f>IF(Data!F227="","",Data!F227)</f>
        <v>03718</v>
      </c>
      <c r="E232" s="151" t="str">
        <f>IF(Data!H227="","",Data!H227)</f>
        <v>Rosyidatul Marwa Nurin Najwa</v>
      </c>
      <c r="F232" s="152" t="str">
        <f>IF(Data!I227="","",Data!I227)</f>
        <v>Perempuan</v>
      </c>
      <c r="G232" s="343">
        <v>80</v>
      </c>
      <c r="H232" s="344">
        <v>81</v>
      </c>
      <c r="I232" s="344">
        <v>79</v>
      </c>
      <c r="J232" s="344">
        <v>83</v>
      </c>
      <c r="K232" s="344">
        <v>85</v>
      </c>
      <c r="L232" s="344"/>
      <c r="M232" s="344"/>
      <c r="N232" s="345"/>
      <c r="O232" s="157">
        <f t="shared" si="187"/>
        <v>68</v>
      </c>
      <c r="P232" s="344"/>
      <c r="Q232" s="346"/>
      <c r="R232" s="157" t="str">
        <f t="shared" si="188"/>
        <v/>
      </c>
      <c r="S232" s="159" t="str">
        <f>IF(R232="","",IF(R232&gt;Data2!$C$12,Data2!$D$11,IF(R232&gt;Data2!$C$13,Data2!$D$12,IF(R232&gt;Data2!$C$14,Data2!$D$13,Data2!$D$14))))</f>
        <v/>
      </c>
      <c r="T232" s="144">
        <f t="shared" si="189"/>
        <v>85</v>
      </c>
      <c r="U232" s="144">
        <f t="shared" si="190"/>
        <v>79</v>
      </c>
      <c r="V232" s="144" t="str">
        <f t="shared" si="158"/>
        <v>Cukup menguasai</v>
      </c>
      <c r="W232" s="144" t="str">
        <f t="shared" si="159"/>
        <v>Cukup menguasai</v>
      </c>
      <c r="X232" s="144">
        <f t="shared" si="191"/>
        <v>5</v>
      </c>
      <c r="Y232" s="145">
        <f t="shared" si="192"/>
        <v>3</v>
      </c>
      <c r="Z232" s="218" t="str">
        <f>IF('PA-Non'!O232&lt;&gt;"",'PA-Non'!O232,IFERROR("Mempunyai kemampuan yang " &amp;IF(V232=W232,PROPER(W232)&amp;" dalam kompetensi "&amp;VLOOKUP(X232,$G$532:$I$539,3)&amp;" dan kompetensi "&amp;VLOOKUP(Y232,$G$532:$I$539,3),PROPER(V232)&amp;" dalam kompetensi "&amp;VLOOKUP(X232,$G$532:$I$539,3)&amp;" dan memiliki kemampuan yang "&amp;W232&amp;" pada kompetensi "&amp;VLOOKUP(Y232,$G$532:$I$539,3)),""))</f>
        <v>Mempunyai kemampuan yang Cukup Menguasai dalam kompetensi KD Pengetahuan-5 dan kompetensi KD Pengetahuan-3</v>
      </c>
      <c r="AA232" s="343"/>
      <c r="AB232" s="344"/>
      <c r="AC232" s="344"/>
      <c r="AD232" s="344"/>
      <c r="AE232" s="344"/>
      <c r="AF232" s="344"/>
      <c r="AG232" s="344"/>
      <c r="AH232" s="345"/>
      <c r="AI232" s="220" t="str">
        <f t="shared" si="193"/>
        <v/>
      </c>
      <c r="AJ232" s="160" t="str">
        <f>IF(AI232="","",IF(AI232&gt;Data2!$C$12,Data2!$D$11,IF(AI232&gt;Data2!$C$13,Data2!$D$12,IF(AI232&gt;Data2!$C$14,Data2!$D$13,Data2!$D$14))))</f>
        <v/>
      </c>
      <c r="AK232" s="146">
        <f t="shared" si="194"/>
        <v>0</v>
      </c>
      <c r="AL232" s="146">
        <f t="shared" si="195"/>
        <v>0</v>
      </c>
      <c r="AM232" s="147" t="str">
        <f t="shared" si="160"/>
        <v>Mulai meningkat</v>
      </c>
      <c r="AN232" s="147" t="str">
        <f t="shared" si="161"/>
        <v>Mulai meningkat</v>
      </c>
      <c r="AO232" s="146" t="e">
        <f t="shared" si="196"/>
        <v>#N/A</v>
      </c>
      <c r="AP232" s="148" t="e">
        <f t="shared" si="197"/>
        <v>#N/A</v>
      </c>
      <c r="AQ232" s="158" t="str">
        <f>IF('PA-Non'!V232&lt;&gt;"",'PA-Non'!V232,IFERROR("Mempunyai keterampilan yang "&amp;IF(AM232=AN232,PROPER(AN232)&amp;" dalam kompetensi "&amp;VLOOKUP(AO232,$AA$532:$AC$539,3)&amp;", demikian juga dalam kompetensi "&amp;VLOOKUP(AP232,$AA$532:$AC$539,3),PROPER(AM232)&amp;" dalam kompetensi "&amp;VLOOKUP(AO232,$AA$532:$AC$539,3)&amp;" dan "&amp;AN232&amp;" pada kompetensi "&amp;VLOOKUP(AP232,$AA$532:$AC$539,3)),""))</f>
        <v/>
      </c>
      <c r="AR232" s="188"/>
    </row>
    <row r="233" spans="2:44" ht="27.9" customHeight="1" thickBot="1" x14ac:dyDescent="0.35">
      <c r="B233" s="384" t="s">
        <v>124</v>
      </c>
      <c r="C233" s="149">
        <f t="shared" si="186"/>
        <v>24</v>
      </c>
      <c r="D233" s="150" t="str">
        <f>IF(Data!F228="","",Data!F228)</f>
        <v>03722</v>
      </c>
      <c r="E233" s="151" t="str">
        <f>IF(Data!H228="","",Data!H228)</f>
        <v>Savira Dwi Anggraeny</v>
      </c>
      <c r="F233" s="152" t="str">
        <f>IF(Data!I228="","",Data!I228)</f>
        <v>Perempuan</v>
      </c>
      <c r="G233" s="343">
        <v>90</v>
      </c>
      <c r="H233" s="344">
        <v>85</v>
      </c>
      <c r="I233" s="344">
        <v>86</v>
      </c>
      <c r="J233" s="344">
        <v>80</v>
      </c>
      <c r="K233" s="344">
        <v>81</v>
      </c>
      <c r="L233" s="344"/>
      <c r="M233" s="344"/>
      <c r="N233" s="345"/>
      <c r="O233" s="157">
        <f t="shared" si="187"/>
        <v>70</v>
      </c>
      <c r="P233" s="344"/>
      <c r="Q233" s="346"/>
      <c r="R233" s="157" t="str">
        <f t="shared" si="188"/>
        <v/>
      </c>
      <c r="S233" s="159" t="str">
        <f>IF(R233="","",IF(R233&gt;Data2!$C$12,Data2!$D$11,IF(R233&gt;Data2!$C$13,Data2!$D$12,IF(R233&gt;Data2!$C$14,Data2!$D$13,Data2!$D$14))))</f>
        <v/>
      </c>
      <c r="T233" s="144">
        <f t="shared" si="189"/>
        <v>90</v>
      </c>
      <c r="U233" s="144">
        <f t="shared" si="190"/>
        <v>80</v>
      </c>
      <c r="V233" s="144" t="str">
        <f t="shared" si="158"/>
        <v>Baik</v>
      </c>
      <c r="W233" s="144" t="str">
        <f t="shared" si="159"/>
        <v>Cukup menguasai</v>
      </c>
      <c r="X233" s="144">
        <f t="shared" si="191"/>
        <v>1</v>
      </c>
      <c r="Y233" s="145">
        <f t="shared" si="192"/>
        <v>4</v>
      </c>
      <c r="Z233" s="218" t="str">
        <f>IF('PA-Non'!O233&lt;&gt;"",'PA-Non'!O233,IFERROR("Mempunyai kemampuan yang " &amp;IF(V233=W233,PROPER(W233)&amp;" dalam kompetensi "&amp;VLOOKUP(X233,$G$532:$I$539,3)&amp;" dan kompetensi "&amp;VLOOKUP(Y233,$G$532:$I$539,3),PROPER(V233)&amp;" dalam kompetensi "&amp;VLOOKUP(X233,$G$532:$I$539,3)&amp;" dan memiliki kemampuan yang "&amp;W233&amp;" pada kompetensi "&amp;VLOOKUP(Y233,$G$532:$I$539,3)),""))</f>
        <v>Mempunyai kemampuan yang Baik dalam kompetensi KD Pengetahuan-1 dan memiliki kemampuan yang Cukup menguasai pada kompetensi KD Pengetahuan-4</v>
      </c>
      <c r="AA233" s="343"/>
      <c r="AB233" s="344"/>
      <c r="AC233" s="344"/>
      <c r="AD233" s="344"/>
      <c r="AE233" s="344"/>
      <c r="AF233" s="344"/>
      <c r="AG233" s="344"/>
      <c r="AH233" s="345"/>
      <c r="AI233" s="220" t="str">
        <f t="shared" si="193"/>
        <v/>
      </c>
      <c r="AJ233" s="160" t="str">
        <f>IF(AI233="","",IF(AI233&gt;Data2!$C$12,Data2!$D$11,IF(AI233&gt;Data2!$C$13,Data2!$D$12,IF(AI233&gt;Data2!$C$14,Data2!$D$13,Data2!$D$14))))</f>
        <v/>
      </c>
      <c r="AK233" s="146">
        <f t="shared" si="194"/>
        <v>0</v>
      </c>
      <c r="AL233" s="146">
        <f t="shared" si="195"/>
        <v>0</v>
      </c>
      <c r="AM233" s="147" t="str">
        <f t="shared" si="160"/>
        <v>Mulai meningkat</v>
      </c>
      <c r="AN233" s="147" t="str">
        <f t="shared" si="161"/>
        <v>Mulai meningkat</v>
      </c>
      <c r="AO233" s="146" t="e">
        <f t="shared" si="196"/>
        <v>#N/A</v>
      </c>
      <c r="AP233" s="148" t="e">
        <f t="shared" si="197"/>
        <v>#N/A</v>
      </c>
      <c r="AQ233" s="158" t="str">
        <f>IF('PA-Non'!V233&lt;&gt;"",'PA-Non'!V233,IFERROR("Mempunyai keterampilan yang "&amp;IF(AM233=AN233,PROPER(AN233)&amp;" dalam kompetensi "&amp;VLOOKUP(AO233,$AA$532:$AC$539,3)&amp;", demikian juga dalam kompetensi "&amp;VLOOKUP(AP233,$AA$532:$AC$539,3),PROPER(AM233)&amp;" dalam kompetensi "&amp;VLOOKUP(AO233,$AA$532:$AC$539,3)&amp;" dan "&amp;AN233&amp;" pada kompetensi "&amp;VLOOKUP(AP233,$AA$532:$AC$539,3)),""))</f>
        <v/>
      </c>
      <c r="AR233" s="188"/>
    </row>
    <row r="234" spans="2:44" ht="27.9" customHeight="1" thickBot="1" x14ac:dyDescent="0.35">
      <c r="B234" s="384" t="s">
        <v>124</v>
      </c>
      <c r="C234" s="149">
        <f t="shared" si="186"/>
        <v>25</v>
      </c>
      <c r="D234" s="150" t="str">
        <f>IF(Data!F229="","",Data!F229)</f>
        <v>03723</v>
      </c>
      <c r="E234" s="151" t="str">
        <f>IF(Data!H229="","",Data!H229)</f>
        <v>Sekar Indriyani Saputra</v>
      </c>
      <c r="F234" s="152" t="str">
        <f>IF(Data!I229="","",Data!I229)</f>
        <v>Perempuan</v>
      </c>
      <c r="G234" s="343">
        <v>95</v>
      </c>
      <c r="H234" s="344">
        <v>85</v>
      </c>
      <c r="I234" s="344">
        <v>86</v>
      </c>
      <c r="J234" s="344">
        <v>80</v>
      </c>
      <c r="K234" s="344">
        <v>81</v>
      </c>
      <c r="L234" s="344"/>
      <c r="M234" s="344"/>
      <c r="N234" s="345"/>
      <c r="O234" s="157">
        <f t="shared" si="187"/>
        <v>71</v>
      </c>
      <c r="P234" s="344"/>
      <c r="Q234" s="346"/>
      <c r="R234" s="157" t="str">
        <f t="shared" si="188"/>
        <v/>
      </c>
      <c r="S234" s="159" t="str">
        <f>IF(R234="","",IF(R234&gt;Data2!$C$12,Data2!$D$11,IF(R234&gt;Data2!$C$13,Data2!$D$12,IF(R234&gt;Data2!$C$14,Data2!$D$13,Data2!$D$14))))</f>
        <v/>
      </c>
      <c r="T234" s="144">
        <f t="shared" si="189"/>
        <v>95</v>
      </c>
      <c r="U234" s="144">
        <f t="shared" si="190"/>
        <v>80</v>
      </c>
      <c r="V234" s="144" t="str">
        <f t="shared" si="158"/>
        <v>Sangat baik</v>
      </c>
      <c r="W234" s="144" t="str">
        <f t="shared" si="159"/>
        <v>Cukup menguasai</v>
      </c>
      <c r="X234" s="144">
        <f t="shared" si="191"/>
        <v>1</v>
      </c>
      <c r="Y234" s="145">
        <f t="shared" si="192"/>
        <v>4</v>
      </c>
      <c r="Z234" s="218" t="str">
        <f>IF('PA-Non'!O234&lt;&gt;"",'PA-Non'!O234,IFERROR("Mempunyai kemampuan yang " &amp;IF(V234=W234,PROPER(W234)&amp;" dalam kompetensi "&amp;VLOOKUP(X234,$G$532:$I$539,3)&amp;" dan kompetensi "&amp;VLOOKUP(Y234,$G$532:$I$539,3),PROPER(V234)&amp;" dalam kompetensi "&amp;VLOOKUP(X234,$G$532:$I$539,3)&amp;" dan memiliki kemampuan yang "&amp;W234&amp;" pada kompetensi "&amp;VLOOKUP(Y234,$G$532:$I$539,3)),""))</f>
        <v>Mempunyai kemampuan yang Sangat Baik dalam kompetensi KD Pengetahuan-1 dan memiliki kemampuan yang Cukup menguasai pada kompetensi KD Pengetahuan-4</v>
      </c>
      <c r="AA234" s="343"/>
      <c r="AB234" s="344"/>
      <c r="AC234" s="344"/>
      <c r="AD234" s="344"/>
      <c r="AE234" s="344"/>
      <c r="AF234" s="344"/>
      <c r="AG234" s="344"/>
      <c r="AH234" s="345"/>
      <c r="AI234" s="220" t="str">
        <f t="shared" si="193"/>
        <v/>
      </c>
      <c r="AJ234" s="160" t="str">
        <f>IF(AI234="","",IF(AI234&gt;Data2!$C$12,Data2!$D$11,IF(AI234&gt;Data2!$C$13,Data2!$D$12,IF(AI234&gt;Data2!$C$14,Data2!$D$13,Data2!$D$14))))</f>
        <v/>
      </c>
      <c r="AK234" s="146">
        <f t="shared" si="194"/>
        <v>0</v>
      </c>
      <c r="AL234" s="146">
        <f t="shared" si="195"/>
        <v>0</v>
      </c>
      <c r="AM234" s="147" t="str">
        <f t="shared" si="160"/>
        <v>Mulai meningkat</v>
      </c>
      <c r="AN234" s="147" t="str">
        <f t="shared" si="161"/>
        <v>Mulai meningkat</v>
      </c>
      <c r="AO234" s="146" t="e">
        <f t="shared" si="196"/>
        <v>#N/A</v>
      </c>
      <c r="AP234" s="148" t="e">
        <f t="shared" si="197"/>
        <v>#N/A</v>
      </c>
      <c r="AQ234" s="158" t="str">
        <f>IF('PA-Non'!V234&lt;&gt;"",'PA-Non'!V234,IFERROR("Mempunyai keterampilan yang "&amp;IF(AM234=AN234,PROPER(AN234)&amp;" dalam kompetensi "&amp;VLOOKUP(AO234,$AA$532:$AC$539,3)&amp;", demikian juga dalam kompetensi "&amp;VLOOKUP(AP234,$AA$532:$AC$539,3),PROPER(AM234)&amp;" dalam kompetensi "&amp;VLOOKUP(AO234,$AA$532:$AC$539,3)&amp;" dan "&amp;AN234&amp;" pada kompetensi "&amp;VLOOKUP(AP234,$AA$532:$AC$539,3)),""))</f>
        <v/>
      </c>
      <c r="AR234" s="188"/>
    </row>
    <row r="235" spans="2:44" ht="27.9" customHeight="1" thickBot="1" x14ac:dyDescent="0.35">
      <c r="B235" s="384" t="s">
        <v>124</v>
      </c>
      <c r="C235" s="149">
        <f t="shared" si="186"/>
        <v>26</v>
      </c>
      <c r="D235" s="150" t="str">
        <f>IF(Data!F230="","",Data!F230)</f>
        <v>03726</v>
      </c>
      <c r="E235" s="151" t="str">
        <f>IF(Data!H230="","",Data!H230)</f>
        <v>Siti Eriana Erika Lailiyah</v>
      </c>
      <c r="F235" s="152" t="str">
        <f>IF(Data!I230="","",Data!I230)</f>
        <v>Perempuan</v>
      </c>
      <c r="G235" s="343">
        <v>80.099999999999994</v>
      </c>
      <c r="H235" s="344">
        <v>81</v>
      </c>
      <c r="I235" s="344">
        <v>85</v>
      </c>
      <c r="J235" s="344">
        <v>79</v>
      </c>
      <c r="K235" s="344">
        <v>80</v>
      </c>
      <c r="L235" s="344"/>
      <c r="M235" s="344"/>
      <c r="N235" s="345"/>
      <c r="O235" s="157">
        <f t="shared" si="187"/>
        <v>68</v>
      </c>
      <c r="P235" s="344"/>
      <c r="Q235" s="346"/>
      <c r="R235" s="157" t="str">
        <f t="shared" si="188"/>
        <v/>
      </c>
      <c r="S235" s="159" t="str">
        <f>IF(R235="","",IF(R235&gt;Data2!$C$12,Data2!$D$11,IF(R235&gt;Data2!$C$13,Data2!$D$12,IF(R235&gt;Data2!$C$14,Data2!$D$13,Data2!$D$14))))</f>
        <v/>
      </c>
      <c r="T235" s="144">
        <f t="shared" si="189"/>
        <v>85</v>
      </c>
      <c r="U235" s="144">
        <f t="shared" si="190"/>
        <v>79</v>
      </c>
      <c r="V235" s="144" t="str">
        <f t="shared" si="158"/>
        <v>Cukup menguasai</v>
      </c>
      <c r="W235" s="144" t="str">
        <f t="shared" si="159"/>
        <v>Cukup menguasai</v>
      </c>
      <c r="X235" s="144">
        <f t="shared" si="191"/>
        <v>3</v>
      </c>
      <c r="Y235" s="145">
        <f t="shared" si="192"/>
        <v>4</v>
      </c>
      <c r="Z235" s="218" t="str">
        <f>IF('PA-Non'!O235&lt;&gt;"",'PA-Non'!O235,IFERROR("Mempunyai kemampuan yang " &amp;IF(V235=W235,PROPER(W235)&amp;" dalam kompetensi "&amp;VLOOKUP(X235,$G$532:$I$539,3)&amp;" dan kompetensi "&amp;VLOOKUP(Y235,$G$532:$I$539,3),PROPER(V235)&amp;" dalam kompetensi "&amp;VLOOKUP(X235,$G$532:$I$539,3)&amp;" dan memiliki kemampuan yang "&amp;W235&amp;" pada kompetensi "&amp;VLOOKUP(Y235,$G$532:$I$539,3)),""))</f>
        <v>Mempunyai kemampuan yang Cukup Menguasai dalam kompetensi KD Pengetahuan-3 dan kompetensi KD Pengetahuan-4</v>
      </c>
      <c r="AA235" s="343"/>
      <c r="AB235" s="344"/>
      <c r="AC235" s="344"/>
      <c r="AD235" s="344"/>
      <c r="AE235" s="344"/>
      <c r="AF235" s="344"/>
      <c r="AG235" s="344"/>
      <c r="AH235" s="345"/>
      <c r="AI235" s="220" t="str">
        <f t="shared" si="193"/>
        <v/>
      </c>
      <c r="AJ235" s="160" t="str">
        <f>IF(AI235="","",IF(AI235&gt;Data2!$C$12,Data2!$D$11,IF(AI235&gt;Data2!$C$13,Data2!$D$12,IF(AI235&gt;Data2!$C$14,Data2!$D$13,Data2!$D$14))))</f>
        <v/>
      </c>
      <c r="AK235" s="146">
        <f t="shared" si="194"/>
        <v>0</v>
      </c>
      <c r="AL235" s="146">
        <f t="shared" si="195"/>
        <v>0</v>
      </c>
      <c r="AM235" s="147" t="str">
        <f t="shared" si="160"/>
        <v>Mulai meningkat</v>
      </c>
      <c r="AN235" s="147" t="str">
        <f t="shared" si="161"/>
        <v>Mulai meningkat</v>
      </c>
      <c r="AO235" s="146" t="e">
        <f t="shared" si="196"/>
        <v>#N/A</v>
      </c>
      <c r="AP235" s="148" t="e">
        <f t="shared" si="197"/>
        <v>#N/A</v>
      </c>
      <c r="AQ235" s="158" t="str">
        <f>IF('PA-Non'!V235&lt;&gt;"",'PA-Non'!V235,IFERROR("Mempunyai keterampilan yang "&amp;IF(AM235=AN235,PROPER(AN235)&amp;" dalam kompetensi "&amp;VLOOKUP(AO235,$AA$532:$AC$539,3)&amp;", demikian juga dalam kompetensi "&amp;VLOOKUP(AP235,$AA$532:$AC$539,3),PROPER(AM235)&amp;" dalam kompetensi "&amp;VLOOKUP(AO235,$AA$532:$AC$539,3)&amp;" dan "&amp;AN235&amp;" pada kompetensi "&amp;VLOOKUP(AP235,$AA$532:$AC$539,3)),""))</f>
        <v/>
      </c>
      <c r="AR235" s="188"/>
    </row>
    <row r="236" spans="2:44" ht="27.9" customHeight="1" thickBot="1" x14ac:dyDescent="0.35">
      <c r="B236" s="384" t="s">
        <v>124</v>
      </c>
      <c r="C236" s="149">
        <f t="shared" si="186"/>
        <v>27</v>
      </c>
      <c r="D236" s="150" t="str">
        <f>IF(Data!F231="","",Data!F231)</f>
        <v>03727</v>
      </c>
      <c r="E236" s="151" t="str">
        <f>IF(Data!H231="","",Data!H231)</f>
        <v>Siti Fatmawati</v>
      </c>
      <c r="F236" s="152" t="str">
        <f>IF(Data!I231="","",Data!I231)</f>
        <v>Perempuan</v>
      </c>
      <c r="G236" s="343">
        <v>85</v>
      </c>
      <c r="H236" s="344">
        <v>86</v>
      </c>
      <c r="I236" s="344">
        <v>83</v>
      </c>
      <c r="J236" s="344">
        <v>80</v>
      </c>
      <c r="K236" s="344">
        <v>81</v>
      </c>
      <c r="L236" s="344"/>
      <c r="M236" s="344"/>
      <c r="N236" s="345"/>
      <c r="O236" s="157">
        <f t="shared" si="187"/>
        <v>69</v>
      </c>
      <c r="P236" s="344"/>
      <c r="Q236" s="346"/>
      <c r="R236" s="157" t="str">
        <f t="shared" si="188"/>
        <v/>
      </c>
      <c r="S236" s="159" t="str">
        <f>IF(R236="","",IF(R236&gt;Data2!$C$12,Data2!$D$11,IF(R236&gt;Data2!$C$13,Data2!$D$12,IF(R236&gt;Data2!$C$14,Data2!$D$13,Data2!$D$14))))</f>
        <v/>
      </c>
      <c r="T236" s="144">
        <f t="shared" si="189"/>
        <v>86</v>
      </c>
      <c r="U236" s="144">
        <f t="shared" si="190"/>
        <v>80</v>
      </c>
      <c r="V236" s="144" t="str">
        <f t="shared" si="158"/>
        <v>Baik</v>
      </c>
      <c r="W236" s="144" t="str">
        <f t="shared" si="159"/>
        <v>Cukup menguasai</v>
      </c>
      <c r="X236" s="144">
        <f t="shared" si="191"/>
        <v>2</v>
      </c>
      <c r="Y236" s="145">
        <f t="shared" si="192"/>
        <v>4</v>
      </c>
      <c r="Z236" s="218" t="str">
        <f>IF('PA-Non'!O236&lt;&gt;"",'PA-Non'!O236,IFERROR("Mempunyai kemampuan yang " &amp;IF(V236=W236,PROPER(W236)&amp;" dalam kompetensi "&amp;VLOOKUP(X236,$G$532:$I$539,3)&amp;" dan kompetensi "&amp;VLOOKUP(Y236,$G$532:$I$539,3),PROPER(V236)&amp;" dalam kompetensi "&amp;VLOOKUP(X236,$G$532:$I$539,3)&amp;" dan memiliki kemampuan yang "&amp;W236&amp;" pada kompetensi "&amp;VLOOKUP(Y236,$G$532:$I$539,3)),""))</f>
        <v>Mempunyai kemampuan yang Baik dalam kompetensi KD Pengetahuan-2 dan memiliki kemampuan yang Cukup menguasai pada kompetensi KD Pengetahuan-4</v>
      </c>
      <c r="AA236" s="343"/>
      <c r="AB236" s="344"/>
      <c r="AC236" s="344"/>
      <c r="AD236" s="344"/>
      <c r="AE236" s="344"/>
      <c r="AF236" s="344"/>
      <c r="AG236" s="344"/>
      <c r="AH236" s="345"/>
      <c r="AI236" s="220" t="str">
        <f t="shared" si="193"/>
        <v/>
      </c>
      <c r="AJ236" s="160" t="str">
        <f>IF(AI236="","",IF(AI236&gt;Data2!$C$12,Data2!$D$11,IF(AI236&gt;Data2!$C$13,Data2!$D$12,IF(AI236&gt;Data2!$C$14,Data2!$D$13,Data2!$D$14))))</f>
        <v/>
      </c>
      <c r="AK236" s="146">
        <f t="shared" si="194"/>
        <v>0</v>
      </c>
      <c r="AL236" s="146">
        <f t="shared" si="195"/>
        <v>0</v>
      </c>
      <c r="AM236" s="147" t="str">
        <f t="shared" si="160"/>
        <v>Mulai meningkat</v>
      </c>
      <c r="AN236" s="147" t="str">
        <f t="shared" si="161"/>
        <v>Mulai meningkat</v>
      </c>
      <c r="AO236" s="146" t="e">
        <f t="shared" si="196"/>
        <v>#N/A</v>
      </c>
      <c r="AP236" s="148" t="e">
        <f t="shared" si="197"/>
        <v>#N/A</v>
      </c>
      <c r="AQ236" s="158" t="str">
        <f>IF('PA-Non'!V236&lt;&gt;"",'PA-Non'!V236,IFERROR("Mempunyai keterampilan yang "&amp;IF(AM236=AN236,PROPER(AN236)&amp;" dalam kompetensi "&amp;VLOOKUP(AO236,$AA$532:$AC$539,3)&amp;", demikian juga dalam kompetensi "&amp;VLOOKUP(AP236,$AA$532:$AC$539,3),PROPER(AM236)&amp;" dalam kompetensi "&amp;VLOOKUP(AO236,$AA$532:$AC$539,3)&amp;" dan "&amp;AN236&amp;" pada kompetensi "&amp;VLOOKUP(AP236,$AA$532:$AC$539,3)),""))</f>
        <v/>
      </c>
      <c r="AR236" s="188"/>
    </row>
    <row r="237" spans="2:44" ht="27.9" customHeight="1" thickBot="1" x14ac:dyDescent="0.35">
      <c r="B237" s="384" t="s">
        <v>124</v>
      </c>
      <c r="C237" s="149">
        <f t="shared" ref="C237:C249" si="198">IF(E237="","",C236+1)</f>
        <v>28</v>
      </c>
      <c r="D237" s="150" t="str">
        <f>IF(Data!F232="","",Data!F232)</f>
        <v>03734</v>
      </c>
      <c r="E237" s="151" t="str">
        <f>IF(Data!H232="","",Data!H232)</f>
        <v>Syakira Novia Neysilla</v>
      </c>
      <c r="F237" s="152" t="str">
        <f>IF(Data!I232="","",Data!I232)</f>
        <v>Perempuan</v>
      </c>
      <c r="G237" s="343">
        <v>90</v>
      </c>
      <c r="H237" s="344">
        <v>80.099999999999994</v>
      </c>
      <c r="I237" s="344">
        <v>85</v>
      </c>
      <c r="J237" s="344">
        <v>80</v>
      </c>
      <c r="K237" s="344">
        <v>81</v>
      </c>
      <c r="L237" s="344"/>
      <c r="M237" s="344"/>
      <c r="N237" s="345"/>
      <c r="O237" s="157">
        <f t="shared" ref="O237:O249" si="199">IF(COUNT(G237:N237)&lt;3,"",ROUND(SUM(G237:N237)/$O$6,0))</f>
        <v>69</v>
      </c>
      <c r="P237" s="344"/>
      <c r="Q237" s="346"/>
      <c r="R237" s="157" t="str">
        <f t="shared" ref="R237:R249" si="200">IFERROR(IF(OR(P237="",Q237=""),"",ROUND(((O237*$O$8)+(P237*$P$8)+(Q237*$Q$8))/$Q$6,0)),"")</f>
        <v/>
      </c>
      <c r="S237" s="159" t="str">
        <f>IF(R237="","",IF(R237&gt;Data2!$C$12,Data2!$D$11,IF(R237&gt;Data2!$C$13,Data2!$D$12,IF(R237&gt;Data2!$C$14,Data2!$D$13,Data2!$D$14))))</f>
        <v/>
      </c>
      <c r="T237" s="144">
        <f t="shared" ref="T237:T249" si="201">MAX(G237:N237)</f>
        <v>90</v>
      </c>
      <c r="U237" s="144">
        <f t="shared" ref="U237:U249" si="202">MIN(G237:N237)</f>
        <v>80</v>
      </c>
      <c r="V237" s="144" t="str">
        <f t="shared" si="158"/>
        <v>Baik</v>
      </c>
      <c r="W237" s="144" t="str">
        <f t="shared" si="159"/>
        <v>Cukup menguasai</v>
      </c>
      <c r="X237" s="144">
        <f t="shared" ref="X237:X249" si="203">MATCH(T237,G237:N237,0)</f>
        <v>1</v>
      </c>
      <c r="Y237" s="145">
        <f t="shared" ref="Y237:Y249" si="204">MATCH(U237,G237:N237,0)</f>
        <v>4</v>
      </c>
      <c r="Z237" s="218" t="str">
        <f>IF('PA-Non'!O237&lt;&gt;"",'PA-Non'!O237,IFERROR("Mempunyai kemampuan yang " &amp;IF(V237=W237,PROPER(W237)&amp;" dalam kompetensi "&amp;VLOOKUP(X237,$G$532:$I$539,3)&amp;" dan kompetensi "&amp;VLOOKUP(Y237,$G$532:$I$539,3),PROPER(V237)&amp;" dalam kompetensi "&amp;VLOOKUP(X237,$G$532:$I$539,3)&amp;" dan memiliki kemampuan yang "&amp;W237&amp;" pada kompetensi "&amp;VLOOKUP(Y237,$G$532:$I$539,3)),""))</f>
        <v>Mempunyai kemampuan yang Baik dalam kompetensi KD Pengetahuan-1 dan memiliki kemampuan yang Cukup menguasai pada kompetensi KD Pengetahuan-4</v>
      </c>
      <c r="AA237" s="343"/>
      <c r="AB237" s="344"/>
      <c r="AC237" s="344"/>
      <c r="AD237" s="344"/>
      <c r="AE237" s="344"/>
      <c r="AF237" s="344"/>
      <c r="AG237" s="344"/>
      <c r="AH237" s="345"/>
      <c r="AI237" s="220" t="str">
        <f t="shared" ref="AI237:AI249" si="205">IF(COUNT(AA237:AH237)&lt;3,"",ROUND(((AA237*$AA$8)+(AB237*$AB$8)+(AC237*$AC$8)+(AD237*$AD$8)+(AE237*$AE$8)+(AF237*$AF$8)+(AG237*$AG$8)+(AH237*$AH$8))/$AI$6,0))</f>
        <v/>
      </c>
      <c r="AJ237" s="160" t="str">
        <f>IF(AI237="","",IF(AI237&gt;Data2!$C$12,Data2!$D$11,IF(AI237&gt;Data2!$C$13,Data2!$D$12,IF(AI237&gt;Data2!$C$14,Data2!$D$13,Data2!$D$14))))</f>
        <v/>
      </c>
      <c r="AK237" s="146">
        <f t="shared" ref="AK237:AK249" si="206">MAX(AA237:AH237)</f>
        <v>0</v>
      </c>
      <c r="AL237" s="146">
        <f t="shared" ref="AL237:AL249" si="207">MIN(AA237:AH237)</f>
        <v>0</v>
      </c>
      <c r="AM237" s="147" t="str">
        <f t="shared" si="160"/>
        <v>Mulai meningkat</v>
      </c>
      <c r="AN237" s="147" t="str">
        <f t="shared" si="161"/>
        <v>Mulai meningkat</v>
      </c>
      <c r="AO237" s="146" t="e">
        <f t="shared" ref="AO237:AO249" si="208">MATCH(AK237,AA237:AH237,0)</f>
        <v>#N/A</v>
      </c>
      <c r="AP237" s="148" t="e">
        <f t="shared" ref="AP237:AP249" si="209">MATCH(AL237,AA237:AH237,0)</f>
        <v>#N/A</v>
      </c>
      <c r="AQ237" s="158" t="str">
        <f>IF('PA-Non'!V237&lt;&gt;"",'PA-Non'!V237,IFERROR("Mempunyai keterampilan yang "&amp;IF(AM237=AN237,PROPER(AN237)&amp;" dalam kompetensi "&amp;VLOOKUP(AO237,$AA$532:$AC$539,3)&amp;", demikian juga dalam kompetensi "&amp;VLOOKUP(AP237,$AA$532:$AC$539,3),PROPER(AM237)&amp;" dalam kompetensi "&amp;VLOOKUP(AO237,$AA$532:$AC$539,3)&amp;" dan "&amp;AN237&amp;" pada kompetensi "&amp;VLOOKUP(AP237,$AA$532:$AC$539,3)),""))</f>
        <v/>
      </c>
      <c r="AR237" s="188"/>
    </row>
    <row r="238" spans="2:44" ht="27.9" customHeight="1" thickBot="1" x14ac:dyDescent="0.35">
      <c r="B238" s="384" t="s">
        <v>124</v>
      </c>
      <c r="C238" s="149">
        <f t="shared" si="198"/>
        <v>29</v>
      </c>
      <c r="D238" s="150" t="str">
        <f>IF(Data!F233="","",Data!F233)</f>
        <v>03740</v>
      </c>
      <c r="E238" s="151" t="str">
        <f>IF(Data!H233="","",Data!H233)</f>
        <v>Wafirotun Naja</v>
      </c>
      <c r="F238" s="152" t="str">
        <f>IF(Data!I233="","",Data!I233)</f>
        <v>Perempuan</v>
      </c>
      <c r="G238" s="343">
        <v>85</v>
      </c>
      <c r="H238" s="344">
        <v>86</v>
      </c>
      <c r="I238" s="344">
        <v>83</v>
      </c>
      <c r="J238" s="344">
        <v>80</v>
      </c>
      <c r="K238" s="344">
        <v>81</v>
      </c>
      <c r="L238" s="344"/>
      <c r="M238" s="344"/>
      <c r="N238" s="345"/>
      <c r="O238" s="157">
        <f t="shared" si="199"/>
        <v>69</v>
      </c>
      <c r="P238" s="344"/>
      <c r="Q238" s="346"/>
      <c r="R238" s="157" t="str">
        <f t="shared" si="200"/>
        <v/>
      </c>
      <c r="S238" s="159" t="str">
        <f>IF(R238="","",IF(R238&gt;Data2!$C$12,Data2!$D$11,IF(R238&gt;Data2!$C$13,Data2!$D$12,IF(R238&gt;Data2!$C$14,Data2!$D$13,Data2!$D$14))))</f>
        <v/>
      </c>
      <c r="T238" s="144">
        <f t="shared" si="201"/>
        <v>86</v>
      </c>
      <c r="U238" s="144">
        <f t="shared" si="202"/>
        <v>80</v>
      </c>
      <c r="V238" s="144" t="str">
        <f t="shared" si="158"/>
        <v>Baik</v>
      </c>
      <c r="W238" s="144" t="str">
        <f t="shared" si="159"/>
        <v>Cukup menguasai</v>
      </c>
      <c r="X238" s="144">
        <f t="shared" si="203"/>
        <v>2</v>
      </c>
      <c r="Y238" s="145">
        <f t="shared" si="204"/>
        <v>4</v>
      </c>
      <c r="Z238" s="218" t="str">
        <f>IF('PA-Non'!O238&lt;&gt;"",'PA-Non'!O238,IFERROR("Mempunyai kemampuan yang " &amp;IF(V238=W238,PROPER(W238)&amp;" dalam kompetensi "&amp;VLOOKUP(X238,$G$532:$I$539,3)&amp;" dan kompetensi "&amp;VLOOKUP(Y238,$G$532:$I$539,3),PROPER(V238)&amp;" dalam kompetensi "&amp;VLOOKUP(X238,$G$532:$I$539,3)&amp;" dan memiliki kemampuan yang "&amp;W238&amp;" pada kompetensi "&amp;VLOOKUP(Y238,$G$532:$I$539,3)),""))</f>
        <v>Mempunyai kemampuan yang Baik dalam kompetensi KD Pengetahuan-2 dan memiliki kemampuan yang Cukup menguasai pada kompetensi KD Pengetahuan-4</v>
      </c>
      <c r="AA238" s="343"/>
      <c r="AB238" s="344"/>
      <c r="AC238" s="344"/>
      <c r="AD238" s="344"/>
      <c r="AE238" s="344"/>
      <c r="AF238" s="344"/>
      <c r="AG238" s="344"/>
      <c r="AH238" s="345"/>
      <c r="AI238" s="220" t="str">
        <f t="shared" si="205"/>
        <v/>
      </c>
      <c r="AJ238" s="160" t="str">
        <f>IF(AI238="","",IF(AI238&gt;Data2!$C$12,Data2!$D$11,IF(AI238&gt;Data2!$C$13,Data2!$D$12,IF(AI238&gt;Data2!$C$14,Data2!$D$13,Data2!$D$14))))</f>
        <v/>
      </c>
      <c r="AK238" s="146">
        <f t="shared" si="206"/>
        <v>0</v>
      </c>
      <c r="AL238" s="146">
        <f t="shared" si="207"/>
        <v>0</v>
      </c>
      <c r="AM238" s="147" t="str">
        <f t="shared" si="160"/>
        <v>Mulai meningkat</v>
      </c>
      <c r="AN238" s="147" t="str">
        <f t="shared" si="161"/>
        <v>Mulai meningkat</v>
      </c>
      <c r="AO238" s="146" t="e">
        <f t="shared" si="208"/>
        <v>#N/A</v>
      </c>
      <c r="AP238" s="148" t="e">
        <f t="shared" si="209"/>
        <v>#N/A</v>
      </c>
      <c r="AQ238" s="158" t="str">
        <f>IF('PA-Non'!V238&lt;&gt;"",'PA-Non'!V238,IFERROR("Mempunyai keterampilan yang "&amp;IF(AM238=AN238,PROPER(AN238)&amp;" dalam kompetensi "&amp;VLOOKUP(AO238,$AA$532:$AC$539,3)&amp;", demikian juga dalam kompetensi "&amp;VLOOKUP(AP238,$AA$532:$AC$539,3),PROPER(AM238)&amp;" dalam kompetensi "&amp;VLOOKUP(AO238,$AA$532:$AC$539,3)&amp;" dan "&amp;AN238&amp;" pada kompetensi "&amp;VLOOKUP(AP238,$AA$532:$AC$539,3)),""))</f>
        <v/>
      </c>
      <c r="AR238" s="188"/>
    </row>
    <row r="239" spans="2:44" ht="27.9" customHeight="1" thickBot="1" x14ac:dyDescent="0.35">
      <c r="B239" s="384" t="s">
        <v>124</v>
      </c>
      <c r="C239" s="149">
        <f t="shared" si="198"/>
        <v>30</v>
      </c>
      <c r="D239" s="150" t="str">
        <f>IF(Data!F234="","",Data!F234)</f>
        <v>03748</v>
      </c>
      <c r="E239" s="151" t="str">
        <f>IF(Data!H234="","",Data!H234)</f>
        <v>Zakiya Nur Af'idah</v>
      </c>
      <c r="F239" s="152" t="str">
        <f>IF(Data!I234="","",Data!I234)</f>
        <v>Perempuan</v>
      </c>
      <c r="G239" s="343">
        <v>85</v>
      </c>
      <c r="H239" s="344">
        <v>86</v>
      </c>
      <c r="I239" s="344">
        <v>80.099999999999994</v>
      </c>
      <c r="J239" s="344">
        <v>79</v>
      </c>
      <c r="K239" s="344">
        <v>80</v>
      </c>
      <c r="L239" s="344"/>
      <c r="M239" s="344"/>
      <c r="N239" s="345"/>
      <c r="O239" s="157">
        <f t="shared" si="199"/>
        <v>68</v>
      </c>
      <c r="P239" s="344"/>
      <c r="Q239" s="346"/>
      <c r="R239" s="157" t="str">
        <f t="shared" si="200"/>
        <v/>
      </c>
      <c r="S239" s="159" t="str">
        <f>IF(R239="","",IF(R239&gt;Data2!$C$12,Data2!$D$11,IF(R239&gt;Data2!$C$13,Data2!$D$12,IF(R239&gt;Data2!$C$14,Data2!$D$13,Data2!$D$14))))</f>
        <v/>
      </c>
      <c r="T239" s="144">
        <f t="shared" si="201"/>
        <v>86</v>
      </c>
      <c r="U239" s="144">
        <f t="shared" si="202"/>
        <v>79</v>
      </c>
      <c r="V239" s="144" t="str">
        <f t="shared" si="158"/>
        <v>Baik</v>
      </c>
      <c r="W239" s="144" t="str">
        <f t="shared" si="159"/>
        <v>Cukup menguasai</v>
      </c>
      <c r="X239" s="144">
        <f t="shared" si="203"/>
        <v>2</v>
      </c>
      <c r="Y239" s="145">
        <f t="shared" si="204"/>
        <v>4</v>
      </c>
      <c r="Z239" s="218" t="str">
        <f>IF('PA-Non'!O239&lt;&gt;"",'PA-Non'!O239,IFERROR("Mempunyai kemampuan yang " &amp;IF(V239=W239,PROPER(W239)&amp;" dalam kompetensi "&amp;VLOOKUP(X239,$G$532:$I$539,3)&amp;" dan kompetensi "&amp;VLOOKUP(Y239,$G$532:$I$539,3),PROPER(V239)&amp;" dalam kompetensi "&amp;VLOOKUP(X239,$G$532:$I$539,3)&amp;" dan memiliki kemampuan yang "&amp;W239&amp;" pada kompetensi "&amp;VLOOKUP(Y239,$G$532:$I$539,3)),""))</f>
        <v>Mempunyai kemampuan yang Baik dalam kompetensi KD Pengetahuan-2 dan memiliki kemampuan yang Cukup menguasai pada kompetensi KD Pengetahuan-4</v>
      </c>
      <c r="AA239" s="343"/>
      <c r="AB239" s="344"/>
      <c r="AC239" s="344"/>
      <c r="AD239" s="344"/>
      <c r="AE239" s="344"/>
      <c r="AF239" s="344"/>
      <c r="AG239" s="344"/>
      <c r="AH239" s="345"/>
      <c r="AI239" s="220" t="str">
        <f t="shared" si="205"/>
        <v/>
      </c>
      <c r="AJ239" s="160" t="str">
        <f>IF(AI239="","",IF(AI239&gt;Data2!$C$12,Data2!$D$11,IF(AI239&gt;Data2!$C$13,Data2!$D$12,IF(AI239&gt;Data2!$C$14,Data2!$D$13,Data2!$D$14))))</f>
        <v/>
      </c>
      <c r="AK239" s="146">
        <f t="shared" si="206"/>
        <v>0</v>
      </c>
      <c r="AL239" s="146">
        <f t="shared" si="207"/>
        <v>0</v>
      </c>
      <c r="AM239" s="147" t="str">
        <f t="shared" si="160"/>
        <v>Mulai meningkat</v>
      </c>
      <c r="AN239" s="147" t="str">
        <f t="shared" si="161"/>
        <v>Mulai meningkat</v>
      </c>
      <c r="AO239" s="146" t="e">
        <f t="shared" si="208"/>
        <v>#N/A</v>
      </c>
      <c r="AP239" s="148" t="e">
        <f t="shared" si="209"/>
        <v>#N/A</v>
      </c>
      <c r="AQ239" s="158" t="str">
        <f>IF('PA-Non'!V239&lt;&gt;"",'PA-Non'!V239,IFERROR("Mempunyai keterampilan yang "&amp;IF(AM239=AN239,PROPER(AN239)&amp;" dalam kompetensi "&amp;VLOOKUP(AO239,$AA$532:$AC$539,3)&amp;", demikian juga dalam kompetensi "&amp;VLOOKUP(AP239,$AA$532:$AC$539,3),PROPER(AM239)&amp;" dalam kompetensi "&amp;VLOOKUP(AO239,$AA$532:$AC$539,3)&amp;" dan "&amp;AN239&amp;" pada kompetensi "&amp;VLOOKUP(AP239,$AA$532:$AC$539,3)),""))</f>
        <v/>
      </c>
      <c r="AR239" s="188"/>
    </row>
    <row r="240" spans="2:44" ht="27.9" customHeight="1" thickBot="1" x14ac:dyDescent="0.35">
      <c r="B240" s="384" t="s">
        <v>124</v>
      </c>
      <c r="C240" s="149">
        <f t="shared" si="198"/>
        <v>31</v>
      </c>
      <c r="D240" s="150" t="str">
        <f>IF(Data!F235="","",Data!F235)</f>
        <v>03749</v>
      </c>
      <c r="E240" s="151" t="str">
        <f>IF(Data!H235="","",Data!H235)</f>
        <v>Zella Najwa Era Fazira</v>
      </c>
      <c r="F240" s="152" t="str">
        <f>IF(Data!I235="","",Data!I235)</f>
        <v>Perempuan</v>
      </c>
      <c r="G240" s="343">
        <v>85.1</v>
      </c>
      <c r="H240" s="344">
        <v>86</v>
      </c>
      <c r="I240" s="344">
        <v>82</v>
      </c>
      <c r="J240" s="344">
        <v>85</v>
      </c>
      <c r="K240" s="344">
        <v>80</v>
      </c>
      <c r="L240" s="344"/>
      <c r="M240" s="344"/>
      <c r="N240" s="345"/>
      <c r="O240" s="157">
        <f t="shared" si="199"/>
        <v>70</v>
      </c>
      <c r="P240" s="344"/>
      <c r="Q240" s="346"/>
      <c r="R240" s="157" t="str">
        <f t="shared" si="200"/>
        <v/>
      </c>
      <c r="S240" s="159" t="str">
        <f>IF(R240="","",IF(R240&gt;Data2!$C$12,Data2!$D$11,IF(R240&gt;Data2!$C$13,Data2!$D$12,IF(R240&gt;Data2!$C$14,Data2!$D$13,Data2!$D$14))))</f>
        <v/>
      </c>
      <c r="T240" s="144">
        <f t="shared" si="201"/>
        <v>86</v>
      </c>
      <c r="U240" s="144">
        <f t="shared" si="202"/>
        <v>80</v>
      </c>
      <c r="V240" s="144" t="str">
        <f t="shared" si="158"/>
        <v>Baik</v>
      </c>
      <c r="W240" s="144" t="str">
        <f t="shared" si="159"/>
        <v>Cukup menguasai</v>
      </c>
      <c r="X240" s="144">
        <f t="shared" si="203"/>
        <v>2</v>
      </c>
      <c r="Y240" s="145">
        <f t="shared" si="204"/>
        <v>5</v>
      </c>
      <c r="Z240" s="218" t="str">
        <f>IF('PA-Non'!O240&lt;&gt;"",'PA-Non'!O240,IFERROR("Mempunyai kemampuan yang " &amp;IF(V240=W240,PROPER(W240)&amp;" dalam kompetensi "&amp;VLOOKUP(X240,$G$532:$I$539,3)&amp;" dan kompetensi "&amp;VLOOKUP(Y240,$G$532:$I$539,3),PROPER(V240)&amp;" dalam kompetensi "&amp;VLOOKUP(X240,$G$532:$I$539,3)&amp;" dan memiliki kemampuan yang "&amp;W240&amp;" pada kompetensi "&amp;VLOOKUP(Y240,$G$532:$I$539,3)),""))</f>
        <v>Mempunyai kemampuan yang Baik dalam kompetensi KD Pengetahuan-2 dan memiliki kemampuan yang Cukup menguasai pada kompetensi KD Pengetahuan-5</v>
      </c>
      <c r="AA240" s="343"/>
      <c r="AB240" s="344"/>
      <c r="AC240" s="344"/>
      <c r="AD240" s="344"/>
      <c r="AE240" s="344"/>
      <c r="AF240" s="344"/>
      <c r="AG240" s="344"/>
      <c r="AH240" s="345"/>
      <c r="AI240" s="220" t="str">
        <f t="shared" si="205"/>
        <v/>
      </c>
      <c r="AJ240" s="160" t="str">
        <f>IF(AI240="","",IF(AI240&gt;Data2!$C$12,Data2!$D$11,IF(AI240&gt;Data2!$C$13,Data2!$D$12,IF(AI240&gt;Data2!$C$14,Data2!$D$13,Data2!$D$14))))</f>
        <v/>
      </c>
      <c r="AK240" s="146">
        <f t="shared" si="206"/>
        <v>0</v>
      </c>
      <c r="AL240" s="146">
        <f t="shared" si="207"/>
        <v>0</v>
      </c>
      <c r="AM240" s="147" t="str">
        <f t="shared" si="160"/>
        <v>Mulai meningkat</v>
      </c>
      <c r="AN240" s="147" t="str">
        <f t="shared" si="161"/>
        <v>Mulai meningkat</v>
      </c>
      <c r="AO240" s="146" t="e">
        <f t="shared" si="208"/>
        <v>#N/A</v>
      </c>
      <c r="AP240" s="148" t="e">
        <f t="shared" si="209"/>
        <v>#N/A</v>
      </c>
      <c r="AQ240" s="158" t="str">
        <f>IF('PA-Non'!V240&lt;&gt;"",'PA-Non'!V240,IFERROR("Mempunyai keterampilan yang "&amp;IF(AM240=AN240,PROPER(AN240)&amp;" dalam kompetensi "&amp;VLOOKUP(AO240,$AA$532:$AC$539,3)&amp;", demikian juga dalam kompetensi "&amp;VLOOKUP(AP240,$AA$532:$AC$539,3),PROPER(AM240)&amp;" dalam kompetensi "&amp;VLOOKUP(AO240,$AA$532:$AC$539,3)&amp;" dan "&amp;AN240&amp;" pada kompetensi "&amp;VLOOKUP(AP240,$AA$532:$AC$539,3)),""))</f>
        <v/>
      </c>
      <c r="AR240" s="188"/>
    </row>
    <row r="241" spans="2:44" ht="27.9" customHeight="1" thickBot="1" x14ac:dyDescent="0.35">
      <c r="B241" s="384" t="s">
        <v>124</v>
      </c>
      <c r="C241" s="149">
        <f t="shared" si="198"/>
        <v>32</v>
      </c>
      <c r="D241" s="150" t="str">
        <f>IF(Data!F236="","",Data!F236)</f>
        <v>03750</v>
      </c>
      <c r="E241" s="151" t="str">
        <f>IF(Data!H236="","",Data!H236)</f>
        <v>Zifana Naila Fiskha</v>
      </c>
      <c r="F241" s="152" t="str">
        <f>IF(Data!I236="","",Data!I236)</f>
        <v>Perempuan</v>
      </c>
      <c r="G241" s="343">
        <v>85</v>
      </c>
      <c r="H241" s="344">
        <v>86</v>
      </c>
      <c r="I241" s="344">
        <v>83</v>
      </c>
      <c r="J241" s="344">
        <v>80</v>
      </c>
      <c r="K241" s="344">
        <v>81</v>
      </c>
      <c r="L241" s="344"/>
      <c r="M241" s="344"/>
      <c r="N241" s="345"/>
      <c r="O241" s="157">
        <f t="shared" si="199"/>
        <v>69</v>
      </c>
      <c r="P241" s="344"/>
      <c r="Q241" s="346"/>
      <c r="R241" s="157" t="str">
        <f t="shared" si="200"/>
        <v/>
      </c>
      <c r="S241" s="159" t="str">
        <f>IF(R241="","",IF(R241&gt;Data2!$C$12,Data2!$D$11,IF(R241&gt;Data2!$C$13,Data2!$D$12,IF(R241&gt;Data2!$C$14,Data2!$D$13,Data2!$D$14))))</f>
        <v/>
      </c>
      <c r="T241" s="144">
        <f t="shared" si="201"/>
        <v>86</v>
      </c>
      <c r="U241" s="144">
        <f t="shared" si="202"/>
        <v>80</v>
      </c>
      <c r="V241" s="144" t="str">
        <f t="shared" si="158"/>
        <v>Baik</v>
      </c>
      <c r="W241" s="144" t="str">
        <f t="shared" si="159"/>
        <v>Cukup menguasai</v>
      </c>
      <c r="X241" s="144">
        <f t="shared" si="203"/>
        <v>2</v>
      </c>
      <c r="Y241" s="145">
        <f t="shared" si="204"/>
        <v>4</v>
      </c>
      <c r="Z241" s="218" t="str">
        <f>IF('PA-Non'!O241&lt;&gt;"",'PA-Non'!O241,IFERROR("Mempunyai kemampuan yang " &amp;IF(V241=W241,PROPER(W241)&amp;" dalam kompetensi "&amp;VLOOKUP(X241,$G$532:$I$539,3)&amp;" dan kompetensi "&amp;VLOOKUP(Y241,$G$532:$I$539,3),PROPER(V241)&amp;" dalam kompetensi "&amp;VLOOKUP(X241,$G$532:$I$539,3)&amp;" dan memiliki kemampuan yang "&amp;W241&amp;" pada kompetensi "&amp;VLOOKUP(Y241,$G$532:$I$539,3)),""))</f>
        <v>Mempunyai kemampuan yang Baik dalam kompetensi KD Pengetahuan-2 dan memiliki kemampuan yang Cukup menguasai pada kompetensi KD Pengetahuan-4</v>
      </c>
      <c r="AA241" s="343"/>
      <c r="AB241" s="344"/>
      <c r="AC241" s="344"/>
      <c r="AD241" s="344"/>
      <c r="AE241" s="344"/>
      <c r="AF241" s="344"/>
      <c r="AG241" s="344"/>
      <c r="AH241" s="345"/>
      <c r="AI241" s="220" t="str">
        <f t="shared" si="205"/>
        <v/>
      </c>
      <c r="AJ241" s="160" t="str">
        <f>IF(AI241="","",IF(AI241&gt;Data2!$C$12,Data2!$D$11,IF(AI241&gt;Data2!$C$13,Data2!$D$12,IF(AI241&gt;Data2!$C$14,Data2!$D$13,Data2!$D$14))))</f>
        <v/>
      </c>
      <c r="AK241" s="146">
        <f t="shared" si="206"/>
        <v>0</v>
      </c>
      <c r="AL241" s="146">
        <f t="shared" si="207"/>
        <v>0</v>
      </c>
      <c r="AM241" s="147" t="str">
        <f t="shared" si="160"/>
        <v>Mulai meningkat</v>
      </c>
      <c r="AN241" s="147" t="str">
        <f t="shared" si="161"/>
        <v>Mulai meningkat</v>
      </c>
      <c r="AO241" s="146" t="e">
        <f t="shared" si="208"/>
        <v>#N/A</v>
      </c>
      <c r="AP241" s="148" t="e">
        <f t="shared" si="209"/>
        <v>#N/A</v>
      </c>
      <c r="AQ241" s="158" t="str">
        <f>IF('PA-Non'!V241&lt;&gt;"",'PA-Non'!V241,IFERROR("Mempunyai keterampilan yang "&amp;IF(AM241=AN241,PROPER(AN241)&amp;" dalam kompetensi "&amp;VLOOKUP(AO241,$AA$532:$AC$539,3)&amp;", demikian juga dalam kompetensi "&amp;VLOOKUP(AP241,$AA$532:$AC$539,3),PROPER(AM241)&amp;" dalam kompetensi "&amp;VLOOKUP(AO241,$AA$532:$AC$539,3)&amp;" dan "&amp;AN241&amp;" pada kompetensi "&amp;VLOOKUP(AP241,$AA$532:$AC$539,3)),""))</f>
        <v/>
      </c>
      <c r="AR241" s="188"/>
    </row>
    <row r="242" spans="2:44" ht="27.9" customHeight="1" thickBot="1" x14ac:dyDescent="0.35">
      <c r="B242" s="384" t="s">
        <v>124</v>
      </c>
      <c r="C242" s="149">
        <f t="shared" si="198"/>
        <v>33</v>
      </c>
      <c r="D242" s="150" t="str">
        <f>IF(Data!F237="","",Data!F237)</f>
        <v>03752</v>
      </c>
      <c r="E242" s="151" t="str">
        <f>IF(Data!H237="","",Data!H237)</f>
        <v>Zivana Vebby Alicia Putri</v>
      </c>
      <c r="F242" s="152" t="str">
        <f>IF(Data!I237="","",Data!I237)</f>
        <v>Perempuan</v>
      </c>
      <c r="G242" s="343">
        <v>80.099999999999994</v>
      </c>
      <c r="H242" s="344">
        <v>81</v>
      </c>
      <c r="I242" s="344">
        <v>85</v>
      </c>
      <c r="J242" s="344">
        <v>83</v>
      </c>
      <c r="K242" s="344">
        <v>80</v>
      </c>
      <c r="L242" s="344"/>
      <c r="M242" s="344"/>
      <c r="N242" s="345"/>
      <c r="O242" s="157">
        <f t="shared" si="199"/>
        <v>68</v>
      </c>
      <c r="P242" s="344"/>
      <c r="Q242" s="346"/>
      <c r="R242" s="157" t="str">
        <f t="shared" si="200"/>
        <v/>
      </c>
      <c r="S242" s="159" t="str">
        <f>IF(R242="","",IF(R242&gt;Data2!$C$12,Data2!$D$11,IF(R242&gt;Data2!$C$13,Data2!$D$12,IF(R242&gt;Data2!$C$14,Data2!$D$13,Data2!$D$14))))</f>
        <v/>
      </c>
      <c r="T242" s="144">
        <f t="shared" si="201"/>
        <v>85</v>
      </c>
      <c r="U242" s="144">
        <f t="shared" si="202"/>
        <v>80</v>
      </c>
      <c r="V242" s="144" t="str">
        <f t="shared" si="158"/>
        <v>Cukup menguasai</v>
      </c>
      <c r="W242" s="144" t="str">
        <f t="shared" si="159"/>
        <v>Cukup menguasai</v>
      </c>
      <c r="X242" s="144">
        <f t="shared" si="203"/>
        <v>3</v>
      </c>
      <c r="Y242" s="145">
        <f t="shared" si="204"/>
        <v>5</v>
      </c>
      <c r="Z242" s="218" t="str">
        <f>IF('PA-Non'!O242&lt;&gt;"",'PA-Non'!O242,IFERROR("Mempunyai kemampuan yang " &amp;IF(V242=W242,PROPER(W242)&amp;" dalam kompetensi "&amp;VLOOKUP(X242,$G$532:$I$539,3)&amp;" dan kompetensi "&amp;VLOOKUP(Y242,$G$532:$I$539,3),PROPER(V242)&amp;" dalam kompetensi "&amp;VLOOKUP(X242,$G$532:$I$539,3)&amp;" dan memiliki kemampuan yang "&amp;W242&amp;" pada kompetensi "&amp;VLOOKUP(Y242,$G$532:$I$539,3)),""))</f>
        <v>Mempunyai kemampuan yang Cukup Menguasai dalam kompetensi KD Pengetahuan-3 dan kompetensi KD Pengetahuan-5</v>
      </c>
      <c r="AA242" s="343"/>
      <c r="AB242" s="344"/>
      <c r="AC242" s="344"/>
      <c r="AD242" s="344"/>
      <c r="AE242" s="344"/>
      <c r="AF242" s="344"/>
      <c r="AG242" s="344"/>
      <c r="AH242" s="345"/>
      <c r="AI242" s="220" t="str">
        <f t="shared" si="205"/>
        <v/>
      </c>
      <c r="AJ242" s="160" t="str">
        <f>IF(AI242="","",IF(AI242&gt;Data2!$C$12,Data2!$D$11,IF(AI242&gt;Data2!$C$13,Data2!$D$12,IF(AI242&gt;Data2!$C$14,Data2!$D$13,Data2!$D$14))))</f>
        <v/>
      </c>
      <c r="AK242" s="146">
        <f t="shared" si="206"/>
        <v>0</v>
      </c>
      <c r="AL242" s="146">
        <f t="shared" si="207"/>
        <v>0</v>
      </c>
      <c r="AM242" s="147" t="str">
        <f t="shared" si="160"/>
        <v>Mulai meningkat</v>
      </c>
      <c r="AN242" s="147" t="str">
        <f t="shared" si="161"/>
        <v>Mulai meningkat</v>
      </c>
      <c r="AO242" s="146" t="e">
        <f t="shared" si="208"/>
        <v>#N/A</v>
      </c>
      <c r="AP242" s="148" t="e">
        <f t="shared" si="209"/>
        <v>#N/A</v>
      </c>
      <c r="AQ242" s="158" t="str">
        <f>IF('PA-Non'!V242&lt;&gt;"",'PA-Non'!V242,IFERROR("Mempunyai keterampilan yang "&amp;IF(AM242=AN242,PROPER(AN242)&amp;" dalam kompetensi "&amp;VLOOKUP(AO242,$AA$532:$AC$539,3)&amp;", demikian juga dalam kompetensi "&amp;VLOOKUP(AP242,$AA$532:$AC$539,3),PROPER(AM242)&amp;" dalam kompetensi "&amp;VLOOKUP(AO242,$AA$532:$AC$539,3)&amp;" dan "&amp;AN242&amp;" pada kompetensi "&amp;VLOOKUP(AP242,$AA$532:$AC$539,3)),""))</f>
        <v/>
      </c>
      <c r="AR242" s="188"/>
    </row>
    <row r="243" spans="2:44" ht="27.9" customHeight="1" thickBot="1" x14ac:dyDescent="0.35">
      <c r="B243" s="384" t="s">
        <v>124</v>
      </c>
      <c r="C243" s="149" t="str">
        <f t="shared" si="198"/>
        <v/>
      </c>
      <c r="D243" s="150" t="str">
        <f>IF(Data!F238="","",Data!F238)</f>
        <v/>
      </c>
      <c r="E243" s="151" t="str">
        <f>IF(Data!H238="","",Data!H238)</f>
        <v/>
      </c>
      <c r="F243" s="152" t="str">
        <f>IF(Data!I238="","",Data!I238)</f>
        <v/>
      </c>
      <c r="G243" s="343"/>
      <c r="H243" s="344"/>
      <c r="I243" s="344"/>
      <c r="J243" s="344"/>
      <c r="K243" s="344"/>
      <c r="L243" s="344"/>
      <c r="M243" s="344"/>
      <c r="N243" s="345"/>
      <c r="O243" s="157" t="str">
        <f t="shared" si="199"/>
        <v/>
      </c>
      <c r="P243" s="344"/>
      <c r="Q243" s="346"/>
      <c r="R243" s="157" t="str">
        <f t="shared" si="200"/>
        <v/>
      </c>
      <c r="S243" s="159" t="str">
        <f>IF(R243="","",IF(R243&gt;Data2!$C$12,Data2!$D$11,IF(R243&gt;Data2!$C$13,Data2!$D$12,IF(R243&gt;Data2!$C$14,Data2!$D$13,Data2!$D$14))))</f>
        <v/>
      </c>
      <c r="T243" s="144">
        <f t="shared" si="201"/>
        <v>0</v>
      </c>
      <c r="U243" s="144">
        <f t="shared" si="202"/>
        <v>0</v>
      </c>
      <c r="V243" s="144" t="str">
        <f t="shared" si="158"/>
        <v>Mulai berkembang</v>
      </c>
      <c r="W243" s="144" t="str">
        <f t="shared" si="159"/>
        <v>Mulai berkembang</v>
      </c>
      <c r="X243" s="144" t="e">
        <f t="shared" si="203"/>
        <v>#N/A</v>
      </c>
      <c r="Y243" s="145" t="e">
        <f t="shared" si="204"/>
        <v>#N/A</v>
      </c>
      <c r="Z243" s="218" t="str">
        <f>IF('PA-Non'!O243&lt;&gt;"",'PA-Non'!O243,IFERROR("Mempunyai kemampuan yang " &amp;IF(V243=W243,PROPER(W243)&amp;" dalam kompetensi "&amp;VLOOKUP(X243,$G$532:$I$539,3)&amp;" dan kompetensi "&amp;VLOOKUP(Y243,$G$532:$I$539,3),PROPER(V243)&amp;" dalam kompetensi "&amp;VLOOKUP(X243,$G$532:$I$539,3)&amp;" dan memiliki kemampuan yang "&amp;W243&amp;" pada kompetensi "&amp;VLOOKUP(Y243,$G$532:$I$539,3)),""))</f>
        <v/>
      </c>
      <c r="AA243" s="343"/>
      <c r="AB243" s="344"/>
      <c r="AC243" s="344"/>
      <c r="AD243" s="344"/>
      <c r="AE243" s="344"/>
      <c r="AF243" s="344"/>
      <c r="AG243" s="344"/>
      <c r="AH243" s="345"/>
      <c r="AI243" s="220" t="str">
        <f t="shared" si="205"/>
        <v/>
      </c>
      <c r="AJ243" s="160" t="str">
        <f>IF(AI243="","",IF(AI243&gt;Data2!$C$12,Data2!$D$11,IF(AI243&gt;Data2!$C$13,Data2!$D$12,IF(AI243&gt;Data2!$C$14,Data2!$D$13,Data2!$D$14))))</f>
        <v/>
      </c>
      <c r="AK243" s="146">
        <f t="shared" si="206"/>
        <v>0</v>
      </c>
      <c r="AL243" s="146">
        <f t="shared" si="207"/>
        <v>0</v>
      </c>
      <c r="AM243" s="147" t="str">
        <f t="shared" si="160"/>
        <v>Mulai meningkat</v>
      </c>
      <c r="AN243" s="147" t="str">
        <f t="shared" si="161"/>
        <v>Mulai meningkat</v>
      </c>
      <c r="AO243" s="146" t="e">
        <f t="shared" si="208"/>
        <v>#N/A</v>
      </c>
      <c r="AP243" s="148" t="e">
        <f t="shared" si="209"/>
        <v>#N/A</v>
      </c>
      <c r="AQ243" s="158" t="str">
        <f>IF('PA-Non'!V243&lt;&gt;"",'PA-Non'!V243,IFERROR("Mempunyai keterampilan yang "&amp;IF(AM243=AN243,PROPER(AN243)&amp;" dalam kompetensi "&amp;VLOOKUP(AO243,$AA$532:$AC$539,3)&amp;", demikian juga dalam kompetensi "&amp;VLOOKUP(AP243,$AA$532:$AC$539,3),PROPER(AM243)&amp;" dalam kompetensi "&amp;VLOOKUP(AO243,$AA$532:$AC$539,3)&amp;" dan "&amp;AN243&amp;" pada kompetensi "&amp;VLOOKUP(AP243,$AA$532:$AC$539,3)),""))</f>
        <v/>
      </c>
      <c r="AR243" s="188"/>
    </row>
    <row r="244" spans="2:44" ht="27.9" customHeight="1" thickBot="1" x14ac:dyDescent="0.35">
      <c r="B244" s="384" t="s">
        <v>124</v>
      </c>
      <c r="C244" s="149" t="str">
        <f t="shared" si="198"/>
        <v/>
      </c>
      <c r="D244" s="150" t="str">
        <f>IF(Data!F239="","",Data!F239)</f>
        <v/>
      </c>
      <c r="E244" s="151" t="str">
        <f>IF(Data!H239="","",Data!H239)</f>
        <v/>
      </c>
      <c r="F244" s="152" t="str">
        <f>IF(Data!I239="","",Data!I239)</f>
        <v/>
      </c>
      <c r="G244" s="343"/>
      <c r="H244" s="344"/>
      <c r="I244" s="344"/>
      <c r="J244" s="344"/>
      <c r="K244" s="344"/>
      <c r="L244" s="344"/>
      <c r="M244" s="344"/>
      <c r="N244" s="345"/>
      <c r="O244" s="157" t="str">
        <f t="shared" si="199"/>
        <v/>
      </c>
      <c r="P244" s="344"/>
      <c r="Q244" s="346"/>
      <c r="R244" s="157" t="str">
        <f t="shared" si="200"/>
        <v/>
      </c>
      <c r="S244" s="159" t="str">
        <f>IF(R244="","",IF(R244&gt;Data2!$C$12,Data2!$D$11,IF(R244&gt;Data2!$C$13,Data2!$D$12,IF(R244&gt;Data2!$C$14,Data2!$D$13,Data2!$D$14))))</f>
        <v/>
      </c>
      <c r="T244" s="144">
        <f t="shared" si="201"/>
        <v>0</v>
      </c>
      <c r="U244" s="144">
        <f t="shared" si="202"/>
        <v>0</v>
      </c>
      <c r="V244" s="144" t="str">
        <f t="shared" si="158"/>
        <v>Mulai berkembang</v>
      </c>
      <c r="W244" s="144" t="str">
        <f t="shared" si="159"/>
        <v>Mulai berkembang</v>
      </c>
      <c r="X244" s="144" t="e">
        <f t="shared" si="203"/>
        <v>#N/A</v>
      </c>
      <c r="Y244" s="145" t="e">
        <f t="shared" si="204"/>
        <v>#N/A</v>
      </c>
      <c r="Z244" s="218" t="str">
        <f>IF('PA-Non'!O244&lt;&gt;"",'PA-Non'!O244,IFERROR("Mempunyai kemampuan yang " &amp;IF(V244=W244,PROPER(W244)&amp;" dalam kompetensi "&amp;VLOOKUP(X244,$G$532:$I$539,3)&amp;" dan kompetensi "&amp;VLOOKUP(Y244,$G$532:$I$539,3),PROPER(V244)&amp;" dalam kompetensi "&amp;VLOOKUP(X244,$G$532:$I$539,3)&amp;" dan memiliki kemampuan yang "&amp;W244&amp;" pada kompetensi "&amp;VLOOKUP(Y244,$G$532:$I$539,3)),""))</f>
        <v/>
      </c>
      <c r="AA244" s="343"/>
      <c r="AB244" s="344"/>
      <c r="AC244" s="344"/>
      <c r="AD244" s="344"/>
      <c r="AE244" s="344"/>
      <c r="AF244" s="344"/>
      <c r="AG244" s="344"/>
      <c r="AH244" s="345"/>
      <c r="AI244" s="220" t="str">
        <f t="shared" si="205"/>
        <v/>
      </c>
      <c r="AJ244" s="160" t="str">
        <f>IF(AI244="","",IF(AI244&gt;Data2!$C$12,Data2!$D$11,IF(AI244&gt;Data2!$C$13,Data2!$D$12,IF(AI244&gt;Data2!$C$14,Data2!$D$13,Data2!$D$14))))</f>
        <v/>
      </c>
      <c r="AK244" s="146">
        <f t="shared" si="206"/>
        <v>0</v>
      </c>
      <c r="AL244" s="146">
        <f t="shared" si="207"/>
        <v>0</v>
      </c>
      <c r="AM244" s="147" t="str">
        <f t="shared" si="160"/>
        <v>Mulai meningkat</v>
      </c>
      <c r="AN244" s="147" t="str">
        <f t="shared" si="161"/>
        <v>Mulai meningkat</v>
      </c>
      <c r="AO244" s="146" t="e">
        <f t="shared" si="208"/>
        <v>#N/A</v>
      </c>
      <c r="AP244" s="148" t="e">
        <f t="shared" si="209"/>
        <v>#N/A</v>
      </c>
      <c r="AQ244" s="158" t="str">
        <f>IF('PA-Non'!V244&lt;&gt;"",'PA-Non'!V244,IFERROR("Mempunyai keterampilan yang "&amp;IF(AM244=AN244,PROPER(AN244)&amp;" dalam kompetensi "&amp;VLOOKUP(AO244,$AA$532:$AC$539,3)&amp;", demikian juga dalam kompetensi "&amp;VLOOKUP(AP244,$AA$532:$AC$539,3),PROPER(AM244)&amp;" dalam kompetensi "&amp;VLOOKUP(AO244,$AA$532:$AC$539,3)&amp;" dan "&amp;AN244&amp;" pada kompetensi "&amp;VLOOKUP(AP244,$AA$532:$AC$539,3)),""))</f>
        <v/>
      </c>
      <c r="AR244" s="188"/>
    </row>
    <row r="245" spans="2:44" ht="27.9" customHeight="1" thickBot="1" x14ac:dyDescent="0.35">
      <c r="B245" s="384" t="s">
        <v>124</v>
      </c>
      <c r="C245" s="149" t="str">
        <f t="shared" si="198"/>
        <v/>
      </c>
      <c r="D245" s="150" t="str">
        <f>IF(Data!F240="","",Data!F240)</f>
        <v/>
      </c>
      <c r="E245" s="151" t="str">
        <f>IF(Data!H240="","",Data!H240)</f>
        <v/>
      </c>
      <c r="F245" s="152" t="str">
        <f>IF(Data!I240="","",Data!I240)</f>
        <v/>
      </c>
      <c r="G245" s="343"/>
      <c r="H245" s="344"/>
      <c r="I245" s="344"/>
      <c r="J245" s="344"/>
      <c r="K245" s="344"/>
      <c r="L245" s="344"/>
      <c r="M245" s="344"/>
      <c r="N245" s="345"/>
      <c r="O245" s="157" t="str">
        <f t="shared" si="199"/>
        <v/>
      </c>
      <c r="P245" s="344"/>
      <c r="Q245" s="346"/>
      <c r="R245" s="157" t="str">
        <f t="shared" si="200"/>
        <v/>
      </c>
      <c r="S245" s="159" t="str">
        <f>IF(R245="","",IF(R245&gt;Data2!$C$12,Data2!$D$11,IF(R245&gt;Data2!$C$13,Data2!$D$12,IF(R245&gt;Data2!$C$14,Data2!$D$13,Data2!$D$14))))</f>
        <v/>
      </c>
      <c r="T245" s="144">
        <f t="shared" si="201"/>
        <v>0</v>
      </c>
      <c r="U245" s="144">
        <f t="shared" si="202"/>
        <v>0</v>
      </c>
      <c r="V245" s="144" t="str">
        <f t="shared" si="158"/>
        <v>Mulai berkembang</v>
      </c>
      <c r="W245" s="144" t="str">
        <f t="shared" si="159"/>
        <v>Mulai berkembang</v>
      </c>
      <c r="X245" s="144" t="e">
        <f t="shared" si="203"/>
        <v>#N/A</v>
      </c>
      <c r="Y245" s="145" t="e">
        <f t="shared" si="204"/>
        <v>#N/A</v>
      </c>
      <c r="Z245" s="218" t="str">
        <f>IF('PA-Non'!O245&lt;&gt;"",'PA-Non'!O245,IFERROR("Mempunyai kemampuan yang " &amp;IF(V245=W245,PROPER(W245)&amp;" dalam kompetensi "&amp;VLOOKUP(X245,$G$532:$I$539,3)&amp;" dan kompetensi "&amp;VLOOKUP(Y245,$G$532:$I$539,3),PROPER(V245)&amp;" dalam kompetensi "&amp;VLOOKUP(X245,$G$532:$I$539,3)&amp;" dan memiliki kemampuan yang "&amp;W245&amp;" pada kompetensi "&amp;VLOOKUP(Y245,$G$532:$I$539,3)),""))</f>
        <v/>
      </c>
      <c r="AA245" s="343"/>
      <c r="AB245" s="344"/>
      <c r="AC245" s="344"/>
      <c r="AD245" s="344"/>
      <c r="AE245" s="344"/>
      <c r="AF245" s="344"/>
      <c r="AG245" s="344"/>
      <c r="AH245" s="345"/>
      <c r="AI245" s="220" t="str">
        <f t="shared" si="205"/>
        <v/>
      </c>
      <c r="AJ245" s="160" t="str">
        <f>IF(AI245="","",IF(AI245&gt;Data2!$C$12,Data2!$D$11,IF(AI245&gt;Data2!$C$13,Data2!$D$12,IF(AI245&gt;Data2!$C$14,Data2!$D$13,Data2!$D$14))))</f>
        <v/>
      </c>
      <c r="AK245" s="146">
        <f t="shared" si="206"/>
        <v>0</v>
      </c>
      <c r="AL245" s="146">
        <f t="shared" si="207"/>
        <v>0</v>
      </c>
      <c r="AM245" s="147" t="str">
        <f t="shared" si="160"/>
        <v>Mulai meningkat</v>
      </c>
      <c r="AN245" s="147" t="str">
        <f t="shared" si="161"/>
        <v>Mulai meningkat</v>
      </c>
      <c r="AO245" s="146" t="e">
        <f t="shared" si="208"/>
        <v>#N/A</v>
      </c>
      <c r="AP245" s="148" t="e">
        <f t="shared" si="209"/>
        <v>#N/A</v>
      </c>
      <c r="AQ245" s="158" t="str">
        <f>IF('PA-Non'!V245&lt;&gt;"",'PA-Non'!V245,IFERROR("Mempunyai keterampilan yang "&amp;IF(AM245=AN245,PROPER(AN245)&amp;" dalam kompetensi "&amp;VLOOKUP(AO245,$AA$532:$AC$539,3)&amp;", demikian juga dalam kompetensi "&amp;VLOOKUP(AP245,$AA$532:$AC$539,3),PROPER(AM245)&amp;" dalam kompetensi "&amp;VLOOKUP(AO245,$AA$532:$AC$539,3)&amp;" dan "&amp;AN245&amp;" pada kompetensi "&amp;VLOOKUP(AP245,$AA$532:$AC$539,3)),""))</f>
        <v/>
      </c>
      <c r="AR245" s="188"/>
    </row>
    <row r="246" spans="2:44" ht="27.9" customHeight="1" thickBot="1" x14ac:dyDescent="0.35">
      <c r="B246" s="384" t="s">
        <v>124</v>
      </c>
      <c r="C246" s="149" t="str">
        <f t="shared" si="198"/>
        <v/>
      </c>
      <c r="D246" s="150" t="str">
        <f>IF(Data!F241="","",Data!F241)</f>
        <v/>
      </c>
      <c r="E246" s="151" t="str">
        <f>IF(Data!H241="","",Data!H241)</f>
        <v/>
      </c>
      <c r="F246" s="152" t="str">
        <f>IF(Data!I241="","",Data!I241)</f>
        <v/>
      </c>
      <c r="G246" s="343"/>
      <c r="H246" s="344"/>
      <c r="I246" s="344"/>
      <c r="J246" s="344"/>
      <c r="K246" s="344"/>
      <c r="L246" s="344"/>
      <c r="M246" s="344"/>
      <c r="N246" s="345"/>
      <c r="O246" s="157" t="str">
        <f t="shared" si="199"/>
        <v/>
      </c>
      <c r="P246" s="344"/>
      <c r="Q246" s="346"/>
      <c r="R246" s="157" t="str">
        <f t="shared" si="200"/>
        <v/>
      </c>
      <c r="S246" s="159" t="str">
        <f>IF(R246="","",IF(R246&gt;Data2!$C$12,Data2!$D$11,IF(R246&gt;Data2!$C$13,Data2!$D$12,IF(R246&gt;Data2!$C$14,Data2!$D$13,Data2!$D$14))))</f>
        <v/>
      </c>
      <c r="T246" s="144">
        <f t="shared" si="201"/>
        <v>0</v>
      </c>
      <c r="U246" s="144">
        <f t="shared" si="202"/>
        <v>0</v>
      </c>
      <c r="V246" s="144" t="str">
        <f t="shared" si="158"/>
        <v>Mulai berkembang</v>
      </c>
      <c r="W246" s="144" t="str">
        <f t="shared" si="159"/>
        <v>Mulai berkembang</v>
      </c>
      <c r="X246" s="144" t="e">
        <f t="shared" si="203"/>
        <v>#N/A</v>
      </c>
      <c r="Y246" s="145" t="e">
        <f t="shared" si="204"/>
        <v>#N/A</v>
      </c>
      <c r="Z246" s="218" t="str">
        <f>IF('PA-Non'!O246&lt;&gt;"",'PA-Non'!O246,IFERROR("Mempunyai kemampuan yang " &amp;IF(V246=W246,PROPER(W246)&amp;" dalam kompetensi "&amp;VLOOKUP(X246,$G$532:$I$539,3)&amp;" dan kompetensi "&amp;VLOOKUP(Y246,$G$532:$I$539,3),PROPER(V246)&amp;" dalam kompetensi "&amp;VLOOKUP(X246,$G$532:$I$539,3)&amp;" dan memiliki kemampuan yang "&amp;W246&amp;" pada kompetensi "&amp;VLOOKUP(Y246,$G$532:$I$539,3)),""))</f>
        <v/>
      </c>
      <c r="AA246" s="343"/>
      <c r="AB246" s="344"/>
      <c r="AC246" s="344"/>
      <c r="AD246" s="344"/>
      <c r="AE246" s="344"/>
      <c r="AF246" s="344"/>
      <c r="AG246" s="344"/>
      <c r="AH246" s="345"/>
      <c r="AI246" s="220" t="str">
        <f t="shared" si="205"/>
        <v/>
      </c>
      <c r="AJ246" s="160" t="str">
        <f>IF(AI246="","",IF(AI246&gt;Data2!$C$12,Data2!$D$11,IF(AI246&gt;Data2!$C$13,Data2!$D$12,IF(AI246&gt;Data2!$C$14,Data2!$D$13,Data2!$D$14))))</f>
        <v/>
      </c>
      <c r="AK246" s="146">
        <f t="shared" si="206"/>
        <v>0</v>
      </c>
      <c r="AL246" s="146">
        <f t="shared" si="207"/>
        <v>0</v>
      </c>
      <c r="AM246" s="147" t="str">
        <f t="shared" si="160"/>
        <v>Mulai meningkat</v>
      </c>
      <c r="AN246" s="147" t="str">
        <f t="shared" si="161"/>
        <v>Mulai meningkat</v>
      </c>
      <c r="AO246" s="146" t="e">
        <f t="shared" si="208"/>
        <v>#N/A</v>
      </c>
      <c r="AP246" s="148" t="e">
        <f t="shared" si="209"/>
        <v>#N/A</v>
      </c>
      <c r="AQ246" s="158" t="str">
        <f>IF('PA-Non'!V246&lt;&gt;"",'PA-Non'!V246,IFERROR("Mempunyai keterampilan yang "&amp;IF(AM246=AN246,PROPER(AN246)&amp;" dalam kompetensi "&amp;VLOOKUP(AO246,$AA$532:$AC$539,3)&amp;", demikian juga dalam kompetensi "&amp;VLOOKUP(AP246,$AA$532:$AC$539,3),PROPER(AM246)&amp;" dalam kompetensi "&amp;VLOOKUP(AO246,$AA$532:$AC$539,3)&amp;" dan "&amp;AN246&amp;" pada kompetensi "&amp;VLOOKUP(AP246,$AA$532:$AC$539,3)),""))</f>
        <v/>
      </c>
      <c r="AR246" s="188"/>
    </row>
    <row r="247" spans="2:44" ht="27.9" customHeight="1" thickBot="1" x14ac:dyDescent="0.35">
      <c r="B247" s="384" t="s">
        <v>124</v>
      </c>
      <c r="C247" s="149" t="str">
        <f t="shared" si="198"/>
        <v/>
      </c>
      <c r="D247" s="150" t="str">
        <f>IF(Data!F242="","",Data!F242)</f>
        <v/>
      </c>
      <c r="E247" s="151" t="str">
        <f>IF(Data!H242="","",Data!H242)</f>
        <v/>
      </c>
      <c r="F247" s="152" t="str">
        <f>IF(Data!I242="","",Data!I242)</f>
        <v/>
      </c>
      <c r="G247" s="343"/>
      <c r="H247" s="344"/>
      <c r="I247" s="344"/>
      <c r="J247" s="344"/>
      <c r="K247" s="344"/>
      <c r="L247" s="344"/>
      <c r="M247" s="344"/>
      <c r="N247" s="345"/>
      <c r="O247" s="157" t="str">
        <f t="shared" si="199"/>
        <v/>
      </c>
      <c r="P247" s="344"/>
      <c r="Q247" s="346"/>
      <c r="R247" s="157" t="str">
        <f t="shared" si="200"/>
        <v/>
      </c>
      <c r="S247" s="159" t="str">
        <f>IF(R247="","",IF(R247&gt;Data2!$C$12,Data2!$D$11,IF(R247&gt;Data2!$C$13,Data2!$D$12,IF(R247&gt;Data2!$C$14,Data2!$D$13,Data2!$D$14))))</f>
        <v/>
      </c>
      <c r="T247" s="144">
        <f t="shared" si="201"/>
        <v>0</v>
      </c>
      <c r="U247" s="144">
        <f t="shared" si="202"/>
        <v>0</v>
      </c>
      <c r="V247" s="144" t="str">
        <f t="shared" si="158"/>
        <v>Mulai berkembang</v>
      </c>
      <c r="W247" s="144" t="str">
        <f t="shared" si="159"/>
        <v>Mulai berkembang</v>
      </c>
      <c r="X247" s="144" t="e">
        <f t="shared" si="203"/>
        <v>#N/A</v>
      </c>
      <c r="Y247" s="145" t="e">
        <f t="shared" si="204"/>
        <v>#N/A</v>
      </c>
      <c r="Z247" s="218" t="str">
        <f>IF('PA-Non'!O247&lt;&gt;"",'PA-Non'!O247,IFERROR("Mempunyai kemampuan yang " &amp;IF(V247=W247,PROPER(W247)&amp;" dalam kompetensi "&amp;VLOOKUP(X247,$G$532:$I$539,3)&amp;" dan kompetensi "&amp;VLOOKUP(Y247,$G$532:$I$539,3),PROPER(V247)&amp;" dalam kompetensi "&amp;VLOOKUP(X247,$G$532:$I$539,3)&amp;" dan memiliki kemampuan yang "&amp;W247&amp;" pada kompetensi "&amp;VLOOKUP(Y247,$G$532:$I$539,3)),""))</f>
        <v/>
      </c>
      <c r="AA247" s="343"/>
      <c r="AB247" s="344"/>
      <c r="AC247" s="344"/>
      <c r="AD247" s="344"/>
      <c r="AE247" s="344"/>
      <c r="AF247" s="344"/>
      <c r="AG247" s="344"/>
      <c r="AH247" s="345"/>
      <c r="AI247" s="220" t="str">
        <f t="shared" si="205"/>
        <v/>
      </c>
      <c r="AJ247" s="160" t="str">
        <f>IF(AI247="","",IF(AI247&gt;Data2!$C$12,Data2!$D$11,IF(AI247&gt;Data2!$C$13,Data2!$D$12,IF(AI247&gt;Data2!$C$14,Data2!$D$13,Data2!$D$14))))</f>
        <v/>
      </c>
      <c r="AK247" s="146">
        <f t="shared" si="206"/>
        <v>0</v>
      </c>
      <c r="AL247" s="146">
        <f t="shared" si="207"/>
        <v>0</v>
      </c>
      <c r="AM247" s="147" t="str">
        <f t="shared" si="160"/>
        <v>Mulai meningkat</v>
      </c>
      <c r="AN247" s="147" t="str">
        <f t="shared" si="161"/>
        <v>Mulai meningkat</v>
      </c>
      <c r="AO247" s="146" t="e">
        <f t="shared" si="208"/>
        <v>#N/A</v>
      </c>
      <c r="AP247" s="148" t="e">
        <f t="shared" si="209"/>
        <v>#N/A</v>
      </c>
      <c r="AQ247" s="158" t="str">
        <f>IF('PA-Non'!V247&lt;&gt;"",'PA-Non'!V247,IFERROR("Mempunyai keterampilan yang "&amp;IF(AM247=AN247,PROPER(AN247)&amp;" dalam kompetensi "&amp;VLOOKUP(AO247,$AA$532:$AC$539,3)&amp;", demikian juga dalam kompetensi "&amp;VLOOKUP(AP247,$AA$532:$AC$539,3),PROPER(AM247)&amp;" dalam kompetensi "&amp;VLOOKUP(AO247,$AA$532:$AC$539,3)&amp;" dan "&amp;AN247&amp;" pada kompetensi "&amp;VLOOKUP(AP247,$AA$532:$AC$539,3)),""))</f>
        <v/>
      </c>
      <c r="AR247" s="188"/>
    </row>
    <row r="248" spans="2:44" ht="27.9" customHeight="1" x14ac:dyDescent="0.3">
      <c r="B248" s="410" t="s">
        <v>124</v>
      </c>
      <c r="C248" s="387" t="str">
        <f t="shared" si="198"/>
        <v/>
      </c>
      <c r="D248" s="51" t="str">
        <f>IF(Data!F243="","",Data!F243)</f>
        <v/>
      </c>
      <c r="E248" s="91" t="str">
        <f>IF(Data!H243="","",Data!H243)</f>
        <v/>
      </c>
      <c r="F248" s="52" t="str">
        <f>IF(Data!I243="","",Data!I243)</f>
        <v/>
      </c>
      <c r="G248" s="411"/>
      <c r="H248" s="412"/>
      <c r="I248" s="412"/>
      <c r="J248" s="412"/>
      <c r="K248" s="412"/>
      <c r="L248" s="412"/>
      <c r="M248" s="412"/>
      <c r="N248" s="413"/>
      <c r="O248" s="391" t="str">
        <f t="shared" si="199"/>
        <v/>
      </c>
      <c r="P248" s="412"/>
      <c r="Q248" s="414"/>
      <c r="R248" s="391" t="str">
        <f t="shared" si="200"/>
        <v/>
      </c>
      <c r="S248" s="393" t="str">
        <f>IF(R248="","",IF(R248&gt;Data2!$C$12,Data2!$D$11,IF(R248&gt;Data2!$C$13,Data2!$D$12,IF(R248&gt;Data2!$C$14,Data2!$D$13,Data2!$D$14))))</f>
        <v/>
      </c>
      <c r="T248" s="394">
        <f t="shared" si="201"/>
        <v>0</v>
      </c>
      <c r="U248" s="394">
        <f t="shared" si="202"/>
        <v>0</v>
      </c>
      <c r="V248" s="394" t="str">
        <f t="shared" si="158"/>
        <v>Mulai berkembang</v>
      </c>
      <c r="W248" s="394" t="str">
        <f t="shared" si="159"/>
        <v>Mulai berkembang</v>
      </c>
      <c r="X248" s="394" t="e">
        <f t="shared" si="203"/>
        <v>#N/A</v>
      </c>
      <c r="Y248" s="395" t="e">
        <f t="shared" si="204"/>
        <v>#N/A</v>
      </c>
      <c r="Z248" s="396" t="str">
        <f>IF('PA-Non'!O248&lt;&gt;"",'PA-Non'!O248,IFERROR("Mempunyai kemampuan yang " &amp;IF(V248=W248,PROPER(W248)&amp;" dalam kompetensi "&amp;VLOOKUP(X248,$G$532:$I$539,3)&amp;" dan kompetensi "&amp;VLOOKUP(Y248,$G$532:$I$539,3),PROPER(V248)&amp;" dalam kompetensi "&amp;VLOOKUP(X248,$G$532:$I$539,3)&amp;" dan memiliki kemampuan yang "&amp;W248&amp;" pada kompetensi "&amp;VLOOKUP(Y248,$G$532:$I$539,3)),""))</f>
        <v/>
      </c>
      <c r="AA248" s="411"/>
      <c r="AB248" s="412"/>
      <c r="AC248" s="412"/>
      <c r="AD248" s="412"/>
      <c r="AE248" s="412"/>
      <c r="AF248" s="412"/>
      <c r="AG248" s="412"/>
      <c r="AH248" s="413"/>
      <c r="AI248" s="397" t="str">
        <f t="shared" si="205"/>
        <v/>
      </c>
      <c r="AJ248" s="398" t="str">
        <f>IF(AI248="","",IF(AI248&gt;Data2!$C$12,Data2!$D$11,IF(AI248&gt;Data2!$C$13,Data2!$D$12,IF(AI248&gt;Data2!$C$14,Data2!$D$13,Data2!$D$14))))</f>
        <v/>
      </c>
      <c r="AK248" s="399">
        <f t="shared" si="206"/>
        <v>0</v>
      </c>
      <c r="AL248" s="399">
        <f t="shared" si="207"/>
        <v>0</v>
      </c>
      <c r="AM248" s="400" t="str">
        <f t="shared" si="160"/>
        <v>Mulai meningkat</v>
      </c>
      <c r="AN248" s="400" t="str">
        <f t="shared" si="161"/>
        <v>Mulai meningkat</v>
      </c>
      <c r="AO248" s="399" t="e">
        <f t="shared" si="208"/>
        <v>#N/A</v>
      </c>
      <c r="AP248" s="401" t="e">
        <f t="shared" si="209"/>
        <v>#N/A</v>
      </c>
      <c r="AQ248" s="402" t="str">
        <f>IF('PA-Non'!V248&lt;&gt;"",'PA-Non'!V248,IFERROR("Mempunyai keterampilan yang "&amp;IF(AM248=AN248,PROPER(AN248)&amp;" dalam kompetensi "&amp;VLOOKUP(AO248,$AA$532:$AC$539,3)&amp;", demikian juga dalam kompetensi "&amp;VLOOKUP(AP248,$AA$532:$AC$539,3),PROPER(AM248)&amp;" dalam kompetensi "&amp;VLOOKUP(AO248,$AA$532:$AC$539,3)&amp;" dan "&amp;AN248&amp;" pada kompetensi "&amp;VLOOKUP(AP248,$AA$532:$AC$539,3)),""))</f>
        <v/>
      </c>
      <c r="AR248" s="188"/>
    </row>
    <row r="249" spans="2:44" ht="27.9" customHeight="1" thickBot="1" x14ac:dyDescent="0.35">
      <c r="B249" s="385" t="s">
        <v>124</v>
      </c>
      <c r="C249" s="366" t="str">
        <f t="shared" si="198"/>
        <v/>
      </c>
      <c r="D249" s="367" t="str">
        <f>IF(Data!F244="","",Data!F244)</f>
        <v/>
      </c>
      <c r="E249" s="368" t="str">
        <f>IF(Data!H244="","",Data!H244)</f>
        <v/>
      </c>
      <c r="F249" s="369" t="str">
        <f>IF(Data!I244="","",Data!I244)</f>
        <v/>
      </c>
      <c r="G249" s="379"/>
      <c r="H249" s="380"/>
      <c r="I249" s="380"/>
      <c r="J249" s="380"/>
      <c r="K249" s="380"/>
      <c r="L249" s="380"/>
      <c r="M249" s="380"/>
      <c r="N249" s="381"/>
      <c r="O249" s="373" t="str">
        <f t="shared" si="199"/>
        <v/>
      </c>
      <c r="P249" s="380"/>
      <c r="Q249" s="382"/>
      <c r="R249" s="373" t="str">
        <f t="shared" si="200"/>
        <v/>
      </c>
      <c r="S249" s="375" t="str">
        <f>IF(R249="","",IF(R249&gt;Data2!$C$12,Data2!$D$11,IF(R249&gt;Data2!$C$13,Data2!$D$12,IF(R249&gt;Data2!$C$14,Data2!$D$13,Data2!$D$14))))</f>
        <v/>
      </c>
      <c r="T249" s="404">
        <f t="shared" si="201"/>
        <v>0</v>
      </c>
      <c r="U249" s="404">
        <f t="shared" si="202"/>
        <v>0</v>
      </c>
      <c r="V249" s="404" t="str">
        <f t="shared" si="158"/>
        <v>Mulai berkembang</v>
      </c>
      <c r="W249" s="404" t="str">
        <f t="shared" si="159"/>
        <v>Mulai berkembang</v>
      </c>
      <c r="X249" s="404" t="e">
        <f t="shared" si="203"/>
        <v>#N/A</v>
      </c>
      <c r="Y249" s="405" t="e">
        <f t="shared" si="204"/>
        <v>#N/A</v>
      </c>
      <c r="Z249" s="376" t="str">
        <f>IF('PA-Non'!O249&lt;&gt;"",'PA-Non'!O249,IFERROR("Mempunyai kemampuan yang " &amp;IF(V249=W249,PROPER(W249)&amp;" dalam kompetensi "&amp;VLOOKUP(X249,$G$532:$I$539,3)&amp;" dan kompetensi "&amp;VLOOKUP(Y249,$G$532:$I$539,3),PROPER(V249)&amp;" dalam kompetensi "&amp;VLOOKUP(X249,$G$532:$I$539,3)&amp;" dan memiliki kemampuan yang "&amp;W249&amp;" pada kompetensi "&amp;VLOOKUP(Y249,$G$532:$I$539,3)),""))</f>
        <v/>
      </c>
      <c r="AA249" s="379"/>
      <c r="AB249" s="380"/>
      <c r="AC249" s="380"/>
      <c r="AD249" s="380"/>
      <c r="AE249" s="380"/>
      <c r="AF249" s="380"/>
      <c r="AG249" s="380"/>
      <c r="AH249" s="381"/>
      <c r="AI249" s="377" t="str">
        <f t="shared" si="205"/>
        <v/>
      </c>
      <c r="AJ249" s="378" t="str">
        <f>IF(AI249="","",IF(AI249&gt;Data2!$C$12,Data2!$D$11,IF(AI249&gt;Data2!$C$13,Data2!$D$12,IF(AI249&gt;Data2!$C$14,Data2!$D$13,Data2!$D$14))))</f>
        <v/>
      </c>
      <c r="AK249" s="406">
        <f t="shared" si="206"/>
        <v>0</v>
      </c>
      <c r="AL249" s="406">
        <f t="shared" si="207"/>
        <v>0</v>
      </c>
      <c r="AM249" s="407" t="str">
        <f t="shared" si="160"/>
        <v>Mulai meningkat</v>
      </c>
      <c r="AN249" s="407" t="str">
        <f t="shared" si="161"/>
        <v>Mulai meningkat</v>
      </c>
      <c r="AO249" s="406" t="e">
        <f t="shared" si="208"/>
        <v>#N/A</v>
      </c>
      <c r="AP249" s="408" t="e">
        <f t="shared" si="209"/>
        <v>#N/A</v>
      </c>
      <c r="AQ249" s="409" t="str">
        <f>IF('PA-Non'!V249&lt;&gt;"",'PA-Non'!V249,IFERROR("Mempunyai keterampilan yang "&amp;IF(AM249=AN249,PROPER(AN249)&amp;" dalam kompetensi "&amp;VLOOKUP(AO249,$AA$532:$AC$539,3)&amp;", demikian juga dalam kompetensi "&amp;VLOOKUP(AP249,$AA$532:$AC$539,3),PROPER(AM249)&amp;" dalam kompetensi "&amp;VLOOKUP(AO249,$AA$532:$AC$539,3)&amp;" dan "&amp;AN249&amp;" pada kompetensi "&amp;VLOOKUP(AP249,$AA$532:$AC$539,3)),""))</f>
        <v/>
      </c>
      <c r="AR249" s="188"/>
    </row>
    <row r="250" spans="2:44" ht="27.75" customHeight="1" thickBot="1" x14ac:dyDescent="0.35">
      <c r="B250" s="226" t="s">
        <v>125</v>
      </c>
      <c r="C250" s="137">
        <v>1</v>
      </c>
      <c r="D250" s="138" t="str">
        <f>IF(Data!F245="","",Data!F245)</f>
        <v>03500</v>
      </c>
      <c r="E250" s="139" t="str">
        <f>IF(Data!H245="","",Data!H245)</f>
        <v>Ach Qolbi Nazhirul Asrofi</v>
      </c>
      <c r="F250" s="140" t="str">
        <f>IF(Data!I245="","",Data!I245)</f>
        <v>Laki-laki</v>
      </c>
      <c r="G250" s="153"/>
      <c r="H250" s="154"/>
      <c r="I250" s="154"/>
      <c r="J250" s="154"/>
      <c r="K250" s="154"/>
      <c r="L250" s="154"/>
      <c r="M250" s="154"/>
      <c r="N250" s="155"/>
      <c r="O250" s="143" t="str">
        <f t="shared" si="162"/>
        <v/>
      </c>
      <c r="P250" s="141"/>
      <c r="Q250" s="142"/>
      <c r="R250" s="143" t="str">
        <f t="shared" si="163"/>
        <v/>
      </c>
      <c r="S250" s="159" t="str">
        <f>IF(R250="","",IF(R250&gt;Data2!$C$12,Data2!$D$11,IF(R250&gt;Data2!$C$13,Data2!$D$12,IF(R250&gt;Data2!$C$14,Data2!$D$13,Data2!$D$14))))</f>
        <v/>
      </c>
      <c r="T250" s="144">
        <f t="shared" si="164"/>
        <v>0</v>
      </c>
      <c r="U250" s="144">
        <f t="shared" si="165"/>
        <v>0</v>
      </c>
      <c r="V250" s="144" t="str">
        <f t="shared" si="158"/>
        <v>Mulai berkembang</v>
      </c>
      <c r="W250" s="144" t="str">
        <f t="shared" si="159"/>
        <v>Mulai berkembang</v>
      </c>
      <c r="X250" s="144" t="e">
        <f t="shared" si="166"/>
        <v>#N/A</v>
      </c>
      <c r="Y250" s="145" t="e">
        <f t="shared" si="167"/>
        <v>#N/A</v>
      </c>
      <c r="Z250" s="218" t="str">
        <f>IF('PA-Non'!O250&lt;&gt;"",'PA-Non'!O250,IFERROR("Mempunyai kemampuan yang " &amp;IF(V250=W250,PROPER(W250)&amp;" dalam kompetensi "&amp;VLOOKUP(X250,$G$532:$I$539,3)&amp;" dan kompetensi "&amp;VLOOKUP(Y250,$G$532:$I$539,3),PROPER(V250)&amp;" dalam kompetensi "&amp;VLOOKUP(X250,$G$532:$I$539,3)&amp;" dan memiliki kemampuan yang "&amp;W250&amp;" pada kompetensi "&amp;VLOOKUP(Y250,$G$532:$I$539,3)),""))</f>
        <v/>
      </c>
      <c r="AA250" s="153"/>
      <c r="AB250" s="154"/>
      <c r="AC250" s="154"/>
      <c r="AD250" s="154"/>
      <c r="AE250" s="154"/>
      <c r="AF250" s="154"/>
      <c r="AG250" s="154"/>
      <c r="AH250" s="155"/>
      <c r="AI250" s="219" t="str">
        <f t="shared" si="168"/>
        <v/>
      </c>
      <c r="AJ250" s="160" t="str">
        <f>IF(AI250="","",IF(AI250&gt;Data2!$C$12,Data2!$D$11,IF(AI250&gt;Data2!$C$13,Data2!$D$12,IF(AI250&gt;Data2!$C$14,Data2!$D$13,Data2!$D$14))))</f>
        <v/>
      </c>
      <c r="AK250" s="146">
        <f t="shared" si="169"/>
        <v>0</v>
      </c>
      <c r="AL250" s="146">
        <f t="shared" si="170"/>
        <v>0</v>
      </c>
      <c r="AM250" s="147" t="str">
        <f t="shared" si="160"/>
        <v>Mulai meningkat</v>
      </c>
      <c r="AN250" s="147" t="str">
        <f t="shared" si="161"/>
        <v>Mulai meningkat</v>
      </c>
      <c r="AO250" s="146" t="e">
        <f t="shared" si="171"/>
        <v>#N/A</v>
      </c>
      <c r="AP250" s="148" t="e">
        <f t="shared" si="172"/>
        <v>#N/A</v>
      </c>
      <c r="AQ250" s="158" t="str">
        <f>IF('PA-Non'!V250&lt;&gt;"",'PA-Non'!V250,IFERROR("Mempunyai keterampilan yang "&amp;IF(AM250=AN250,PROPER(AN250)&amp;" dalam kompetensi "&amp;VLOOKUP(AO250,$AA$532:$AC$539,3)&amp;", demikian juga dalam kompetensi "&amp;VLOOKUP(AP250,$AA$532:$AC$539,3),PROPER(AM250)&amp;" dalam kompetensi "&amp;VLOOKUP(AO250,$AA$532:$AC$539,3)&amp;" dan "&amp;AN250&amp;" pada kompetensi "&amp;VLOOKUP(AP250,$AA$532:$AC$539,3)),""))</f>
        <v/>
      </c>
      <c r="AR250" s="188"/>
    </row>
    <row r="251" spans="2:44" ht="27.75" customHeight="1" thickBot="1" x14ac:dyDescent="0.35">
      <c r="B251" s="226" t="s">
        <v>125</v>
      </c>
      <c r="C251" s="149">
        <f t="shared" ref="C251" si="210">IF(E251="","",C250+1)</f>
        <v>2</v>
      </c>
      <c r="D251" s="150" t="str">
        <f>IF(Data!F246="","",Data!F246)</f>
        <v>03506</v>
      </c>
      <c r="E251" s="151" t="str">
        <f>IF(Data!H246="","",Data!H246)</f>
        <v>Aditya Pranata Haikal Mahardika</v>
      </c>
      <c r="F251" s="152" t="str">
        <f>IF(Data!I246="","",Data!I246)</f>
        <v>Laki-laki</v>
      </c>
      <c r="G251" s="153"/>
      <c r="H251" s="154"/>
      <c r="I251" s="154"/>
      <c r="J251" s="154"/>
      <c r="K251" s="154"/>
      <c r="L251" s="154"/>
      <c r="M251" s="154"/>
      <c r="N251" s="155"/>
      <c r="O251" s="157" t="str">
        <f t="shared" ref="O251" si="211">IF(COUNT(G251:N251)&lt;3,"",ROUND(SUM(G251:N251)/$O$6,0))</f>
        <v/>
      </c>
      <c r="P251" s="154"/>
      <c r="Q251" s="156"/>
      <c r="R251" s="157" t="str">
        <f t="shared" ref="R251" si="212">IFERROR(IF(OR(P251="",Q251=""),"",ROUND(((O251*$O$8)+(P251*$P$8)+(Q251*$Q$8))/$Q$6,0)),"")</f>
        <v/>
      </c>
      <c r="S251" s="159" t="str">
        <f>IF(R251="","",IF(R251&gt;Data2!$C$12,Data2!$D$11,IF(R251&gt;Data2!$C$13,Data2!$D$12,IF(R251&gt;Data2!$C$14,Data2!$D$13,Data2!$D$14))))</f>
        <v/>
      </c>
      <c r="T251" s="144">
        <f t="shared" ref="T251" si="213">MAX(G251:N251)</f>
        <v>0</v>
      </c>
      <c r="U251" s="144">
        <f t="shared" ref="U251" si="214">MIN(G251:N251)</f>
        <v>0</v>
      </c>
      <c r="V251" s="144" t="str">
        <f t="shared" si="158"/>
        <v>Mulai berkembang</v>
      </c>
      <c r="W251" s="144" t="str">
        <f t="shared" si="159"/>
        <v>Mulai berkembang</v>
      </c>
      <c r="X251" s="144" t="e">
        <f t="shared" ref="X251" si="215">MATCH(T251,G251:N251,0)</f>
        <v>#N/A</v>
      </c>
      <c r="Y251" s="145" t="e">
        <f t="shared" ref="Y251" si="216">MATCH(U251,G251:N251,0)</f>
        <v>#N/A</v>
      </c>
      <c r="Z251" s="218" t="str">
        <f>IF('PA-Non'!O251&lt;&gt;"",'PA-Non'!O251,IFERROR("Mempunyai kemampuan yang " &amp;IF(V251=W251,PROPER(W251)&amp;" dalam kompetensi "&amp;VLOOKUP(X251,$G$532:$I$539,3)&amp;" dan kompetensi "&amp;VLOOKUP(Y251,$G$532:$I$539,3),PROPER(V251)&amp;" dalam kompetensi "&amp;VLOOKUP(X251,$G$532:$I$539,3)&amp;" dan memiliki kemampuan yang "&amp;W251&amp;" pada kompetensi "&amp;VLOOKUP(Y251,$G$532:$I$539,3)),""))</f>
        <v/>
      </c>
      <c r="AA251" s="153"/>
      <c r="AB251" s="154"/>
      <c r="AC251" s="154"/>
      <c r="AD251" s="154"/>
      <c r="AE251" s="154"/>
      <c r="AF251" s="154"/>
      <c r="AG251" s="154"/>
      <c r="AH251" s="155"/>
      <c r="AI251" s="220" t="str">
        <f t="shared" ref="AI251" si="217">IF(COUNT(AA251:AH251)&lt;3,"",ROUND(((AA251*$AA$8)+(AB251*$AB$8)+(AC251*$AC$8)+(AD251*$AD$8)+(AE251*$AE$8)+(AF251*$AF$8)+(AG251*$AG$8)+(AH251*$AH$8))/$AI$6,0))</f>
        <v/>
      </c>
      <c r="AJ251" s="160" t="str">
        <f>IF(AI251="","",IF(AI251&gt;Data2!$C$12,Data2!$D$11,IF(AI251&gt;Data2!$C$13,Data2!$D$12,IF(AI251&gt;Data2!$C$14,Data2!$D$13,Data2!$D$14))))</f>
        <v/>
      </c>
      <c r="AK251" s="146">
        <f t="shared" ref="AK251" si="218">MAX(AA251:AH251)</f>
        <v>0</v>
      </c>
      <c r="AL251" s="146">
        <f t="shared" ref="AL251" si="219">MIN(AA251:AH251)</f>
        <v>0</v>
      </c>
      <c r="AM251" s="147" t="str">
        <f t="shared" si="160"/>
        <v>Mulai meningkat</v>
      </c>
      <c r="AN251" s="147" t="str">
        <f t="shared" si="161"/>
        <v>Mulai meningkat</v>
      </c>
      <c r="AO251" s="146" t="e">
        <f t="shared" ref="AO251" si="220">MATCH(AK251,AA251:AH251,0)</f>
        <v>#N/A</v>
      </c>
      <c r="AP251" s="148" t="e">
        <f t="shared" ref="AP251" si="221">MATCH(AL251,AA251:AH251,0)</f>
        <v>#N/A</v>
      </c>
      <c r="AQ251" s="158" t="str">
        <f>IF('PA-Non'!V251&lt;&gt;"",'PA-Non'!V251,IFERROR("Mempunyai keterampilan yang "&amp;IF(AM251=AN251,PROPER(AN251)&amp;" dalam kompetensi "&amp;VLOOKUP(AO251,$AA$532:$AC$539,3)&amp;", demikian juga dalam kompetensi "&amp;VLOOKUP(AP251,$AA$532:$AC$539,3),PROPER(AM251)&amp;" dalam kompetensi "&amp;VLOOKUP(AO251,$AA$532:$AC$539,3)&amp;" dan "&amp;AN251&amp;" pada kompetensi "&amp;VLOOKUP(AP251,$AA$532:$AC$539,3)),""))</f>
        <v/>
      </c>
      <c r="AR251" s="188"/>
    </row>
    <row r="252" spans="2:44" ht="27.75" customHeight="1" thickBot="1" x14ac:dyDescent="0.35">
      <c r="B252" s="226" t="s">
        <v>125</v>
      </c>
      <c r="C252" s="149">
        <f t="shared" ref="C252:C289" si="222">IF(E252="","",C251+1)</f>
        <v>3</v>
      </c>
      <c r="D252" s="150" t="str">
        <f>IF(Data!F247="","",Data!F247)</f>
        <v>03512</v>
      </c>
      <c r="E252" s="151" t="str">
        <f>IF(Data!H247="","",Data!H247)</f>
        <v>Ahmad Ali Irawan</v>
      </c>
      <c r="F252" s="152" t="str">
        <f>IF(Data!I247="","",Data!I247)</f>
        <v>Laki-laki</v>
      </c>
      <c r="G252" s="153"/>
      <c r="H252" s="154"/>
      <c r="I252" s="154"/>
      <c r="J252" s="154"/>
      <c r="K252" s="154"/>
      <c r="L252" s="154"/>
      <c r="M252" s="154"/>
      <c r="N252" s="155"/>
      <c r="O252" s="157" t="str">
        <f t="shared" ref="O252:O289" si="223">IF(COUNT(G252:N252)&lt;3,"",ROUND(SUM(G252:N252)/$O$6,0))</f>
        <v/>
      </c>
      <c r="P252" s="154"/>
      <c r="Q252" s="156"/>
      <c r="R252" s="157" t="str">
        <f t="shared" ref="R252:R289" si="224">IFERROR(IF(OR(P252="",Q252=""),"",ROUND(((O252*$O$8)+(P252*$P$8)+(Q252*$Q$8))/$Q$6,0)),"")</f>
        <v/>
      </c>
      <c r="S252" s="159" t="str">
        <f>IF(R252="","",IF(R252&gt;Data2!$C$12,Data2!$D$11,IF(R252&gt;Data2!$C$13,Data2!$D$12,IF(R252&gt;Data2!$C$14,Data2!$D$13,Data2!$D$14))))</f>
        <v/>
      </c>
      <c r="T252" s="144">
        <f t="shared" ref="T252:T289" si="225">MAX(G252:N252)</f>
        <v>0</v>
      </c>
      <c r="U252" s="144">
        <f t="shared" ref="U252:U289" si="226">MIN(G252:N252)</f>
        <v>0</v>
      </c>
      <c r="V252" s="144" t="str">
        <f t="shared" si="158"/>
        <v>Mulai berkembang</v>
      </c>
      <c r="W252" s="144" t="str">
        <f t="shared" si="159"/>
        <v>Mulai berkembang</v>
      </c>
      <c r="X252" s="144" t="e">
        <f t="shared" ref="X252:X289" si="227">MATCH(T252,G252:N252,0)</f>
        <v>#N/A</v>
      </c>
      <c r="Y252" s="145" t="e">
        <f t="shared" ref="Y252:Y289" si="228">MATCH(U252,G252:N252,0)</f>
        <v>#N/A</v>
      </c>
      <c r="Z252" s="218" t="str">
        <f>IF('PA-Non'!O252&lt;&gt;"",'PA-Non'!O252,IFERROR("Mempunyai kemampuan yang " &amp;IF(V252=W252,PROPER(W252)&amp;" dalam kompetensi "&amp;VLOOKUP(X252,$G$532:$I$539,3)&amp;" dan kompetensi "&amp;VLOOKUP(Y252,$G$532:$I$539,3),PROPER(V252)&amp;" dalam kompetensi "&amp;VLOOKUP(X252,$G$532:$I$539,3)&amp;" dan memiliki kemampuan yang "&amp;W252&amp;" pada kompetensi "&amp;VLOOKUP(Y252,$G$532:$I$539,3)),""))</f>
        <v/>
      </c>
      <c r="AA252" s="153"/>
      <c r="AB252" s="154"/>
      <c r="AC252" s="154"/>
      <c r="AD252" s="154"/>
      <c r="AE252" s="154"/>
      <c r="AF252" s="154"/>
      <c r="AG252" s="154"/>
      <c r="AH252" s="155"/>
      <c r="AI252" s="220" t="str">
        <f t="shared" ref="AI252:AI289" si="229">IF(COUNT(AA252:AH252)&lt;3,"",ROUND(((AA252*$AA$8)+(AB252*$AB$8)+(AC252*$AC$8)+(AD252*$AD$8)+(AE252*$AE$8)+(AF252*$AF$8)+(AG252*$AG$8)+(AH252*$AH$8))/$AI$6,0))</f>
        <v/>
      </c>
      <c r="AJ252" s="160" t="str">
        <f>IF(AI252="","",IF(AI252&gt;Data2!$C$12,Data2!$D$11,IF(AI252&gt;Data2!$C$13,Data2!$D$12,IF(AI252&gt;Data2!$C$14,Data2!$D$13,Data2!$D$14))))</f>
        <v/>
      </c>
      <c r="AK252" s="146">
        <f t="shared" ref="AK252:AK289" si="230">MAX(AA252:AH252)</f>
        <v>0</v>
      </c>
      <c r="AL252" s="146">
        <f t="shared" ref="AL252:AL289" si="231">MIN(AA252:AH252)</f>
        <v>0</v>
      </c>
      <c r="AM252" s="147" t="str">
        <f t="shared" si="160"/>
        <v>Mulai meningkat</v>
      </c>
      <c r="AN252" s="147" t="str">
        <f t="shared" si="161"/>
        <v>Mulai meningkat</v>
      </c>
      <c r="AO252" s="146" t="e">
        <f t="shared" ref="AO252:AO289" si="232">MATCH(AK252,AA252:AH252,0)</f>
        <v>#N/A</v>
      </c>
      <c r="AP252" s="148" t="e">
        <f t="shared" ref="AP252:AP289" si="233">MATCH(AL252,AA252:AH252,0)</f>
        <v>#N/A</v>
      </c>
      <c r="AQ252" s="158" t="str">
        <f>IF('PA-Non'!V252&lt;&gt;"",'PA-Non'!V252,IFERROR("Mempunyai keterampilan yang "&amp;IF(AM252=AN252,PROPER(AN252)&amp;" dalam kompetensi "&amp;VLOOKUP(AO252,$AA$532:$AC$539,3)&amp;", demikian juga dalam kompetensi "&amp;VLOOKUP(AP252,$AA$532:$AC$539,3),PROPER(AM252)&amp;" dalam kompetensi "&amp;VLOOKUP(AO252,$AA$532:$AC$539,3)&amp;" dan "&amp;AN252&amp;" pada kompetensi "&amp;VLOOKUP(AP252,$AA$532:$AC$539,3)),""))</f>
        <v/>
      </c>
      <c r="AR252" s="188"/>
    </row>
    <row r="253" spans="2:44" ht="27.9" customHeight="1" thickBot="1" x14ac:dyDescent="0.35">
      <c r="B253" s="226" t="s">
        <v>125</v>
      </c>
      <c r="C253" s="149">
        <f t="shared" si="222"/>
        <v>4</v>
      </c>
      <c r="D253" s="150" t="str">
        <f>IF(Data!F248="","",Data!F248)</f>
        <v>03513</v>
      </c>
      <c r="E253" s="151" t="str">
        <f>IF(Data!H248="","",Data!H248)</f>
        <v>Ahmad Alifah Rudin</v>
      </c>
      <c r="F253" s="152" t="str">
        <f>IF(Data!I248="","",Data!I248)</f>
        <v>Laki-laki</v>
      </c>
      <c r="G253" s="153"/>
      <c r="H253" s="154"/>
      <c r="I253" s="154"/>
      <c r="J253" s="154"/>
      <c r="K253" s="154"/>
      <c r="L253" s="154"/>
      <c r="M253" s="154"/>
      <c r="N253" s="155"/>
      <c r="O253" s="157" t="str">
        <f t="shared" si="223"/>
        <v/>
      </c>
      <c r="P253" s="154"/>
      <c r="Q253" s="156"/>
      <c r="R253" s="157" t="str">
        <f t="shared" si="224"/>
        <v/>
      </c>
      <c r="S253" s="159" t="str">
        <f>IF(R253="","",IF(R253&gt;Data2!$C$12,Data2!$D$11,IF(R253&gt;Data2!$C$13,Data2!$D$12,IF(R253&gt;Data2!$C$14,Data2!$D$13,Data2!$D$14))))</f>
        <v/>
      </c>
      <c r="T253" s="144">
        <f t="shared" si="225"/>
        <v>0</v>
      </c>
      <c r="U253" s="144">
        <f t="shared" si="226"/>
        <v>0</v>
      </c>
      <c r="V253" s="144" t="str">
        <f t="shared" si="158"/>
        <v>Mulai berkembang</v>
      </c>
      <c r="W253" s="144" t="str">
        <f t="shared" si="159"/>
        <v>Mulai berkembang</v>
      </c>
      <c r="X253" s="144" t="e">
        <f t="shared" si="227"/>
        <v>#N/A</v>
      </c>
      <c r="Y253" s="145" t="e">
        <f t="shared" si="228"/>
        <v>#N/A</v>
      </c>
      <c r="Z253" s="218" t="str">
        <f>IF('PA-Non'!O253&lt;&gt;"",'PA-Non'!O253,IFERROR("Mempunyai kemampuan yang " &amp;IF(V253=W253,PROPER(W253)&amp;" dalam kompetensi "&amp;VLOOKUP(X253,$G$532:$I$539,3)&amp;" dan kompetensi "&amp;VLOOKUP(Y253,$G$532:$I$539,3),PROPER(V253)&amp;" dalam kompetensi "&amp;VLOOKUP(X253,$G$532:$I$539,3)&amp;" dan memiliki kemampuan yang "&amp;W253&amp;" pada kompetensi "&amp;VLOOKUP(Y253,$G$532:$I$539,3)),""))</f>
        <v/>
      </c>
      <c r="AA253" s="153"/>
      <c r="AB253" s="154"/>
      <c r="AC253" s="154"/>
      <c r="AD253" s="154"/>
      <c r="AE253" s="154"/>
      <c r="AF253" s="154"/>
      <c r="AG253" s="154"/>
      <c r="AH253" s="155"/>
      <c r="AI253" s="220" t="str">
        <f t="shared" si="229"/>
        <v/>
      </c>
      <c r="AJ253" s="160" t="str">
        <f>IF(AI253="","",IF(AI253&gt;Data2!$C$12,Data2!$D$11,IF(AI253&gt;Data2!$C$13,Data2!$D$12,IF(AI253&gt;Data2!$C$14,Data2!$D$13,Data2!$D$14))))</f>
        <v/>
      </c>
      <c r="AK253" s="146">
        <f t="shared" si="230"/>
        <v>0</v>
      </c>
      <c r="AL253" s="146">
        <f t="shared" si="231"/>
        <v>0</v>
      </c>
      <c r="AM253" s="147" t="str">
        <f t="shared" si="160"/>
        <v>Mulai meningkat</v>
      </c>
      <c r="AN253" s="147" t="str">
        <f t="shared" si="161"/>
        <v>Mulai meningkat</v>
      </c>
      <c r="AO253" s="146" t="e">
        <f t="shared" si="232"/>
        <v>#N/A</v>
      </c>
      <c r="AP253" s="148" t="e">
        <f t="shared" si="233"/>
        <v>#N/A</v>
      </c>
      <c r="AQ253" s="158" t="str">
        <f>IF('PA-Non'!V253&lt;&gt;"",'PA-Non'!V253,IFERROR("Mempunyai keterampilan yang "&amp;IF(AM253=AN253,PROPER(AN253)&amp;" dalam kompetensi "&amp;VLOOKUP(AO253,$AA$532:$AC$539,3)&amp;", demikian juga dalam kompetensi "&amp;VLOOKUP(AP253,$AA$532:$AC$539,3),PROPER(AM253)&amp;" dalam kompetensi "&amp;VLOOKUP(AO253,$AA$532:$AC$539,3)&amp;" dan "&amp;AN253&amp;" pada kompetensi "&amp;VLOOKUP(AP253,$AA$532:$AC$539,3)),""))</f>
        <v/>
      </c>
      <c r="AR253" s="188"/>
    </row>
    <row r="254" spans="2:44" ht="27.9" customHeight="1" thickBot="1" x14ac:dyDescent="0.35">
      <c r="B254" s="226" t="s">
        <v>125</v>
      </c>
      <c r="C254" s="149">
        <f t="shared" si="222"/>
        <v>5</v>
      </c>
      <c r="D254" s="150" t="str">
        <f>IF(Data!F249="","",Data!F249)</f>
        <v>03529</v>
      </c>
      <c r="E254" s="151" t="str">
        <f>IF(Data!H249="","",Data!H249)</f>
        <v>Alvian Dicky Putra Pratama</v>
      </c>
      <c r="F254" s="152" t="str">
        <f>IF(Data!I249="","",Data!I249)</f>
        <v>Laki-laki</v>
      </c>
      <c r="G254" s="153"/>
      <c r="H254" s="154"/>
      <c r="I254" s="154"/>
      <c r="J254" s="154"/>
      <c r="K254" s="154"/>
      <c r="L254" s="154"/>
      <c r="M254" s="154"/>
      <c r="N254" s="155"/>
      <c r="O254" s="157" t="str">
        <f t="shared" si="223"/>
        <v/>
      </c>
      <c r="P254" s="154"/>
      <c r="Q254" s="156"/>
      <c r="R254" s="157" t="str">
        <f t="shared" si="224"/>
        <v/>
      </c>
      <c r="S254" s="159" t="str">
        <f>IF(R254="","",IF(R254&gt;Data2!$C$12,Data2!$D$11,IF(R254&gt;Data2!$C$13,Data2!$D$12,IF(R254&gt;Data2!$C$14,Data2!$D$13,Data2!$D$14))))</f>
        <v/>
      </c>
      <c r="T254" s="144">
        <f t="shared" si="225"/>
        <v>0</v>
      </c>
      <c r="U254" s="144">
        <f t="shared" si="226"/>
        <v>0</v>
      </c>
      <c r="V254" s="144" t="str">
        <f t="shared" si="158"/>
        <v>Mulai berkembang</v>
      </c>
      <c r="W254" s="144" t="str">
        <f t="shared" si="159"/>
        <v>Mulai berkembang</v>
      </c>
      <c r="X254" s="144" t="e">
        <f t="shared" si="227"/>
        <v>#N/A</v>
      </c>
      <c r="Y254" s="145" t="e">
        <f t="shared" si="228"/>
        <v>#N/A</v>
      </c>
      <c r="Z254" s="218" t="str">
        <f>IF('PA-Non'!O254&lt;&gt;"",'PA-Non'!O254,IFERROR("Mempunyai kemampuan yang " &amp;IF(V254=W254,PROPER(W254)&amp;" dalam kompetensi "&amp;VLOOKUP(X254,$G$532:$I$539,3)&amp;" dan kompetensi "&amp;VLOOKUP(Y254,$G$532:$I$539,3),PROPER(V254)&amp;" dalam kompetensi "&amp;VLOOKUP(X254,$G$532:$I$539,3)&amp;" dan memiliki kemampuan yang "&amp;W254&amp;" pada kompetensi "&amp;VLOOKUP(Y254,$G$532:$I$539,3)),""))</f>
        <v/>
      </c>
      <c r="AA254" s="153"/>
      <c r="AB254" s="154"/>
      <c r="AC254" s="154"/>
      <c r="AD254" s="154"/>
      <c r="AE254" s="154"/>
      <c r="AF254" s="154"/>
      <c r="AG254" s="154"/>
      <c r="AH254" s="155"/>
      <c r="AI254" s="220" t="str">
        <f t="shared" si="229"/>
        <v/>
      </c>
      <c r="AJ254" s="160" t="str">
        <f>IF(AI254="","",IF(AI254&gt;Data2!$C$12,Data2!$D$11,IF(AI254&gt;Data2!$C$13,Data2!$D$12,IF(AI254&gt;Data2!$C$14,Data2!$D$13,Data2!$D$14))))</f>
        <v/>
      </c>
      <c r="AK254" s="146">
        <f t="shared" si="230"/>
        <v>0</v>
      </c>
      <c r="AL254" s="146">
        <f t="shared" si="231"/>
        <v>0</v>
      </c>
      <c r="AM254" s="147" t="str">
        <f t="shared" si="160"/>
        <v>Mulai meningkat</v>
      </c>
      <c r="AN254" s="147" t="str">
        <f t="shared" si="161"/>
        <v>Mulai meningkat</v>
      </c>
      <c r="AO254" s="146" t="e">
        <f t="shared" si="232"/>
        <v>#N/A</v>
      </c>
      <c r="AP254" s="148" t="e">
        <f t="shared" si="233"/>
        <v>#N/A</v>
      </c>
      <c r="AQ254" s="158" t="str">
        <f>IF('PA-Non'!V254&lt;&gt;"",'PA-Non'!V254,IFERROR("Mempunyai keterampilan yang "&amp;IF(AM254=AN254,PROPER(AN254)&amp;" dalam kompetensi "&amp;VLOOKUP(AO254,$AA$532:$AC$539,3)&amp;", demikian juga dalam kompetensi "&amp;VLOOKUP(AP254,$AA$532:$AC$539,3),PROPER(AM254)&amp;" dalam kompetensi "&amp;VLOOKUP(AO254,$AA$532:$AC$539,3)&amp;" dan "&amp;AN254&amp;" pada kompetensi "&amp;VLOOKUP(AP254,$AA$532:$AC$539,3)),""))</f>
        <v/>
      </c>
      <c r="AR254" s="188"/>
    </row>
    <row r="255" spans="2:44" ht="27.9" customHeight="1" thickBot="1" x14ac:dyDescent="0.35">
      <c r="B255" s="226" t="s">
        <v>125</v>
      </c>
      <c r="C255" s="149">
        <f t="shared" si="222"/>
        <v>6</v>
      </c>
      <c r="D255" s="150" t="str">
        <f>IF(Data!F250="","",Data!F250)</f>
        <v>03538</v>
      </c>
      <c r="E255" s="151" t="str">
        <f>IF(Data!H250="","",Data!H250)</f>
        <v>Dana Mahardika Yusuf</v>
      </c>
      <c r="F255" s="152" t="str">
        <f>IF(Data!I250="","",Data!I250)</f>
        <v>Laki-laki</v>
      </c>
      <c r="G255" s="153"/>
      <c r="H255" s="154"/>
      <c r="I255" s="154"/>
      <c r="J255" s="154"/>
      <c r="K255" s="154"/>
      <c r="L255" s="154"/>
      <c r="M255" s="154"/>
      <c r="N255" s="155"/>
      <c r="O255" s="157" t="str">
        <f t="shared" si="223"/>
        <v/>
      </c>
      <c r="P255" s="154"/>
      <c r="Q255" s="156"/>
      <c r="R255" s="157" t="str">
        <f t="shared" si="224"/>
        <v/>
      </c>
      <c r="S255" s="159" t="str">
        <f>IF(R255="","",IF(R255&gt;Data2!$C$12,Data2!$D$11,IF(R255&gt;Data2!$C$13,Data2!$D$12,IF(R255&gt;Data2!$C$14,Data2!$D$13,Data2!$D$14))))</f>
        <v/>
      </c>
      <c r="T255" s="144">
        <f t="shared" si="225"/>
        <v>0</v>
      </c>
      <c r="U255" s="144">
        <f t="shared" si="226"/>
        <v>0</v>
      </c>
      <c r="V255" s="144" t="str">
        <f t="shared" si="158"/>
        <v>Mulai berkembang</v>
      </c>
      <c r="W255" s="144" t="str">
        <f t="shared" si="159"/>
        <v>Mulai berkembang</v>
      </c>
      <c r="X255" s="144" t="e">
        <f t="shared" si="227"/>
        <v>#N/A</v>
      </c>
      <c r="Y255" s="145" t="e">
        <f t="shared" si="228"/>
        <v>#N/A</v>
      </c>
      <c r="Z255" s="218" t="str">
        <f>IF('PA-Non'!O255&lt;&gt;"",'PA-Non'!O255,IFERROR("Mempunyai kemampuan yang " &amp;IF(V255=W255,PROPER(W255)&amp;" dalam kompetensi "&amp;VLOOKUP(X255,$G$532:$I$539,3)&amp;" dan kompetensi "&amp;VLOOKUP(Y255,$G$532:$I$539,3),PROPER(V255)&amp;" dalam kompetensi "&amp;VLOOKUP(X255,$G$532:$I$539,3)&amp;" dan memiliki kemampuan yang "&amp;W255&amp;" pada kompetensi "&amp;VLOOKUP(Y255,$G$532:$I$539,3)),""))</f>
        <v/>
      </c>
      <c r="AA255" s="153"/>
      <c r="AB255" s="154"/>
      <c r="AC255" s="154"/>
      <c r="AD255" s="154"/>
      <c r="AE255" s="154"/>
      <c r="AF255" s="154"/>
      <c r="AG255" s="154"/>
      <c r="AH255" s="155"/>
      <c r="AI255" s="220" t="str">
        <f t="shared" si="229"/>
        <v/>
      </c>
      <c r="AJ255" s="160" t="str">
        <f>IF(AI255="","",IF(AI255&gt;Data2!$C$12,Data2!$D$11,IF(AI255&gt;Data2!$C$13,Data2!$D$12,IF(AI255&gt;Data2!$C$14,Data2!$D$13,Data2!$D$14))))</f>
        <v/>
      </c>
      <c r="AK255" s="146">
        <f t="shared" si="230"/>
        <v>0</v>
      </c>
      <c r="AL255" s="146">
        <f t="shared" si="231"/>
        <v>0</v>
      </c>
      <c r="AM255" s="147" t="str">
        <f t="shared" si="160"/>
        <v>Mulai meningkat</v>
      </c>
      <c r="AN255" s="147" t="str">
        <f t="shared" si="161"/>
        <v>Mulai meningkat</v>
      </c>
      <c r="AO255" s="146" t="e">
        <f t="shared" si="232"/>
        <v>#N/A</v>
      </c>
      <c r="AP255" s="148" t="e">
        <f t="shared" si="233"/>
        <v>#N/A</v>
      </c>
      <c r="AQ255" s="158" t="str">
        <f>IF('PA-Non'!V255&lt;&gt;"",'PA-Non'!V255,IFERROR("Mempunyai keterampilan yang "&amp;IF(AM255=AN255,PROPER(AN255)&amp;" dalam kompetensi "&amp;VLOOKUP(AO255,$AA$532:$AC$539,3)&amp;", demikian juga dalam kompetensi "&amp;VLOOKUP(AP255,$AA$532:$AC$539,3),PROPER(AM255)&amp;" dalam kompetensi "&amp;VLOOKUP(AO255,$AA$532:$AC$539,3)&amp;" dan "&amp;AN255&amp;" pada kompetensi "&amp;VLOOKUP(AP255,$AA$532:$AC$539,3)),""))</f>
        <v/>
      </c>
      <c r="AR255" s="188"/>
    </row>
    <row r="256" spans="2:44" ht="27.9" customHeight="1" thickBot="1" x14ac:dyDescent="0.35">
      <c r="B256" s="226" t="s">
        <v>125</v>
      </c>
      <c r="C256" s="149">
        <f t="shared" si="222"/>
        <v>7</v>
      </c>
      <c r="D256" s="150" t="str">
        <f>IF(Data!F251="","",Data!F251)</f>
        <v>03539</v>
      </c>
      <c r="E256" s="151" t="str">
        <f>IF(Data!H251="","",Data!H251)</f>
        <v>David Jazzen Alvaro</v>
      </c>
      <c r="F256" s="152" t="str">
        <f>IF(Data!I251="","",Data!I251)</f>
        <v>Laki-laki</v>
      </c>
      <c r="G256" s="153"/>
      <c r="H256" s="154"/>
      <c r="I256" s="154"/>
      <c r="J256" s="154"/>
      <c r="K256" s="154"/>
      <c r="L256" s="154"/>
      <c r="M256" s="154"/>
      <c r="N256" s="155"/>
      <c r="O256" s="157" t="str">
        <f t="shared" si="223"/>
        <v/>
      </c>
      <c r="P256" s="154"/>
      <c r="Q256" s="156"/>
      <c r="R256" s="157" t="str">
        <f t="shared" si="224"/>
        <v/>
      </c>
      <c r="S256" s="159" t="str">
        <f>IF(R256="","",IF(R256&gt;Data2!$C$12,Data2!$D$11,IF(R256&gt;Data2!$C$13,Data2!$D$12,IF(R256&gt;Data2!$C$14,Data2!$D$13,Data2!$D$14))))</f>
        <v/>
      </c>
      <c r="T256" s="144">
        <f t="shared" si="225"/>
        <v>0</v>
      </c>
      <c r="U256" s="144">
        <f t="shared" si="226"/>
        <v>0</v>
      </c>
      <c r="V256" s="144" t="str">
        <f t="shared" si="158"/>
        <v>Mulai berkembang</v>
      </c>
      <c r="W256" s="144" t="str">
        <f t="shared" si="159"/>
        <v>Mulai berkembang</v>
      </c>
      <c r="X256" s="144" t="e">
        <f t="shared" si="227"/>
        <v>#N/A</v>
      </c>
      <c r="Y256" s="145" t="e">
        <f t="shared" si="228"/>
        <v>#N/A</v>
      </c>
      <c r="Z256" s="218" t="str">
        <f>IF('PA-Non'!O256&lt;&gt;"",'PA-Non'!O256,IFERROR("Mempunyai kemampuan yang " &amp;IF(V256=W256,PROPER(W256)&amp;" dalam kompetensi "&amp;VLOOKUP(X256,$G$532:$I$539,3)&amp;" dan kompetensi "&amp;VLOOKUP(Y256,$G$532:$I$539,3),PROPER(V256)&amp;" dalam kompetensi "&amp;VLOOKUP(X256,$G$532:$I$539,3)&amp;" dan memiliki kemampuan yang "&amp;W256&amp;" pada kompetensi "&amp;VLOOKUP(Y256,$G$532:$I$539,3)),""))</f>
        <v/>
      </c>
      <c r="AA256" s="153"/>
      <c r="AB256" s="154"/>
      <c r="AC256" s="154"/>
      <c r="AD256" s="154"/>
      <c r="AE256" s="154"/>
      <c r="AF256" s="154"/>
      <c r="AG256" s="154"/>
      <c r="AH256" s="155"/>
      <c r="AI256" s="220" t="str">
        <f t="shared" si="229"/>
        <v/>
      </c>
      <c r="AJ256" s="160" t="str">
        <f>IF(AI256="","",IF(AI256&gt;Data2!$C$12,Data2!$D$11,IF(AI256&gt;Data2!$C$13,Data2!$D$12,IF(AI256&gt;Data2!$C$14,Data2!$D$13,Data2!$D$14))))</f>
        <v/>
      </c>
      <c r="AK256" s="146">
        <f t="shared" si="230"/>
        <v>0</v>
      </c>
      <c r="AL256" s="146">
        <f t="shared" si="231"/>
        <v>0</v>
      </c>
      <c r="AM256" s="147" t="str">
        <f t="shared" si="160"/>
        <v>Mulai meningkat</v>
      </c>
      <c r="AN256" s="147" t="str">
        <f t="shared" si="161"/>
        <v>Mulai meningkat</v>
      </c>
      <c r="AO256" s="146" t="e">
        <f t="shared" si="232"/>
        <v>#N/A</v>
      </c>
      <c r="AP256" s="148" t="e">
        <f t="shared" si="233"/>
        <v>#N/A</v>
      </c>
      <c r="AQ256" s="158" t="str">
        <f>IF('PA-Non'!V256&lt;&gt;"",'PA-Non'!V256,IFERROR("Mempunyai keterampilan yang "&amp;IF(AM256=AN256,PROPER(AN256)&amp;" dalam kompetensi "&amp;VLOOKUP(AO256,$AA$532:$AC$539,3)&amp;", demikian juga dalam kompetensi "&amp;VLOOKUP(AP256,$AA$532:$AC$539,3),PROPER(AM256)&amp;" dalam kompetensi "&amp;VLOOKUP(AO256,$AA$532:$AC$539,3)&amp;" dan "&amp;AN256&amp;" pada kompetensi "&amp;VLOOKUP(AP256,$AA$532:$AC$539,3)),""))</f>
        <v/>
      </c>
      <c r="AR256" s="188"/>
    </row>
    <row r="257" spans="2:44" ht="27.9" customHeight="1" thickBot="1" x14ac:dyDescent="0.35">
      <c r="B257" s="226" t="s">
        <v>125</v>
      </c>
      <c r="C257" s="149">
        <f t="shared" si="222"/>
        <v>8</v>
      </c>
      <c r="D257" s="150" t="str">
        <f>IF(Data!F252="","",Data!F252)</f>
        <v>03551</v>
      </c>
      <c r="E257" s="151" t="str">
        <f>IF(Data!H252="","",Data!H252)</f>
        <v>Kenzie Eka Angger Saputra</v>
      </c>
      <c r="F257" s="152" t="str">
        <f>IF(Data!I252="","",Data!I252)</f>
        <v>Laki-laki</v>
      </c>
      <c r="G257" s="153"/>
      <c r="H257" s="154"/>
      <c r="I257" s="154"/>
      <c r="J257" s="154"/>
      <c r="K257" s="154"/>
      <c r="L257" s="154"/>
      <c r="M257" s="154"/>
      <c r="N257" s="155"/>
      <c r="O257" s="157" t="str">
        <f t="shared" si="223"/>
        <v/>
      </c>
      <c r="P257" s="154"/>
      <c r="Q257" s="156"/>
      <c r="R257" s="157" t="str">
        <f t="shared" si="224"/>
        <v/>
      </c>
      <c r="S257" s="159" t="str">
        <f>IF(R257="","",IF(R257&gt;Data2!$C$12,Data2!$D$11,IF(R257&gt;Data2!$C$13,Data2!$D$12,IF(R257&gt;Data2!$C$14,Data2!$D$13,Data2!$D$14))))</f>
        <v/>
      </c>
      <c r="T257" s="144">
        <f t="shared" si="225"/>
        <v>0</v>
      </c>
      <c r="U257" s="144">
        <f t="shared" si="226"/>
        <v>0</v>
      </c>
      <c r="V257" s="144" t="str">
        <f t="shared" si="158"/>
        <v>Mulai berkembang</v>
      </c>
      <c r="W257" s="144" t="str">
        <f t="shared" si="159"/>
        <v>Mulai berkembang</v>
      </c>
      <c r="X257" s="144" t="e">
        <f t="shared" si="227"/>
        <v>#N/A</v>
      </c>
      <c r="Y257" s="145" t="e">
        <f t="shared" si="228"/>
        <v>#N/A</v>
      </c>
      <c r="Z257" s="218" t="str">
        <f>IF('PA-Non'!O257&lt;&gt;"",'PA-Non'!O257,IFERROR("Mempunyai kemampuan yang " &amp;IF(V257=W257,PROPER(W257)&amp;" dalam kompetensi "&amp;VLOOKUP(X257,$G$532:$I$539,3)&amp;" dan kompetensi "&amp;VLOOKUP(Y257,$G$532:$I$539,3),PROPER(V257)&amp;" dalam kompetensi "&amp;VLOOKUP(X257,$G$532:$I$539,3)&amp;" dan memiliki kemampuan yang "&amp;W257&amp;" pada kompetensi "&amp;VLOOKUP(Y257,$G$532:$I$539,3)),""))</f>
        <v/>
      </c>
      <c r="AA257" s="153"/>
      <c r="AB257" s="154"/>
      <c r="AC257" s="154"/>
      <c r="AD257" s="154"/>
      <c r="AE257" s="154"/>
      <c r="AF257" s="154"/>
      <c r="AG257" s="154"/>
      <c r="AH257" s="155"/>
      <c r="AI257" s="220" t="str">
        <f t="shared" si="229"/>
        <v/>
      </c>
      <c r="AJ257" s="160" t="str">
        <f>IF(AI257="","",IF(AI257&gt;Data2!$C$12,Data2!$D$11,IF(AI257&gt;Data2!$C$13,Data2!$D$12,IF(AI257&gt;Data2!$C$14,Data2!$D$13,Data2!$D$14))))</f>
        <v/>
      </c>
      <c r="AK257" s="146">
        <f t="shared" si="230"/>
        <v>0</v>
      </c>
      <c r="AL257" s="146">
        <f t="shared" si="231"/>
        <v>0</v>
      </c>
      <c r="AM257" s="147" t="str">
        <f t="shared" si="160"/>
        <v>Mulai meningkat</v>
      </c>
      <c r="AN257" s="147" t="str">
        <f t="shared" si="161"/>
        <v>Mulai meningkat</v>
      </c>
      <c r="AO257" s="146" t="e">
        <f t="shared" si="232"/>
        <v>#N/A</v>
      </c>
      <c r="AP257" s="148" t="e">
        <f t="shared" si="233"/>
        <v>#N/A</v>
      </c>
      <c r="AQ257" s="158" t="str">
        <f>IF('PA-Non'!V257&lt;&gt;"",'PA-Non'!V257,IFERROR("Mempunyai keterampilan yang "&amp;IF(AM257=AN257,PROPER(AN257)&amp;" dalam kompetensi "&amp;VLOOKUP(AO257,$AA$532:$AC$539,3)&amp;", demikian juga dalam kompetensi "&amp;VLOOKUP(AP257,$AA$532:$AC$539,3),PROPER(AM257)&amp;" dalam kompetensi "&amp;VLOOKUP(AO257,$AA$532:$AC$539,3)&amp;" dan "&amp;AN257&amp;" pada kompetensi "&amp;VLOOKUP(AP257,$AA$532:$AC$539,3)),""))</f>
        <v/>
      </c>
      <c r="AR257" s="188"/>
    </row>
    <row r="258" spans="2:44" ht="27.9" customHeight="1" thickBot="1" x14ac:dyDescent="0.35">
      <c r="B258" s="226" t="s">
        <v>125</v>
      </c>
      <c r="C258" s="149">
        <f t="shared" si="222"/>
        <v>9</v>
      </c>
      <c r="D258" s="150" t="str">
        <f>IF(Data!F253="","",Data!F253)</f>
        <v>03558</v>
      </c>
      <c r="E258" s="151" t="str">
        <f>IF(Data!H253="","",Data!H253)</f>
        <v>Mirzam Putra Mahardika</v>
      </c>
      <c r="F258" s="152" t="str">
        <f>IF(Data!I253="","",Data!I253)</f>
        <v>Laki-laki</v>
      </c>
      <c r="G258" s="153"/>
      <c r="H258" s="154"/>
      <c r="I258" s="154"/>
      <c r="J258" s="154"/>
      <c r="K258" s="154"/>
      <c r="L258" s="154"/>
      <c r="M258" s="154"/>
      <c r="N258" s="155"/>
      <c r="O258" s="157" t="str">
        <f t="shared" si="223"/>
        <v/>
      </c>
      <c r="P258" s="154"/>
      <c r="Q258" s="156"/>
      <c r="R258" s="157" t="str">
        <f t="shared" si="224"/>
        <v/>
      </c>
      <c r="S258" s="159" t="str">
        <f>IF(R258="","",IF(R258&gt;Data2!$C$12,Data2!$D$11,IF(R258&gt;Data2!$C$13,Data2!$D$12,IF(R258&gt;Data2!$C$14,Data2!$D$13,Data2!$D$14))))</f>
        <v/>
      </c>
      <c r="T258" s="144">
        <f t="shared" si="225"/>
        <v>0</v>
      </c>
      <c r="U258" s="144">
        <f t="shared" si="226"/>
        <v>0</v>
      </c>
      <c r="V258" s="144" t="str">
        <f t="shared" si="158"/>
        <v>Mulai berkembang</v>
      </c>
      <c r="W258" s="144" t="str">
        <f t="shared" si="159"/>
        <v>Mulai berkembang</v>
      </c>
      <c r="X258" s="144" t="e">
        <f t="shared" si="227"/>
        <v>#N/A</v>
      </c>
      <c r="Y258" s="145" t="e">
        <f t="shared" si="228"/>
        <v>#N/A</v>
      </c>
      <c r="Z258" s="218" t="str">
        <f>IF('PA-Non'!O258&lt;&gt;"",'PA-Non'!O258,IFERROR("Mempunyai kemampuan yang " &amp;IF(V258=W258,PROPER(W258)&amp;" dalam kompetensi "&amp;VLOOKUP(X258,$G$532:$I$539,3)&amp;" dan kompetensi "&amp;VLOOKUP(Y258,$G$532:$I$539,3),PROPER(V258)&amp;" dalam kompetensi "&amp;VLOOKUP(X258,$G$532:$I$539,3)&amp;" dan memiliki kemampuan yang "&amp;W258&amp;" pada kompetensi "&amp;VLOOKUP(Y258,$G$532:$I$539,3)),""))</f>
        <v/>
      </c>
      <c r="AA258" s="153"/>
      <c r="AB258" s="154"/>
      <c r="AC258" s="154"/>
      <c r="AD258" s="154"/>
      <c r="AE258" s="154"/>
      <c r="AF258" s="154"/>
      <c r="AG258" s="154"/>
      <c r="AH258" s="155"/>
      <c r="AI258" s="220" t="str">
        <f t="shared" si="229"/>
        <v/>
      </c>
      <c r="AJ258" s="160" t="str">
        <f>IF(AI258="","",IF(AI258&gt;Data2!$C$12,Data2!$D$11,IF(AI258&gt;Data2!$C$13,Data2!$D$12,IF(AI258&gt;Data2!$C$14,Data2!$D$13,Data2!$D$14))))</f>
        <v/>
      </c>
      <c r="AK258" s="146">
        <f t="shared" si="230"/>
        <v>0</v>
      </c>
      <c r="AL258" s="146">
        <f t="shared" si="231"/>
        <v>0</v>
      </c>
      <c r="AM258" s="147" t="str">
        <f t="shared" si="160"/>
        <v>Mulai meningkat</v>
      </c>
      <c r="AN258" s="147" t="str">
        <f t="shared" si="161"/>
        <v>Mulai meningkat</v>
      </c>
      <c r="AO258" s="146" t="e">
        <f t="shared" si="232"/>
        <v>#N/A</v>
      </c>
      <c r="AP258" s="148" t="e">
        <f t="shared" si="233"/>
        <v>#N/A</v>
      </c>
      <c r="AQ258" s="158" t="str">
        <f>IF('PA-Non'!V258&lt;&gt;"",'PA-Non'!V258,IFERROR("Mempunyai keterampilan yang "&amp;IF(AM258=AN258,PROPER(AN258)&amp;" dalam kompetensi "&amp;VLOOKUP(AO258,$AA$532:$AC$539,3)&amp;", demikian juga dalam kompetensi "&amp;VLOOKUP(AP258,$AA$532:$AC$539,3),PROPER(AM258)&amp;" dalam kompetensi "&amp;VLOOKUP(AO258,$AA$532:$AC$539,3)&amp;" dan "&amp;AN258&amp;" pada kompetensi "&amp;VLOOKUP(AP258,$AA$532:$AC$539,3)),""))</f>
        <v/>
      </c>
      <c r="AR258" s="188"/>
    </row>
    <row r="259" spans="2:44" ht="27.9" customHeight="1" thickBot="1" x14ac:dyDescent="0.35">
      <c r="B259" s="226" t="s">
        <v>125</v>
      </c>
      <c r="C259" s="149">
        <f t="shared" si="222"/>
        <v>10</v>
      </c>
      <c r="D259" s="150" t="str">
        <f>IF(Data!F254="","",Data!F254)</f>
        <v>03565</v>
      </c>
      <c r="E259" s="151" t="str">
        <f>IF(Data!H254="","",Data!H254)</f>
        <v>Mohammad Aqsan Maulana</v>
      </c>
      <c r="F259" s="152" t="str">
        <f>IF(Data!I254="","",Data!I254)</f>
        <v>Laki-laki</v>
      </c>
      <c r="G259" s="153"/>
      <c r="H259" s="154"/>
      <c r="I259" s="154"/>
      <c r="J259" s="154"/>
      <c r="K259" s="154"/>
      <c r="L259" s="154"/>
      <c r="M259" s="154"/>
      <c r="N259" s="155"/>
      <c r="O259" s="157" t="str">
        <f t="shared" si="223"/>
        <v/>
      </c>
      <c r="P259" s="154"/>
      <c r="Q259" s="156"/>
      <c r="R259" s="157" t="str">
        <f t="shared" si="224"/>
        <v/>
      </c>
      <c r="S259" s="159" t="str">
        <f>IF(R259="","",IF(R259&gt;Data2!$C$12,Data2!$D$11,IF(R259&gt;Data2!$C$13,Data2!$D$12,IF(R259&gt;Data2!$C$14,Data2!$D$13,Data2!$D$14))))</f>
        <v/>
      </c>
      <c r="T259" s="144">
        <f t="shared" si="225"/>
        <v>0</v>
      </c>
      <c r="U259" s="144">
        <f t="shared" si="226"/>
        <v>0</v>
      </c>
      <c r="V259" s="144" t="str">
        <f t="shared" si="158"/>
        <v>Mulai berkembang</v>
      </c>
      <c r="W259" s="144" t="str">
        <f t="shared" si="159"/>
        <v>Mulai berkembang</v>
      </c>
      <c r="X259" s="144" t="e">
        <f t="shared" si="227"/>
        <v>#N/A</v>
      </c>
      <c r="Y259" s="145" t="e">
        <f t="shared" si="228"/>
        <v>#N/A</v>
      </c>
      <c r="Z259" s="218" t="str">
        <f>IF('PA-Non'!O259&lt;&gt;"",'PA-Non'!O259,IFERROR("Mempunyai kemampuan yang " &amp;IF(V259=W259,PROPER(W259)&amp;" dalam kompetensi "&amp;VLOOKUP(X259,$G$532:$I$539,3)&amp;" dan kompetensi "&amp;VLOOKUP(Y259,$G$532:$I$539,3),PROPER(V259)&amp;" dalam kompetensi "&amp;VLOOKUP(X259,$G$532:$I$539,3)&amp;" dan memiliki kemampuan yang "&amp;W259&amp;" pada kompetensi "&amp;VLOOKUP(Y259,$G$532:$I$539,3)),""))</f>
        <v/>
      </c>
      <c r="AA259" s="153"/>
      <c r="AB259" s="154"/>
      <c r="AC259" s="154"/>
      <c r="AD259" s="154"/>
      <c r="AE259" s="154"/>
      <c r="AF259" s="154"/>
      <c r="AG259" s="154"/>
      <c r="AH259" s="155"/>
      <c r="AI259" s="220" t="str">
        <f t="shared" si="229"/>
        <v/>
      </c>
      <c r="AJ259" s="160" t="str">
        <f>IF(AI259="","",IF(AI259&gt;Data2!$C$12,Data2!$D$11,IF(AI259&gt;Data2!$C$13,Data2!$D$12,IF(AI259&gt;Data2!$C$14,Data2!$D$13,Data2!$D$14))))</f>
        <v/>
      </c>
      <c r="AK259" s="146">
        <f t="shared" si="230"/>
        <v>0</v>
      </c>
      <c r="AL259" s="146">
        <f t="shared" si="231"/>
        <v>0</v>
      </c>
      <c r="AM259" s="147" t="str">
        <f t="shared" si="160"/>
        <v>Mulai meningkat</v>
      </c>
      <c r="AN259" s="147" t="str">
        <f t="shared" si="161"/>
        <v>Mulai meningkat</v>
      </c>
      <c r="AO259" s="146" t="e">
        <f t="shared" si="232"/>
        <v>#N/A</v>
      </c>
      <c r="AP259" s="148" t="e">
        <f t="shared" si="233"/>
        <v>#N/A</v>
      </c>
      <c r="AQ259" s="158" t="str">
        <f>IF('PA-Non'!V259&lt;&gt;"",'PA-Non'!V259,IFERROR("Mempunyai keterampilan yang "&amp;IF(AM259=AN259,PROPER(AN259)&amp;" dalam kompetensi "&amp;VLOOKUP(AO259,$AA$532:$AC$539,3)&amp;", demikian juga dalam kompetensi "&amp;VLOOKUP(AP259,$AA$532:$AC$539,3),PROPER(AM259)&amp;" dalam kompetensi "&amp;VLOOKUP(AO259,$AA$532:$AC$539,3)&amp;" dan "&amp;AN259&amp;" pada kompetensi "&amp;VLOOKUP(AP259,$AA$532:$AC$539,3)),""))</f>
        <v/>
      </c>
      <c r="AR259" s="188"/>
    </row>
    <row r="260" spans="2:44" ht="27.9" customHeight="1" thickBot="1" x14ac:dyDescent="0.35">
      <c r="B260" s="226" t="s">
        <v>125</v>
      </c>
      <c r="C260" s="149">
        <f t="shared" si="222"/>
        <v>11</v>
      </c>
      <c r="D260" s="150" t="str">
        <f>IF(Data!F255="","",Data!F255)</f>
        <v>03574</v>
      </c>
      <c r="E260" s="151" t="str">
        <f>IF(Data!H255="","",Data!H255)</f>
        <v>Muhammad Azam Ali Fahmi</v>
      </c>
      <c r="F260" s="152" t="str">
        <f>IF(Data!I255="","",Data!I255)</f>
        <v>Laki-laki</v>
      </c>
      <c r="G260" s="153"/>
      <c r="H260" s="154"/>
      <c r="I260" s="154"/>
      <c r="J260" s="154"/>
      <c r="K260" s="154"/>
      <c r="L260" s="154"/>
      <c r="M260" s="154"/>
      <c r="N260" s="155"/>
      <c r="O260" s="157" t="str">
        <f t="shared" si="223"/>
        <v/>
      </c>
      <c r="P260" s="154"/>
      <c r="Q260" s="156"/>
      <c r="R260" s="157" t="str">
        <f t="shared" si="224"/>
        <v/>
      </c>
      <c r="S260" s="159" t="str">
        <f>IF(R260="","",IF(R260&gt;Data2!$C$12,Data2!$D$11,IF(R260&gt;Data2!$C$13,Data2!$D$12,IF(R260&gt;Data2!$C$14,Data2!$D$13,Data2!$D$14))))</f>
        <v/>
      </c>
      <c r="T260" s="144">
        <f t="shared" si="225"/>
        <v>0</v>
      </c>
      <c r="U260" s="144">
        <f t="shared" si="226"/>
        <v>0</v>
      </c>
      <c r="V260" s="144" t="str">
        <f t="shared" si="158"/>
        <v>Mulai berkembang</v>
      </c>
      <c r="W260" s="144" t="str">
        <f t="shared" si="159"/>
        <v>Mulai berkembang</v>
      </c>
      <c r="X260" s="144" t="e">
        <f t="shared" si="227"/>
        <v>#N/A</v>
      </c>
      <c r="Y260" s="145" t="e">
        <f t="shared" si="228"/>
        <v>#N/A</v>
      </c>
      <c r="Z260" s="218" t="str">
        <f>IF('PA-Non'!O260&lt;&gt;"",'PA-Non'!O260,IFERROR("Mempunyai kemampuan yang " &amp;IF(V260=W260,PROPER(W260)&amp;" dalam kompetensi "&amp;VLOOKUP(X260,$G$532:$I$539,3)&amp;" dan kompetensi "&amp;VLOOKUP(Y260,$G$532:$I$539,3),PROPER(V260)&amp;" dalam kompetensi "&amp;VLOOKUP(X260,$G$532:$I$539,3)&amp;" dan memiliki kemampuan yang "&amp;W260&amp;" pada kompetensi "&amp;VLOOKUP(Y260,$G$532:$I$539,3)),""))</f>
        <v/>
      </c>
      <c r="AA260" s="153"/>
      <c r="AB260" s="154"/>
      <c r="AC260" s="154"/>
      <c r="AD260" s="154"/>
      <c r="AE260" s="154"/>
      <c r="AF260" s="154"/>
      <c r="AG260" s="154"/>
      <c r="AH260" s="155"/>
      <c r="AI260" s="220" t="str">
        <f t="shared" si="229"/>
        <v/>
      </c>
      <c r="AJ260" s="160" t="str">
        <f>IF(AI260="","",IF(AI260&gt;Data2!$C$12,Data2!$D$11,IF(AI260&gt;Data2!$C$13,Data2!$D$12,IF(AI260&gt;Data2!$C$14,Data2!$D$13,Data2!$D$14))))</f>
        <v/>
      </c>
      <c r="AK260" s="146">
        <f t="shared" si="230"/>
        <v>0</v>
      </c>
      <c r="AL260" s="146">
        <f t="shared" si="231"/>
        <v>0</v>
      </c>
      <c r="AM260" s="147" t="str">
        <f t="shared" si="160"/>
        <v>Mulai meningkat</v>
      </c>
      <c r="AN260" s="147" t="str">
        <f t="shared" si="161"/>
        <v>Mulai meningkat</v>
      </c>
      <c r="AO260" s="146" t="e">
        <f t="shared" si="232"/>
        <v>#N/A</v>
      </c>
      <c r="AP260" s="148" t="e">
        <f t="shared" si="233"/>
        <v>#N/A</v>
      </c>
      <c r="AQ260" s="158" t="str">
        <f>IF('PA-Non'!V260&lt;&gt;"",'PA-Non'!V260,IFERROR("Mempunyai keterampilan yang "&amp;IF(AM260=AN260,PROPER(AN260)&amp;" dalam kompetensi "&amp;VLOOKUP(AO260,$AA$532:$AC$539,3)&amp;", demikian juga dalam kompetensi "&amp;VLOOKUP(AP260,$AA$532:$AC$539,3),PROPER(AM260)&amp;" dalam kompetensi "&amp;VLOOKUP(AO260,$AA$532:$AC$539,3)&amp;" dan "&amp;AN260&amp;" pada kompetensi "&amp;VLOOKUP(AP260,$AA$532:$AC$539,3)),""))</f>
        <v/>
      </c>
      <c r="AR260" s="188"/>
    </row>
    <row r="261" spans="2:44" ht="27.9" customHeight="1" thickBot="1" x14ac:dyDescent="0.35">
      <c r="B261" s="226" t="s">
        <v>125</v>
      </c>
      <c r="C261" s="149">
        <f t="shared" si="222"/>
        <v>12</v>
      </c>
      <c r="D261" s="150" t="str">
        <f>IF(Data!F256="","",Data!F256)</f>
        <v>03577</v>
      </c>
      <c r="E261" s="151" t="str">
        <f>IF(Data!H256="","",Data!H256)</f>
        <v>Muhammad Dzaki Darmawan</v>
      </c>
      <c r="F261" s="152" t="str">
        <f>IF(Data!I256="","",Data!I256)</f>
        <v>Laki-laki</v>
      </c>
      <c r="G261" s="153"/>
      <c r="H261" s="154"/>
      <c r="I261" s="154"/>
      <c r="J261" s="154"/>
      <c r="K261" s="154"/>
      <c r="L261" s="154"/>
      <c r="M261" s="154"/>
      <c r="N261" s="155"/>
      <c r="O261" s="157" t="str">
        <f t="shared" si="223"/>
        <v/>
      </c>
      <c r="P261" s="154"/>
      <c r="Q261" s="156"/>
      <c r="R261" s="157" t="str">
        <f t="shared" si="224"/>
        <v/>
      </c>
      <c r="S261" s="159" t="str">
        <f>IF(R261="","",IF(R261&gt;Data2!$C$12,Data2!$D$11,IF(R261&gt;Data2!$C$13,Data2!$D$12,IF(R261&gt;Data2!$C$14,Data2!$D$13,Data2!$D$14))))</f>
        <v/>
      </c>
      <c r="T261" s="144">
        <f t="shared" si="225"/>
        <v>0</v>
      </c>
      <c r="U261" s="144">
        <f t="shared" si="226"/>
        <v>0</v>
      </c>
      <c r="V261" s="144" t="str">
        <f t="shared" si="158"/>
        <v>Mulai berkembang</v>
      </c>
      <c r="W261" s="144" t="str">
        <f t="shared" si="159"/>
        <v>Mulai berkembang</v>
      </c>
      <c r="X261" s="144" t="e">
        <f t="shared" si="227"/>
        <v>#N/A</v>
      </c>
      <c r="Y261" s="145" t="e">
        <f t="shared" si="228"/>
        <v>#N/A</v>
      </c>
      <c r="Z261" s="218" t="str">
        <f>IF('PA-Non'!O261&lt;&gt;"",'PA-Non'!O261,IFERROR("Mempunyai kemampuan yang " &amp;IF(V261=W261,PROPER(W261)&amp;" dalam kompetensi "&amp;VLOOKUP(X261,$G$532:$I$539,3)&amp;" dan kompetensi "&amp;VLOOKUP(Y261,$G$532:$I$539,3),PROPER(V261)&amp;" dalam kompetensi "&amp;VLOOKUP(X261,$G$532:$I$539,3)&amp;" dan memiliki kemampuan yang "&amp;W261&amp;" pada kompetensi "&amp;VLOOKUP(Y261,$G$532:$I$539,3)),""))</f>
        <v/>
      </c>
      <c r="AA261" s="153"/>
      <c r="AB261" s="154"/>
      <c r="AC261" s="154"/>
      <c r="AD261" s="154"/>
      <c r="AE261" s="154"/>
      <c r="AF261" s="154"/>
      <c r="AG261" s="154"/>
      <c r="AH261" s="155"/>
      <c r="AI261" s="220" t="str">
        <f t="shared" si="229"/>
        <v/>
      </c>
      <c r="AJ261" s="160" t="str">
        <f>IF(AI261="","",IF(AI261&gt;Data2!$C$12,Data2!$D$11,IF(AI261&gt;Data2!$C$13,Data2!$D$12,IF(AI261&gt;Data2!$C$14,Data2!$D$13,Data2!$D$14))))</f>
        <v/>
      </c>
      <c r="AK261" s="146">
        <f t="shared" si="230"/>
        <v>0</v>
      </c>
      <c r="AL261" s="146">
        <f t="shared" si="231"/>
        <v>0</v>
      </c>
      <c r="AM261" s="147" t="str">
        <f t="shared" si="160"/>
        <v>Mulai meningkat</v>
      </c>
      <c r="AN261" s="147" t="str">
        <f t="shared" si="161"/>
        <v>Mulai meningkat</v>
      </c>
      <c r="AO261" s="146" t="e">
        <f t="shared" si="232"/>
        <v>#N/A</v>
      </c>
      <c r="AP261" s="148" t="e">
        <f t="shared" si="233"/>
        <v>#N/A</v>
      </c>
      <c r="AQ261" s="158" t="str">
        <f>IF('PA-Non'!V261&lt;&gt;"",'PA-Non'!V261,IFERROR("Mempunyai keterampilan yang "&amp;IF(AM261=AN261,PROPER(AN261)&amp;" dalam kompetensi "&amp;VLOOKUP(AO261,$AA$532:$AC$539,3)&amp;", demikian juga dalam kompetensi "&amp;VLOOKUP(AP261,$AA$532:$AC$539,3),PROPER(AM261)&amp;" dalam kompetensi "&amp;VLOOKUP(AO261,$AA$532:$AC$539,3)&amp;" dan "&amp;AN261&amp;" pada kompetensi "&amp;VLOOKUP(AP261,$AA$532:$AC$539,3)),""))</f>
        <v/>
      </c>
      <c r="AR261" s="188"/>
    </row>
    <row r="262" spans="2:44" ht="27.9" customHeight="1" thickBot="1" x14ac:dyDescent="0.35">
      <c r="B262" s="226" t="s">
        <v>125</v>
      </c>
      <c r="C262" s="149">
        <f t="shared" si="222"/>
        <v>13</v>
      </c>
      <c r="D262" s="150" t="str">
        <f>IF(Data!F257="","",Data!F257)</f>
        <v>03587</v>
      </c>
      <c r="E262" s="151" t="str">
        <f>IF(Data!H257="","",Data!H257)</f>
        <v>Muhammad Irsyadul Fathon</v>
      </c>
      <c r="F262" s="152" t="str">
        <f>IF(Data!I257="","",Data!I257)</f>
        <v>Laki-laki</v>
      </c>
      <c r="G262" s="153"/>
      <c r="H262" s="154"/>
      <c r="I262" s="154"/>
      <c r="J262" s="154"/>
      <c r="K262" s="154"/>
      <c r="L262" s="154"/>
      <c r="M262" s="154"/>
      <c r="N262" s="155"/>
      <c r="O262" s="157" t="str">
        <f t="shared" si="223"/>
        <v/>
      </c>
      <c r="P262" s="154"/>
      <c r="Q262" s="156"/>
      <c r="R262" s="157" t="str">
        <f t="shared" si="224"/>
        <v/>
      </c>
      <c r="S262" s="159" t="str">
        <f>IF(R262="","",IF(R262&gt;Data2!$C$12,Data2!$D$11,IF(R262&gt;Data2!$C$13,Data2!$D$12,IF(R262&gt;Data2!$C$14,Data2!$D$13,Data2!$D$14))))</f>
        <v/>
      </c>
      <c r="T262" s="144">
        <f t="shared" si="225"/>
        <v>0</v>
      </c>
      <c r="U262" s="144">
        <f t="shared" si="226"/>
        <v>0</v>
      </c>
      <c r="V262" s="144" t="str">
        <f t="shared" si="158"/>
        <v>Mulai berkembang</v>
      </c>
      <c r="W262" s="144" t="str">
        <f t="shared" si="159"/>
        <v>Mulai berkembang</v>
      </c>
      <c r="X262" s="144" t="e">
        <f t="shared" si="227"/>
        <v>#N/A</v>
      </c>
      <c r="Y262" s="145" t="e">
        <f t="shared" si="228"/>
        <v>#N/A</v>
      </c>
      <c r="Z262" s="218" t="str">
        <f>IF('PA-Non'!O262&lt;&gt;"",'PA-Non'!O262,IFERROR("Mempunyai kemampuan yang " &amp;IF(V262=W262,PROPER(W262)&amp;" dalam kompetensi "&amp;VLOOKUP(X262,$G$532:$I$539,3)&amp;" dan kompetensi "&amp;VLOOKUP(Y262,$G$532:$I$539,3),PROPER(V262)&amp;" dalam kompetensi "&amp;VLOOKUP(X262,$G$532:$I$539,3)&amp;" dan memiliki kemampuan yang "&amp;W262&amp;" pada kompetensi "&amp;VLOOKUP(Y262,$G$532:$I$539,3)),""))</f>
        <v/>
      </c>
      <c r="AA262" s="153"/>
      <c r="AB262" s="154"/>
      <c r="AC262" s="154"/>
      <c r="AD262" s="154"/>
      <c r="AE262" s="154"/>
      <c r="AF262" s="154"/>
      <c r="AG262" s="154"/>
      <c r="AH262" s="155"/>
      <c r="AI262" s="220" t="str">
        <f t="shared" si="229"/>
        <v/>
      </c>
      <c r="AJ262" s="160" t="str">
        <f>IF(AI262="","",IF(AI262&gt;Data2!$C$12,Data2!$D$11,IF(AI262&gt;Data2!$C$13,Data2!$D$12,IF(AI262&gt;Data2!$C$14,Data2!$D$13,Data2!$D$14))))</f>
        <v/>
      </c>
      <c r="AK262" s="146">
        <f t="shared" si="230"/>
        <v>0</v>
      </c>
      <c r="AL262" s="146">
        <f t="shared" si="231"/>
        <v>0</v>
      </c>
      <c r="AM262" s="147" t="str">
        <f t="shared" si="160"/>
        <v>Mulai meningkat</v>
      </c>
      <c r="AN262" s="147" t="str">
        <f t="shared" si="161"/>
        <v>Mulai meningkat</v>
      </c>
      <c r="AO262" s="146" t="e">
        <f t="shared" si="232"/>
        <v>#N/A</v>
      </c>
      <c r="AP262" s="148" t="e">
        <f t="shared" si="233"/>
        <v>#N/A</v>
      </c>
      <c r="AQ262" s="158" t="str">
        <f>IF('PA-Non'!V262&lt;&gt;"",'PA-Non'!V262,IFERROR("Mempunyai keterampilan yang "&amp;IF(AM262=AN262,PROPER(AN262)&amp;" dalam kompetensi "&amp;VLOOKUP(AO262,$AA$532:$AC$539,3)&amp;", demikian juga dalam kompetensi "&amp;VLOOKUP(AP262,$AA$532:$AC$539,3),PROPER(AM262)&amp;" dalam kompetensi "&amp;VLOOKUP(AO262,$AA$532:$AC$539,3)&amp;" dan "&amp;AN262&amp;" pada kompetensi "&amp;VLOOKUP(AP262,$AA$532:$AC$539,3)),""))</f>
        <v/>
      </c>
      <c r="AR262" s="188"/>
    </row>
    <row r="263" spans="2:44" ht="27.9" customHeight="1" thickBot="1" x14ac:dyDescent="0.35">
      <c r="B263" s="226" t="s">
        <v>125</v>
      </c>
      <c r="C263" s="149">
        <f t="shared" si="222"/>
        <v>14</v>
      </c>
      <c r="D263" s="150" t="str">
        <f>IF(Data!F258="","",Data!F258)</f>
        <v>03588</v>
      </c>
      <c r="E263" s="151" t="str">
        <f>IF(Data!H258="","",Data!H258)</f>
        <v>Muhammad Ja'far Sidiq</v>
      </c>
      <c r="F263" s="152" t="str">
        <f>IF(Data!I258="","",Data!I258)</f>
        <v>Laki-laki</v>
      </c>
      <c r="G263" s="153"/>
      <c r="H263" s="154"/>
      <c r="I263" s="154"/>
      <c r="J263" s="154"/>
      <c r="K263" s="154"/>
      <c r="L263" s="154"/>
      <c r="M263" s="154"/>
      <c r="N263" s="155"/>
      <c r="O263" s="157" t="str">
        <f t="shared" si="223"/>
        <v/>
      </c>
      <c r="P263" s="154"/>
      <c r="Q263" s="156"/>
      <c r="R263" s="157" t="str">
        <f t="shared" si="224"/>
        <v/>
      </c>
      <c r="S263" s="159" t="str">
        <f>IF(R263="","",IF(R263&gt;Data2!$C$12,Data2!$D$11,IF(R263&gt;Data2!$C$13,Data2!$D$12,IF(R263&gt;Data2!$C$14,Data2!$D$13,Data2!$D$14))))</f>
        <v/>
      </c>
      <c r="T263" s="144">
        <f t="shared" si="225"/>
        <v>0</v>
      </c>
      <c r="U263" s="144">
        <f t="shared" si="226"/>
        <v>0</v>
      </c>
      <c r="V263" s="144" t="str">
        <f t="shared" si="158"/>
        <v>Mulai berkembang</v>
      </c>
      <c r="W263" s="144" t="str">
        <f t="shared" si="159"/>
        <v>Mulai berkembang</v>
      </c>
      <c r="X263" s="144" t="e">
        <f t="shared" si="227"/>
        <v>#N/A</v>
      </c>
      <c r="Y263" s="145" t="e">
        <f t="shared" si="228"/>
        <v>#N/A</v>
      </c>
      <c r="Z263" s="218" t="str">
        <f>IF('PA-Non'!O263&lt;&gt;"",'PA-Non'!O263,IFERROR("Mempunyai kemampuan yang " &amp;IF(V263=W263,PROPER(W263)&amp;" dalam kompetensi "&amp;VLOOKUP(X263,$G$532:$I$539,3)&amp;" dan kompetensi "&amp;VLOOKUP(Y263,$G$532:$I$539,3),PROPER(V263)&amp;" dalam kompetensi "&amp;VLOOKUP(X263,$G$532:$I$539,3)&amp;" dan memiliki kemampuan yang "&amp;W263&amp;" pada kompetensi "&amp;VLOOKUP(Y263,$G$532:$I$539,3)),""))</f>
        <v/>
      </c>
      <c r="AA263" s="153"/>
      <c r="AB263" s="154"/>
      <c r="AC263" s="154"/>
      <c r="AD263" s="154"/>
      <c r="AE263" s="154"/>
      <c r="AF263" s="154"/>
      <c r="AG263" s="154"/>
      <c r="AH263" s="155"/>
      <c r="AI263" s="220" t="str">
        <f t="shared" si="229"/>
        <v/>
      </c>
      <c r="AJ263" s="160" t="str">
        <f>IF(AI263="","",IF(AI263&gt;Data2!$C$12,Data2!$D$11,IF(AI263&gt;Data2!$C$13,Data2!$D$12,IF(AI263&gt;Data2!$C$14,Data2!$D$13,Data2!$D$14))))</f>
        <v/>
      </c>
      <c r="AK263" s="146">
        <f t="shared" si="230"/>
        <v>0</v>
      </c>
      <c r="AL263" s="146">
        <f t="shared" si="231"/>
        <v>0</v>
      </c>
      <c r="AM263" s="147" t="str">
        <f t="shared" si="160"/>
        <v>Mulai meningkat</v>
      </c>
      <c r="AN263" s="147" t="str">
        <f t="shared" si="161"/>
        <v>Mulai meningkat</v>
      </c>
      <c r="AO263" s="146" t="e">
        <f t="shared" si="232"/>
        <v>#N/A</v>
      </c>
      <c r="AP263" s="148" t="e">
        <f t="shared" si="233"/>
        <v>#N/A</v>
      </c>
      <c r="AQ263" s="158" t="str">
        <f>IF('PA-Non'!V263&lt;&gt;"",'PA-Non'!V263,IFERROR("Mempunyai keterampilan yang "&amp;IF(AM263=AN263,PROPER(AN263)&amp;" dalam kompetensi "&amp;VLOOKUP(AO263,$AA$532:$AC$539,3)&amp;", demikian juga dalam kompetensi "&amp;VLOOKUP(AP263,$AA$532:$AC$539,3),PROPER(AM263)&amp;" dalam kompetensi "&amp;VLOOKUP(AO263,$AA$532:$AC$539,3)&amp;" dan "&amp;AN263&amp;" pada kompetensi "&amp;VLOOKUP(AP263,$AA$532:$AC$539,3)),""))</f>
        <v/>
      </c>
      <c r="AR263" s="188"/>
    </row>
    <row r="264" spans="2:44" ht="27.9" customHeight="1" thickBot="1" x14ac:dyDescent="0.35">
      <c r="B264" s="226" t="s">
        <v>125</v>
      </c>
      <c r="C264" s="149">
        <f t="shared" si="222"/>
        <v>15</v>
      </c>
      <c r="D264" s="150" t="str">
        <f>IF(Data!F259="","",Data!F259)</f>
        <v>03591</v>
      </c>
      <c r="E264" s="151" t="str">
        <f>IF(Data!H259="","",Data!H259)</f>
        <v>Muhammad Khafidz Dwi Mahendra</v>
      </c>
      <c r="F264" s="152" t="str">
        <f>IF(Data!I259="","",Data!I259)</f>
        <v>Laki-laki</v>
      </c>
      <c r="G264" s="153"/>
      <c r="H264" s="154"/>
      <c r="I264" s="154"/>
      <c r="J264" s="154"/>
      <c r="K264" s="154"/>
      <c r="L264" s="154"/>
      <c r="M264" s="154"/>
      <c r="N264" s="155"/>
      <c r="O264" s="157" t="str">
        <f t="shared" si="223"/>
        <v/>
      </c>
      <c r="P264" s="154"/>
      <c r="Q264" s="156"/>
      <c r="R264" s="157" t="str">
        <f t="shared" si="224"/>
        <v/>
      </c>
      <c r="S264" s="159" t="str">
        <f>IF(R264="","",IF(R264&gt;Data2!$C$12,Data2!$D$11,IF(R264&gt;Data2!$C$13,Data2!$D$12,IF(R264&gt;Data2!$C$14,Data2!$D$13,Data2!$D$14))))</f>
        <v/>
      </c>
      <c r="T264" s="144">
        <f t="shared" si="225"/>
        <v>0</v>
      </c>
      <c r="U264" s="144">
        <f t="shared" si="226"/>
        <v>0</v>
      </c>
      <c r="V264" s="144" t="str">
        <f t="shared" si="158"/>
        <v>Mulai berkembang</v>
      </c>
      <c r="W264" s="144" t="str">
        <f t="shared" si="159"/>
        <v>Mulai berkembang</v>
      </c>
      <c r="X264" s="144" t="e">
        <f t="shared" si="227"/>
        <v>#N/A</v>
      </c>
      <c r="Y264" s="145" t="e">
        <f t="shared" si="228"/>
        <v>#N/A</v>
      </c>
      <c r="Z264" s="218" t="str">
        <f>IF('PA-Non'!O264&lt;&gt;"",'PA-Non'!O264,IFERROR("Mempunyai kemampuan yang " &amp;IF(V264=W264,PROPER(W264)&amp;" dalam kompetensi "&amp;VLOOKUP(X264,$G$532:$I$539,3)&amp;" dan kompetensi "&amp;VLOOKUP(Y264,$G$532:$I$539,3),PROPER(V264)&amp;" dalam kompetensi "&amp;VLOOKUP(X264,$G$532:$I$539,3)&amp;" dan memiliki kemampuan yang "&amp;W264&amp;" pada kompetensi "&amp;VLOOKUP(Y264,$G$532:$I$539,3)),""))</f>
        <v/>
      </c>
      <c r="AA264" s="153"/>
      <c r="AB264" s="154"/>
      <c r="AC264" s="154"/>
      <c r="AD264" s="154"/>
      <c r="AE264" s="154"/>
      <c r="AF264" s="154"/>
      <c r="AG264" s="154"/>
      <c r="AH264" s="155"/>
      <c r="AI264" s="220" t="str">
        <f t="shared" si="229"/>
        <v/>
      </c>
      <c r="AJ264" s="160" t="str">
        <f>IF(AI264="","",IF(AI264&gt;Data2!$C$12,Data2!$D$11,IF(AI264&gt;Data2!$C$13,Data2!$D$12,IF(AI264&gt;Data2!$C$14,Data2!$D$13,Data2!$D$14))))</f>
        <v/>
      </c>
      <c r="AK264" s="146">
        <f t="shared" si="230"/>
        <v>0</v>
      </c>
      <c r="AL264" s="146">
        <f t="shared" si="231"/>
        <v>0</v>
      </c>
      <c r="AM264" s="147" t="str">
        <f t="shared" si="160"/>
        <v>Mulai meningkat</v>
      </c>
      <c r="AN264" s="147" t="str">
        <f t="shared" si="161"/>
        <v>Mulai meningkat</v>
      </c>
      <c r="AO264" s="146" t="e">
        <f t="shared" si="232"/>
        <v>#N/A</v>
      </c>
      <c r="AP264" s="148" t="e">
        <f t="shared" si="233"/>
        <v>#N/A</v>
      </c>
      <c r="AQ264" s="158" t="str">
        <f>IF('PA-Non'!V264&lt;&gt;"",'PA-Non'!V264,IFERROR("Mempunyai keterampilan yang "&amp;IF(AM264=AN264,PROPER(AN264)&amp;" dalam kompetensi "&amp;VLOOKUP(AO264,$AA$532:$AC$539,3)&amp;", demikian juga dalam kompetensi "&amp;VLOOKUP(AP264,$AA$532:$AC$539,3),PROPER(AM264)&amp;" dalam kompetensi "&amp;VLOOKUP(AO264,$AA$532:$AC$539,3)&amp;" dan "&amp;AN264&amp;" pada kompetensi "&amp;VLOOKUP(AP264,$AA$532:$AC$539,3)),""))</f>
        <v/>
      </c>
      <c r="AR264" s="188"/>
    </row>
    <row r="265" spans="2:44" ht="27.9" customHeight="1" thickBot="1" x14ac:dyDescent="0.35">
      <c r="B265" s="226" t="s">
        <v>125</v>
      </c>
      <c r="C265" s="149">
        <f t="shared" si="222"/>
        <v>16</v>
      </c>
      <c r="D265" s="150" t="str">
        <f>IF(Data!F260="","",Data!F260)</f>
        <v>03753</v>
      </c>
      <c r="E265" s="151" t="str">
        <f>IF(Data!H260="","",Data!H260)</f>
        <v>Muhammad Mazaza Rizki</v>
      </c>
      <c r="F265" s="152" t="str">
        <f>IF(Data!I260="","",Data!I260)</f>
        <v>Laki-laki</v>
      </c>
      <c r="G265" s="153"/>
      <c r="H265" s="154"/>
      <c r="I265" s="154"/>
      <c r="J265" s="154"/>
      <c r="K265" s="154"/>
      <c r="L265" s="154"/>
      <c r="M265" s="154"/>
      <c r="N265" s="155"/>
      <c r="O265" s="157" t="str">
        <f t="shared" si="223"/>
        <v/>
      </c>
      <c r="P265" s="154"/>
      <c r="Q265" s="156"/>
      <c r="R265" s="157" t="str">
        <f t="shared" si="224"/>
        <v/>
      </c>
      <c r="S265" s="159" t="str">
        <f>IF(R265="","",IF(R265&gt;Data2!$C$12,Data2!$D$11,IF(R265&gt;Data2!$C$13,Data2!$D$12,IF(R265&gt;Data2!$C$14,Data2!$D$13,Data2!$D$14))))</f>
        <v/>
      </c>
      <c r="T265" s="144">
        <f t="shared" si="225"/>
        <v>0</v>
      </c>
      <c r="U265" s="144">
        <f t="shared" si="226"/>
        <v>0</v>
      </c>
      <c r="V265" s="144" t="str">
        <f t="shared" si="158"/>
        <v>Mulai berkembang</v>
      </c>
      <c r="W265" s="144" t="str">
        <f t="shared" si="159"/>
        <v>Mulai berkembang</v>
      </c>
      <c r="X265" s="144" t="e">
        <f t="shared" si="227"/>
        <v>#N/A</v>
      </c>
      <c r="Y265" s="145" t="e">
        <f t="shared" si="228"/>
        <v>#N/A</v>
      </c>
      <c r="Z265" s="218" t="str">
        <f>IF('PA-Non'!O265&lt;&gt;"",'PA-Non'!O265,IFERROR("Mempunyai kemampuan yang " &amp;IF(V265=W265,PROPER(W265)&amp;" dalam kompetensi "&amp;VLOOKUP(X265,$G$532:$I$539,3)&amp;" dan kompetensi "&amp;VLOOKUP(Y265,$G$532:$I$539,3),PROPER(V265)&amp;" dalam kompetensi "&amp;VLOOKUP(X265,$G$532:$I$539,3)&amp;" dan memiliki kemampuan yang "&amp;W265&amp;" pada kompetensi "&amp;VLOOKUP(Y265,$G$532:$I$539,3)),""))</f>
        <v/>
      </c>
      <c r="AA265" s="153"/>
      <c r="AB265" s="154"/>
      <c r="AC265" s="154"/>
      <c r="AD265" s="154"/>
      <c r="AE265" s="154"/>
      <c r="AF265" s="154"/>
      <c r="AG265" s="154"/>
      <c r="AH265" s="155"/>
      <c r="AI265" s="220" t="str">
        <f t="shared" si="229"/>
        <v/>
      </c>
      <c r="AJ265" s="160" t="str">
        <f>IF(AI265="","",IF(AI265&gt;Data2!$C$12,Data2!$D$11,IF(AI265&gt;Data2!$C$13,Data2!$D$12,IF(AI265&gt;Data2!$C$14,Data2!$D$13,Data2!$D$14))))</f>
        <v/>
      </c>
      <c r="AK265" s="146">
        <f t="shared" si="230"/>
        <v>0</v>
      </c>
      <c r="AL265" s="146">
        <f t="shared" si="231"/>
        <v>0</v>
      </c>
      <c r="AM265" s="147" t="str">
        <f t="shared" si="160"/>
        <v>Mulai meningkat</v>
      </c>
      <c r="AN265" s="147" t="str">
        <f t="shared" si="161"/>
        <v>Mulai meningkat</v>
      </c>
      <c r="AO265" s="146" t="e">
        <f t="shared" si="232"/>
        <v>#N/A</v>
      </c>
      <c r="AP265" s="148" t="e">
        <f t="shared" si="233"/>
        <v>#N/A</v>
      </c>
      <c r="AQ265" s="158" t="str">
        <f>IF('PA-Non'!V265&lt;&gt;"",'PA-Non'!V265,IFERROR("Mempunyai keterampilan yang "&amp;IF(AM265=AN265,PROPER(AN265)&amp;" dalam kompetensi "&amp;VLOOKUP(AO265,$AA$532:$AC$539,3)&amp;", demikian juga dalam kompetensi "&amp;VLOOKUP(AP265,$AA$532:$AC$539,3),PROPER(AM265)&amp;" dalam kompetensi "&amp;VLOOKUP(AO265,$AA$532:$AC$539,3)&amp;" dan "&amp;AN265&amp;" pada kompetensi "&amp;VLOOKUP(AP265,$AA$532:$AC$539,3)),""))</f>
        <v/>
      </c>
      <c r="AR265" s="188"/>
    </row>
    <row r="266" spans="2:44" ht="27.9" customHeight="1" thickBot="1" x14ac:dyDescent="0.35">
      <c r="B266" s="226" t="s">
        <v>125</v>
      </c>
      <c r="C266" s="149">
        <f t="shared" si="222"/>
        <v>17</v>
      </c>
      <c r="D266" s="150" t="str">
        <f>IF(Data!F261="","",Data!F261)</f>
        <v>03601</v>
      </c>
      <c r="E266" s="151" t="str">
        <f>IF(Data!H261="","",Data!H261)</f>
        <v>Muhammad Wisnu Aji Ikhwan</v>
      </c>
      <c r="F266" s="152" t="str">
        <f>IF(Data!I261="","",Data!I261)</f>
        <v>Laki-laki</v>
      </c>
      <c r="G266" s="153"/>
      <c r="H266" s="154"/>
      <c r="I266" s="154"/>
      <c r="J266" s="154"/>
      <c r="K266" s="154"/>
      <c r="L266" s="154"/>
      <c r="M266" s="154"/>
      <c r="N266" s="155"/>
      <c r="O266" s="157" t="str">
        <f t="shared" si="223"/>
        <v/>
      </c>
      <c r="P266" s="154"/>
      <c r="Q266" s="156"/>
      <c r="R266" s="157" t="str">
        <f t="shared" si="224"/>
        <v/>
      </c>
      <c r="S266" s="159" t="str">
        <f>IF(R266="","",IF(R266&gt;Data2!$C$12,Data2!$D$11,IF(R266&gt;Data2!$C$13,Data2!$D$12,IF(R266&gt;Data2!$C$14,Data2!$D$13,Data2!$D$14))))</f>
        <v/>
      </c>
      <c r="T266" s="144">
        <f t="shared" si="225"/>
        <v>0</v>
      </c>
      <c r="U266" s="144">
        <f t="shared" si="226"/>
        <v>0</v>
      </c>
      <c r="V266" s="144" t="str">
        <f t="shared" ref="V266:V329" si="234">IF(T266&gt;$I$560,$J$559,IF(T266&gt;$I$561,$J$560,IF(T266&gt;$I$562,$J$561,$J$562)))</f>
        <v>Mulai berkembang</v>
      </c>
      <c r="W266" s="144" t="str">
        <f t="shared" ref="W266:W329" si="235">IF(U266&gt;$I$560,$J$559,IF(U266&gt;$I$561,$J$560,IF(U266&gt;$I$562,$J$561,$J$562)))</f>
        <v>Mulai berkembang</v>
      </c>
      <c r="X266" s="144" t="e">
        <f t="shared" si="227"/>
        <v>#N/A</v>
      </c>
      <c r="Y266" s="145" t="e">
        <f t="shared" si="228"/>
        <v>#N/A</v>
      </c>
      <c r="Z266" s="218" t="str">
        <f>IF('PA-Non'!O266&lt;&gt;"",'PA-Non'!O266,IFERROR("Mempunyai kemampuan yang " &amp;IF(V266=W266,PROPER(W266)&amp;" dalam kompetensi "&amp;VLOOKUP(X266,$G$532:$I$539,3)&amp;" dan kompetensi "&amp;VLOOKUP(Y266,$G$532:$I$539,3),PROPER(V266)&amp;" dalam kompetensi "&amp;VLOOKUP(X266,$G$532:$I$539,3)&amp;" dan memiliki kemampuan yang "&amp;W266&amp;" pada kompetensi "&amp;VLOOKUP(Y266,$G$532:$I$539,3)),""))</f>
        <v/>
      </c>
      <c r="AA266" s="153"/>
      <c r="AB266" s="154"/>
      <c r="AC266" s="154"/>
      <c r="AD266" s="154"/>
      <c r="AE266" s="154"/>
      <c r="AF266" s="154"/>
      <c r="AG266" s="154"/>
      <c r="AH266" s="155"/>
      <c r="AI266" s="220" t="str">
        <f t="shared" si="229"/>
        <v/>
      </c>
      <c r="AJ266" s="160" t="str">
        <f>IF(AI266="","",IF(AI266&gt;Data2!$C$12,Data2!$D$11,IF(AI266&gt;Data2!$C$13,Data2!$D$12,IF(AI266&gt;Data2!$C$14,Data2!$D$13,Data2!$D$14))))</f>
        <v/>
      </c>
      <c r="AK266" s="146">
        <f t="shared" si="230"/>
        <v>0</v>
      </c>
      <c r="AL266" s="146">
        <f t="shared" si="231"/>
        <v>0</v>
      </c>
      <c r="AM266" s="147" t="str">
        <f t="shared" ref="AM266:AM329" si="236">IF(AK266&gt;$I$560,$AD$559,IF(AK266&gt;$I$561,$AD$560,IF(AK266&gt;$I$562,$AD$561,$AD$562)))</f>
        <v>Mulai meningkat</v>
      </c>
      <c r="AN266" s="147" t="str">
        <f t="shared" ref="AN266:AN329" si="237">IF(AL266&gt;$I$560,$AD$559,IF(AL266&gt;$I$561,$AD$560,IF(AL266&gt;$I$562,$AD$561,$AD$562)))</f>
        <v>Mulai meningkat</v>
      </c>
      <c r="AO266" s="146" t="e">
        <f t="shared" si="232"/>
        <v>#N/A</v>
      </c>
      <c r="AP266" s="148" t="e">
        <f t="shared" si="233"/>
        <v>#N/A</v>
      </c>
      <c r="AQ266" s="158" t="str">
        <f>IF('PA-Non'!V266&lt;&gt;"",'PA-Non'!V266,IFERROR("Mempunyai keterampilan yang "&amp;IF(AM266=AN266,PROPER(AN266)&amp;" dalam kompetensi "&amp;VLOOKUP(AO266,$AA$532:$AC$539,3)&amp;", demikian juga dalam kompetensi "&amp;VLOOKUP(AP266,$AA$532:$AC$539,3),PROPER(AM266)&amp;" dalam kompetensi "&amp;VLOOKUP(AO266,$AA$532:$AC$539,3)&amp;" dan "&amp;AN266&amp;" pada kompetensi "&amp;VLOOKUP(AP266,$AA$532:$AC$539,3)),""))</f>
        <v/>
      </c>
      <c r="AR266" s="188"/>
    </row>
    <row r="267" spans="2:44" ht="27.9" customHeight="1" thickBot="1" x14ac:dyDescent="0.35">
      <c r="B267" s="226" t="s">
        <v>125</v>
      </c>
      <c r="C267" s="149">
        <f t="shared" si="222"/>
        <v>18</v>
      </c>
      <c r="D267" s="150" t="str">
        <f>IF(Data!F262="","",Data!F262)</f>
        <v>03606</v>
      </c>
      <c r="E267" s="151" t="str">
        <f>IF(Data!H262="","",Data!H262)</f>
        <v>Novenda Lutfy Ismail</v>
      </c>
      <c r="F267" s="152" t="str">
        <f>IF(Data!I262="","",Data!I262)</f>
        <v>Laki-laki</v>
      </c>
      <c r="G267" s="153"/>
      <c r="H267" s="154"/>
      <c r="I267" s="154"/>
      <c r="J267" s="154"/>
      <c r="K267" s="154"/>
      <c r="L267" s="154"/>
      <c r="M267" s="154"/>
      <c r="N267" s="155"/>
      <c r="O267" s="157" t="str">
        <f t="shared" si="223"/>
        <v/>
      </c>
      <c r="P267" s="154"/>
      <c r="Q267" s="156"/>
      <c r="R267" s="157" t="str">
        <f t="shared" si="224"/>
        <v/>
      </c>
      <c r="S267" s="159" t="str">
        <f>IF(R267="","",IF(R267&gt;Data2!$C$12,Data2!$D$11,IF(R267&gt;Data2!$C$13,Data2!$D$12,IF(R267&gt;Data2!$C$14,Data2!$D$13,Data2!$D$14))))</f>
        <v/>
      </c>
      <c r="T267" s="144">
        <f t="shared" si="225"/>
        <v>0</v>
      </c>
      <c r="U267" s="144">
        <f t="shared" si="226"/>
        <v>0</v>
      </c>
      <c r="V267" s="144" t="str">
        <f t="shared" si="234"/>
        <v>Mulai berkembang</v>
      </c>
      <c r="W267" s="144" t="str">
        <f t="shared" si="235"/>
        <v>Mulai berkembang</v>
      </c>
      <c r="X267" s="144" t="e">
        <f t="shared" si="227"/>
        <v>#N/A</v>
      </c>
      <c r="Y267" s="145" t="e">
        <f t="shared" si="228"/>
        <v>#N/A</v>
      </c>
      <c r="Z267" s="218" t="str">
        <f>IF('PA-Non'!O267&lt;&gt;"",'PA-Non'!O267,IFERROR("Mempunyai kemampuan yang " &amp;IF(V267=W267,PROPER(W267)&amp;" dalam kompetensi "&amp;VLOOKUP(X267,$G$532:$I$539,3)&amp;" dan kompetensi "&amp;VLOOKUP(Y267,$G$532:$I$539,3),PROPER(V267)&amp;" dalam kompetensi "&amp;VLOOKUP(X267,$G$532:$I$539,3)&amp;" dan memiliki kemampuan yang "&amp;W267&amp;" pada kompetensi "&amp;VLOOKUP(Y267,$G$532:$I$539,3)),""))</f>
        <v/>
      </c>
      <c r="AA267" s="153"/>
      <c r="AB267" s="154"/>
      <c r="AC267" s="154"/>
      <c r="AD267" s="154"/>
      <c r="AE267" s="154"/>
      <c r="AF267" s="154"/>
      <c r="AG267" s="154"/>
      <c r="AH267" s="155"/>
      <c r="AI267" s="220" t="str">
        <f t="shared" si="229"/>
        <v/>
      </c>
      <c r="AJ267" s="160" t="str">
        <f>IF(AI267="","",IF(AI267&gt;Data2!$C$12,Data2!$D$11,IF(AI267&gt;Data2!$C$13,Data2!$D$12,IF(AI267&gt;Data2!$C$14,Data2!$D$13,Data2!$D$14))))</f>
        <v/>
      </c>
      <c r="AK267" s="146">
        <f t="shared" si="230"/>
        <v>0</v>
      </c>
      <c r="AL267" s="146">
        <f t="shared" si="231"/>
        <v>0</v>
      </c>
      <c r="AM267" s="147" t="str">
        <f t="shared" si="236"/>
        <v>Mulai meningkat</v>
      </c>
      <c r="AN267" s="147" t="str">
        <f t="shared" si="237"/>
        <v>Mulai meningkat</v>
      </c>
      <c r="AO267" s="146" t="e">
        <f t="shared" si="232"/>
        <v>#N/A</v>
      </c>
      <c r="AP267" s="148" t="e">
        <f t="shared" si="233"/>
        <v>#N/A</v>
      </c>
      <c r="AQ267" s="158" t="str">
        <f>IF('PA-Non'!V267&lt;&gt;"",'PA-Non'!V267,IFERROR("Mempunyai keterampilan yang "&amp;IF(AM267=AN267,PROPER(AN267)&amp;" dalam kompetensi "&amp;VLOOKUP(AO267,$AA$532:$AC$539,3)&amp;", demikian juga dalam kompetensi "&amp;VLOOKUP(AP267,$AA$532:$AC$539,3),PROPER(AM267)&amp;" dalam kompetensi "&amp;VLOOKUP(AO267,$AA$532:$AC$539,3)&amp;" dan "&amp;AN267&amp;" pada kompetensi "&amp;VLOOKUP(AP267,$AA$532:$AC$539,3)),""))</f>
        <v/>
      </c>
      <c r="AR267" s="188"/>
    </row>
    <row r="268" spans="2:44" ht="27.9" customHeight="1" thickBot="1" x14ac:dyDescent="0.35">
      <c r="B268" s="226" t="s">
        <v>125</v>
      </c>
      <c r="C268" s="149">
        <f t="shared" si="222"/>
        <v>19</v>
      </c>
      <c r="D268" s="150" t="str">
        <f>IF(Data!F263="","",Data!F263)</f>
        <v>03615</v>
      </c>
      <c r="E268" s="151" t="str">
        <f>IF(Data!H263="","",Data!H263)</f>
        <v>Safyudin Helga Ciputro</v>
      </c>
      <c r="F268" s="152" t="str">
        <f>IF(Data!I263="","",Data!I263)</f>
        <v>Laki-laki</v>
      </c>
      <c r="G268" s="153"/>
      <c r="H268" s="154"/>
      <c r="I268" s="154"/>
      <c r="J268" s="154"/>
      <c r="K268" s="154"/>
      <c r="L268" s="154"/>
      <c r="M268" s="154"/>
      <c r="N268" s="155"/>
      <c r="O268" s="157" t="str">
        <f t="shared" si="223"/>
        <v/>
      </c>
      <c r="P268" s="154"/>
      <c r="Q268" s="156"/>
      <c r="R268" s="157" t="str">
        <f t="shared" si="224"/>
        <v/>
      </c>
      <c r="S268" s="159" t="str">
        <f>IF(R268="","",IF(R268&gt;Data2!$C$12,Data2!$D$11,IF(R268&gt;Data2!$C$13,Data2!$D$12,IF(R268&gt;Data2!$C$14,Data2!$D$13,Data2!$D$14))))</f>
        <v/>
      </c>
      <c r="T268" s="144">
        <f t="shared" si="225"/>
        <v>0</v>
      </c>
      <c r="U268" s="144">
        <f t="shared" si="226"/>
        <v>0</v>
      </c>
      <c r="V268" s="144" t="str">
        <f t="shared" si="234"/>
        <v>Mulai berkembang</v>
      </c>
      <c r="W268" s="144" t="str">
        <f t="shared" si="235"/>
        <v>Mulai berkembang</v>
      </c>
      <c r="X268" s="144" t="e">
        <f t="shared" si="227"/>
        <v>#N/A</v>
      </c>
      <c r="Y268" s="145" t="e">
        <f t="shared" si="228"/>
        <v>#N/A</v>
      </c>
      <c r="Z268" s="218" t="str">
        <f>IF('PA-Non'!O268&lt;&gt;"",'PA-Non'!O268,IFERROR("Mempunyai kemampuan yang " &amp;IF(V268=W268,PROPER(W268)&amp;" dalam kompetensi "&amp;VLOOKUP(X268,$G$532:$I$539,3)&amp;" dan kompetensi "&amp;VLOOKUP(Y268,$G$532:$I$539,3),PROPER(V268)&amp;" dalam kompetensi "&amp;VLOOKUP(X268,$G$532:$I$539,3)&amp;" dan memiliki kemampuan yang "&amp;W268&amp;" pada kompetensi "&amp;VLOOKUP(Y268,$G$532:$I$539,3)),""))</f>
        <v/>
      </c>
      <c r="AA268" s="153"/>
      <c r="AB268" s="154"/>
      <c r="AC268" s="154"/>
      <c r="AD268" s="154"/>
      <c r="AE268" s="154"/>
      <c r="AF268" s="154"/>
      <c r="AG268" s="154"/>
      <c r="AH268" s="155"/>
      <c r="AI268" s="220" t="str">
        <f t="shared" si="229"/>
        <v/>
      </c>
      <c r="AJ268" s="160" t="str">
        <f>IF(AI268="","",IF(AI268&gt;Data2!$C$12,Data2!$D$11,IF(AI268&gt;Data2!$C$13,Data2!$D$12,IF(AI268&gt;Data2!$C$14,Data2!$D$13,Data2!$D$14))))</f>
        <v/>
      </c>
      <c r="AK268" s="146">
        <f t="shared" si="230"/>
        <v>0</v>
      </c>
      <c r="AL268" s="146">
        <f t="shared" si="231"/>
        <v>0</v>
      </c>
      <c r="AM268" s="147" t="str">
        <f t="shared" si="236"/>
        <v>Mulai meningkat</v>
      </c>
      <c r="AN268" s="147" t="str">
        <f t="shared" si="237"/>
        <v>Mulai meningkat</v>
      </c>
      <c r="AO268" s="146" t="e">
        <f t="shared" si="232"/>
        <v>#N/A</v>
      </c>
      <c r="AP268" s="148" t="e">
        <f t="shared" si="233"/>
        <v>#N/A</v>
      </c>
      <c r="AQ268" s="158" t="str">
        <f>IF('PA-Non'!V268&lt;&gt;"",'PA-Non'!V268,IFERROR("Mempunyai keterampilan yang "&amp;IF(AM268=AN268,PROPER(AN268)&amp;" dalam kompetensi "&amp;VLOOKUP(AO268,$AA$532:$AC$539,3)&amp;", demikian juga dalam kompetensi "&amp;VLOOKUP(AP268,$AA$532:$AC$539,3),PROPER(AM268)&amp;" dalam kompetensi "&amp;VLOOKUP(AO268,$AA$532:$AC$539,3)&amp;" dan "&amp;AN268&amp;" pada kompetensi "&amp;VLOOKUP(AP268,$AA$532:$AC$539,3)),""))</f>
        <v/>
      </c>
      <c r="AR268" s="188"/>
    </row>
    <row r="269" spans="2:44" ht="27.9" customHeight="1" thickBot="1" x14ac:dyDescent="0.35">
      <c r="B269" s="226" t="s">
        <v>125</v>
      </c>
      <c r="C269" s="149">
        <f t="shared" si="222"/>
        <v>20</v>
      </c>
      <c r="D269" s="150" t="str">
        <f>IF(Data!F264="","",Data!F264)</f>
        <v>03618</v>
      </c>
      <c r="E269" s="151" t="str">
        <f>IF(Data!H264="","",Data!H264)</f>
        <v>Tifan Putra Yunanda</v>
      </c>
      <c r="F269" s="152" t="str">
        <f>IF(Data!I264="","",Data!I264)</f>
        <v>Laki-laki</v>
      </c>
      <c r="G269" s="153"/>
      <c r="H269" s="154"/>
      <c r="I269" s="154"/>
      <c r="J269" s="154"/>
      <c r="K269" s="154"/>
      <c r="L269" s="154"/>
      <c r="M269" s="154"/>
      <c r="N269" s="155"/>
      <c r="O269" s="157" t="str">
        <f t="shared" si="223"/>
        <v/>
      </c>
      <c r="P269" s="154"/>
      <c r="Q269" s="156"/>
      <c r="R269" s="157" t="str">
        <f t="shared" si="224"/>
        <v/>
      </c>
      <c r="S269" s="159" t="str">
        <f>IF(R269="","",IF(R269&gt;Data2!$C$12,Data2!$D$11,IF(R269&gt;Data2!$C$13,Data2!$D$12,IF(R269&gt;Data2!$C$14,Data2!$D$13,Data2!$D$14))))</f>
        <v/>
      </c>
      <c r="T269" s="144">
        <f t="shared" si="225"/>
        <v>0</v>
      </c>
      <c r="U269" s="144">
        <f t="shared" si="226"/>
        <v>0</v>
      </c>
      <c r="V269" s="144" t="str">
        <f t="shared" si="234"/>
        <v>Mulai berkembang</v>
      </c>
      <c r="W269" s="144" t="str">
        <f t="shared" si="235"/>
        <v>Mulai berkembang</v>
      </c>
      <c r="X269" s="144" t="e">
        <f t="shared" si="227"/>
        <v>#N/A</v>
      </c>
      <c r="Y269" s="145" t="e">
        <f t="shared" si="228"/>
        <v>#N/A</v>
      </c>
      <c r="Z269" s="218" t="str">
        <f>IF('PA-Non'!O269&lt;&gt;"",'PA-Non'!O269,IFERROR("Mempunyai kemampuan yang " &amp;IF(V269=W269,PROPER(W269)&amp;" dalam kompetensi "&amp;VLOOKUP(X269,$G$532:$I$539,3)&amp;" dan kompetensi "&amp;VLOOKUP(Y269,$G$532:$I$539,3),PROPER(V269)&amp;" dalam kompetensi "&amp;VLOOKUP(X269,$G$532:$I$539,3)&amp;" dan memiliki kemampuan yang "&amp;W269&amp;" pada kompetensi "&amp;VLOOKUP(Y269,$G$532:$I$539,3)),""))</f>
        <v/>
      </c>
      <c r="AA269" s="153"/>
      <c r="AB269" s="154"/>
      <c r="AC269" s="154"/>
      <c r="AD269" s="154"/>
      <c r="AE269" s="154"/>
      <c r="AF269" s="154"/>
      <c r="AG269" s="154"/>
      <c r="AH269" s="155"/>
      <c r="AI269" s="220" t="str">
        <f t="shared" si="229"/>
        <v/>
      </c>
      <c r="AJ269" s="160" t="str">
        <f>IF(AI269="","",IF(AI269&gt;Data2!$C$12,Data2!$D$11,IF(AI269&gt;Data2!$C$13,Data2!$D$12,IF(AI269&gt;Data2!$C$14,Data2!$D$13,Data2!$D$14))))</f>
        <v/>
      </c>
      <c r="AK269" s="146">
        <f t="shared" si="230"/>
        <v>0</v>
      </c>
      <c r="AL269" s="146">
        <f t="shared" si="231"/>
        <v>0</v>
      </c>
      <c r="AM269" s="147" t="str">
        <f t="shared" si="236"/>
        <v>Mulai meningkat</v>
      </c>
      <c r="AN269" s="147" t="str">
        <f t="shared" si="237"/>
        <v>Mulai meningkat</v>
      </c>
      <c r="AO269" s="146" t="e">
        <f t="shared" si="232"/>
        <v>#N/A</v>
      </c>
      <c r="AP269" s="148" t="e">
        <f t="shared" si="233"/>
        <v>#N/A</v>
      </c>
      <c r="AQ269" s="158" t="str">
        <f>IF('PA-Non'!V269&lt;&gt;"",'PA-Non'!V269,IFERROR("Mempunyai keterampilan yang "&amp;IF(AM269=AN269,PROPER(AN269)&amp;" dalam kompetensi "&amp;VLOOKUP(AO269,$AA$532:$AC$539,3)&amp;", demikian juga dalam kompetensi "&amp;VLOOKUP(AP269,$AA$532:$AC$539,3),PROPER(AM269)&amp;" dalam kompetensi "&amp;VLOOKUP(AO269,$AA$532:$AC$539,3)&amp;" dan "&amp;AN269&amp;" pada kompetensi "&amp;VLOOKUP(AP269,$AA$532:$AC$539,3)),""))</f>
        <v/>
      </c>
      <c r="AR269" s="188"/>
    </row>
    <row r="270" spans="2:44" ht="27.9" customHeight="1" thickBot="1" x14ac:dyDescent="0.35">
      <c r="B270" s="226" t="s">
        <v>125</v>
      </c>
      <c r="C270" s="149">
        <f t="shared" si="222"/>
        <v>21</v>
      </c>
      <c r="D270" s="150" t="str">
        <f>IF(Data!F265="","",Data!F265)</f>
        <v>03620</v>
      </c>
      <c r="E270" s="151" t="str">
        <f>IF(Data!H265="","",Data!H265)</f>
        <v>Toni Febri Maulana</v>
      </c>
      <c r="F270" s="152" t="str">
        <f>IF(Data!I265="","",Data!I265)</f>
        <v>Laki-laki</v>
      </c>
      <c r="G270" s="153"/>
      <c r="H270" s="154"/>
      <c r="I270" s="154"/>
      <c r="J270" s="154"/>
      <c r="K270" s="154"/>
      <c r="L270" s="154"/>
      <c r="M270" s="154"/>
      <c r="N270" s="155"/>
      <c r="O270" s="157" t="str">
        <f t="shared" si="223"/>
        <v/>
      </c>
      <c r="P270" s="154"/>
      <c r="Q270" s="156"/>
      <c r="R270" s="157" t="str">
        <f t="shared" si="224"/>
        <v/>
      </c>
      <c r="S270" s="159" t="str">
        <f>IF(R270="","",IF(R270&gt;Data2!$C$12,Data2!$D$11,IF(R270&gt;Data2!$C$13,Data2!$D$12,IF(R270&gt;Data2!$C$14,Data2!$D$13,Data2!$D$14))))</f>
        <v/>
      </c>
      <c r="T270" s="144">
        <f t="shared" si="225"/>
        <v>0</v>
      </c>
      <c r="U270" s="144">
        <f t="shared" si="226"/>
        <v>0</v>
      </c>
      <c r="V270" s="144" t="str">
        <f t="shared" si="234"/>
        <v>Mulai berkembang</v>
      </c>
      <c r="W270" s="144" t="str">
        <f t="shared" si="235"/>
        <v>Mulai berkembang</v>
      </c>
      <c r="X270" s="144" t="e">
        <f t="shared" si="227"/>
        <v>#N/A</v>
      </c>
      <c r="Y270" s="145" t="e">
        <f t="shared" si="228"/>
        <v>#N/A</v>
      </c>
      <c r="Z270" s="218" t="str">
        <f>IF('PA-Non'!O270&lt;&gt;"",'PA-Non'!O270,IFERROR("Mempunyai kemampuan yang " &amp;IF(V270=W270,PROPER(W270)&amp;" dalam kompetensi "&amp;VLOOKUP(X270,$G$532:$I$539,3)&amp;" dan kompetensi "&amp;VLOOKUP(Y270,$G$532:$I$539,3),PROPER(V270)&amp;" dalam kompetensi "&amp;VLOOKUP(X270,$G$532:$I$539,3)&amp;" dan memiliki kemampuan yang "&amp;W270&amp;" pada kompetensi "&amp;VLOOKUP(Y270,$G$532:$I$539,3)),""))</f>
        <v/>
      </c>
      <c r="AA270" s="153"/>
      <c r="AB270" s="154"/>
      <c r="AC270" s="154"/>
      <c r="AD270" s="154"/>
      <c r="AE270" s="154"/>
      <c r="AF270" s="154"/>
      <c r="AG270" s="154"/>
      <c r="AH270" s="155"/>
      <c r="AI270" s="220" t="str">
        <f t="shared" si="229"/>
        <v/>
      </c>
      <c r="AJ270" s="160" t="str">
        <f>IF(AI270="","",IF(AI270&gt;Data2!$C$12,Data2!$D$11,IF(AI270&gt;Data2!$C$13,Data2!$D$12,IF(AI270&gt;Data2!$C$14,Data2!$D$13,Data2!$D$14))))</f>
        <v/>
      </c>
      <c r="AK270" s="146">
        <f t="shared" si="230"/>
        <v>0</v>
      </c>
      <c r="AL270" s="146">
        <f t="shared" si="231"/>
        <v>0</v>
      </c>
      <c r="AM270" s="147" t="str">
        <f t="shared" si="236"/>
        <v>Mulai meningkat</v>
      </c>
      <c r="AN270" s="147" t="str">
        <f t="shared" si="237"/>
        <v>Mulai meningkat</v>
      </c>
      <c r="AO270" s="146" t="e">
        <f t="shared" si="232"/>
        <v>#N/A</v>
      </c>
      <c r="AP270" s="148" t="e">
        <f t="shared" si="233"/>
        <v>#N/A</v>
      </c>
      <c r="AQ270" s="158" t="str">
        <f>IF('PA-Non'!V270&lt;&gt;"",'PA-Non'!V270,IFERROR("Mempunyai keterampilan yang "&amp;IF(AM270=AN270,PROPER(AN270)&amp;" dalam kompetensi "&amp;VLOOKUP(AO270,$AA$532:$AC$539,3)&amp;", demikian juga dalam kompetensi "&amp;VLOOKUP(AP270,$AA$532:$AC$539,3),PROPER(AM270)&amp;" dalam kompetensi "&amp;VLOOKUP(AO270,$AA$532:$AC$539,3)&amp;" dan "&amp;AN270&amp;" pada kompetensi "&amp;VLOOKUP(AP270,$AA$532:$AC$539,3)),""))</f>
        <v/>
      </c>
      <c r="AR270" s="188"/>
    </row>
    <row r="271" spans="2:44" ht="27.9" customHeight="1" thickBot="1" x14ac:dyDescent="0.35">
      <c r="B271" s="226" t="s">
        <v>125</v>
      </c>
      <c r="C271" s="149">
        <f t="shared" si="222"/>
        <v>22</v>
      </c>
      <c r="D271" s="150" t="str">
        <f>IF(Data!F266="","",Data!F266)</f>
        <v>03621</v>
      </c>
      <c r="E271" s="151" t="str">
        <f>IF(Data!H266="","",Data!H266)</f>
        <v>Wahyu Bagus Maulana</v>
      </c>
      <c r="F271" s="152" t="str">
        <f>IF(Data!I266="","",Data!I266)</f>
        <v>Laki-laki</v>
      </c>
      <c r="G271" s="153"/>
      <c r="H271" s="154"/>
      <c r="I271" s="154"/>
      <c r="J271" s="154"/>
      <c r="K271" s="154"/>
      <c r="L271" s="154"/>
      <c r="M271" s="154"/>
      <c r="N271" s="155"/>
      <c r="O271" s="157" t="str">
        <f t="shared" si="223"/>
        <v/>
      </c>
      <c r="P271" s="154"/>
      <c r="Q271" s="156"/>
      <c r="R271" s="157" t="str">
        <f t="shared" si="224"/>
        <v/>
      </c>
      <c r="S271" s="159" t="str">
        <f>IF(R271="","",IF(R271&gt;Data2!$C$12,Data2!$D$11,IF(R271&gt;Data2!$C$13,Data2!$D$12,IF(R271&gt;Data2!$C$14,Data2!$D$13,Data2!$D$14))))</f>
        <v/>
      </c>
      <c r="T271" s="144">
        <f t="shared" si="225"/>
        <v>0</v>
      </c>
      <c r="U271" s="144">
        <f t="shared" si="226"/>
        <v>0</v>
      </c>
      <c r="V271" s="144" t="str">
        <f t="shared" si="234"/>
        <v>Mulai berkembang</v>
      </c>
      <c r="W271" s="144" t="str">
        <f t="shared" si="235"/>
        <v>Mulai berkembang</v>
      </c>
      <c r="X271" s="144" t="e">
        <f t="shared" si="227"/>
        <v>#N/A</v>
      </c>
      <c r="Y271" s="145" t="e">
        <f t="shared" si="228"/>
        <v>#N/A</v>
      </c>
      <c r="Z271" s="218" t="str">
        <f>IF('PA-Non'!O271&lt;&gt;"",'PA-Non'!O271,IFERROR("Mempunyai kemampuan yang " &amp;IF(V271=W271,PROPER(W271)&amp;" dalam kompetensi "&amp;VLOOKUP(X271,$G$532:$I$539,3)&amp;" dan kompetensi "&amp;VLOOKUP(Y271,$G$532:$I$539,3),PROPER(V271)&amp;" dalam kompetensi "&amp;VLOOKUP(X271,$G$532:$I$539,3)&amp;" dan memiliki kemampuan yang "&amp;W271&amp;" pada kompetensi "&amp;VLOOKUP(Y271,$G$532:$I$539,3)),""))</f>
        <v/>
      </c>
      <c r="AA271" s="153"/>
      <c r="AB271" s="154"/>
      <c r="AC271" s="154"/>
      <c r="AD271" s="154"/>
      <c r="AE271" s="154"/>
      <c r="AF271" s="154"/>
      <c r="AG271" s="154"/>
      <c r="AH271" s="155"/>
      <c r="AI271" s="220" t="str">
        <f t="shared" si="229"/>
        <v/>
      </c>
      <c r="AJ271" s="160" t="str">
        <f>IF(AI271="","",IF(AI271&gt;Data2!$C$12,Data2!$D$11,IF(AI271&gt;Data2!$C$13,Data2!$D$12,IF(AI271&gt;Data2!$C$14,Data2!$D$13,Data2!$D$14))))</f>
        <v/>
      </c>
      <c r="AK271" s="146">
        <f t="shared" si="230"/>
        <v>0</v>
      </c>
      <c r="AL271" s="146">
        <f t="shared" si="231"/>
        <v>0</v>
      </c>
      <c r="AM271" s="147" t="str">
        <f t="shared" si="236"/>
        <v>Mulai meningkat</v>
      </c>
      <c r="AN271" s="147" t="str">
        <f t="shared" si="237"/>
        <v>Mulai meningkat</v>
      </c>
      <c r="AO271" s="146" t="e">
        <f t="shared" si="232"/>
        <v>#N/A</v>
      </c>
      <c r="AP271" s="148" t="e">
        <f t="shared" si="233"/>
        <v>#N/A</v>
      </c>
      <c r="AQ271" s="158" t="str">
        <f>IF('PA-Non'!V271&lt;&gt;"",'PA-Non'!V271,IFERROR("Mempunyai keterampilan yang "&amp;IF(AM271=AN271,PROPER(AN271)&amp;" dalam kompetensi "&amp;VLOOKUP(AO271,$AA$532:$AC$539,3)&amp;", demikian juga dalam kompetensi "&amp;VLOOKUP(AP271,$AA$532:$AC$539,3),PROPER(AM271)&amp;" dalam kompetensi "&amp;VLOOKUP(AO271,$AA$532:$AC$539,3)&amp;" dan "&amp;AN271&amp;" pada kompetensi "&amp;VLOOKUP(AP271,$AA$532:$AC$539,3)),""))</f>
        <v/>
      </c>
      <c r="AR271" s="188"/>
    </row>
    <row r="272" spans="2:44" ht="27.9" customHeight="1" thickBot="1" x14ac:dyDescent="0.35">
      <c r="B272" s="226" t="s">
        <v>125</v>
      </c>
      <c r="C272" s="149">
        <f t="shared" si="222"/>
        <v>23</v>
      </c>
      <c r="D272" s="150" t="str">
        <f>IF(Data!F267="","",Data!F267)</f>
        <v>03622</v>
      </c>
      <c r="E272" s="151" t="str">
        <f>IF(Data!H267="","",Data!H267)</f>
        <v>Willa Tikta Az'Har</v>
      </c>
      <c r="F272" s="152" t="str">
        <f>IF(Data!I267="","",Data!I267)</f>
        <v>Laki-laki</v>
      </c>
      <c r="G272" s="153"/>
      <c r="H272" s="154"/>
      <c r="I272" s="154"/>
      <c r="J272" s="154"/>
      <c r="K272" s="154"/>
      <c r="L272" s="154"/>
      <c r="M272" s="154"/>
      <c r="N272" s="155"/>
      <c r="O272" s="157" t="str">
        <f t="shared" si="223"/>
        <v/>
      </c>
      <c r="P272" s="154"/>
      <c r="Q272" s="156"/>
      <c r="R272" s="157" t="str">
        <f t="shared" si="224"/>
        <v/>
      </c>
      <c r="S272" s="159" t="str">
        <f>IF(R272="","",IF(R272&gt;Data2!$C$12,Data2!$D$11,IF(R272&gt;Data2!$C$13,Data2!$D$12,IF(R272&gt;Data2!$C$14,Data2!$D$13,Data2!$D$14))))</f>
        <v/>
      </c>
      <c r="T272" s="144">
        <f t="shared" si="225"/>
        <v>0</v>
      </c>
      <c r="U272" s="144">
        <f t="shared" si="226"/>
        <v>0</v>
      </c>
      <c r="V272" s="144" t="str">
        <f t="shared" si="234"/>
        <v>Mulai berkembang</v>
      </c>
      <c r="W272" s="144" t="str">
        <f t="shared" si="235"/>
        <v>Mulai berkembang</v>
      </c>
      <c r="X272" s="144" t="e">
        <f t="shared" si="227"/>
        <v>#N/A</v>
      </c>
      <c r="Y272" s="145" t="e">
        <f t="shared" si="228"/>
        <v>#N/A</v>
      </c>
      <c r="Z272" s="218" t="str">
        <f>IF('PA-Non'!O272&lt;&gt;"",'PA-Non'!O272,IFERROR("Mempunyai kemampuan yang " &amp;IF(V272=W272,PROPER(W272)&amp;" dalam kompetensi "&amp;VLOOKUP(X272,$G$532:$I$539,3)&amp;" dan kompetensi "&amp;VLOOKUP(Y272,$G$532:$I$539,3),PROPER(V272)&amp;" dalam kompetensi "&amp;VLOOKUP(X272,$G$532:$I$539,3)&amp;" dan memiliki kemampuan yang "&amp;W272&amp;" pada kompetensi "&amp;VLOOKUP(Y272,$G$532:$I$539,3)),""))</f>
        <v/>
      </c>
      <c r="AA272" s="153"/>
      <c r="AB272" s="154"/>
      <c r="AC272" s="154"/>
      <c r="AD272" s="154"/>
      <c r="AE272" s="154"/>
      <c r="AF272" s="154"/>
      <c r="AG272" s="154"/>
      <c r="AH272" s="155"/>
      <c r="AI272" s="220" t="str">
        <f t="shared" si="229"/>
        <v/>
      </c>
      <c r="AJ272" s="160" t="str">
        <f>IF(AI272="","",IF(AI272&gt;Data2!$C$12,Data2!$D$11,IF(AI272&gt;Data2!$C$13,Data2!$D$12,IF(AI272&gt;Data2!$C$14,Data2!$D$13,Data2!$D$14))))</f>
        <v/>
      </c>
      <c r="AK272" s="146">
        <f t="shared" si="230"/>
        <v>0</v>
      </c>
      <c r="AL272" s="146">
        <f t="shared" si="231"/>
        <v>0</v>
      </c>
      <c r="AM272" s="147" t="str">
        <f t="shared" si="236"/>
        <v>Mulai meningkat</v>
      </c>
      <c r="AN272" s="147" t="str">
        <f t="shared" si="237"/>
        <v>Mulai meningkat</v>
      </c>
      <c r="AO272" s="146" t="e">
        <f t="shared" si="232"/>
        <v>#N/A</v>
      </c>
      <c r="AP272" s="148" t="e">
        <f t="shared" si="233"/>
        <v>#N/A</v>
      </c>
      <c r="AQ272" s="158" t="str">
        <f>IF('PA-Non'!V272&lt;&gt;"",'PA-Non'!V272,IFERROR("Mempunyai keterampilan yang "&amp;IF(AM272=AN272,PROPER(AN272)&amp;" dalam kompetensi "&amp;VLOOKUP(AO272,$AA$532:$AC$539,3)&amp;", demikian juga dalam kompetensi "&amp;VLOOKUP(AP272,$AA$532:$AC$539,3),PROPER(AM272)&amp;" dalam kompetensi "&amp;VLOOKUP(AO272,$AA$532:$AC$539,3)&amp;" dan "&amp;AN272&amp;" pada kompetensi "&amp;VLOOKUP(AP272,$AA$532:$AC$539,3)),""))</f>
        <v/>
      </c>
      <c r="AR272" s="188"/>
    </row>
    <row r="273" spans="2:44" ht="27.9" customHeight="1" thickBot="1" x14ac:dyDescent="0.35">
      <c r="B273" s="226" t="s">
        <v>125</v>
      </c>
      <c r="C273" s="149">
        <f t="shared" si="222"/>
        <v>24</v>
      </c>
      <c r="D273" s="150" t="str">
        <f>IF(Data!F268="","",Data!F268)</f>
        <v>03757</v>
      </c>
      <c r="E273" s="151" t="str">
        <f>IF(Data!H268="","",Data!H268)</f>
        <v>Farid Maulana Kristianto</v>
      </c>
      <c r="F273" s="152" t="str">
        <f>IF(Data!I268="","",Data!I268)</f>
        <v>Laki-laki</v>
      </c>
      <c r="G273" s="153"/>
      <c r="H273" s="154"/>
      <c r="I273" s="154"/>
      <c r="J273" s="154"/>
      <c r="K273" s="154"/>
      <c r="L273" s="154"/>
      <c r="M273" s="154"/>
      <c r="N273" s="155"/>
      <c r="O273" s="157" t="str">
        <f t="shared" si="223"/>
        <v/>
      </c>
      <c r="P273" s="154"/>
      <c r="Q273" s="156"/>
      <c r="R273" s="157" t="str">
        <f t="shared" si="224"/>
        <v/>
      </c>
      <c r="S273" s="159" t="str">
        <f>IF(R273="","",IF(R273&gt;Data2!$C$12,Data2!$D$11,IF(R273&gt;Data2!$C$13,Data2!$D$12,IF(R273&gt;Data2!$C$14,Data2!$D$13,Data2!$D$14))))</f>
        <v/>
      </c>
      <c r="T273" s="144">
        <f t="shared" si="225"/>
        <v>0</v>
      </c>
      <c r="U273" s="144">
        <f t="shared" si="226"/>
        <v>0</v>
      </c>
      <c r="V273" s="144" t="str">
        <f t="shared" si="234"/>
        <v>Mulai berkembang</v>
      </c>
      <c r="W273" s="144" t="str">
        <f t="shared" si="235"/>
        <v>Mulai berkembang</v>
      </c>
      <c r="X273" s="144" t="e">
        <f t="shared" si="227"/>
        <v>#N/A</v>
      </c>
      <c r="Y273" s="145" t="e">
        <f t="shared" si="228"/>
        <v>#N/A</v>
      </c>
      <c r="Z273" s="218" t="str">
        <f>IF('PA-Non'!O273&lt;&gt;"",'PA-Non'!O273,IFERROR("Mempunyai kemampuan yang " &amp;IF(V273=W273,PROPER(W273)&amp;" dalam kompetensi "&amp;VLOOKUP(X273,$G$532:$I$539,3)&amp;" dan kompetensi "&amp;VLOOKUP(Y273,$G$532:$I$539,3),PROPER(V273)&amp;" dalam kompetensi "&amp;VLOOKUP(X273,$G$532:$I$539,3)&amp;" dan memiliki kemampuan yang "&amp;W273&amp;" pada kompetensi "&amp;VLOOKUP(Y273,$G$532:$I$539,3)),""))</f>
        <v/>
      </c>
      <c r="AA273" s="153"/>
      <c r="AB273" s="154"/>
      <c r="AC273" s="154"/>
      <c r="AD273" s="154"/>
      <c r="AE273" s="154"/>
      <c r="AF273" s="154"/>
      <c r="AG273" s="154"/>
      <c r="AH273" s="155"/>
      <c r="AI273" s="220" t="str">
        <f t="shared" si="229"/>
        <v/>
      </c>
      <c r="AJ273" s="160" t="str">
        <f>IF(AI273="","",IF(AI273&gt;Data2!$C$12,Data2!$D$11,IF(AI273&gt;Data2!$C$13,Data2!$D$12,IF(AI273&gt;Data2!$C$14,Data2!$D$13,Data2!$D$14))))</f>
        <v/>
      </c>
      <c r="AK273" s="146">
        <f t="shared" si="230"/>
        <v>0</v>
      </c>
      <c r="AL273" s="146">
        <f t="shared" si="231"/>
        <v>0</v>
      </c>
      <c r="AM273" s="147" t="str">
        <f t="shared" si="236"/>
        <v>Mulai meningkat</v>
      </c>
      <c r="AN273" s="147" t="str">
        <f t="shared" si="237"/>
        <v>Mulai meningkat</v>
      </c>
      <c r="AO273" s="146" t="e">
        <f t="shared" si="232"/>
        <v>#N/A</v>
      </c>
      <c r="AP273" s="148" t="e">
        <f t="shared" si="233"/>
        <v>#N/A</v>
      </c>
      <c r="AQ273" s="158" t="str">
        <f>IF('PA-Non'!V273&lt;&gt;"",'PA-Non'!V273,IFERROR("Mempunyai keterampilan yang "&amp;IF(AM273=AN273,PROPER(AN273)&amp;" dalam kompetensi "&amp;VLOOKUP(AO273,$AA$532:$AC$539,3)&amp;", demikian juga dalam kompetensi "&amp;VLOOKUP(AP273,$AA$532:$AC$539,3),PROPER(AM273)&amp;" dalam kompetensi "&amp;VLOOKUP(AO273,$AA$532:$AC$539,3)&amp;" dan "&amp;AN273&amp;" pada kompetensi "&amp;VLOOKUP(AP273,$AA$532:$AC$539,3)),""))</f>
        <v/>
      </c>
      <c r="AR273" s="188"/>
    </row>
    <row r="274" spans="2:44" ht="27.9" customHeight="1" thickBot="1" x14ac:dyDescent="0.35">
      <c r="B274" s="226" t="s">
        <v>125</v>
      </c>
      <c r="C274" s="149" t="str">
        <f t="shared" si="222"/>
        <v/>
      </c>
      <c r="D274" s="150" t="str">
        <f>IF(Data!F269="","",Data!F269)</f>
        <v/>
      </c>
      <c r="E274" s="151" t="str">
        <f>IF(Data!H269="","",Data!H269)</f>
        <v/>
      </c>
      <c r="F274" s="152" t="str">
        <f>IF(Data!I269="","",Data!I269)</f>
        <v/>
      </c>
      <c r="G274" s="153"/>
      <c r="H274" s="154"/>
      <c r="I274" s="154"/>
      <c r="J274" s="154"/>
      <c r="K274" s="154"/>
      <c r="L274" s="154"/>
      <c r="M274" s="154"/>
      <c r="N274" s="155"/>
      <c r="O274" s="157" t="str">
        <f t="shared" si="223"/>
        <v/>
      </c>
      <c r="P274" s="154"/>
      <c r="Q274" s="156"/>
      <c r="R274" s="157" t="str">
        <f t="shared" si="224"/>
        <v/>
      </c>
      <c r="S274" s="159" t="str">
        <f>IF(R274="","",IF(R274&gt;Data2!$C$12,Data2!$D$11,IF(R274&gt;Data2!$C$13,Data2!$D$12,IF(R274&gt;Data2!$C$14,Data2!$D$13,Data2!$D$14))))</f>
        <v/>
      </c>
      <c r="T274" s="144">
        <f t="shared" si="225"/>
        <v>0</v>
      </c>
      <c r="U274" s="144">
        <f t="shared" si="226"/>
        <v>0</v>
      </c>
      <c r="V274" s="144" t="str">
        <f t="shared" si="234"/>
        <v>Mulai berkembang</v>
      </c>
      <c r="W274" s="144" t="str">
        <f t="shared" si="235"/>
        <v>Mulai berkembang</v>
      </c>
      <c r="X274" s="144" t="e">
        <f t="shared" si="227"/>
        <v>#N/A</v>
      </c>
      <c r="Y274" s="145" t="e">
        <f t="shared" si="228"/>
        <v>#N/A</v>
      </c>
      <c r="Z274" s="218" t="str">
        <f>IF('PA-Non'!O274&lt;&gt;"",'PA-Non'!O274,IFERROR("Mempunyai kemampuan yang " &amp;IF(V274=W274,PROPER(W274)&amp;" dalam kompetensi "&amp;VLOOKUP(X274,$G$532:$I$539,3)&amp;" dan kompetensi "&amp;VLOOKUP(Y274,$G$532:$I$539,3),PROPER(V274)&amp;" dalam kompetensi "&amp;VLOOKUP(X274,$G$532:$I$539,3)&amp;" dan memiliki kemampuan yang "&amp;W274&amp;" pada kompetensi "&amp;VLOOKUP(Y274,$G$532:$I$539,3)),""))</f>
        <v/>
      </c>
      <c r="AA274" s="153"/>
      <c r="AB274" s="154"/>
      <c r="AC274" s="154"/>
      <c r="AD274" s="154"/>
      <c r="AE274" s="154"/>
      <c r="AF274" s="154"/>
      <c r="AG274" s="154"/>
      <c r="AH274" s="155"/>
      <c r="AI274" s="220" t="str">
        <f t="shared" si="229"/>
        <v/>
      </c>
      <c r="AJ274" s="160" t="str">
        <f>IF(AI274="","",IF(AI274&gt;Data2!$C$12,Data2!$D$11,IF(AI274&gt;Data2!$C$13,Data2!$D$12,IF(AI274&gt;Data2!$C$14,Data2!$D$13,Data2!$D$14))))</f>
        <v/>
      </c>
      <c r="AK274" s="146">
        <f t="shared" si="230"/>
        <v>0</v>
      </c>
      <c r="AL274" s="146">
        <f t="shared" si="231"/>
        <v>0</v>
      </c>
      <c r="AM274" s="147" t="str">
        <f t="shared" si="236"/>
        <v>Mulai meningkat</v>
      </c>
      <c r="AN274" s="147" t="str">
        <f t="shared" si="237"/>
        <v>Mulai meningkat</v>
      </c>
      <c r="AO274" s="146" t="e">
        <f t="shared" si="232"/>
        <v>#N/A</v>
      </c>
      <c r="AP274" s="148" t="e">
        <f t="shared" si="233"/>
        <v>#N/A</v>
      </c>
      <c r="AQ274" s="158" t="str">
        <f>IF('PA-Non'!V274&lt;&gt;"",'PA-Non'!V274,IFERROR("Mempunyai keterampilan yang "&amp;IF(AM274=AN274,PROPER(AN274)&amp;" dalam kompetensi "&amp;VLOOKUP(AO274,$AA$532:$AC$539,3)&amp;", demikian juga dalam kompetensi "&amp;VLOOKUP(AP274,$AA$532:$AC$539,3),PROPER(AM274)&amp;" dalam kompetensi "&amp;VLOOKUP(AO274,$AA$532:$AC$539,3)&amp;" dan "&amp;AN274&amp;" pada kompetensi "&amp;VLOOKUP(AP274,$AA$532:$AC$539,3)),""))</f>
        <v/>
      </c>
      <c r="AR274" s="188"/>
    </row>
    <row r="275" spans="2:44" ht="27.9" customHeight="1" thickBot="1" x14ac:dyDescent="0.35">
      <c r="B275" s="226" t="s">
        <v>125</v>
      </c>
      <c r="C275" s="149" t="str">
        <f t="shared" si="222"/>
        <v/>
      </c>
      <c r="D275" s="150" t="str">
        <f>IF(Data!F270="","",Data!F270)</f>
        <v/>
      </c>
      <c r="E275" s="151" t="str">
        <f>IF(Data!H270="","",Data!H270)</f>
        <v/>
      </c>
      <c r="F275" s="152" t="str">
        <f>IF(Data!I270="","",Data!I270)</f>
        <v/>
      </c>
      <c r="G275" s="153"/>
      <c r="H275" s="154"/>
      <c r="I275" s="154"/>
      <c r="J275" s="154"/>
      <c r="K275" s="154"/>
      <c r="L275" s="154"/>
      <c r="M275" s="154"/>
      <c r="N275" s="155"/>
      <c r="O275" s="157" t="str">
        <f t="shared" si="223"/>
        <v/>
      </c>
      <c r="P275" s="154"/>
      <c r="Q275" s="156"/>
      <c r="R275" s="157" t="str">
        <f t="shared" si="224"/>
        <v/>
      </c>
      <c r="S275" s="159" t="str">
        <f>IF(R275="","",IF(R275&gt;Data2!$C$12,Data2!$D$11,IF(R275&gt;Data2!$C$13,Data2!$D$12,IF(R275&gt;Data2!$C$14,Data2!$D$13,Data2!$D$14))))</f>
        <v/>
      </c>
      <c r="T275" s="144">
        <f t="shared" si="225"/>
        <v>0</v>
      </c>
      <c r="U275" s="144">
        <f t="shared" si="226"/>
        <v>0</v>
      </c>
      <c r="V275" s="144" t="str">
        <f t="shared" si="234"/>
        <v>Mulai berkembang</v>
      </c>
      <c r="W275" s="144" t="str">
        <f t="shared" si="235"/>
        <v>Mulai berkembang</v>
      </c>
      <c r="X275" s="144" t="e">
        <f t="shared" si="227"/>
        <v>#N/A</v>
      </c>
      <c r="Y275" s="145" t="e">
        <f t="shared" si="228"/>
        <v>#N/A</v>
      </c>
      <c r="Z275" s="218" t="str">
        <f>IF('PA-Non'!O275&lt;&gt;"",'PA-Non'!O275,IFERROR("Mempunyai kemampuan yang " &amp;IF(V275=W275,PROPER(W275)&amp;" dalam kompetensi "&amp;VLOOKUP(X275,$G$532:$I$539,3)&amp;" dan kompetensi "&amp;VLOOKUP(Y275,$G$532:$I$539,3),PROPER(V275)&amp;" dalam kompetensi "&amp;VLOOKUP(X275,$G$532:$I$539,3)&amp;" dan memiliki kemampuan yang "&amp;W275&amp;" pada kompetensi "&amp;VLOOKUP(Y275,$G$532:$I$539,3)),""))</f>
        <v/>
      </c>
      <c r="AA275" s="153"/>
      <c r="AB275" s="154"/>
      <c r="AC275" s="154"/>
      <c r="AD275" s="154"/>
      <c r="AE275" s="154"/>
      <c r="AF275" s="154"/>
      <c r="AG275" s="154"/>
      <c r="AH275" s="155"/>
      <c r="AI275" s="220" t="str">
        <f t="shared" si="229"/>
        <v/>
      </c>
      <c r="AJ275" s="160" t="str">
        <f>IF(AI275="","",IF(AI275&gt;Data2!$C$12,Data2!$D$11,IF(AI275&gt;Data2!$C$13,Data2!$D$12,IF(AI275&gt;Data2!$C$14,Data2!$D$13,Data2!$D$14))))</f>
        <v/>
      </c>
      <c r="AK275" s="146">
        <f t="shared" si="230"/>
        <v>0</v>
      </c>
      <c r="AL275" s="146">
        <f t="shared" si="231"/>
        <v>0</v>
      </c>
      <c r="AM275" s="147" t="str">
        <f t="shared" si="236"/>
        <v>Mulai meningkat</v>
      </c>
      <c r="AN275" s="147" t="str">
        <f t="shared" si="237"/>
        <v>Mulai meningkat</v>
      </c>
      <c r="AO275" s="146" t="e">
        <f t="shared" si="232"/>
        <v>#N/A</v>
      </c>
      <c r="AP275" s="148" t="e">
        <f t="shared" si="233"/>
        <v>#N/A</v>
      </c>
      <c r="AQ275" s="158" t="str">
        <f>IF('PA-Non'!V275&lt;&gt;"",'PA-Non'!V275,IFERROR("Mempunyai keterampilan yang "&amp;IF(AM275=AN275,PROPER(AN275)&amp;" dalam kompetensi "&amp;VLOOKUP(AO275,$AA$532:$AC$539,3)&amp;", demikian juga dalam kompetensi "&amp;VLOOKUP(AP275,$AA$532:$AC$539,3),PROPER(AM275)&amp;" dalam kompetensi "&amp;VLOOKUP(AO275,$AA$532:$AC$539,3)&amp;" dan "&amp;AN275&amp;" pada kompetensi "&amp;VLOOKUP(AP275,$AA$532:$AC$539,3)),""))</f>
        <v/>
      </c>
      <c r="AR275" s="188"/>
    </row>
    <row r="276" spans="2:44" ht="27.9" customHeight="1" thickBot="1" x14ac:dyDescent="0.35">
      <c r="B276" s="226" t="s">
        <v>125</v>
      </c>
      <c r="C276" s="149" t="str">
        <f t="shared" si="222"/>
        <v/>
      </c>
      <c r="D276" s="150" t="str">
        <f>IF(Data!F271="","",Data!F271)</f>
        <v/>
      </c>
      <c r="E276" s="151" t="str">
        <f>IF(Data!H271="","",Data!H271)</f>
        <v/>
      </c>
      <c r="F276" s="152" t="str">
        <f>IF(Data!I271="","",Data!I271)</f>
        <v/>
      </c>
      <c r="G276" s="153"/>
      <c r="H276" s="154"/>
      <c r="I276" s="154"/>
      <c r="J276" s="154"/>
      <c r="K276" s="154"/>
      <c r="L276" s="154"/>
      <c r="M276" s="154"/>
      <c r="N276" s="155"/>
      <c r="O276" s="157" t="str">
        <f t="shared" si="223"/>
        <v/>
      </c>
      <c r="P276" s="154"/>
      <c r="Q276" s="156"/>
      <c r="R276" s="157" t="str">
        <f t="shared" si="224"/>
        <v/>
      </c>
      <c r="S276" s="159" t="str">
        <f>IF(R276="","",IF(R276&gt;Data2!$C$12,Data2!$D$11,IF(R276&gt;Data2!$C$13,Data2!$D$12,IF(R276&gt;Data2!$C$14,Data2!$D$13,Data2!$D$14))))</f>
        <v/>
      </c>
      <c r="T276" s="144">
        <f t="shared" si="225"/>
        <v>0</v>
      </c>
      <c r="U276" s="144">
        <f t="shared" si="226"/>
        <v>0</v>
      </c>
      <c r="V276" s="144" t="str">
        <f t="shared" si="234"/>
        <v>Mulai berkembang</v>
      </c>
      <c r="W276" s="144" t="str">
        <f t="shared" si="235"/>
        <v>Mulai berkembang</v>
      </c>
      <c r="X276" s="144" t="e">
        <f t="shared" si="227"/>
        <v>#N/A</v>
      </c>
      <c r="Y276" s="145" t="e">
        <f t="shared" si="228"/>
        <v>#N/A</v>
      </c>
      <c r="Z276" s="218" t="str">
        <f>IF('PA-Non'!O276&lt;&gt;"",'PA-Non'!O276,IFERROR("Mempunyai kemampuan yang " &amp;IF(V276=W276,PROPER(W276)&amp;" dalam kompetensi "&amp;VLOOKUP(X276,$G$532:$I$539,3)&amp;" dan kompetensi "&amp;VLOOKUP(Y276,$G$532:$I$539,3),PROPER(V276)&amp;" dalam kompetensi "&amp;VLOOKUP(X276,$G$532:$I$539,3)&amp;" dan memiliki kemampuan yang "&amp;W276&amp;" pada kompetensi "&amp;VLOOKUP(Y276,$G$532:$I$539,3)),""))</f>
        <v/>
      </c>
      <c r="AA276" s="153"/>
      <c r="AB276" s="154"/>
      <c r="AC276" s="154"/>
      <c r="AD276" s="154"/>
      <c r="AE276" s="154"/>
      <c r="AF276" s="154"/>
      <c r="AG276" s="154"/>
      <c r="AH276" s="155"/>
      <c r="AI276" s="220" t="str">
        <f t="shared" si="229"/>
        <v/>
      </c>
      <c r="AJ276" s="160" t="str">
        <f>IF(AI276="","",IF(AI276&gt;Data2!$C$12,Data2!$D$11,IF(AI276&gt;Data2!$C$13,Data2!$D$12,IF(AI276&gt;Data2!$C$14,Data2!$D$13,Data2!$D$14))))</f>
        <v/>
      </c>
      <c r="AK276" s="146">
        <f t="shared" si="230"/>
        <v>0</v>
      </c>
      <c r="AL276" s="146">
        <f t="shared" si="231"/>
        <v>0</v>
      </c>
      <c r="AM276" s="147" t="str">
        <f t="shared" si="236"/>
        <v>Mulai meningkat</v>
      </c>
      <c r="AN276" s="147" t="str">
        <f t="shared" si="237"/>
        <v>Mulai meningkat</v>
      </c>
      <c r="AO276" s="146" t="e">
        <f t="shared" si="232"/>
        <v>#N/A</v>
      </c>
      <c r="AP276" s="148" t="e">
        <f t="shared" si="233"/>
        <v>#N/A</v>
      </c>
      <c r="AQ276" s="158" t="str">
        <f>IF('PA-Non'!V276&lt;&gt;"",'PA-Non'!V276,IFERROR("Mempunyai keterampilan yang "&amp;IF(AM276=AN276,PROPER(AN276)&amp;" dalam kompetensi "&amp;VLOOKUP(AO276,$AA$532:$AC$539,3)&amp;", demikian juga dalam kompetensi "&amp;VLOOKUP(AP276,$AA$532:$AC$539,3),PROPER(AM276)&amp;" dalam kompetensi "&amp;VLOOKUP(AO276,$AA$532:$AC$539,3)&amp;" dan "&amp;AN276&amp;" pada kompetensi "&amp;VLOOKUP(AP276,$AA$532:$AC$539,3)),""))</f>
        <v/>
      </c>
      <c r="AR276" s="188"/>
    </row>
    <row r="277" spans="2:44" ht="27.9" customHeight="1" thickBot="1" x14ac:dyDescent="0.35">
      <c r="B277" s="226" t="s">
        <v>125</v>
      </c>
      <c r="C277" s="149" t="str">
        <f t="shared" si="222"/>
        <v/>
      </c>
      <c r="D277" s="150" t="str">
        <f>IF(Data!F272="","",Data!F272)</f>
        <v/>
      </c>
      <c r="E277" s="151" t="str">
        <f>IF(Data!H272="","",Data!H272)</f>
        <v/>
      </c>
      <c r="F277" s="152" t="str">
        <f>IF(Data!I272="","",Data!I272)</f>
        <v/>
      </c>
      <c r="G277" s="153"/>
      <c r="H277" s="154"/>
      <c r="I277" s="154"/>
      <c r="J277" s="154"/>
      <c r="K277" s="154"/>
      <c r="L277" s="154"/>
      <c r="M277" s="154"/>
      <c r="N277" s="155"/>
      <c r="O277" s="157" t="str">
        <f t="shared" si="223"/>
        <v/>
      </c>
      <c r="P277" s="154"/>
      <c r="Q277" s="156"/>
      <c r="R277" s="157" t="str">
        <f t="shared" si="224"/>
        <v/>
      </c>
      <c r="S277" s="159" t="str">
        <f>IF(R277="","",IF(R277&gt;Data2!$C$12,Data2!$D$11,IF(R277&gt;Data2!$C$13,Data2!$D$12,IF(R277&gt;Data2!$C$14,Data2!$D$13,Data2!$D$14))))</f>
        <v/>
      </c>
      <c r="T277" s="144">
        <f t="shared" si="225"/>
        <v>0</v>
      </c>
      <c r="U277" s="144">
        <f t="shared" si="226"/>
        <v>0</v>
      </c>
      <c r="V277" s="144" t="str">
        <f t="shared" si="234"/>
        <v>Mulai berkembang</v>
      </c>
      <c r="W277" s="144" t="str">
        <f t="shared" si="235"/>
        <v>Mulai berkembang</v>
      </c>
      <c r="X277" s="144" t="e">
        <f t="shared" si="227"/>
        <v>#N/A</v>
      </c>
      <c r="Y277" s="145" t="e">
        <f t="shared" si="228"/>
        <v>#N/A</v>
      </c>
      <c r="Z277" s="218" t="str">
        <f>IF('PA-Non'!O277&lt;&gt;"",'PA-Non'!O277,IFERROR("Mempunyai kemampuan yang " &amp;IF(V277=W277,PROPER(W277)&amp;" dalam kompetensi "&amp;VLOOKUP(X277,$G$532:$I$539,3)&amp;" dan kompetensi "&amp;VLOOKUP(Y277,$G$532:$I$539,3),PROPER(V277)&amp;" dalam kompetensi "&amp;VLOOKUP(X277,$G$532:$I$539,3)&amp;" dan memiliki kemampuan yang "&amp;W277&amp;" pada kompetensi "&amp;VLOOKUP(Y277,$G$532:$I$539,3)),""))</f>
        <v/>
      </c>
      <c r="AA277" s="153"/>
      <c r="AB277" s="154"/>
      <c r="AC277" s="154"/>
      <c r="AD277" s="154"/>
      <c r="AE277" s="154"/>
      <c r="AF277" s="154"/>
      <c r="AG277" s="154"/>
      <c r="AH277" s="155"/>
      <c r="AI277" s="220" t="str">
        <f t="shared" si="229"/>
        <v/>
      </c>
      <c r="AJ277" s="160" t="str">
        <f>IF(AI277="","",IF(AI277&gt;Data2!$C$12,Data2!$D$11,IF(AI277&gt;Data2!$C$13,Data2!$D$12,IF(AI277&gt;Data2!$C$14,Data2!$D$13,Data2!$D$14))))</f>
        <v/>
      </c>
      <c r="AK277" s="146">
        <f t="shared" si="230"/>
        <v>0</v>
      </c>
      <c r="AL277" s="146">
        <f t="shared" si="231"/>
        <v>0</v>
      </c>
      <c r="AM277" s="147" t="str">
        <f t="shared" si="236"/>
        <v>Mulai meningkat</v>
      </c>
      <c r="AN277" s="147" t="str">
        <f t="shared" si="237"/>
        <v>Mulai meningkat</v>
      </c>
      <c r="AO277" s="146" t="e">
        <f t="shared" si="232"/>
        <v>#N/A</v>
      </c>
      <c r="AP277" s="148" t="e">
        <f t="shared" si="233"/>
        <v>#N/A</v>
      </c>
      <c r="AQ277" s="158" t="str">
        <f>IF('PA-Non'!V277&lt;&gt;"",'PA-Non'!V277,IFERROR("Mempunyai keterampilan yang "&amp;IF(AM277=AN277,PROPER(AN277)&amp;" dalam kompetensi "&amp;VLOOKUP(AO277,$AA$532:$AC$539,3)&amp;", demikian juga dalam kompetensi "&amp;VLOOKUP(AP277,$AA$532:$AC$539,3),PROPER(AM277)&amp;" dalam kompetensi "&amp;VLOOKUP(AO277,$AA$532:$AC$539,3)&amp;" dan "&amp;AN277&amp;" pada kompetensi "&amp;VLOOKUP(AP277,$AA$532:$AC$539,3)),""))</f>
        <v/>
      </c>
      <c r="AR277" s="188"/>
    </row>
    <row r="278" spans="2:44" ht="27.9" customHeight="1" thickBot="1" x14ac:dyDescent="0.35">
      <c r="B278" s="226" t="s">
        <v>125</v>
      </c>
      <c r="C278" s="149" t="str">
        <f t="shared" si="222"/>
        <v/>
      </c>
      <c r="D278" s="150" t="str">
        <f>IF(Data!F273="","",Data!F273)</f>
        <v/>
      </c>
      <c r="E278" s="151" t="str">
        <f>IF(Data!H273="","",Data!H273)</f>
        <v/>
      </c>
      <c r="F278" s="152" t="str">
        <f>IF(Data!I273="","",Data!I273)</f>
        <v/>
      </c>
      <c r="G278" s="153"/>
      <c r="H278" s="154"/>
      <c r="I278" s="154"/>
      <c r="J278" s="154"/>
      <c r="K278" s="154"/>
      <c r="L278" s="154"/>
      <c r="M278" s="154"/>
      <c r="N278" s="155"/>
      <c r="O278" s="157" t="str">
        <f t="shared" si="223"/>
        <v/>
      </c>
      <c r="P278" s="154"/>
      <c r="Q278" s="156"/>
      <c r="R278" s="157" t="str">
        <f t="shared" si="224"/>
        <v/>
      </c>
      <c r="S278" s="159" t="str">
        <f>IF(R278="","",IF(R278&gt;Data2!$C$12,Data2!$D$11,IF(R278&gt;Data2!$C$13,Data2!$D$12,IF(R278&gt;Data2!$C$14,Data2!$D$13,Data2!$D$14))))</f>
        <v/>
      </c>
      <c r="T278" s="144">
        <f t="shared" si="225"/>
        <v>0</v>
      </c>
      <c r="U278" s="144">
        <f t="shared" si="226"/>
        <v>0</v>
      </c>
      <c r="V278" s="144" t="str">
        <f t="shared" si="234"/>
        <v>Mulai berkembang</v>
      </c>
      <c r="W278" s="144" t="str">
        <f t="shared" si="235"/>
        <v>Mulai berkembang</v>
      </c>
      <c r="X278" s="144" t="e">
        <f t="shared" si="227"/>
        <v>#N/A</v>
      </c>
      <c r="Y278" s="145" t="e">
        <f t="shared" si="228"/>
        <v>#N/A</v>
      </c>
      <c r="Z278" s="218" t="str">
        <f>IF('PA-Non'!O278&lt;&gt;"",'PA-Non'!O278,IFERROR("Mempunyai kemampuan yang " &amp;IF(V278=W278,PROPER(W278)&amp;" dalam kompetensi "&amp;VLOOKUP(X278,$G$532:$I$539,3)&amp;" dan kompetensi "&amp;VLOOKUP(Y278,$G$532:$I$539,3),PROPER(V278)&amp;" dalam kompetensi "&amp;VLOOKUP(X278,$G$532:$I$539,3)&amp;" dan memiliki kemampuan yang "&amp;W278&amp;" pada kompetensi "&amp;VLOOKUP(Y278,$G$532:$I$539,3)),""))</f>
        <v/>
      </c>
      <c r="AA278" s="153"/>
      <c r="AB278" s="154"/>
      <c r="AC278" s="154"/>
      <c r="AD278" s="154"/>
      <c r="AE278" s="154"/>
      <c r="AF278" s="154"/>
      <c r="AG278" s="154"/>
      <c r="AH278" s="155"/>
      <c r="AI278" s="220" t="str">
        <f t="shared" si="229"/>
        <v/>
      </c>
      <c r="AJ278" s="160" t="str">
        <f>IF(AI278="","",IF(AI278&gt;Data2!$C$12,Data2!$D$11,IF(AI278&gt;Data2!$C$13,Data2!$D$12,IF(AI278&gt;Data2!$C$14,Data2!$D$13,Data2!$D$14))))</f>
        <v/>
      </c>
      <c r="AK278" s="146">
        <f t="shared" si="230"/>
        <v>0</v>
      </c>
      <c r="AL278" s="146">
        <f t="shared" si="231"/>
        <v>0</v>
      </c>
      <c r="AM278" s="147" t="str">
        <f t="shared" si="236"/>
        <v>Mulai meningkat</v>
      </c>
      <c r="AN278" s="147" t="str">
        <f t="shared" si="237"/>
        <v>Mulai meningkat</v>
      </c>
      <c r="AO278" s="146" t="e">
        <f t="shared" si="232"/>
        <v>#N/A</v>
      </c>
      <c r="AP278" s="148" t="e">
        <f t="shared" si="233"/>
        <v>#N/A</v>
      </c>
      <c r="AQ278" s="158" t="str">
        <f>IF('PA-Non'!V278&lt;&gt;"",'PA-Non'!V278,IFERROR("Mempunyai keterampilan yang "&amp;IF(AM278=AN278,PROPER(AN278)&amp;" dalam kompetensi "&amp;VLOOKUP(AO278,$AA$532:$AC$539,3)&amp;", demikian juga dalam kompetensi "&amp;VLOOKUP(AP278,$AA$532:$AC$539,3),PROPER(AM278)&amp;" dalam kompetensi "&amp;VLOOKUP(AO278,$AA$532:$AC$539,3)&amp;" dan "&amp;AN278&amp;" pada kompetensi "&amp;VLOOKUP(AP278,$AA$532:$AC$539,3)),""))</f>
        <v/>
      </c>
      <c r="AR278" s="188"/>
    </row>
    <row r="279" spans="2:44" ht="27.9" customHeight="1" thickBot="1" x14ac:dyDescent="0.35">
      <c r="B279" s="226" t="s">
        <v>125</v>
      </c>
      <c r="C279" s="149" t="str">
        <f t="shared" si="222"/>
        <v/>
      </c>
      <c r="D279" s="150" t="str">
        <f>IF(Data!F274="","",Data!F274)</f>
        <v/>
      </c>
      <c r="E279" s="151" t="str">
        <f>IF(Data!H274="","",Data!H274)</f>
        <v/>
      </c>
      <c r="F279" s="152" t="str">
        <f>IF(Data!I274="","",Data!I274)</f>
        <v/>
      </c>
      <c r="G279" s="153"/>
      <c r="H279" s="154"/>
      <c r="I279" s="154"/>
      <c r="J279" s="154"/>
      <c r="K279" s="154"/>
      <c r="L279" s="154"/>
      <c r="M279" s="154"/>
      <c r="N279" s="155"/>
      <c r="O279" s="157" t="str">
        <f t="shared" si="223"/>
        <v/>
      </c>
      <c r="P279" s="154"/>
      <c r="Q279" s="156"/>
      <c r="R279" s="157" t="str">
        <f t="shared" si="224"/>
        <v/>
      </c>
      <c r="S279" s="159" t="str">
        <f>IF(R279="","",IF(R279&gt;Data2!$C$12,Data2!$D$11,IF(R279&gt;Data2!$C$13,Data2!$D$12,IF(R279&gt;Data2!$C$14,Data2!$D$13,Data2!$D$14))))</f>
        <v/>
      </c>
      <c r="T279" s="144">
        <f t="shared" si="225"/>
        <v>0</v>
      </c>
      <c r="U279" s="144">
        <f t="shared" si="226"/>
        <v>0</v>
      </c>
      <c r="V279" s="144" t="str">
        <f t="shared" si="234"/>
        <v>Mulai berkembang</v>
      </c>
      <c r="W279" s="144" t="str">
        <f t="shared" si="235"/>
        <v>Mulai berkembang</v>
      </c>
      <c r="X279" s="144" t="e">
        <f t="shared" si="227"/>
        <v>#N/A</v>
      </c>
      <c r="Y279" s="145" t="e">
        <f t="shared" si="228"/>
        <v>#N/A</v>
      </c>
      <c r="Z279" s="218" t="str">
        <f>IF('PA-Non'!O279&lt;&gt;"",'PA-Non'!O279,IFERROR("Mempunyai kemampuan yang " &amp;IF(V279=W279,PROPER(W279)&amp;" dalam kompetensi "&amp;VLOOKUP(X279,$G$532:$I$539,3)&amp;" dan kompetensi "&amp;VLOOKUP(Y279,$G$532:$I$539,3),PROPER(V279)&amp;" dalam kompetensi "&amp;VLOOKUP(X279,$G$532:$I$539,3)&amp;" dan memiliki kemampuan yang "&amp;W279&amp;" pada kompetensi "&amp;VLOOKUP(Y279,$G$532:$I$539,3)),""))</f>
        <v/>
      </c>
      <c r="AA279" s="153"/>
      <c r="AB279" s="154"/>
      <c r="AC279" s="154"/>
      <c r="AD279" s="154"/>
      <c r="AE279" s="154"/>
      <c r="AF279" s="154"/>
      <c r="AG279" s="154"/>
      <c r="AH279" s="155"/>
      <c r="AI279" s="220" t="str">
        <f t="shared" si="229"/>
        <v/>
      </c>
      <c r="AJ279" s="160" t="str">
        <f>IF(AI279="","",IF(AI279&gt;Data2!$C$12,Data2!$D$11,IF(AI279&gt;Data2!$C$13,Data2!$D$12,IF(AI279&gt;Data2!$C$14,Data2!$D$13,Data2!$D$14))))</f>
        <v/>
      </c>
      <c r="AK279" s="146">
        <f t="shared" si="230"/>
        <v>0</v>
      </c>
      <c r="AL279" s="146">
        <f t="shared" si="231"/>
        <v>0</v>
      </c>
      <c r="AM279" s="147" t="str">
        <f t="shared" si="236"/>
        <v>Mulai meningkat</v>
      </c>
      <c r="AN279" s="147" t="str">
        <f t="shared" si="237"/>
        <v>Mulai meningkat</v>
      </c>
      <c r="AO279" s="146" t="e">
        <f t="shared" si="232"/>
        <v>#N/A</v>
      </c>
      <c r="AP279" s="148" t="e">
        <f t="shared" si="233"/>
        <v>#N/A</v>
      </c>
      <c r="AQ279" s="158" t="str">
        <f>IF('PA-Non'!V279&lt;&gt;"",'PA-Non'!V279,IFERROR("Mempunyai keterampilan yang "&amp;IF(AM279=AN279,PROPER(AN279)&amp;" dalam kompetensi "&amp;VLOOKUP(AO279,$AA$532:$AC$539,3)&amp;", demikian juga dalam kompetensi "&amp;VLOOKUP(AP279,$AA$532:$AC$539,3),PROPER(AM279)&amp;" dalam kompetensi "&amp;VLOOKUP(AO279,$AA$532:$AC$539,3)&amp;" dan "&amp;AN279&amp;" pada kompetensi "&amp;VLOOKUP(AP279,$AA$532:$AC$539,3)),""))</f>
        <v/>
      </c>
      <c r="AR279" s="188"/>
    </row>
    <row r="280" spans="2:44" ht="27.9" customHeight="1" thickBot="1" x14ac:dyDescent="0.35">
      <c r="B280" s="226" t="s">
        <v>125</v>
      </c>
      <c r="C280" s="149" t="str">
        <f t="shared" si="222"/>
        <v/>
      </c>
      <c r="D280" s="150" t="str">
        <f>IF(Data!F275="","",Data!F275)</f>
        <v/>
      </c>
      <c r="E280" s="151" t="str">
        <f>IF(Data!H275="","",Data!H275)</f>
        <v/>
      </c>
      <c r="F280" s="152" t="str">
        <f>IF(Data!I275="","",Data!I275)</f>
        <v/>
      </c>
      <c r="G280" s="153"/>
      <c r="H280" s="154"/>
      <c r="I280" s="154"/>
      <c r="J280" s="154"/>
      <c r="K280" s="154"/>
      <c r="L280" s="154"/>
      <c r="M280" s="154"/>
      <c r="N280" s="155"/>
      <c r="O280" s="157" t="str">
        <f t="shared" si="223"/>
        <v/>
      </c>
      <c r="P280" s="154"/>
      <c r="Q280" s="156"/>
      <c r="R280" s="157" t="str">
        <f t="shared" si="224"/>
        <v/>
      </c>
      <c r="S280" s="159" t="str">
        <f>IF(R280="","",IF(R280&gt;Data2!$C$12,Data2!$D$11,IF(R280&gt;Data2!$C$13,Data2!$D$12,IF(R280&gt;Data2!$C$14,Data2!$D$13,Data2!$D$14))))</f>
        <v/>
      </c>
      <c r="T280" s="144">
        <f t="shared" si="225"/>
        <v>0</v>
      </c>
      <c r="U280" s="144">
        <f t="shared" si="226"/>
        <v>0</v>
      </c>
      <c r="V280" s="144" t="str">
        <f t="shared" si="234"/>
        <v>Mulai berkembang</v>
      </c>
      <c r="W280" s="144" t="str">
        <f t="shared" si="235"/>
        <v>Mulai berkembang</v>
      </c>
      <c r="X280" s="144" t="e">
        <f t="shared" si="227"/>
        <v>#N/A</v>
      </c>
      <c r="Y280" s="145" t="e">
        <f t="shared" si="228"/>
        <v>#N/A</v>
      </c>
      <c r="Z280" s="218" t="str">
        <f>IF('PA-Non'!O280&lt;&gt;"",'PA-Non'!O280,IFERROR("Mempunyai kemampuan yang " &amp;IF(V280=W280,PROPER(W280)&amp;" dalam kompetensi "&amp;VLOOKUP(X280,$G$532:$I$539,3)&amp;" dan kompetensi "&amp;VLOOKUP(Y280,$G$532:$I$539,3),PROPER(V280)&amp;" dalam kompetensi "&amp;VLOOKUP(X280,$G$532:$I$539,3)&amp;" dan memiliki kemampuan yang "&amp;W280&amp;" pada kompetensi "&amp;VLOOKUP(Y280,$G$532:$I$539,3)),""))</f>
        <v/>
      </c>
      <c r="AA280" s="153"/>
      <c r="AB280" s="154"/>
      <c r="AC280" s="154"/>
      <c r="AD280" s="154"/>
      <c r="AE280" s="154"/>
      <c r="AF280" s="154"/>
      <c r="AG280" s="154"/>
      <c r="AH280" s="155"/>
      <c r="AI280" s="220" t="str">
        <f t="shared" si="229"/>
        <v/>
      </c>
      <c r="AJ280" s="160" t="str">
        <f>IF(AI280="","",IF(AI280&gt;Data2!$C$12,Data2!$D$11,IF(AI280&gt;Data2!$C$13,Data2!$D$12,IF(AI280&gt;Data2!$C$14,Data2!$D$13,Data2!$D$14))))</f>
        <v/>
      </c>
      <c r="AK280" s="146">
        <f t="shared" si="230"/>
        <v>0</v>
      </c>
      <c r="AL280" s="146">
        <f t="shared" si="231"/>
        <v>0</v>
      </c>
      <c r="AM280" s="147" t="str">
        <f t="shared" si="236"/>
        <v>Mulai meningkat</v>
      </c>
      <c r="AN280" s="147" t="str">
        <f t="shared" si="237"/>
        <v>Mulai meningkat</v>
      </c>
      <c r="AO280" s="146" t="e">
        <f t="shared" si="232"/>
        <v>#N/A</v>
      </c>
      <c r="AP280" s="148" t="e">
        <f t="shared" si="233"/>
        <v>#N/A</v>
      </c>
      <c r="AQ280" s="158" t="str">
        <f>IF('PA-Non'!V280&lt;&gt;"",'PA-Non'!V280,IFERROR("Mempunyai keterampilan yang "&amp;IF(AM280=AN280,PROPER(AN280)&amp;" dalam kompetensi "&amp;VLOOKUP(AO280,$AA$532:$AC$539,3)&amp;", demikian juga dalam kompetensi "&amp;VLOOKUP(AP280,$AA$532:$AC$539,3),PROPER(AM280)&amp;" dalam kompetensi "&amp;VLOOKUP(AO280,$AA$532:$AC$539,3)&amp;" dan "&amp;AN280&amp;" pada kompetensi "&amp;VLOOKUP(AP280,$AA$532:$AC$539,3)),""))</f>
        <v/>
      </c>
      <c r="AR280" s="188"/>
    </row>
    <row r="281" spans="2:44" ht="27.9" customHeight="1" thickBot="1" x14ac:dyDescent="0.35">
      <c r="B281" s="226" t="s">
        <v>125</v>
      </c>
      <c r="C281" s="149" t="str">
        <f t="shared" si="222"/>
        <v/>
      </c>
      <c r="D281" s="150" t="str">
        <f>IF(Data!F276="","",Data!F276)</f>
        <v/>
      </c>
      <c r="E281" s="151" t="str">
        <f>IF(Data!H276="","",Data!H276)</f>
        <v/>
      </c>
      <c r="F281" s="152" t="str">
        <f>IF(Data!I276="","",Data!I276)</f>
        <v/>
      </c>
      <c r="G281" s="153"/>
      <c r="H281" s="154"/>
      <c r="I281" s="154"/>
      <c r="J281" s="154"/>
      <c r="K281" s="154"/>
      <c r="L281" s="154"/>
      <c r="M281" s="154"/>
      <c r="N281" s="155"/>
      <c r="O281" s="157" t="str">
        <f t="shared" si="223"/>
        <v/>
      </c>
      <c r="P281" s="154"/>
      <c r="Q281" s="156"/>
      <c r="R281" s="157" t="str">
        <f t="shared" si="224"/>
        <v/>
      </c>
      <c r="S281" s="159" t="str">
        <f>IF(R281="","",IF(R281&gt;Data2!$C$12,Data2!$D$11,IF(R281&gt;Data2!$C$13,Data2!$D$12,IF(R281&gt;Data2!$C$14,Data2!$D$13,Data2!$D$14))))</f>
        <v/>
      </c>
      <c r="T281" s="144">
        <f t="shared" si="225"/>
        <v>0</v>
      </c>
      <c r="U281" s="144">
        <f t="shared" si="226"/>
        <v>0</v>
      </c>
      <c r="V281" s="144" t="str">
        <f t="shared" si="234"/>
        <v>Mulai berkembang</v>
      </c>
      <c r="W281" s="144" t="str">
        <f t="shared" si="235"/>
        <v>Mulai berkembang</v>
      </c>
      <c r="X281" s="144" t="e">
        <f t="shared" si="227"/>
        <v>#N/A</v>
      </c>
      <c r="Y281" s="145" t="e">
        <f t="shared" si="228"/>
        <v>#N/A</v>
      </c>
      <c r="Z281" s="218" t="str">
        <f>IF('PA-Non'!O281&lt;&gt;"",'PA-Non'!O281,IFERROR("Mempunyai kemampuan yang " &amp;IF(V281=W281,PROPER(W281)&amp;" dalam kompetensi "&amp;VLOOKUP(X281,$G$532:$I$539,3)&amp;" dan kompetensi "&amp;VLOOKUP(Y281,$G$532:$I$539,3),PROPER(V281)&amp;" dalam kompetensi "&amp;VLOOKUP(X281,$G$532:$I$539,3)&amp;" dan memiliki kemampuan yang "&amp;W281&amp;" pada kompetensi "&amp;VLOOKUP(Y281,$G$532:$I$539,3)),""))</f>
        <v/>
      </c>
      <c r="AA281" s="153"/>
      <c r="AB281" s="154"/>
      <c r="AC281" s="154"/>
      <c r="AD281" s="154"/>
      <c r="AE281" s="154"/>
      <c r="AF281" s="154"/>
      <c r="AG281" s="154"/>
      <c r="AH281" s="155"/>
      <c r="AI281" s="220" t="str">
        <f t="shared" si="229"/>
        <v/>
      </c>
      <c r="AJ281" s="160" t="str">
        <f>IF(AI281="","",IF(AI281&gt;Data2!$C$12,Data2!$D$11,IF(AI281&gt;Data2!$C$13,Data2!$D$12,IF(AI281&gt;Data2!$C$14,Data2!$D$13,Data2!$D$14))))</f>
        <v/>
      </c>
      <c r="AK281" s="146">
        <f t="shared" si="230"/>
        <v>0</v>
      </c>
      <c r="AL281" s="146">
        <f t="shared" si="231"/>
        <v>0</v>
      </c>
      <c r="AM281" s="147" t="str">
        <f t="shared" si="236"/>
        <v>Mulai meningkat</v>
      </c>
      <c r="AN281" s="147" t="str">
        <f t="shared" si="237"/>
        <v>Mulai meningkat</v>
      </c>
      <c r="AO281" s="146" t="e">
        <f t="shared" si="232"/>
        <v>#N/A</v>
      </c>
      <c r="AP281" s="148" t="e">
        <f t="shared" si="233"/>
        <v>#N/A</v>
      </c>
      <c r="AQ281" s="158" t="str">
        <f>IF('PA-Non'!V281&lt;&gt;"",'PA-Non'!V281,IFERROR("Mempunyai keterampilan yang "&amp;IF(AM281=AN281,PROPER(AN281)&amp;" dalam kompetensi "&amp;VLOOKUP(AO281,$AA$532:$AC$539,3)&amp;", demikian juga dalam kompetensi "&amp;VLOOKUP(AP281,$AA$532:$AC$539,3),PROPER(AM281)&amp;" dalam kompetensi "&amp;VLOOKUP(AO281,$AA$532:$AC$539,3)&amp;" dan "&amp;AN281&amp;" pada kompetensi "&amp;VLOOKUP(AP281,$AA$532:$AC$539,3)),""))</f>
        <v/>
      </c>
      <c r="AR281" s="188"/>
    </row>
    <row r="282" spans="2:44" ht="27.9" customHeight="1" thickBot="1" x14ac:dyDescent="0.35">
      <c r="B282" s="226" t="s">
        <v>125</v>
      </c>
      <c r="C282" s="149" t="str">
        <f t="shared" si="222"/>
        <v/>
      </c>
      <c r="D282" s="150" t="str">
        <f>IF(Data!F277="","",Data!F277)</f>
        <v/>
      </c>
      <c r="E282" s="151" t="str">
        <f>IF(Data!H277="","",Data!H277)</f>
        <v/>
      </c>
      <c r="F282" s="152" t="str">
        <f>IF(Data!I277="","",Data!I277)</f>
        <v/>
      </c>
      <c r="G282" s="153"/>
      <c r="H282" s="154"/>
      <c r="I282" s="154"/>
      <c r="J282" s="154"/>
      <c r="K282" s="154"/>
      <c r="L282" s="154"/>
      <c r="M282" s="154"/>
      <c r="N282" s="155"/>
      <c r="O282" s="157" t="str">
        <f t="shared" si="223"/>
        <v/>
      </c>
      <c r="P282" s="154"/>
      <c r="Q282" s="156"/>
      <c r="R282" s="157" t="str">
        <f t="shared" si="224"/>
        <v/>
      </c>
      <c r="S282" s="159" t="str">
        <f>IF(R282="","",IF(R282&gt;Data2!$C$12,Data2!$D$11,IF(R282&gt;Data2!$C$13,Data2!$D$12,IF(R282&gt;Data2!$C$14,Data2!$D$13,Data2!$D$14))))</f>
        <v/>
      </c>
      <c r="T282" s="144">
        <f t="shared" si="225"/>
        <v>0</v>
      </c>
      <c r="U282" s="144">
        <f t="shared" si="226"/>
        <v>0</v>
      </c>
      <c r="V282" s="144" t="str">
        <f t="shared" si="234"/>
        <v>Mulai berkembang</v>
      </c>
      <c r="W282" s="144" t="str">
        <f t="shared" si="235"/>
        <v>Mulai berkembang</v>
      </c>
      <c r="X282" s="144" t="e">
        <f t="shared" si="227"/>
        <v>#N/A</v>
      </c>
      <c r="Y282" s="145" t="e">
        <f t="shared" si="228"/>
        <v>#N/A</v>
      </c>
      <c r="Z282" s="218" t="str">
        <f>IF('PA-Non'!O282&lt;&gt;"",'PA-Non'!O282,IFERROR("Mempunyai kemampuan yang " &amp;IF(V282=W282,PROPER(W282)&amp;" dalam kompetensi "&amp;VLOOKUP(X282,$G$532:$I$539,3)&amp;" dan kompetensi "&amp;VLOOKUP(Y282,$G$532:$I$539,3),PROPER(V282)&amp;" dalam kompetensi "&amp;VLOOKUP(X282,$G$532:$I$539,3)&amp;" dan memiliki kemampuan yang "&amp;W282&amp;" pada kompetensi "&amp;VLOOKUP(Y282,$G$532:$I$539,3)),""))</f>
        <v/>
      </c>
      <c r="AA282" s="153"/>
      <c r="AB282" s="154"/>
      <c r="AC282" s="154"/>
      <c r="AD282" s="154"/>
      <c r="AE282" s="154"/>
      <c r="AF282" s="154"/>
      <c r="AG282" s="154"/>
      <c r="AH282" s="155"/>
      <c r="AI282" s="220" t="str">
        <f t="shared" si="229"/>
        <v/>
      </c>
      <c r="AJ282" s="160" t="str">
        <f>IF(AI282="","",IF(AI282&gt;Data2!$C$12,Data2!$D$11,IF(AI282&gt;Data2!$C$13,Data2!$D$12,IF(AI282&gt;Data2!$C$14,Data2!$D$13,Data2!$D$14))))</f>
        <v/>
      </c>
      <c r="AK282" s="146">
        <f t="shared" si="230"/>
        <v>0</v>
      </c>
      <c r="AL282" s="146">
        <f t="shared" si="231"/>
        <v>0</v>
      </c>
      <c r="AM282" s="147" t="str">
        <f t="shared" si="236"/>
        <v>Mulai meningkat</v>
      </c>
      <c r="AN282" s="147" t="str">
        <f t="shared" si="237"/>
        <v>Mulai meningkat</v>
      </c>
      <c r="AO282" s="146" t="e">
        <f t="shared" si="232"/>
        <v>#N/A</v>
      </c>
      <c r="AP282" s="148" t="e">
        <f t="shared" si="233"/>
        <v>#N/A</v>
      </c>
      <c r="AQ282" s="158" t="str">
        <f>IF('PA-Non'!V282&lt;&gt;"",'PA-Non'!V282,IFERROR("Mempunyai keterampilan yang "&amp;IF(AM282=AN282,PROPER(AN282)&amp;" dalam kompetensi "&amp;VLOOKUP(AO282,$AA$532:$AC$539,3)&amp;", demikian juga dalam kompetensi "&amp;VLOOKUP(AP282,$AA$532:$AC$539,3),PROPER(AM282)&amp;" dalam kompetensi "&amp;VLOOKUP(AO282,$AA$532:$AC$539,3)&amp;" dan "&amp;AN282&amp;" pada kompetensi "&amp;VLOOKUP(AP282,$AA$532:$AC$539,3)),""))</f>
        <v/>
      </c>
      <c r="AR282" s="188"/>
    </row>
    <row r="283" spans="2:44" ht="27.9" customHeight="1" thickBot="1" x14ac:dyDescent="0.35">
      <c r="B283" s="226" t="s">
        <v>125</v>
      </c>
      <c r="C283" s="149" t="str">
        <f t="shared" si="222"/>
        <v/>
      </c>
      <c r="D283" s="150" t="str">
        <f>IF(Data!F278="","",Data!F278)</f>
        <v/>
      </c>
      <c r="E283" s="151" t="str">
        <f>IF(Data!H278="","",Data!H278)</f>
        <v/>
      </c>
      <c r="F283" s="152" t="str">
        <f>IF(Data!I278="","",Data!I278)</f>
        <v/>
      </c>
      <c r="G283" s="153"/>
      <c r="H283" s="154"/>
      <c r="I283" s="154"/>
      <c r="J283" s="154"/>
      <c r="K283" s="154"/>
      <c r="L283" s="154"/>
      <c r="M283" s="154"/>
      <c r="N283" s="155"/>
      <c r="O283" s="157" t="str">
        <f t="shared" si="223"/>
        <v/>
      </c>
      <c r="P283" s="154"/>
      <c r="Q283" s="156"/>
      <c r="R283" s="157" t="str">
        <f t="shared" si="224"/>
        <v/>
      </c>
      <c r="S283" s="159" t="str">
        <f>IF(R283="","",IF(R283&gt;Data2!$C$12,Data2!$D$11,IF(R283&gt;Data2!$C$13,Data2!$D$12,IF(R283&gt;Data2!$C$14,Data2!$D$13,Data2!$D$14))))</f>
        <v/>
      </c>
      <c r="T283" s="144">
        <f t="shared" si="225"/>
        <v>0</v>
      </c>
      <c r="U283" s="144">
        <f t="shared" si="226"/>
        <v>0</v>
      </c>
      <c r="V283" s="144" t="str">
        <f t="shared" si="234"/>
        <v>Mulai berkembang</v>
      </c>
      <c r="W283" s="144" t="str">
        <f t="shared" si="235"/>
        <v>Mulai berkembang</v>
      </c>
      <c r="X283" s="144" t="e">
        <f t="shared" si="227"/>
        <v>#N/A</v>
      </c>
      <c r="Y283" s="145" t="e">
        <f t="shared" si="228"/>
        <v>#N/A</v>
      </c>
      <c r="Z283" s="218" t="str">
        <f>IF('PA-Non'!O283&lt;&gt;"",'PA-Non'!O283,IFERROR("Mempunyai kemampuan yang " &amp;IF(V283=W283,PROPER(W283)&amp;" dalam kompetensi "&amp;VLOOKUP(X283,$G$532:$I$539,3)&amp;" dan kompetensi "&amp;VLOOKUP(Y283,$G$532:$I$539,3),PROPER(V283)&amp;" dalam kompetensi "&amp;VLOOKUP(X283,$G$532:$I$539,3)&amp;" dan memiliki kemampuan yang "&amp;W283&amp;" pada kompetensi "&amp;VLOOKUP(Y283,$G$532:$I$539,3)),""))</f>
        <v/>
      </c>
      <c r="AA283" s="153"/>
      <c r="AB283" s="154"/>
      <c r="AC283" s="154"/>
      <c r="AD283" s="154"/>
      <c r="AE283" s="154"/>
      <c r="AF283" s="154"/>
      <c r="AG283" s="154"/>
      <c r="AH283" s="155"/>
      <c r="AI283" s="220" t="str">
        <f t="shared" si="229"/>
        <v/>
      </c>
      <c r="AJ283" s="160" t="str">
        <f>IF(AI283="","",IF(AI283&gt;Data2!$C$12,Data2!$D$11,IF(AI283&gt;Data2!$C$13,Data2!$D$12,IF(AI283&gt;Data2!$C$14,Data2!$D$13,Data2!$D$14))))</f>
        <v/>
      </c>
      <c r="AK283" s="146">
        <f t="shared" si="230"/>
        <v>0</v>
      </c>
      <c r="AL283" s="146">
        <f t="shared" si="231"/>
        <v>0</v>
      </c>
      <c r="AM283" s="147" t="str">
        <f t="shared" si="236"/>
        <v>Mulai meningkat</v>
      </c>
      <c r="AN283" s="147" t="str">
        <f t="shared" si="237"/>
        <v>Mulai meningkat</v>
      </c>
      <c r="AO283" s="146" t="e">
        <f t="shared" si="232"/>
        <v>#N/A</v>
      </c>
      <c r="AP283" s="148" t="e">
        <f t="shared" si="233"/>
        <v>#N/A</v>
      </c>
      <c r="AQ283" s="158" t="str">
        <f>IF('PA-Non'!V283&lt;&gt;"",'PA-Non'!V283,IFERROR("Mempunyai keterampilan yang "&amp;IF(AM283=AN283,PROPER(AN283)&amp;" dalam kompetensi "&amp;VLOOKUP(AO283,$AA$532:$AC$539,3)&amp;", demikian juga dalam kompetensi "&amp;VLOOKUP(AP283,$AA$532:$AC$539,3),PROPER(AM283)&amp;" dalam kompetensi "&amp;VLOOKUP(AO283,$AA$532:$AC$539,3)&amp;" dan "&amp;AN283&amp;" pada kompetensi "&amp;VLOOKUP(AP283,$AA$532:$AC$539,3)),""))</f>
        <v/>
      </c>
      <c r="AR283" s="188"/>
    </row>
    <row r="284" spans="2:44" ht="27.9" customHeight="1" thickBot="1" x14ac:dyDescent="0.35">
      <c r="B284" s="226" t="s">
        <v>125</v>
      </c>
      <c r="C284" s="149" t="str">
        <f t="shared" si="222"/>
        <v/>
      </c>
      <c r="D284" s="150" t="str">
        <f>IF(Data!F279="","",Data!F279)</f>
        <v/>
      </c>
      <c r="E284" s="151" t="str">
        <f>IF(Data!H279="","",Data!H279)</f>
        <v/>
      </c>
      <c r="F284" s="152" t="str">
        <f>IF(Data!I279="","",Data!I279)</f>
        <v/>
      </c>
      <c r="G284" s="153"/>
      <c r="H284" s="154"/>
      <c r="I284" s="154"/>
      <c r="J284" s="154"/>
      <c r="K284" s="154"/>
      <c r="L284" s="154"/>
      <c r="M284" s="154"/>
      <c r="N284" s="155"/>
      <c r="O284" s="157" t="str">
        <f t="shared" si="223"/>
        <v/>
      </c>
      <c r="P284" s="154"/>
      <c r="Q284" s="156"/>
      <c r="R284" s="157" t="str">
        <f t="shared" si="224"/>
        <v/>
      </c>
      <c r="S284" s="159" t="str">
        <f>IF(R284="","",IF(R284&gt;Data2!$C$12,Data2!$D$11,IF(R284&gt;Data2!$C$13,Data2!$D$12,IF(R284&gt;Data2!$C$14,Data2!$D$13,Data2!$D$14))))</f>
        <v/>
      </c>
      <c r="T284" s="144">
        <f t="shared" si="225"/>
        <v>0</v>
      </c>
      <c r="U284" s="144">
        <f t="shared" si="226"/>
        <v>0</v>
      </c>
      <c r="V284" s="144" t="str">
        <f t="shared" si="234"/>
        <v>Mulai berkembang</v>
      </c>
      <c r="W284" s="144" t="str">
        <f t="shared" si="235"/>
        <v>Mulai berkembang</v>
      </c>
      <c r="X284" s="144" t="e">
        <f t="shared" si="227"/>
        <v>#N/A</v>
      </c>
      <c r="Y284" s="145" t="e">
        <f t="shared" si="228"/>
        <v>#N/A</v>
      </c>
      <c r="Z284" s="218" t="str">
        <f>IF('PA-Non'!O284&lt;&gt;"",'PA-Non'!O284,IFERROR("Mempunyai kemampuan yang " &amp;IF(V284=W284,PROPER(W284)&amp;" dalam kompetensi "&amp;VLOOKUP(X284,$G$532:$I$539,3)&amp;" dan kompetensi "&amp;VLOOKUP(Y284,$G$532:$I$539,3),PROPER(V284)&amp;" dalam kompetensi "&amp;VLOOKUP(X284,$G$532:$I$539,3)&amp;" dan memiliki kemampuan yang "&amp;W284&amp;" pada kompetensi "&amp;VLOOKUP(Y284,$G$532:$I$539,3)),""))</f>
        <v/>
      </c>
      <c r="AA284" s="153"/>
      <c r="AB284" s="154"/>
      <c r="AC284" s="154"/>
      <c r="AD284" s="154"/>
      <c r="AE284" s="154"/>
      <c r="AF284" s="154"/>
      <c r="AG284" s="154"/>
      <c r="AH284" s="155"/>
      <c r="AI284" s="220" t="str">
        <f t="shared" si="229"/>
        <v/>
      </c>
      <c r="AJ284" s="160" t="str">
        <f>IF(AI284="","",IF(AI284&gt;Data2!$C$12,Data2!$D$11,IF(AI284&gt;Data2!$C$13,Data2!$D$12,IF(AI284&gt;Data2!$C$14,Data2!$D$13,Data2!$D$14))))</f>
        <v/>
      </c>
      <c r="AK284" s="146">
        <f t="shared" si="230"/>
        <v>0</v>
      </c>
      <c r="AL284" s="146">
        <f t="shared" si="231"/>
        <v>0</v>
      </c>
      <c r="AM284" s="147" t="str">
        <f t="shared" si="236"/>
        <v>Mulai meningkat</v>
      </c>
      <c r="AN284" s="147" t="str">
        <f t="shared" si="237"/>
        <v>Mulai meningkat</v>
      </c>
      <c r="AO284" s="146" t="e">
        <f t="shared" si="232"/>
        <v>#N/A</v>
      </c>
      <c r="AP284" s="148" t="e">
        <f t="shared" si="233"/>
        <v>#N/A</v>
      </c>
      <c r="AQ284" s="158" t="str">
        <f>IF('PA-Non'!V284&lt;&gt;"",'PA-Non'!V284,IFERROR("Mempunyai keterampilan yang "&amp;IF(AM284=AN284,PROPER(AN284)&amp;" dalam kompetensi "&amp;VLOOKUP(AO284,$AA$532:$AC$539,3)&amp;", demikian juga dalam kompetensi "&amp;VLOOKUP(AP284,$AA$532:$AC$539,3),PROPER(AM284)&amp;" dalam kompetensi "&amp;VLOOKUP(AO284,$AA$532:$AC$539,3)&amp;" dan "&amp;AN284&amp;" pada kompetensi "&amp;VLOOKUP(AP284,$AA$532:$AC$539,3)),""))</f>
        <v/>
      </c>
      <c r="AR284" s="188"/>
    </row>
    <row r="285" spans="2:44" ht="27.9" customHeight="1" thickBot="1" x14ac:dyDescent="0.35">
      <c r="B285" s="226" t="s">
        <v>125</v>
      </c>
      <c r="C285" s="149" t="str">
        <f t="shared" si="222"/>
        <v/>
      </c>
      <c r="D285" s="150" t="str">
        <f>IF(Data!F280="","",Data!F280)</f>
        <v/>
      </c>
      <c r="E285" s="151" t="str">
        <f>IF(Data!H280="","",Data!H280)</f>
        <v/>
      </c>
      <c r="F285" s="152" t="str">
        <f>IF(Data!I280="","",Data!I280)</f>
        <v/>
      </c>
      <c r="G285" s="153"/>
      <c r="H285" s="154"/>
      <c r="I285" s="154"/>
      <c r="J285" s="154"/>
      <c r="K285" s="154"/>
      <c r="L285" s="154"/>
      <c r="M285" s="154"/>
      <c r="N285" s="155"/>
      <c r="O285" s="157" t="str">
        <f t="shared" si="223"/>
        <v/>
      </c>
      <c r="P285" s="154"/>
      <c r="Q285" s="156"/>
      <c r="R285" s="157" t="str">
        <f t="shared" si="224"/>
        <v/>
      </c>
      <c r="S285" s="159" t="str">
        <f>IF(R285="","",IF(R285&gt;Data2!$C$12,Data2!$D$11,IF(R285&gt;Data2!$C$13,Data2!$D$12,IF(R285&gt;Data2!$C$14,Data2!$D$13,Data2!$D$14))))</f>
        <v/>
      </c>
      <c r="T285" s="144">
        <f t="shared" si="225"/>
        <v>0</v>
      </c>
      <c r="U285" s="144">
        <f t="shared" si="226"/>
        <v>0</v>
      </c>
      <c r="V285" s="144" t="str">
        <f t="shared" si="234"/>
        <v>Mulai berkembang</v>
      </c>
      <c r="W285" s="144" t="str">
        <f t="shared" si="235"/>
        <v>Mulai berkembang</v>
      </c>
      <c r="X285" s="144" t="e">
        <f t="shared" si="227"/>
        <v>#N/A</v>
      </c>
      <c r="Y285" s="145" t="e">
        <f t="shared" si="228"/>
        <v>#N/A</v>
      </c>
      <c r="Z285" s="218" t="str">
        <f>IF('PA-Non'!O285&lt;&gt;"",'PA-Non'!O285,IFERROR("Mempunyai kemampuan yang " &amp;IF(V285=W285,PROPER(W285)&amp;" dalam kompetensi "&amp;VLOOKUP(X285,$G$532:$I$539,3)&amp;" dan kompetensi "&amp;VLOOKUP(Y285,$G$532:$I$539,3),PROPER(V285)&amp;" dalam kompetensi "&amp;VLOOKUP(X285,$G$532:$I$539,3)&amp;" dan memiliki kemampuan yang "&amp;W285&amp;" pada kompetensi "&amp;VLOOKUP(Y285,$G$532:$I$539,3)),""))</f>
        <v/>
      </c>
      <c r="AA285" s="153"/>
      <c r="AB285" s="154"/>
      <c r="AC285" s="154"/>
      <c r="AD285" s="154"/>
      <c r="AE285" s="154"/>
      <c r="AF285" s="154"/>
      <c r="AG285" s="154"/>
      <c r="AH285" s="155"/>
      <c r="AI285" s="220" t="str">
        <f t="shared" si="229"/>
        <v/>
      </c>
      <c r="AJ285" s="160" t="str">
        <f>IF(AI285="","",IF(AI285&gt;Data2!$C$12,Data2!$D$11,IF(AI285&gt;Data2!$C$13,Data2!$D$12,IF(AI285&gt;Data2!$C$14,Data2!$D$13,Data2!$D$14))))</f>
        <v/>
      </c>
      <c r="AK285" s="146">
        <f t="shared" si="230"/>
        <v>0</v>
      </c>
      <c r="AL285" s="146">
        <f t="shared" si="231"/>
        <v>0</v>
      </c>
      <c r="AM285" s="147" t="str">
        <f t="shared" si="236"/>
        <v>Mulai meningkat</v>
      </c>
      <c r="AN285" s="147" t="str">
        <f t="shared" si="237"/>
        <v>Mulai meningkat</v>
      </c>
      <c r="AO285" s="146" t="e">
        <f t="shared" si="232"/>
        <v>#N/A</v>
      </c>
      <c r="AP285" s="148" t="e">
        <f t="shared" si="233"/>
        <v>#N/A</v>
      </c>
      <c r="AQ285" s="158" t="str">
        <f>IF('PA-Non'!V285&lt;&gt;"",'PA-Non'!V285,IFERROR("Mempunyai keterampilan yang "&amp;IF(AM285=AN285,PROPER(AN285)&amp;" dalam kompetensi "&amp;VLOOKUP(AO285,$AA$532:$AC$539,3)&amp;", demikian juga dalam kompetensi "&amp;VLOOKUP(AP285,$AA$532:$AC$539,3),PROPER(AM285)&amp;" dalam kompetensi "&amp;VLOOKUP(AO285,$AA$532:$AC$539,3)&amp;" dan "&amp;AN285&amp;" pada kompetensi "&amp;VLOOKUP(AP285,$AA$532:$AC$539,3)),""))</f>
        <v/>
      </c>
      <c r="AR285" s="188"/>
    </row>
    <row r="286" spans="2:44" ht="27.9" customHeight="1" thickBot="1" x14ac:dyDescent="0.35">
      <c r="B286" s="226" t="s">
        <v>125</v>
      </c>
      <c r="C286" s="149" t="str">
        <f t="shared" si="222"/>
        <v/>
      </c>
      <c r="D286" s="150" t="str">
        <f>IF(Data!F281="","",Data!F281)</f>
        <v/>
      </c>
      <c r="E286" s="151" t="str">
        <f>IF(Data!H281="","",Data!H281)</f>
        <v/>
      </c>
      <c r="F286" s="152" t="str">
        <f>IF(Data!I281="","",Data!I281)</f>
        <v/>
      </c>
      <c r="G286" s="153"/>
      <c r="H286" s="154"/>
      <c r="I286" s="154"/>
      <c r="J286" s="154"/>
      <c r="K286" s="154"/>
      <c r="L286" s="154"/>
      <c r="M286" s="154"/>
      <c r="N286" s="155"/>
      <c r="O286" s="157" t="str">
        <f t="shared" si="223"/>
        <v/>
      </c>
      <c r="P286" s="154"/>
      <c r="Q286" s="156"/>
      <c r="R286" s="157" t="str">
        <f t="shared" si="224"/>
        <v/>
      </c>
      <c r="S286" s="159" t="str">
        <f>IF(R286="","",IF(R286&gt;Data2!$C$12,Data2!$D$11,IF(R286&gt;Data2!$C$13,Data2!$D$12,IF(R286&gt;Data2!$C$14,Data2!$D$13,Data2!$D$14))))</f>
        <v/>
      </c>
      <c r="T286" s="144">
        <f t="shared" si="225"/>
        <v>0</v>
      </c>
      <c r="U286" s="144">
        <f t="shared" si="226"/>
        <v>0</v>
      </c>
      <c r="V286" s="144" t="str">
        <f t="shared" si="234"/>
        <v>Mulai berkembang</v>
      </c>
      <c r="W286" s="144" t="str">
        <f t="shared" si="235"/>
        <v>Mulai berkembang</v>
      </c>
      <c r="X286" s="144" t="e">
        <f t="shared" si="227"/>
        <v>#N/A</v>
      </c>
      <c r="Y286" s="145" t="e">
        <f t="shared" si="228"/>
        <v>#N/A</v>
      </c>
      <c r="Z286" s="218" t="str">
        <f>IF('PA-Non'!O286&lt;&gt;"",'PA-Non'!O286,IFERROR("Mempunyai kemampuan yang " &amp;IF(V286=W286,PROPER(W286)&amp;" dalam kompetensi "&amp;VLOOKUP(X286,$G$532:$I$539,3)&amp;" dan kompetensi "&amp;VLOOKUP(Y286,$G$532:$I$539,3),PROPER(V286)&amp;" dalam kompetensi "&amp;VLOOKUP(X286,$G$532:$I$539,3)&amp;" dan memiliki kemampuan yang "&amp;W286&amp;" pada kompetensi "&amp;VLOOKUP(Y286,$G$532:$I$539,3)),""))</f>
        <v/>
      </c>
      <c r="AA286" s="153"/>
      <c r="AB286" s="154"/>
      <c r="AC286" s="154"/>
      <c r="AD286" s="154"/>
      <c r="AE286" s="154"/>
      <c r="AF286" s="154"/>
      <c r="AG286" s="154"/>
      <c r="AH286" s="155"/>
      <c r="AI286" s="220" t="str">
        <f t="shared" si="229"/>
        <v/>
      </c>
      <c r="AJ286" s="160" t="str">
        <f>IF(AI286="","",IF(AI286&gt;Data2!$C$12,Data2!$D$11,IF(AI286&gt;Data2!$C$13,Data2!$D$12,IF(AI286&gt;Data2!$C$14,Data2!$D$13,Data2!$D$14))))</f>
        <v/>
      </c>
      <c r="AK286" s="146">
        <f t="shared" si="230"/>
        <v>0</v>
      </c>
      <c r="AL286" s="146">
        <f t="shared" si="231"/>
        <v>0</v>
      </c>
      <c r="AM286" s="147" t="str">
        <f t="shared" si="236"/>
        <v>Mulai meningkat</v>
      </c>
      <c r="AN286" s="147" t="str">
        <f t="shared" si="237"/>
        <v>Mulai meningkat</v>
      </c>
      <c r="AO286" s="146" t="e">
        <f t="shared" si="232"/>
        <v>#N/A</v>
      </c>
      <c r="AP286" s="148" t="e">
        <f t="shared" si="233"/>
        <v>#N/A</v>
      </c>
      <c r="AQ286" s="158" t="str">
        <f>IF('PA-Non'!V286&lt;&gt;"",'PA-Non'!V286,IFERROR("Mempunyai keterampilan yang "&amp;IF(AM286=AN286,PROPER(AN286)&amp;" dalam kompetensi "&amp;VLOOKUP(AO286,$AA$532:$AC$539,3)&amp;", demikian juga dalam kompetensi "&amp;VLOOKUP(AP286,$AA$532:$AC$539,3),PROPER(AM286)&amp;" dalam kompetensi "&amp;VLOOKUP(AO286,$AA$532:$AC$539,3)&amp;" dan "&amp;AN286&amp;" pada kompetensi "&amp;VLOOKUP(AP286,$AA$532:$AC$539,3)),""))</f>
        <v/>
      </c>
      <c r="AR286" s="188"/>
    </row>
    <row r="287" spans="2:44" ht="27.9" customHeight="1" thickBot="1" x14ac:dyDescent="0.35">
      <c r="B287" s="226" t="s">
        <v>125</v>
      </c>
      <c r="C287" s="149" t="str">
        <f t="shared" si="222"/>
        <v/>
      </c>
      <c r="D287" s="150" t="str">
        <f>IF(Data!F282="","",Data!F282)</f>
        <v/>
      </c>
      <c r="E287" s="151" t="str">
        <f>IF(Data!H282="","",Data!H282)</f>
        <v/>
      </c>
      <c r="F287" s="152" t="str">
        <f>IF(Data!I282="","",Data!I282)</f>
        <v/>
      </c>
      <c r="G287" s="153"/>
      <c r="H287" s="154"/>
      <c r="I287" s="154"/>
      <c r="J287" s="154"/>
      <c r="K287" s="154"/>
      <c r="L287" s="154"/>
      <c r="M287" s="154"/>
      <c r="N287" s="155"/>
      <c r="O287" s="157" t="str">
        <f t="shared" si="223"/>
        <v/>
      </c>
      <c r="P287" s="154"/>
      <c r="Q287" s="156"/>
      <c r="R287" s="157" t="str">
        <f t="shared" si="224"/>
        <v/>
      </c>
      <c r="S287" s="159" t="str">
        <f>IF(R287="","",IF(R287&gt;Data2!$C$12,Data2!$D$11,IF(R287&gt;Data2!$C$13,Data2!$D$12,IF(R287&gt;Data2!$C$14,Data2!$D$13,Data2!$D$14))))</f>
        <v/>
      </c>
      <c r="T287" s="144">
        <f t="shared" si="225"/>
        <v>0</v>
      </c>
      <c r="U287" s="144">
        <f t="shared" si="226"/>
        <v>0</v>
      </c>
      <c r="V287" s="144" t="str">
        <f t="shared" si="234"/>
        <v>Mulai berkembang</v>
      </c>
      <c r="W287" s="144" t="str">
        <f t="shared" si="235"/>
        <v>Mulai berkembang</v>
      </c>
      <c r="X287" s="144" t="e">
        <f t="shared" si="227"/>
        <v>#N/A</v>
      </c>
      <c r="Y287" s="145" t="e">
        <f t="shared" si="228"/>
        <v>#N/A</v>
      </c>
      <c r="Z287" s="218" t="str">
        <f>IF('PA-Non'!O287&lt;&gt;"",'PA-Non'!O287,IFERROR("Mempunyai kemampuan yang " &amp;IF(V287=W287,PROPER(W287)&amp;" dalam kompetensi "&amp;VLOOKUP(X287,$G$532:$I$539,3)&amp;" dan kompetensi "&amp;VLOOKUP(Y287,$G$532:$I$539,3),PROPER(V287)&amp;" dalam kompetensi "&amp;VLOOKUP(X287,$G$532:$I$539,3)&amp;" dan memiliki kemampuan yang "&amp;W287&amp;" pada kompetensi "&amp;VLOOKUP(Y287,$G$532:$I$539,3)),""))</f>
        <v/>
      </c>
      <c r="AA287" s="153"/>
      <c r="AB287" s="154"/>
      <c r="AC287" s="154"/>
      <c r="AD287" s="154"/>
      <c r="AE287" s="154"/>
      <c r="AF287" s="154"/>
      <c r="AG287" s="154"/>
      <c r="AH287" s="155"/>
      <c r="AI287" s="220" t="str">
        <f t="shared" si="229"/>
        <v/>
      </c>
      <c r="AJ287" s="160" t="str">
        <f>IF(AI287="","",IF(AI287&gt;Data2!$C$12,Data2!$D$11,IF(AI287&gt;Data2!$C$13,Data2!$D$12,IF(AI287&gt;Data2!$C$14,Data2!$D$13,Data2!$D$14))))</f>
        <v/>
      </c>
      <c r="AK287" s="146">
        <f t="shared" si="230"/>
        <v>0</v>
      </c>
      <c r="AL287" s="146">
        <f t="shared" si="231"/>
        <v>0</v>
      </c>
      <c r="AM287" s="147" t="str">
        <f t="shared" si="236"/>
        <v>Mulai meningkat</v>
      </c>
      <c r="AN287" s="147" t="str">
        <f t="shared" si="237"/>
        <v>Mulai meningkat</v>
      </c>
      <c r="AO287" s="146" t="e">
        <f t="shared" si="232"/>
        <v>#N/A</v>
      </c>
      <c r="AP287" s="148" t="e">
        <f t="shared" si="233"/>
        <v>#N/A</v>
      </c>
      <c r="AQ287" s="158" t="str">
        <f>IF('PA-Non'!V287&lt;&gt;"",'PA-Non'!V287,IFERROR("Mempunyai keterampilan yang "&amp;IF(AM287=AN287,PROPER(AN287)&amp;" dalam kompetensi "&amp;VLOOKUP(AO287,$AA$532:$AC$539,3)&amp;", demikian juga dalam kompetensi "&amp;VLOOKUP(AP287,$AA$532:$AC$539,3),PROPER(AM287)&amp;" dalam kompetensi "&amp;VLOOKUP(AO287,$AA$532:$AC$539,3)&amp;" dan "&amp;AN287&amp;" pada kompetensi "&amp;VLOOKUP(AP287,$AA$532:$AC$539,3)),""))</f>
        <v/>
      </c>
      <c r="AR287" s="188"/>
    </row>
    <row r="288" spans="2:44" ht="27.9" customHeight="1" x14ac:dyDescent="0.3">
      <c r="B288" s="386" t="s">
        <v>125</v>
      </c>
      <c r="C288" s="387" t="str">
        <f t="shared" si="222"/>
        <v/>
      </c>
      <c r="D288" s="51" t="str">
        <f>IF(Data!F283="","",Data!F283)</f>
        <v/>
      </c>
      <c r="E288" s="91" t="str">
        <f>IF(Data!H283="","",Data!H283)</f>
        <v/>
      </c>
      <c r="F288" s="52" t="str">
        <f>IF(Data!I283="","",Data!I283)</f>
        <v/>
      </c>
      <c r="G288" s="388"/>
      <c r="H288" s="389"/>
      <c r="I288" s="389"/>
      <c r="J288" s="389"/>
      <c r="K288" s="389"/>
      <c r="L288" s="389"/>
      <c r="M288" s="389"/>
      <c r="N288" s="390"/>
      <c r="O288" s="391" t="str">
        <f t="shared" si="223"/>
        <v/>
      </c>
      <c r="P288" s="389"/>
      <c r="Q288" s="392"/>
      <c r="R288" s="391" t="str">
        <f t="shared" si="224"/>
        <v/>
      </c>
      <c r="S288" s="393" t="str">
        <f>IF(R288="","",IF(R288&gt;Data2!$C$12,Data2!$D$11,IF(R288&gt;Data2!$C$13,Data2!$D$12,IF(R288&gt;Data2!$C$14,Data2!$D$13,Data2!$D$14))))</f>
        <v/>
      </c>
      <c r="T288" s="394">
        <f t="shared" si="225"/>
        <v>0</v>
      </c>
      <c r="U288" s="394">
        <f t="shared" si="226"/>
        <v>0</v>
      </c>
      <c r="V288" s="394" t="str">
        <f t="shared" si="234"/>
        <v>Mulai berkembang</v>
      </c>
      <c r="W288" s="394" t="str">
        <f t="shared" si="235"/>
        <v>Mulai berkembang</v>
      </c>
      <c r="X288" s="394" t="e">
        <f t="shared" si="227"/>
        <v>#N/A</v>
      </c>
      <c r="Y288" s="395" t="e">
        <f t="shared" si="228"/>
        <v>#N/A</v>
      </c>
      <c r="Z288" s="396" t="str">
        <f>IF('PA-Non'!O288&lt;&gt;"",'PA-Non'!O288,IFERROR("Mempunyai kemampuan yang " &amp;IF(V288=W288,PROPER(W288)&amp;" dalam kompetensi "&amp;VLOOKUP(X288,$G$532:$I$539,3)&amp;" dan kompetensi "&amp;VLOOKUP(Y288,$G$532:$I$539,3),PROPER(V288)&amp;" dalam kompetensi "&amp;VLOOKUP(X288,$G$532:$I$539,3)&amp;" dan memiliki kemampuan yang "&amp;W288&amp;" pada kompetensi "&amp;VLOOKUP(Y288,$G$532:$I$539,3)),""))</f>
        <v/>
      </c>
      <c r="AA288" s="388"/>
      <c r="AB288" s="389"/>
      <c r="AC288" s="389"/>
      <c r="AD288" s="389"/>
      <c r="AE288" s="389"/>
      <c r="AF288" s="389"/>
      <c r="AG288" s="389"/>
      <c r="AH288" s="390"/>
      <c r="AI288" s="397" t="str">
        <f t="shared" si="229"/>
        <v/>
      </c>
      <c r="AJ288" s="398" t="str">
        <f>IF(AI288="","",IF(AI288&gt;Data2!$C$12,Data2!$D$11,IF(AI288&gt;Data2!$C$13,Data2!$D$12,IF(AI288&gt;Data2!$C$14,Data2!$D$13,Data2!$D$14))))</f>
        <v/>
      </c>
      <c r="AK288" s="399">
        <f t="shared" si="230"/>
        <v>0</v>
      </c>
      <c r="AL288" s="399">
        <f t="shared" si="231"/>
        <v>0</v>
      </c>
      <c r="AM288" s="400" t="str">
        <f t="shared" si="236"/>
        <v>Mulai meningkat</v>
      </c>
      <c r="AN288" s="400" t="str">
        <f t="shared" si="237"/>
        <v>Mulai meningkat</v>
      </c>
      <c r="AO288" s="399" t="e">
        <f t="shared" si="232"/>
        <v>#N/A</v>
      </c>
      <c r="AP288" s="401" t="e">
        <f t="shared" si="233"/>
        <v>#N/A</v>
      </c>
      <c r="AQ288" s="402" t="str">
        <f>IF('PA-Non'!V288&lt;&gt;"",'PA-Non'!V288,IFERROR("Mempunyai keterampilan yang "&amp;IF(AM288=AN288,PROPER(AN288)&amp;" dalam kompetensi "&amp;VLOOKUP(AO288,$AA$532:$AC$539,3)&amp;", demikian juga dalam kompetensi "&amp;VLOOKUP(AP288,$AA$532:$AC$539,3),PROPER(AM288)&amp;" dalam kompetensi "&amp;VLOOKUP(AO288,$AA$532:$AC$539,3)&amp;" dan "&amp;AN288&amp;" pada kompetensi "&amp;VLOOKUP(AP288,$AA$532:$AC$539,3)),""))</f>
        <v/>
      </c>
      <c r="AR288" s="188"/>
    </row>
    <row r="289" spans="2:44" ht="27.9" customHeight="1" thickBot="1" x14ac:dyDescent="0.35">
      <c r="B289" s="365" t="s">
        <v>125</v>
      </c>
      <c r="C289" s="366" t="str">
        <f t="shared" si="222"/>
        <v/>
      </c>
      <c r="D289" s="367" t="str">
        <f>IF(Data!F284="","",Data!F284)</f>
        <v/>
      </c>
      <c r="E289" s="368" t="str">
        <f>IF(Data!H284="","",Data!H284)</f>
        <v/>
      </c>
      <c r="F289" s="369" t="str">
        <f>IF(Data!I284="","",Data!I284)</f>
        <v/>
      </c>
      <c r="G289" s="370"/>
      <c r="H289" s="371"/>
      <c r="I289" s="371"/>
      <c r="J289" s="371"/>
      <c r="K289" s="371"/>
      <c r="L289" s="371"/>
      <c r="M289" s="371"/>
      <c r="N289" s="372"/>
      <c r="O289" s="373" t="str">
        <f t="shared" si="223"/>
        <v/>
      </c>
      <c r="P289" s="371"/>
      <c r="Q289" s="374"/>
      <c r="R289" s="373" t="str">
        <f t="shared" si="224"/>
        <v/>
      </c>
      <c r="S289" s="375" t="str">
        <f>IF(R289="","",IF(R289&gt;Data2!$C$12,Data2!$D$11,IF(R289&gt;Data2!$C$13,Data2!$D$12,IF(R289&gt;Data2!$C$14,Data2!$D$13,Data2!$D$14))))</f>
        <v/>
      </c>
      <c r="T289" s="404">
        <f t="shared" si="225"/>
        <v>0</v>
      </c>
      <c r="U289" s="404">
        <f t="shared" si="226"/>
        <v>0</v>
      </c>
      <c r="V289" s="404" t="str">
        <f t="shared" si="234"/>
        <v>Mulai berkembang</v>
      </c>
      <c r="W289" s="404" t="str">
        <f t="shared" si="235"/>
        <v>Mulai berkembang</v>
      </c>
      <c r="X289" s="404" t="e">
        <f t="shared" si="227"/>
        <v>#N/A</v>
      </c>
      <c r="Y289" s="405" t="e">
        <f t="shared" si="228"/>
        <v>#N/A</v>
      </c>
      <c r="Z289" s="376" t="str">
        <f>IF('PA-Non'!O289&lt;&gt;"",'PA-Non'!O289,IFERROR("Mempunyai kemampuan yang " &amp;IF(V289=W289,PROPER(W289)&amp;" dalam kompetensi "&amp;VLOOKUP(X289,$G$532:$I$539,3)&amp;" dan kompetensi "&amp;VLOOKUP(Y289,$G$532:$I$539,3),PROPER(V289)&amp;" dalam kompetensi "&amp;VLOOKUP(X289,$G$532:$I$539,3)&amp;" dan memiliki kemampuan yang "&amp;W289&amp;" pada kompetensi "&amp;VLOOKUP(Y289,$G$532:$I$539,3)),""))</f>
        <v/>
      </c>
      <c r="AA289" s="370"/>
      <c r="AB289" s="371"/>
      <c r="AC289" s="371"/>
      <c r="AD289" s="371"/>
      <c r="AE289" s="371"/>
      <c r="AF289" s="371"/>
      <c r="AG289" s="371"/>
      <c r="AH289" s="372"/>
      <c r="AI289" s="377" t="str">
        <f t="shared" si="229"/>
        <v/>
      </c>
      <c r="AJ289" s="378" t="str">
        <f>IF(AI289="","",IF(AI289&gt;Data2!$C$12,Data2!$D$11,IF(AI289&gt;Data2!$C$13,Data2!$D$12,IF(AI289&gt;Data2!$C$14,Data2!$D$13,Data2!$D$14))))</f>
        <v/>
      </c>
      <c r="AK289" s="406">
        <f t="shared" si="230"/>
        <v>0</v>
      </c>
      <c r="AL289" s="406">
        <f t="shared" si="231"/>
        <v>0</v>
      </c>
      <c r="AM289" s="407" t="str">
        <f t="shared" si="236"/>
        <v>Mulai meningkat</v>
      </c>
      <c r="AN289" s="407" t="str">
        <f t="shared" si="237"/>
        <v>Mulai meningkat</v>
      </c>
      <c r="AO289" s="406" t="e">
        <f t="shared" si="232"/>
        <v>#N/A</v>
      </c>
      <c r="AP289" s="408" t="e">
        <f t="shared" si="233"/>
        <v>#N/A</v>
      </c>
      <c r="AQ289" s="409" t="str">
        <f>IF('PA-Non'!V289&lt;&gt;"",'PA-Non'!V289,IFERROR("Mempunyai keterampilan yang "&amp;IF(AM289=AN289,PROPER(AN289)&amp;" dalam kompetensi "&amp;VLOOKUP(AO289,$AA$532:$AC$539,3)&amp;", demikian juga dalam kompetensi "&amp;VLOOKUP(AP289,$AA$532:$AC$539,3),PROPER(AM289)&amp;" dalam kompetensi "&amp;VLOOKUP(AO289,$AA$532:$AC$539,3)&amp;" dan "&amp;AN289&amp;" pada kompetensi "&amp;VLOOKUP(AP289,$AA$532:$AC$539,3)),""))</f>
        <v/>
      </c>
      <c r="AR289" s="188"/>
    </row>
    <row r="290" spans="2:44" ht="27.9" customHeight="1" thickBot="1" x14ac:dyDescent="0.35">
      <c r="B290" s="383" t="s">
        <v>126</v>
      </c>
      <c r="C290" s="347">
        <v>1</v>
      </c>
      <c r="D290" s="348" t="str">
        <f>IF(Data!F285="","",Data!F285)</f>
        <v>03645</v>
      </c>
      <c r="E290" s="349" t="str">
        <f>IF(Data!H285="","",Data!H285)</f>
        <v>Auliya Silviana Eka Putri</v>
      </c>
      <c r="F290" s="350" t="str">
        <f>IF(Data!I285="","",Data!I285)</f>
        <v>Perempuan</v>
      </c>
      <c r="G290" s="351"/>
      <c r="H290" s="352"/>
      <c r="I290" s="352"/>
      <c r="J290" s="352"/>
      <c r="K290" s="352"/>
      <c r="L290" s="352"/>
      <c r="M290" s="352"/>
      <c r="N290" s="353"/>
      <c r="O290" s="354" t="str">
        <f t="shared" si="162"/>
        <v/>
      </c>
      <c r="P290" s="352"/>
      <c r="Q290" s="355"/>
      <c r="R290" s="354" t="str">
        <f t="shared" si="163"/>
        <v/>
      </c>
      <c r="S290" s="356" t="str">
        <f>IF(R290="","",IF(R290&gt;Data2!$C$12,Data2!$D$11,IF(R290&gt;Data2!$C$13,Data2!$D$12,IF(R290&gt;Data2!$C$14,Data2!$D$13,Data2!$D$14))))</f>
        <v/>
      </c>
      <c r="T290" s="357">
        <f t="shared" si="164"/>
        <v>0</v>
      </c>
      <c r="U290" s="357">
        <f t="shared" si="165"/>
        <v>0</v>
      </c>
      <c r="V290" s="357" t="str">
        <f t="shared" si="234"/>
        <v>Mulai berkembang</v>
      </c>
      <c r="W290" s="357" t="str">
        <f t="shared" si="235"/>
        <v>Mulai berkembang</v>
      </c>
      <c r="X290" s="357" t="e">
        <f t="shared" si="166"/>
        <v>#N/A</v>
      </c>
      <c r="Y290" s="358" t="e">
        <f t="shared" si="167"/>
        <v>#N/A</v>
      </c>
      <c r="Z290" s="359" t="str">
        <f>IF('PA-Non'!O262&lt;&gt;"",'PA-Non'!O262,IFERROR("Mempunyai kemampuan yang " &amp;IF(V290=W290,PROPER(W290)&amp;" dalam kompetensi "&amp;VLOOKUP(X290,$G$532:$I$539,3)&amp;" dan kompetensi "&amp;VLOOKUP(Y290,$G$532:$I$539,3),PROPER(V290)&amp;" dalam kompetensi "&amp;VLOOKUP(X290,$G$532:$I$539,3)&amp;" dan memiliki kemampuan yang "&amp;W290&amp;" pada kompetensi "&amp;VLOOKUP(Y290,$G$532:$I$539,3)),""))</f>
        <v/>
      </c>
      <c r="AA290" s="351"/>
      <c r="AB290" s="352"/>
      <c r="AC290" s="352"/>
      <c r="AD290" s="352"/>
      <c r="AE290" s="352"/>
      <c r="AF290" s="352"/>
      <c r="AG290" s="352"/>
      <c r="AH290" s="353"/>
      <c r="AI290" s="360" t="str">
        <f t="shared" si="168"/>
        <v/>
      </c>
      <c r="AJ290" s="361" t="str">
        <f>IF(AI290="","",IF(AI290&gt;Data2!$C$12,Data2!$D$11,IF(AI290&gt;Data2!$C$13,Data2!$D$12,IF(AI290&gt;Data2!$C$14,Data2!$D$13,Data2!$D$14))))</f>
        <v/>
      </c>
      <c r="AK290" s="362">
        <f t="shared" si="169"/>
        <v>0</v>
      </c>
      <c r="AL290" s="362">
        <f t="shared" si="170"/>
        <v>0</v>
      </c>
      <c r="AM290" s="363" t="str">
        <f t="shared" si="236"/>
        <v>Mulai meningkat</v>
      </c>
      <c r="AN290" s="363" t="str">
        <f t="shared" si="237"/>
        <v>Mulai meningkat</v>
      </c>
      <c r="AO290" s="362" t="e">
        <f t="shared" si="171"/>
        <v>#N/A</v>
      </c>
      <c r="AP290" s="364" t="e">
        <f t="shared" si="172"/>
        <v>#N/A</v>
      </c>
      <c r="AQ290" s="403" t="str">
        <f>IF('PA-Non'!V262&lt;&gt;"",'PA-Non'!V262,IFERROR("Mempunyai keterampilan yang "&amp;IF(AM290=AN290,PROPER(AN290)&amp;" dalam kompetensi "&amp;VLOOKUP(AO290,$AA$532:$AC$539,3)&amp;", demikian juga dalam kompetensi "&amp;VLOOKUP(AP290,$AA$532:$AC$539,3),PROPER(AM290)&amp;" dalam kompetensi "&amp;VLOOKUP(AO290,$AA$532:$AC$539,3)&amp;" dan "&amp;AN290&amp;" pada kompetensi "&amp;VLOOKUP(AP290,$AA$532:$AC$539,3)),""))</f>
        <v/>
      </c>
      <c r="AR290" s="188"/>
    </row>
    <row r="291" spans="2:44" ht="27.9" customHeight="1" thickBot="1" x14ac:dyDescent="0.35">
      <c r="B291" s="384" t="s">
        <v>126</v>
      </c>
      <c r="C291" s="149">
        <f t="shared" si="173"/>
        <v>2</v>
      </c>
      <c r="D291" s="150" t="str">
        <f>IF(Data!F286="","",Data!F286)</f>
        <v>03658</v>
      </c>
      <c r="E291" s="151" t="str">
        <f>IF(Data!H286="","",Data!H286)</f>
        <v>Dhara Silvia Nur Septiany</v>
      </c>
      <c r="F291" s="152" t="str">
        <f>IF(Data!I286="","",Data!I286)</f>
        <v>Perempuan</v>
      </c>
      <c r="G291" s="343"/>
      <c r="H291" s="344"/>
      <c r="I291" s="344"/>
      <c r="J291" s="344"/>
      <c r="K291" s="344"/>
      <c r="L291" s="344"/>
      <c r="M291" s="344"/>
      <c r="N291" s="345"/>
      <c r="O291" s="157" t="str">
        <f t="shared" si="162"/>
        <v/>
      </c>
      <c r="P291" s="344"/>
      <c r="Q291" s="346"/>
      <c r="R291" s="157" t="str">
        <f t="shared" si="163"/>
        <v/>
      </c>
      <c r="S291" s="159" t="str">
        <f>IF(R291="","",IF(R291&gt;Data2!$C$12,Data2!$D$11,IF(R291&gt;Data2!$C$13,Data2!$D$12,IF(R291&gt;Data2!$C$14,Data2!$D$13,Data2!$D$14))))</f>
        <v/>
      </c>
      <c r="T291" s="144">
        <f t="shared" si="164"/>
        <v>0</v>
      </c>
      <c r="U291" s="144">
        <f t="shared" si="165"/>
        <v>0</v>
      </c>
      <c r="V291" s="144" t="str">
        <f t="shared" si="234"/>
        <v>Mulai berkembang</v>
      </c>
      <c r="W291" s="144" t="str">
        <f t="shared" si="235"/>
        <v>Mulai berkembang</v>
      </c>
      <c r="X291" s="144" t="e">
        <f t="shared" si="166"/>
        <v>#N/A</v>
      </c>
      <c r="Y291" s="145" t="e">
        <f t="shared" si="167"/>
        <v>#N/A</v>
      </c>
      <c r="Z291" s="218" t="str">
        <f>IF('PA-Non'!O263&lt;&gt;"",'PA-Non'!O263,IFERROR("Mempunyai kemampuan yang " &amp;IF(V291=W291,PROPER(W291)&amp;" dalam kompetensi "&amp;VLOOKUP(X291,$G$532:$I$539,3)&amp;" dan kompetensi "&amp;VLOOKUP(Y291,$G$532:$I$539,3),PROPER(V291)&amp;" dalam kompetensi "&amp;VLOOKUP(X291,$G$532:$I$539,3)&amp;" dan memiliki kemampuan yang "&amp;W291&amp;" pada kompetensi "&amp;VLOOKUP(Y291,$G$532:$I$539,3)),""))</f>
        <v/>
      </c>
      <c r="AA291" s="343"/>
      <c r="AB291" s="344"/>
      <c r="AC291" s="344"/>
      <c r="AD291" s="344"/>
      <c r="AE291" s="344"/>
      <c r="AF291" s="344"/>
      <c r="AG291" s="344"/>
      <c r="AH291" s="345"/>
      <c r="AI291" s="220" t="str">
        <f t="shared" si="168"/>
        <v/>
      </c>
      <c r="AJ291" s="160" t="str">
        <f>IF(AI291="","",IF(AI291&gt;Data2!$C$12,Data2!$D$11,IF(AI291&gt;Data2!$C$13,Data2!$D$12,IF(AI291&gt;Data2!$C$14,Data2!$D$13,Data2!$D$14))))</f>
        <v/>
      </c>
      <c r="AK291" s="146">
        <f t="shared" si="169"/>
        <v>0</v>
      </c>
      <c r="AL291" s="146">
        <f t="shared" si="170"/>
        <v>0</v>
      </c>
      <c r="AM291" s="147" t="str">
        <f t="shared" si="236"/>
        <v>Mulai meningkat</v>
      </c>
      <c r="AN291" s="147" t="str">
        <f t="shared" si="237"/>
        <v>Mulai meningkat</v>
      </c>
      <c r="AO291" s="146" t="e">
        <f t="shared" si="171"/>
        <v>#N/A</v>
      </c>
      <c r="AP291" s="148" t="e">
        <f t="shared" si="172"/>
        <v>#N/A</v>
      </c>
      <c r="AQ291" s="158" t="str">
        <f>IF('PA-Non'!V263&lt;&gt;"",'PA-Non'!V263,IFERROR("Mempunyai keterampilan yang "&amp;IF(AM291=AN291,PROPER(AN291)&amp;" dalam kompetensi "&amp;VLOOKUP(AO291,$AA$532:$AC$539,3)&amp;", demikian juga dalam kompetensi "&amp;VLOOKUP(AP291,$AA$532:$AC$539,3),PROPER(AM291)&amp;" dalam kompetensi "&amp;VLOOKUP(AO291,$AA$532:$AC$539,3)&amp;" dan "&amp;AN291&amp;" pada kompetensi "&amp;VLOOKUP(AP291,$AA$532:$AC$539,3)),""))</f>
        <v/>
      </c>
      <c r="AR291" s="188"/>
    </row>
    <row r="292" spans="2:44" ht="27.9" customHeight="1" thickBot="1" x14ac:dyDescent="0.35">
      <c r="B292" s="384" t="s">
        <v>126</v>
      </c>
      <c r="C292" s="149">
        <f t="shared" si="173"/>
        <v>3</v>
      </c>
      <c r="D292" s="150" t="str">
        <f>IF(Data!F287="","",Data!F287)</f>
        <v>03663</v>
      </c>
      <c r="E292" s="151" t="str">
        <f>IF(Data!H287="","",Data!H287)</f>
        <v>Dinda Margaretha</v>
      </c>
      <c r="F292" s="152" t="str">
        <f>IF(Data!I287="","",Data!I287)</f>
        <v>Perempuan</v>
      </c>
      <c r="G292" s="343"/>
      <c r="H292" s="344"/>
      <c r="I292" s="344"/>
      <c r="J292" s="344"/>
      <c r="K292" s="344"/>
      <c r="L292" s="344"/>
      <c r="M292" s="344"/>
      <c r="N292" s="345"/>
      <c r="O292" s="157" t="str">
        <f t="shared" si="162"/>
        <v/>
      </c>
      <c r="P292" s="344"/>
      <c r="Q292" s="346"/>
      <c r="R292" s="157" t="str">
        <f t="shared" si="163"/>
        <v/>
      </c>
      <c r="S292" s="159" t="str">
        <f>IF(R292="","",IF(R292&gt;Data2!$C$12,Data2!$D$11,IF(R292&gt;Data2!$C$13,Data2!$D$12,IF(R292&gt;Data2!$C$14,Data2!$D$13,Data2!$D$14))))</f>
        <v/>
      </c>
      <c r="T292" s="144">
        <f t="shared" si="164"/>
        <v>0</v>
      </c>
      <c r="U292" s="144">
        <f t="shared" si="165"/>
        <v>0</v>
      </c>
      <c r="V292" s="144" t="str">
        <f t="shared" si="234"/>
        <v>Mulai berkembang</v>
      </c>
      <c r="W292" s="144" t="str">
        <f t="shared" si="235"/>
        <v>Mulai berkembang</v>
      </c>
      <c r="X292" s="144" t="e">
        <f t="shared" si="166"/>
        <v>#N/A</v>
      </c>
      <c r="Y292" s="145" t="e">
        <f t="shared" si="167"/>
        <v>#N/A</v>
      </c>
      <c r="Z292" s="218" t="str">
        <f>IF('PA-Non'!O264&lt;&gt;"",'PA-Non'!O264,IFERROR("Mempunyai kemampuan yang " &amp;IF(V292=W292,PROPER(W292)&amp;" dalam kompetensi "&amp;VLOOKUP(X292,$G$532:$I$539,3)&amp;" dan kompetensi "&amp;VLOOKUP(Y292,$G$532:$I$539,3),PROPER(V292)&amp;" dalam kompetensi "&amp;VLOOKUP(X292,$G$532:$I$539,3)&amp;" dan memiliki kemampuan yang "&amp;W292&amp;" pada kompetensi "&amp;VLOOKUP(Y292,$G$532:$I$539,3)),""))</f>
        <v/>
      </c>
      <c r="AA292" s="343"/>
      <c r="AB292" s="344"/>
      <c r="AC292" s="344"/>
      <c r="AD292" s="344"/>
      <c r="AE292" s="344"/>
      <c r="AF292" s="344"/>
      <c r="AG292" s="344"/>
      <c r="AH292" s="345"/>
      <c r="AI292" s="220" t="str">
        <f t="shared" si="168"/>
        <v/>
      </c>
      <c r="AJ292" s="160" t="str">
        <f>IF(AI292="","",IF(AI292&gt;Data2!$C$12,Data2!$D$11,IF(AI292&gt;Data2!$C$13,Data2!$D$12,IF(AI292&gt;Data2!$C$14,Data2!$D$13,Data2!$D$14))))</f>
        <v/>
      </c>
      <c r="AK292" s="146">
        <f t="shared" si="169"/>
        <v>0</v>
      </c>
      <c r="AL292" s="146">
        <f t="shared" si="170"/>
        <v>0</v>
      </c>
      <c r="AM292" s="147" t="str">
        <f t="shared" si="236"/>
        <v>Mulai meningkat</v>
      </c>
      <c r="AN292" s="147" t="str">
        <f t="shared" si="237"/>
        <v>Mulai meningkat</v>
      </c>
      <c r="AO292" s="146" t="e">
        <f t="shared" si="171"/>
        <v>#N/A</v>
      </c>
      <c r="AP292" s="148" t="e">
        <f t="shared" si="172"/>
        <v>#N/A</v>
      </c>
      <c r="AQ292" s="158" t="str">
        <f>IF('PA-Non'!V264&lt;&gt;"",'PA-Non'!V264,IFERROR("Mempunyai keterampilan yang "&amp;IF(AM292=AN292,PROPER(AN292)&amp;" dalam kompetensi "&amp;VLOOKUP(AO292,$AA$532:$AC$539,3)&amp;", demikian juga dalam kompetensi "&amp;VLOOKUP(AP292,$AA$532:$AC$539,3),PROPER(AM292)&amp;" dalam kompetensi "&amp;VLOOKUP(AO292,$AA$532:$AC$539,3)&amp;" dan "&amp;AN292&amp;" pada kompetensi "&amp;VLOOKUP(AP292,$AA$532:$AC$539,3)),""))</f>
        <v/>
      </c>
      <c r="AR292" s="188"/>
    </row>
    <row r="293" spans="2:44" ht="27.9" customHeight="1" thickBot="1" x14ac:dyDescent="0.35">
      <c r="B293" s="384" t="s">
        <v>126</v>
      </c>
      <c r="C293" s="149">
        <f t="shared" si="173"/>
        <v>4</v>
      </c>
      <c r="D293" s="150" t="str">
        <f>IF(Data!F288="","",Data!F288)</f>
        <v>03679</v>
      </c>
      <c r="E293" s="151" t="str">
        <f>IF(Data!H288="","",Data!H288)</f>
        <v>Jihan Kharisma Andoko Putri</v>
      </c>
      <c r="F293" s="152" t="str">
        <f>IF(Data!I288="","",Data!I288)</f>
        <v>Perempuan</v>
      </c>
      <c r="G293" s="343"/>
      <c r="H293" s="344"/>
      <c r="I293" s="344"/>
      <c r="J293" s="344"/>
      <c r="K293" s="344"/>
      <c r="L293" s="344"/>
      <c r="M293" s="344"/>
      <c r="N293" s="345"/>
      <c r="O293" s="157" t="str">
        <f t="shared" si="162"/>
        <v/>
      </c>
      <c r="P293" s="344"/>
      <c r="Q293" s="346"/>
      <c r="R293" s="157" t="str">
        <f t="shared" si="163"/>
        <v/>
      </c>
      <c r="S293" s="159" t="str">
        <f>IF(R293="","",IF(R293&gt;Data2!$C$12,Data2!$D$11,IF(R293&gt;Data2!$C$13,Data2!$D$12,IF(R293&gt;Data2!$C$14,Data2!$D$13,Data2!$D$14))))</f>
        <v/>
      </c>
      <c r="T293" s="144">
        <f t="shared" si="164"/>
        <v>0</v>
      </c>
      <c r="U293" s="144">
        <f t="shared" si="165"/>
        <v>0</v>
      </c>
      <c r="V293" s="144" t="str">
        <f t="shared" si="234"/>
        <v>Mulai berkembang</v>
      </c>
      <c r="W293" s="144" t="str">
        <f t="shared" si="235"/>
        <v>Mulai berkembang</v>
      </c>
      <c r="X293" s="144" t="e">
        <f t="shared" si="166"/>
        <v>#N/A</v>
      </c>
      <c r="Y293" s="145" t="e">
        <f t="shared" si="167"/>
        <v>#N/A</v>
      </c>
      <c r="Z293" s="218" t="str">
        <f>IF('PA-Non'!O265&lt;&gt;"",'PA-Non'!O265,IFERROR("Mempunyai kemampuan yang " &amp;IF(V293=W293,PROPER(W293)&amp;" dalam kompetensi "&amp;VLOOKUP(X293,$G$532:$I$539,3)&amp;" dan kompetensi "&amp;VLOOKUP(Y293,$G$532:$I$539,3),PROPER(V293)&amp;" dalam kompetensi "&amp;VLOOKUP(X293,$G$532:$I$539,3)&amp;" dan memiliki kemampuan yang "&amp;W293&amp;" pada kompetensi "&amp;VLOOKUP(Y293,$G$532:$I$539,3)),""))</f>
        <v/>
      </c>
      <c r="AA293" s="343"/>
      <c r="AB293" s="344"/>
      <c r="AC293" s="344"/>
      <c r="AD293" s="344"/>
      <c r="AE293" s="344"/>
      <c r="AF293" s="344"/>
      <c r="AG293" s="344"/>
      <c r="AH293" s="345"/>
      <c r="AI293" s="220" t="str">
        <f t="shared" si="168"/>
        <v/>
      </c>
      <c r="AJ293" s="160" t="str">
        <f>IF(AI293="","",IF(AI293&gt;Data2!$C$12,Data2!$D$11,IF(AI293&gt;Data2!$C$13,Data2!$D$12,IF(AI293&gt;Data2!$C$14,Data2!$D$13,Data2!$D$14))))</f>
        <v/>
      </c>
      <c r="AK293" s="146">
        <f t="shared" si="169"/>
        <v>0</v>
      </c>
      <c r="AL293" s="146">
        <f t="shared" si="170"/>
        <v>0</v>
      </c>
      <c r="AM293" s="147" t="str">
        <f t="shared" si="236"/>
        <v>Mulai meningkat</v>
      </c>
      <c r="AN293" s="147" t="str">
        <f t="shared" si="237"/>
        <v>Mulai meningkat</v>
      </c>
      <c r="AO293" s="146" t="e">
        <f t="shared" si="171"/>
        <v>#N/A</v>
      </c>
      <c r="AP293" s="148" t="e">
        <f t="shared" si="172"/>
        <v>#N/A</v>
      </c>
      <c r="AQ293" s="158" t="str">
        <f>IF('PA-Non'!V265&lt;&gt;"",'PA-Non'!V265,IFERROR("Mempunyai keterampilan yang "&amp;IF(AM293=AN293,PROPER(AN293)&amp;" dalam kompetensi "&amp;VLOOKUP(AO293,$AA$532:$AC$539,3)&amp;", demikian juga dalam kompetensi "&amp;VLOOKUP(AP293,$AA$532:$AC$539,3),PROPER(AM293)&amp;" dalam kompetensi "&amp;VLOOKUP(AO293,$AA$532:$AC$539,3)&amp;" dan "&amp;AN293&amp;" pada kompetensi "&amp;VLOOKUP(AP293,$AA$532:$AC$539,3)),""))</f>
        <v/>
      </c>
      <c r="AR293" s="188"/>
    </row>
    <row r="294" spans="2:44" ht="27.9" customHeight="1" thickBot="1" x14ac:dyDescent="0.35">
      <c r="B294" s="384" t="s">
        <v>126</v>
      </c>
      <c r="C294" s="149">
        <f t="shared" si="173"/>
        <v>5</v>
      </c>
      <c r="D294" s="150" t="str">
        <f>IF(Data!F289="","",Data!F289)</f>
        <v>03685</v>
      </c>
      <c r="E294" s="151" t="str">
        <f>IF(Data!H289="","",Data!H289)</f>
        <v>Khofifah Dwi Wulandini</v>
      </c>
      <c r="F294" s="152" t="str">
        <f>IF(Data!I289="","",Data!I289)</f>
        <v>Perempuan</v>
      </c>
      <c r="G294" s="343"/>
      <c r="H294" s="344"/>
      <c r="I294" s="344"/>
      <c r="J294" s="344"/>
      <c r="K294" s="344"/>
      <c r="L294" s="344"/>
      <c r="M294" s="344"/>
      <c r="N294" s="345"/>
      <c r="O294" s="157" t="str">
        <f t="shared" si="162"/>
        <v/>
      </c>
      <c r="P294" s="344"/>
      <c r="Q294" s="346"/>
      <c r="R294" s="157" t="str">
        <f t="shared" si="163"/>
        <v/>
      </c>
      <c r="S294" s="159" t="str">
        <f>IF(R294="","",IF(R294&gt;Data2!$C$12,Data2!$D$11,IF(R294&gt;Data2!$C$13,Data2!$D$12,IF(R294&gt;Data2!$C$14,Data2!$D$13,Data2!$D$14))))</f>
        <v/>
      </c>
      <c r="T294" s="144">
        <f t="shared" si="164"/>
        <v>0</v>
      </c>
      <c r="U294" s="144">
        <f t="shared" si="165"/>
        <v>0</v>
      </c>
      <c r="V294" s="144" t="str">
        <f t="shared" si="234"/>
        <v>Mulai berkembang</v>
      </c>
      <c r="W294" s="144" t="str">
        <f t="shared" si="235"/>
        <v>Mulai berkembang</v>
      </c>
      <c r="X294" s="144" t="e">
        <f t="shared" si="166"/>
        <v>#N/A</v>
      </c>
      <c r="Y294" s="145" t="e">
        <f t="shared" si="167"/>
        <v>#N/A</v>
      </c>
      <c r="Z294" s="218" t="str">
        <f>IF('PA-Non'!O266&lt;&gt;"",'PA-Non'!O266,IFERROR("Mempunyai kemampuan yang " &amp;IF(V294=W294,PROPER(W294)&amp;" dalam kompetensi "&amp;VLOOKUP(X294,$G$532:$I$539,3)&amp;" dan kompetensi "&amp;VLOOKUP(Y294,$G$532:$I$539,3),PROPER(V294)&amp;" dalam kompetensi "&amp;VLOOKUP(X294,$G$532:$I$539,3)&amp;" dan memiliki kemampuan yang "&amp;W294&amp;" pada kompetensi "&amp;VLOOKUP(Y294,$G$532:$I$539,3)),""))</f>
        <v/>
      </c>
      <c r="AA294" s="343"/>
      <c r="AB294" s="344"/>
      <c r="AC294" s="344"/>
      <c r="AD294" s="344"/>
      <c r="AE294" s="344"/>
      <c r="AF294" s="344"/>
      <c r="AG294" s="344"/>
      <c r="AH294" s="345"/>
      <c r="AI294" s="220" t="str">
        <f t="shared" si="168"/>
        <v/>
      </c>
      <c r="AJ294" s="160" t="str">
        <f>IF(AI294="","",IF(AI294&gt;Data2!$C$12,Data2!$D$11,IF(AI294&gt;Data2!$C$13,Data2!$D$12,IF(AI294&gt;Data2!$C$14,Data2!$D$13,Data2!$D$14))))</f>
        <v/>
      </c>
      <c r="AK294" s="146">
        <f t="shared" si="169"/>
        <v>0</v>
      </c>
      <c r="AL294" s="146">
        <f t="shared" si="170"/>
        <v>0</v>
      </c>
      <c r="AM294" s="147" t="str">
        <f t="shared" si="236"/>
        <v>Mulai meningkat</v>
      </c>
      <c r="AN294" s="147" t="str">
        <f t="shared" si="237"/>
        <v>Mulai meningkat</v>
      </c>
      <c r="AO294" s="146" t="e">
        <f t="shared" si="171"/>
        <v>#N/A</v>
      </c>
      <c r="AP294" s="148" t="e">
        <f t="shared" si="172"/>
        <v>#N/A</v>
      </c>
      <c r="AQ294" s="158" t="str">
        <f>IF('PA-Non'!V266&lt;&gt;"",'PA-Non'!V266,IFERROR("Mempunyai keterampilan yang "&amp;IF(AM294=AN294,PROPER(AN294)&amp;" dalam kompetensi "&amp;VLOOKUP(AO294,$AA$532:$AC$539,3)&amp;", demikian juga dalam kompetensi "&amp;VLOOKUP(AP294,$AA$532:$AC$539,3),PROPER(AM294)&amp;" dalam kompetensi "&amp;VLOOKUP(AO294,$AA$532:$AC$539,3)&amp;" dan "&amp;AN294&amp;" pada kompetensi "&amp;VLOOKUP(AP294,$AA$532:$AC$539,3)),""))</f>
        <v/>
      </c>
      <c r="AR294" s="188"/>
    </row>
    <row r="295" spans="2:44" ht="27.9" customHeight="1" thickBot="1" x14ac:dyDescent="0.35">
      <c r="B295" s="384" t="s">
        <v>126</v>
      </c>
      <c r="C295" s="149">
        <f t="shared" si="173"/>
        <v>6</v>
      </c>
      <c r="D295" s="150" t="str">
        <f>IF(Data!F290="","",Data!F290)</f>
        <v>03692</v>
      </c>
      <c r="E295" s="151" t="str">
        <f>IF(Data!H290="","",Data!H290)</f>
        <v>Maulidan Najwa Lathifah</v>
      </c>
      <c r="F295" s="152" t="str">
        <f>IF(Data!I290="","",Data!I290)</f>
        <v>Perempuan</v>
      </c>
      <c r="G295" s="343"/>
      <c r="H295" s="344"/>
      <c r="I295" s="344"/>
      <c r="J295" s="344"/>
      <c r="K295" s="344"/>
      <c r="L295" s="344"/>
      <c r="M295" s="344"/>
      <c r="N295" s="345"/>
      <c r="O295" s="157" t="str">
        <f t="shared" ref="O295:O331" si="238">IF(COUNT(G295:N295)&lt;3,"",ROUND(SUM(G295:N295)/$O$6,0))</f>
        <v/>
      </c>
      <c r="P295" s="344"/>
      <c r="Q295" s="346"/>
      <c r="R295" s="157" t="str">
        <f t="shared" si="163"/>
        <v/>
      </c>
      <c r="S295" s="159" t="str">
        <f>IF(R295="","",IF(R295&gt;Data2!$C$12,Data2!$D$11,IF(R295&gt;Data2!$C$13,Data2!$D$12,IF(R295&gt;Data2!$C$14,Data2!$D$13,Data2!$D$14))))</f>
        <v/>
      </c>
      <c r="T295" s="144">
        <f t="shared" ref="T295:T331" si="239">MAX(G295:N295)</f>
        <v>0</v>
      </c>
      <c r="U295" s="144">
        <f t="shared" ref="U295:U331" si="240">MIN(G295:N295)</f>
        <v>0</v>
      </c>
      <c r="V295" s="144" t="str">
        <f t="shared" si="234"/>
        <v>Mulai berkembang</v>
      </c>
      <c r="W295" s="144" t="str">
        <f t="shared" si="235"/>
        <v>Mulai berkembang</v>
      </c>
      <c r="X295" s="144" t="e">
        <f t="shared" ref="X295:X331" si="241">MATCH(T295,G295:N295,0)</f>
        <v>#N/A</v>
      </c>
      <c r="Y295" s="145" t="e">
        <f t="shared" ref="Y295:Y331" si="242">MATCH(U295,G295:N295,0)</f>
        <v>#N/A</v>
      </c>
      <c r="Z295" s="218" t="str">
        <f>IF('PA-Non'!O267&lt;&gt;"",'PA-Non'!O267,IFERROR("Mempunyai kemampuan yang " &amp;IF(V295=W295,PROPER(W295)&amp;" dalam kompetensi "&amp;VLOOKUP(X295,$G$532:$I$539,3)&amp;" dan kompetensi "&amp;VLOOKUP(Y295,$G$532:$I$539,3),PROPER(V295)&amp;" dalam kompetensi "&amp;VLOOKUP(X295,$G$532:$I$539,3)&amp;" dan memiliki kemampuan yang "&amp;W295&amp;" pada kompetensi "&amp;VLOOKUP(Y295,$G$532:$I$539,3)),""))</f>
        <v/>
      </c>
      <c r="AA295" s="343"/>
      <c r="AB295" s="344"/>
      <c r="AC295" s="344"/>
      <c r="AD295" s="344"/>
      <c r="AE295" s="344"/>
      <c r="AF295" s="344"/>
      <c r="AG295" s="344"/>
      <c r="AH295" s="345"/>
      <c r="AI295" s="220" t="str">
        <f t="shared" ref="AI295:AI331" si="243">IF(COUNT(AA295:AH295)&lt;3,"",ROUND(((AA295*$AA$8)+(AB295*$AB$8)+(AC295*$AC$8)+(AD295*$AD$8)+(AE295*$AE$8)+(AF295*$AF$8)+(AG295*$AG$8)+(AH295*$AH$8))/$AI$6,0))</f>
        <v/>
      </c>
      <c r="AJ295" s="160" t="str">
        <f>IF(AI295="","",IF(AI295&gt;Data2!$C$12,Data2!$D$11,IF(AI295&gt;Data2!$C$13,Data2!$D$12,IF(AI295&gt;Data2!$C$14,Data2!$D$13,Data2!$D$14))))</f>
        <v/>
      </c>
      <c r="AK295" s="146">
        <f t="shared" ref="AK295:AK331" si="244">MAX(AA295:AH295)</f>
        <v>0</v>
      </c>
      <c r="AL295" s="146">
        <f t="shared" ref="AL295:AL331" si="245">MIN(AA295:AH295)</f>
        <v>0</v>
      </c>
      <c r="AM295" s="147" t="str">
        <f t="shared" si="236"/>
        <v>Mulai meningkat</v>
      </c>
      <c r="AN295" s="147" t="str">
        <f t="shared" si="237"/>
        <v>Mulai meningkat</v>
      </c>
      <c r="AO295" s="146" t="e">
        <f t="shared" ref="AO295:AO331" si="246">MATCH(AK295,AA295:AH295,0)</f>
        <v>#N/A</v>
      </c>
      <c r="AP295" s="148" t="e">
        <f t="shared" ref="AP295:AP331" si="247">MATCH(AL295,AA295:AH295,0)</f>
        <v>#N/A</v>
      </c>
      <c r="AQ295" s="158" t="str">
        <f>IF('PA-Non'!V267&lt;&gt;"",'PA-Non'!V267,IFERROR("Mempunyai keterampilan yang "&amp;IF(AM295=AN295,PROPER(AN295)&amp;" dalam kompetensi "&amp;VLOOKUP(AO295,$AA$532:$AC$539,3)&amp;", demikian juga dalam kompetensi "&amp;VLOOKUP(AP295,$AA$532:$AC$539,3),PROPER(AM295)&amp;" dalam kompetensi "&amp;VLOOKUP(AO295,$AA$532:$AC$539,3)&amp;" dan "&amp;AN295&amp;" pada kompetensi "&amp;VLOOKUP(AP295,$AA$532:$AC$539,3)),""))</f>
        <v/>
      </c>
      <c r="AR295" s="188"/>
    </row>
    <row r="296" spans="2:44" ht="27.9" customHeight="1" thickBot="1" x14ac:dyDescent="0.35">
      <c r="B296" s="384" t="s">
        <v>126</v>
      </c>
      <c r="C296" s="149">
        <f t="shared" si="173"/>
        <v>7</v>
      </c>
      <c r="D296" s="150" t="str">
        <f>IF(Data!F291="","",Data!F291)</f>
        <v>03693</v>
      </c>
      <c r="E296" s="151" t="str">
        <f>IF(Data!H291="","",Data!H291)</f>
        <v>Meysha Vallerie Azzahra</v>
      </c>
      <c r="F296" s="152" t="str">
        <f>IF(Data!I291="","",Data!I291)</f>
        <v>Perempuan</v>
      </c>
      <c r="G296" s="343"/>
      <c r="H296" s="344"/>
      <c r="I296" s="344"/>
      <c r="J296" s="344"/>
      <c r="K296" s="344"/>
      <c r="L296" s="344"/>
      <c r="M296" s="344"/>
      <c r="N296" s="345"/>
      <c r="O296" s="157" t="str">
        <f t="shared" si="238"/>
        <v/>
      </c>
      <c r="P296" s="344"/>
      <c r="Q296" s="346"/>
      <c r="R296" s="157" t="str">
        <f t="shared" ref="R296:R331" si="248">IFERROR(IF(OR(P296="",Q296=""),"",ROUND(((O296*$O$8)+(P296*$P$8)+(Q296*$Q$8))/$Q$6,0)),"")</f>
        <v/>
      </c>
      <c r="S296" s="159" t="str">
        <f>IF(R296="","",IF(R296&gt;Data2!$C$12,Data2!$D$11,IF(R296&gt;Data2!$C$13,Data2!$D$12,IF(R296&gt;Data2!$C$14,Data2!$D$13,Data2!$D$14))))</f>
        <v/>
      </c>
      <c r="T296" s="144">
        <f t="shared" si="239"/>
        <v>0</v>
      </c>
      <c r="U296" s="144">
        <f t="shared" si="240"/>
        <v>0</v>
      </c>
      <c r="V296" s="144" t="str">
        <f t="shared" si="234"/>
        <v>Mulai berkembang</v>
      </c>
      <c r="W296" s="144" t="str">
        <f t="shared" si="235"/>
        <v>Mulai berkembang</v>
      </c>
      <c r="X296" s="144" t="e">
        <f t="shared" si="241"/>
        <v>#N/A</v>
      </c>
      <c r="Y296" s="145" t="e">
        <f t="shared" si="242"/>
        <v>#N/A</v>
      </c>
      <c r="Z296" s="218" t="str">
        <f>IF('PA-Non'!O268&lt;&gt;"",'PA-Non'!O268,IFERROR("Mempunyai kemampuan yang " &amp;IF(V296=W296,PROPER(W296)&amp;" dalam kompetensi "&amp;VLOOKUP(X296,$G$532:$I$539,3)&amp;" dan kompetensi "&amp;VLOOKUP(Y296,$G$532:$I$539,3),PROPER(V296)&amp;" dalam kompetensi "&amp;VLOOKUP(X296,$G$532:$I$539,3)&amp;" dan memiliki kemampuan yang "&amp;W296&amp;" pada kompetensi "&amp;VLOOKUP(Y296,$G$532:$I$539,3)),""))</f>
        <v/>
      </c>
      <c r="AA296" s="343"/>
      <c r="AB296" s="344"/>
      <c r="AC296" s="344"/>
      <c r="AD296" s="344"/>
      <c r="AE296" s="344"/>
      <c r="AF296" s="344"/>
      <c r="AG296" s="344"/>
      <c r="AH296" s="345"/>
      <c r="AI296" s="220" t="str">
        <f t="shared" si="243"/>
        <v/>
      </c>
      <c r="AJ296" s="160" t="str">
        <f>IF(AI296="","",IF(AI296&gt;Data2!$C$12,Data2!$D$11,IF(AI296&gt;Data2!$C$13,Data2!$D$12,IF(AI296&gt;Data2!$C$14,Data2!$D$13,Data2!$D$14))))</f>
        <v/>
      </c>
      <c r="AK296" s="146">
        <f t="shared" si="244"/>
        <v>0</v>
      </c>
      <c r="AL296" s="146">
        <f t="shared" si="245"/>
        <v>0</v>
      </c>
      <c r="AM296" s="147" t="str">
        <f t="shared" si="236"/>
        <v>Mulai meningkat</v>
      </c>
      <c r="AN296" s="147" t="str">
        <f t="shared" si="237"/>
        <v>Mulai meningkat</v>
      </c>
      <c r="AO296" s="146" t="e">
        <f t="shared" si="246"/>
        <v>#N/A</v>
      </c>
      <c r="AP296" s="148" t="e">
        <f t="shared" si="247"/>
        <v>#N/A</v>
      </c>
      <c r="AQ296" s="158" t="str">
        <f>IF('PA-Non'!V268&lt;&gt;"",'PA-Non'!V268,IFERROR("Mempunyai keterampilan yang "&amp;IF(AM296=AN296,PROPER(AN296)&amp;" dalam kompetensi "&amp;VLOOKUP(AO296,$AA$532:$AC$539,3)&amp;", demikian juga dalam kompetensi "&amp;VLOOKUP(AP296,$AA$532:$AC$539,3),PROPER(AM296)&amp;" dalam kompetensi "&amp;VLOOKUP(AO296,$AA$532:$AC$539,3)&amp;" dan "&amp;AN296&amp;" pada kompetensi "&amp;VLOOKUP(AP296,$AA$532:$AC$539,3)),""))</f>
        <v/>
      </c>
      <c r="AR296" s="188"/>
    </row>
    <row r="297" spans="2:44" ht="27.9" customHeight="1" thickBot="1" x14ac:dyDescent="0.35">
      <c r="B297" s="384" t="s">
        <v>126</v>
      </c>
      <c r="C297" s="149">
        <f t="shared" si="173"/>
        <v>8</v>
      </c>
      <c r="D297" s="150" t="str">
        <f>IF(Data!F292="","",Data!F292)</f>
        <v>03697</v>
      </c>
      <c r="E297" s="151" t="str">
        <f>IF(Data!H292="","",Data!H292)</f>
        <v>Mufidah Salwa Ramadhani</v>
      </c>
      <c r="F297" s="152" t="str">
        <f>IF(Data!I292="","",Data!I292)</f>
        <v>Perempuan</v>
      </c>
      <c r="G297" s="343"/>
      <c r="H297" s="344"/>
      <c r="I297" s="344"/>
      <c r="J297" s="344"/>
      <c r="K297" s="344"/>
      <c r="L297" s="344"/>
      <c r="M297" s="344"/>
      <c r="N297" s="345"/>
      <c r="O297" s="157" t="str">
        <f t="shared" si="238"/>
        <v/>
      </c>
      <c r="P297" s="344"/>
      <c r="Q297" s="346"/>
      <c r="R297" s="157" t="str">
        <f t="shared" si="248"/>
        <v/>
      </c>
      <c r="S297" s="159" t="str">
        <f>IF(R297="","",IF(R297&gt;Data2!$C$12,Data2!$D$11,IF(R297&gt;Data2!$C$13,Data2!$D$12,IF(R297&gt;Data2!$C$14,Data2!$D$13,Data2!$D$14))))</f>
        <v/>
      </c>
      <c r="T297" s="144">
        <f t="shared" si="239"/>
        <v>0</v>
      </c>
      <c r="U297" s="144">
        <f t="shared" si="240"/>
        <v>0</v>
      </c>
      <c r="V297" s="144" t="str">
        <f t="shared" si="234"/>
        <v>Mulai berkembang</v>
      </c>
      <c r="W297" s="144" t="str">
        <f t="shared" si="235"/>
        <v>Mulai berkembang</v>
      </c>
      <c r="X297" s="144" t="e">
        <f t="shared" si="241"/>
        <v>#N/A</v>
      </c>
      <c r="Y297" s="145" t="e">
        <f t="shared" si="242"/>
        <v>#N/A</v>
      </c>
      <c r="Z297" s="218" t="str">
        <f>IF('PA-Non'!O269&lt;&gt;"",'PA-Non'!O269,IFERROR("Mempunyai kemampuan yang " &amp;IF(V297=W297,PROPER(W297)&amp;" dalam kompetensi "&amp;VLOOKUP(X297,$G$532:$I$539,3)&amp;" dan kompetensi "&amp;VLOOKUP(Y297,$G$532:$I$539,3),PROPER(V297)&amp;" dalam kompetensi "&amp;VLOOKUP(X297,$G$532:$I$539,3)&amp;" dan memiliki kemampuan yang "&amp;W297&amp;" pada kompetensi "&amp;VLOOKUP(Y297,$G$532:$I$539,3)),""))</f>
        <v/>
      </c>
      <c r="AA297" s="343"/>
      <c r="AB297" s="344"/>
      <c r="AC297" s="344"/>
      <c r="AD297" s="344"/>
      <c r="AE297" s="344"/>
      <c r="AF297" s="344"/>
      <c r="AG297" s="344"/>
      <c r="AH297" s="345"/>
      <c r="AI297" s="220" t="str">
        <f t="shared" si="243"/>
        <v/>
      </c>
      <c r="AJ297" s="160" t="str">
        <f>IF(AI297="","",IF(AI297&gt;Data2!$C$12,Data2!$D$11,IF(AI297&gt;Data2!$C$13,Data2!$D$12,IF(AI297&gt;Data2!$C$14,Data2!$D$13,Data2!$D$14))))</f>
        <v/>
      </c>
      <c r="AK297" s="146">
        <f t="shared" si="244"/>
        <v>0</v>
      </c>
      <c r="AL297" s="146">
        <f t="shared" si="245"/>
        <v>0</v>
      </c>
      <c r="AM297" s="147" t="str">
        <f t="shared" si="236"/>
        <v>Mulai meningkat</v>
      </c>
      <c r="AN297" s="147" t="str">
        <f t="shared" si="237"/>
        <v>Mulai meningkat</v>
      </c>
      <c r="AO297" s="146" t="e">
        <f t="shared" si="246"/>
        <v>#N/A</v>
      </c>
      <c r="AP297" s="148" t="e">
        <f t="shared" si="247"/>
        <v>#N/A</v>
      </c>
      <c r="AQ297" s="158" t="str">
        <f>IF('PA-Non'!V269&lt;&gt;"",'PA-Non'!V269,IFERROR("Mempunyai keterampilan yang "&amp;IF(AM297=AN297,PROPER(AN297)&amp;" dalam kompetensi "&amp;VLOOKUP(AO297,$AA$532:$AC$539,3)&amp;", demikian juga dalam kompetensi "&amp;VLOOKUP(AP297,$AA$532:$AC$539,3),PROPER(AM297)&amp;" dalam kompetensi "&amp;VLOOKUP(AO297,$AA$532:$AC$539,3)&amp;" dan "&amp;AN297&amp;" pada kompetensi "&amp;VLOOKUP(AP297,$AA$532:$AC$539,3)),""))</f>
        <v/>
      </c>
      <c r="AR297" s="188"/>
    </row>
    <row r="298" spans="2:44" ht="27.9" customHeight="1" thickBot="1" x14ac:dyDescent="0.35">
      <c r="B298" s="384" t="s">
        <v>126</v>
      </c>
      <c r="C298" s="149">
        <f t="shared" si="173"/>
        <v>9</v>
      </c>
      <c r="D298" s="150" t="str">
        <f>IF(Data!F293="","",Data!F293)</f>
        <v>03711</v>
      </c>
      <c r="E298" s="151" t="str">
        <f>IF(Data!H293="","",Data!H293)</f>
        <v>Nelli Rahma Ramadani</v>
      </c>
      <c r="F298" s="152" t="str">
        <f>IF(Data!I293="","",Data!I293)</f>
        <v>Perempuan</v>
      </c>
      <c r="G298" s="343"/>
      <c r="H298" s="344"/>
      <c r="I298" s="344"/>
      <c r="J298" s="344"/>
      <c r="K298" s="344"/>
      <c r="L298" s="344"/>
      <c r="M298" s="344"/>
      <c r="N298" s="345"/>
      <c r="O298" s="157" t="str">
        <f t="shared" si="238"/>
        <v/>
      </c>
      <c r="P298" s="344"/>
      <c r="Q298" s="346"/>
      <c r="R298" s="157" t="str">
        <f t="shared" si="248"/>
        <v/>
      </c>
      <c r="S298" s="159" t="str">
        <f>IF(R298="","",IF(R298&gt;Data2!$C$12,Data2!$D$11,IF(R298&gt;Data2!$C$13,Data2!$D$12,IF(R298&gt;Data2!$C$14,Data2!$D$13,Data2!$D$14))))</f>
        <v/>
      </c>
      <c r="T298" s="144">
        <f t="shared" si="239"/>
        <v>0</v>
      </c>
      <c r="U298" s="144">
        <f t="shared" si="240"/>
        <v>0</v>
      </c>
      <c r="V298" s="144" t="str">
        <f t="shared" si="234"/>
        <v>Mulai berkembang</v>
      </c>
      <c r="W298" s="144" t="str">
        <f t="shared" si="235"/>
        <v>Mulai berkembang</v>
      </c>
      <c r="X298" s="144" t="e">
        <f t="shared" si="241"/>
        <v>#N/A</v>
      </c>
      <c r="Y298" s="145" t="e">
        <f t="shared" si="242"/>
        <v>#N/A</v>
      </c>
      <c r="Z298" s="218" t="str">
        <f>IF('PA-Non'!O270&lt;&gt;"",'PA-Non'!O270,IFERROR("Mempunyai kemampuan yang " &amp;IF(V298=W298,PROPER(W298)&amp;" dalam kompetensi "&amp;VLOOKUP(X298,$G$532:$I$539,3)&amp;" dan kompetensi "&amp;VLOOKUP(Y298,$G$532:$I$539,3),PROPER(V298)&amp;" dalam kompetensi "&amp;VLOOKUP(X298,$G$532:$I$539,3)&amp;" dan memiliki kemampuan yang "&amp;W298&amp;" pada kompetensi "&amp;VLOOKUP(Y298,$G$532:$I$539,3)),""))</f>
        <v/>
      </c>
      <c r="AA298" s="343"/>
      <c r="AB298" s="344"/>
      <c r="AC298" s="344"/>
      <c r="AD298" s="344"/>
      <c r="AE298" s="344"/>
      <c r="AF298" s="344"/>
      <c r="AG298" s="344"/>
      <c r="AH298" s="345"/>
      <c r="AI298" s="220" t="str">
        <f t="shared" si="243"/>
        <v/>
      </c>
      <c r="AJ298" s="160" t="str">
        <f>IF(AI298="","",IF(AI298&gt;Data2!$C$12,Data2!$D$11,IF(AI298&gt;Data2!$C$13,Data2!$D$12,IF(AI298&gt;Data2!$C$14,Data2!$D$13,Data2!$D$14))))</f>
        <v/>
      </c>
      <c r="AK298" s="146">
        <f t="shared" si="244"/>
        <v>0</v>
      </c>
      <c r="AL298" s="146">
        <f t="shared" si="245"/>
        <v>0</v>
      </c>
      <c r="AM298" s="147" t="str">
        <f t="shared" si="236"/>
        <v>Mulai meningkat</v>
      </c>
      <c r="AN298" s="147" t="str">
        <f t="shared" si="237"/>
        <v>Mulai meningkat</v>
      </c>
      <c r="AO298" s="146" t="e">
        <f t="shared" si="246"/>
        <v>#N/A</v>
      </c>
      <c r="AP298" s="148" t="e">
        <f t="shared" si="247"/>
        <v>#N/A</v>
      </c>
      <c r="AQ298" s="158" t="str">
        <f>IF('PA-Non'!V270&lt;&gt;"",'PA-Non'!V270,IFERROR("Mempunyai keterampilan yang "&amp;IF(AM298=AN298,PROPER(AN298)&amp;" dalam kompetensi "&amp;VLOOKUP(AO298,$AA$532:$AC$539,3)&amp;", demikian juga dalam kompetensi "&amp;VLOOKUP(AP298,$AA$532:$AC$539,3),PROPER(AM298)&amp;" dalam kompetensi "&amp;VLOOKUP(AO298,$AA$532:$AC$539,3)&amp;" dan "&amp;AN298&amp;" pada kompetensi "&amp;VLOOKUP(AP298,$AA$532:$AC$539,3)),""))</f>
        <v/>
      </c>
      <c r="AR298" s="188"/>
    </row>
    <row r="299" spans="2:44" ht="27.9" customHeight="1" thickBot="1" x14ac:dyDescent="0.35">
      <c r="B299" s="384" t="s">
        <v>126</v>
      </c>
      <c r="C299" s="149">
        <f t="shared" si="173"/>
        <v>10</v>
      </c>
      <c r="D299" s="150" t="str">
        <f>IF(Data!F294="","",Data!F294)</f>
        <v>03720</v>
      </c>
      <c r="E299" s="151" t="str">
        <f>IF(Data!H294="","",Data!H294)</f>
        <v>Salsabila Alfira Anggia Putri</v>
      </c>
      <c r="F299" s="152" t="str">
        <f>IF(Data!I294="","",Data!I294)</f>
        <v>Perempuan</v>
      </c>
      <c r="G299" s="343"/>
      <c r="H299" s="344"/>
      <c r="I299" s="344"/>
      <c r="J299" s="344"/>
      <c r="K299" s="344"/>
      <c r="L299" s="344"/>
      <c r="M299" s="344"/>
      <c r="N299" s="345"/>
      <c r="O299" s="157" t="str">
        <f t="shared" si="238"/>
        <v/>
      </c>
      <c r="P299" s="344"/>
      <c r="Q299" s="346"/>
      <c r="R299" s="157" t="str">
        <f t="shared" si="248"/>
        <v/>
      </c>
      <c r="S299" s="159" t="str">
        <f>IF(R299="","",IF(R299&gt;Data2!$C$12,Data2!$D$11,IF(R299&gt;Data2!$C$13,Data2!$D$12,IF(R299&gt;Data2!$C$14,Data2!$D$13,Data2!$D$14))))</f>
        <v/>
      </c>
      <c r="T299" s="144">
        <f t="shared" si="239"/>
        <v>0</v>
      </c>
      <c r="U299" s="144">
        <f t="shared" si="240"/>
        <v>0</v>
      </c>
      <c r="V299" s="144" t="str">
        <f t="shared" si="234"/>
        <v>Mulai berkembang</v>
      </c>
      <c r="W299" s="144" t="str">
        <f t="shared" si="235"/>
        <v>Mulai berkembang</v>
      </c>
      <c r="X299" s="144" t="e">
        <f t="shared" si="241"/>
        <v>#N/A</v>
      </c>
      <c r="Y299" s="145" t="e">
        <f t="shared" si="242"/>
        <v>#N/A</v>
      </c>
      <c r="Z299" s="218" t="str">
        <f>IF('PA-Non'!O271&lt;&gt;"",'PA-Non'!O271,IFERROR("Mempunyai kemampuan yang " &amp;IF(V299=W299,PROPER(W299)&amp;" dalam kompetensi "&amp;VLOOKUP(X299,$G$532:$I$539,3)&amp;" dan kompetensi "&amp;VLOOKUP(Y299,$G$532:$I$539,3),PROPER(V299)&amp;" dalam kompetensi "&amp;VLOOKUP(X299,$G$532:$I$539,3)&amp;" dan memiliki kemampuan yang "&amp;W299&amp;" pada kompetensi "&amp;VLOOKUP(Y299,$G$532:$I$539,3)),""))</f>
        <v/>
      </c>
      <c r="AA299" s="343"/>
      <c r="AB299" s="344"/>
      <c r="AC299" s="344"/>
      <c r="AD299" s="344"/>
      <c r="AE299" s="344"/>
      <c r="AF299" s="344"/>
      <c r="AG299" s="344"/>
      <c r="AH299" s="345"/>
      <c r="AI299" s="220" t="str">
        <f t="shared" si="243"/>
        <v/>
      </c>
      <c r="AJ299" s="160" t="str">
        <f>IF(AI299="","",IF(AI299&gt;Data2!$C$12,Data2!$D$11,IF(AI299&gt;Data2!$C$13,Data2!$D$12,IF(AI299&gt;Data2!$C$14,Data2!$D$13,Data2!$D$14))))</f>
        <v/>
      </c>
      <c r="AK299" s="146">
        <f t="shared" si="244"/>
        <v>0</v>
      </c>
      <c r="AL299" s="146">
        <f t="shared" si="245"/>
        <v>0</v>
      </c>
      <c r="AM299" s="147" t="str">
        <f t="shared" si="236"/>
        <v>Mulai meningkat</v>
      </c>
      <c r="AN299" s="147" t="str">
        <f t="shared" si="237"/>
        <v>Mulai meningkat</v>
      </c>
      <c r="AO299" s="146" t="e">
        <f t="shared" si="246"/>
        <v>#N/A</v>
      </c>
      <c r="AP299" s="148" t="e">
        <f t="shared" si="247"/>
        <v>#N/A</v>
      </c>
      <c r="AQ299" s="158" t="str">
        <f>IF('PA-Non'!V271&lt;&gt;"",'PA-Non'!V271,IFERROR("Mempunyai keterampilan yang "&amp;IF(AM299=AN299,PROPER(AN299)&amp;" dalam kompetensi "&amp;VLOOKUP(AO299,$AA$532:$AC$539,3)&amp;", demikian juga dalam kompetensi "&amp;VLOOKUP(AP299,$AA$532:$AC$539,3),PROPER(AM299)&amp;" dalam kompetensi "&amp;VLOOKUP(AO299,$AA$532:$AC$539,3)&amp;" dan "&amp;AN299&amp;" pada kompetensi "&amp;VLOOKUP(AP299,$AA$532:$AC$539,3)),""))</f>
        <v/>
      </c>
      <c r="AR299" s="188"/>
    </row>
    <row r="300" spans="2:44" ht="27.9" customHeight="1" thickBot="1" x14ac:dyDescent="0.35">
      <c r="B300" s="384" t="s">
        <v>126</v>
      </c>
      <c r="C300" s="149">
        <f t="shared" si="173"/>
        <v>11</v>
      </c>
      <c r="D300" s="150" t="str">
        <f>IF(Data!F295="","",Data!F295)</f>
        <v>03728</v>
      </c>
      <c r="E300" s="151" t="str">
        <f>IF(Data!H295="","",Data!H295)</f>
        <v>Siti Nur Halimah Thusadia</v>
      </c>
      <c r="F300" s="152" t="str">
        <f>IF(Data!I295="","",Data!I295)</f>
        <v>Perempuan</v>
      </c>
      <c r="G300" s="343"/>
      <c r="H300" s="344"/>
      <c r="I300" s="344"/>
      <c r="J300" s="344"/>
      <c r="K300" s="344"/>
      <c r="L300" s="344"/>
      <c r="M300" s="344"/>
      <c r="N300" s="345"/>
      <c r="O300" s="157" t="str">
        <f t="shared" si="238"/>
        <v/>
      </c>
      <c r="P300" s="344"/>
      <c r="Q300" s="346"/>
      <c r="R300" s="157" t="str">
        <f t="shared" si="248"/>
        <v/>
      </c>
      <c r="S300" s="159" t="str">
        <f>IF(R300="","",IF(R300&gt;Data2!$C$12,Data2!$D$11,IF(R300&gt;Data2!$C$13,Data2!$D$12,IF(R300&gt;Data2!$C$14,Data2!$D$13,Data2!$D$14))))</f>
        <v/>
      </c>
      <c r="T300" s="144">
        <f t="shared" si="239"/>
        <v>0</v>
      </c>
      <c r="U300" s="144">
        <f t="shared" si="240"/>
        <v>0</v>
      </c>
      <c r="V300" s="144" t="str">
        <f t="shared" si="234"/>
        <v>Mulai berkembang</v>
      </c>
      <c r="W300" s="144" t="str">
        <f t="shared" si="235"/>
        <v>Mulai berkembang</v>
      </c>
      <c r="X300" s="144" t="e">
        <f t="shared" si="241"/>
        <v>#N/A</v>
      </c>
      <c r="Y300" s="145" t="e">
        <f t="shared" si="242"/>
        <v>#N/A</v>
      </c>
      <c r="Z300" s="218" t="str">
        <f>IF('PA-Non'!O272&lt;&gt;"",'PA-Non'!O272,IFERROR("Mempunyai kemampuan yang " &amp;IF(V300=W300,PROPER(W300)&amp;" dalam kompetensi "&amp;VLOOKUP(X300,$G$532:$I$539,3)&amp;" dan kompetensi "&amp;VLOOKUP(Y300,$G$532:$I$539,3),PROPER(V300)&amp;" dalam kompetensi "&amp;VLOOKUP(X300,$G$532:$I$539,3)&amp;" dan memiliki kemampuan yang "&amp;W300&amp;" pada kompetensi "&amp;VLOOKUP(Y300,$G$532:$I$539,3)),""))</f>
        <v/>
      </c>
      <c r="AA300" s="343"/>
      <c r="AB300" s="344"/>
      <c r="AC300" s="344"/>
      <c r="AD300" s="344"/>
      <c r="AE300" s="344"/>
      <c r="AF300" s="344"/>
      <c r="AG300" s="344"/>
      <c r="AH300" s="345"/>
      <c r="AI300" s="220" t="str">
        <f t="shared" si="243"/>
        <v/>
      </c>
      <c r="AJ300" s="160" t="str">
        <f>IF(AI300="","",IF(AI300&gt;Data2!$C$12,Data2!$D$11,IF(AI300&gt;Data2!$C$13,Data2!$D$12,IF(AI300&gt;Data2!$C$14,Data2!$D$13,Data2!$D$14))))</f>
        <v/>
      </c>
      <c r="AK300" s="146">
        <f t="shared" si="244"/>
        <v>0</v>
      </c>
      <c r="AL300" s="146">
        <f t="shared" si="245"/>
        <v>0</v>
      </c>
      <c r="AM300" s="147" t="str">
        <f t="shared" si="236"/>
        <v>Mulai meningkat</v>
      </c>
      <c r="AN300" s="147" t="str">
        <f t="shared" si="237"/>
        <v>Mulai meningkat</v>
      </c>
      <c r="AO300" s="146" t="e">
        <f t="shared" si="246"/>
        <v>#N/A</v>
      </c>
      <c r="AP300" s="148" t="e">
        <f t="shared" si="247"/>
        <v>#N/A</v>
      </c>
      <c r="AQ300" s="158" t="str">
        <f>IF('PA-Non'!V272&lt;&gt;"",'PA-Non'!V272,IFERROR("Mempunyai keterampilan yang "&amp;IF(AM300=AN300,PROPER(AN300)&amp;" dalam kompetensi "&amp;VLOOKUP(AO300,$AA$532:$AC$539,3)&amp;", demikian juga dalam kompetensi "&amp;VLOOKUP(AP300,$AA$532:$AC$539,3),PROPER(AM300)&amp;" dalam kompetensi "&amp;VLOOKUP(AO300,$AA$532:$AC$539,3)&amp;" dan "&amp;AN300&amp;" pada kompetensi "&amp;VLOOKUP(AP300,$AA$532:$AC$539,3)),""))</f>
        <v/>
      </c>
      <c r="AR300" s="188"/>
    </row>
    <row r="301" spans="2:44" ht="27.9" customHeight="1" thickBot="1" x14ac:dyDescent="0.35">
      <c r="B301" s="384" t="s">
        <v>126</v>
      </c>
      <c r="C301" s="149">
        <f t="shared" si="173"/>
        <v>12</v>
      </c>
      <c r="D301" s="150" t="str">
        <f>IF(Data!F296="","",Data!F296)</f>
        <v>03729</v>
      </c>
      <c r="E301" s="151" t="str">
        <f>IF(Data!H296="","",Data!H296)</f>
        <v>Siti Sofiatul Milah</v>
      </c>
      <c r="F301" s="152" t="str">
        <f>IF(Data!I296="","",Data!I296)</f>
        <v>Perempuan</v>
      </c>
      <c r="G301" s="343"/>
      <c r="H301" s="344"/>
      <c r="I301" s="344"/>
      <c r="J301" s="344"/>
      <c r="K301" s="344"/>
      <c r="L301" s="344"/>
      <c r="M301" s="344"/>
      <c r="N301" s="345"/>
      <c r="O301" s="157" t="str">
        <f t="shared" si="238"/>
        <v/>
      </c>
      <c r="P301" s="344"/>
      <c r="Q301" s="346"/>
      <c r="R301" s="157" t="str">
        <f t="shared" si="248"/>
        <v/>
      </c>
      <c r="S301" s="159" t="str">
        <f>IF(R301="","",IF(R301&gt;Data2!$C$12,Data2!$D$11,IF(R301&gt;Data2!$C$13,Data2!$D$12,IF(R301&gt;Data2!$C$14,Data2!$D$13,Data2!$D$14))))</f>
        <v/>
      </c>
      <c r="T301" s="144">
        <f t="shared" si="239"/>
        <v>0</v>
      </c>
      <c r="U301" s="144">
        <f t="shared" si="240"/>
        <v>0</v>
      </c>
      <c r="V301" s="144" t="str">
        <f t="shared" si="234"/>
        <v>Mulai berkembang</v>
      </c>
      <c r="W301" s="144" t="str">
        <f t="shared" si="235"/>
        <v>Mulai berkembang</v>
      </c>
      <c r="X301" s="144" t="e">
        <f t="shared" si="241"/>
        <v>#N/A</v>
      </c>
      <c r="Y301" s="145" t="e">
        <f t="shared" si="242"/>
        <v>#N/A</v>
      </c>
      <c r="Z301" s="218" t="str">
        <f>IF('PA-Non'!O273&lt;&gt;"",'PA-Non'!O273,IFERROR("Mempunyai kemampuan yang " &amp;IF(V301=W301,PROPER(W301)&amp;" dalam kompetensi "&amp;VLOOKUP(X301,$G$532:$I$539,3)&amp;" dan kompetensi "&amp;VLOOKUP(Y301,$G$532:$I$539,3),PROPER(V301)&amp;" dalam kompetensi "&amp;VLOOKUP(X301,$G$532:$I$539,3)&amp;" dan memiliki kemampuan yang "&amp;W301&amp;" pada kompetensi "&amp;VLOOKUP(Y301,$G$532:$I$539,3)),""))</f>
        <v/>
      </c>
      <c r="AA301" s="343"/>
      <c r="AB301" s="344"/>
      <c r="AC301" s="344"/>
      <c r="AD301" s="344"/>
      <c r="AE301" s="344"/>
      <c r="AF301" s="344"/>
      <c r="AG301" s="344"/>
      <c r="AH301" s="345"/>
      <c r="AI301" s="220" t="str">
        <f t="shared" si="243"/>
        <v/>
      </c>
      <c r="AJ301" s="160" t="str">
        <f>IF(AI301="","",IF(AI301&gt;Data2!$C$12,Data2!$D$11,IF(AI301&gt;Data2!$C$13,Data2!$D$12,IF(AI301&gt;Data2!$C$14,Data2!$D$13,Data2!$D$14))))</f>
        <v/>
      </c>
      <c r="AK301" s="146">
        <f t="shared" si="244"/>
        <v>0</v>
      </c>
      <c r="AL301" s="146">
        <f t="shared" si="245"/>
        <v>0</v>
      </c>
      <c r="AM301" s="147" t="str">
        <f t="shared" si="236"/>
        <v>Mulai meningkat</v>
      </c>
      <c r="AN301" s="147" t="str">
        <f t="shared" si="237"/>
        <v>Mulai meningkat</v>
      </c>
      <c r="AO301" s="146" t="e">
        <f t="shared" si="246"/>
        <v>#N/A</v>
      </c>
      <c r="AP301" s="148" t="e">
        <f t="shared" si="247"/>
        <v>#N/A</v>
      </c>
      <c r="AQ301" s="158" t="str">
        <f>IF('PA-Non'!V273&lt;&gt;"",'PA-Non'!V273,IFERROR("Mempunyai keterampilan yang "&amp;IF(AM301=AN301,PROPER(AN301)&amp;" dalam kompetensi "&amp;VLOOKUP(AO301,$AA$532:$AC$539,3)&amp;", demikian juga dalam kompetensi "&amp;VLOOKUP(AP301,$AA$532:$AC$539,3),PROPER(AM301)&amp;" dalam kompetensi "&amp;VLOOKUP(AO301,$AA$532:$AC$539,3)&amp;" dan "&amp;AN301&amp;" pada kompetensi "&amp;VLOOKUP(AP301,$AA$532:$AC$539,3)),""))</f>
        <v/>
      </c>
      <c r="AR301" s="188"/>
    </row>
    <row r="302" spans="2:44" ht="27.9" customHeight="1" thickBot="1" x14ac:dyDescent="0.35">
      <c r="B302" s="384" t="s">
        <v>126</v>
      </c>
      <c r="C302" s="149">
        <f t="shared" ref="C302:C310" si="249">IF(E302="","",C301+1)</f>
        <v>13</v>
      </c>
      <c r="D302" s="150" t="str">
        <f>IF(Data!F297="","",Data!F297)</f>
        <v>03733</v>
      </c>
      <c r="E302" s="151" t="str">
        <f>IF(Data!H297="","",Data!H297)</f>
        <v>Syafiqoh Aliya Aimuni</v>
      </c>
      <c r="F302" s="152" t="str">
        <f>IF(Data!I297="","",Data!I297)</f>
        <v>Perempuan</v>
      </c>
      <c r="G302" s="343"/>
      <c r="H302" s="344"/>
      <c r="I302" s="344"/>
      <c r="J302" s="344"/>
      <c r="K302" s="344"/>
      <c r="L302" s="344"/>
      <c r="M302" s="344"/>
      <c r="N302" s="345"/>
      <c r="O302" s="157" t="str">
        <f t="shared" si="238"/>
        <v/>
      </c>
      <c r="P302" s="344"/>
      <c r="Q302" s="346"/>
      <c r="R302" s="157" t="str">
        <f t="shared" si="248"/>
        <v/>
      </c>
      <c r="S302" s="159" t="str">
        <f>IF(R302="","",IF(R302&gt;Data2!$C$12,Data2!$D$11,IF(R302&gt;Data2!$C$13,Data2!$D$12,IF(R302&gt;Data2!$C$14,Data2!$D$13,Data2!$D$14))))</f>
        <v/>
      </c>
      <c r="T302" s="144">
        <f t="shared" si="239"/>
        <v>0</v>
      </c>
      <c r="U302" s="144">
        <f t="shared" si="240"/>
        <v>0</v>
      </c>
      <c r="V302" s="144" t="str">
        <f t="shared" si="234"/>
        <v>Mulai berkembang</v>
      </c>
      <c r="W302" s="144" t="str">
        <f t="shared" si="235"/>
        <v>Mulai berkembang</v>
      </c>
      <c r="X302" s="144" t="e">
        <f t="shared" si="241"/>
        <v>#N/A</v>
      </c>
      <c r="Y302" s="145" t="e">
        <f t="shared" si="242"/>
        <v>#N/A</v>
      </c>
      <c r="Z302" s="218" t="str">
        <f>IF('PA-Non'!O274&lt;&gt;"",'PA-Non'!O274,IFERROR("Mempunyai kemampuan yang " &amp;IF(V302=W302,PROPER(W302)&amp;" dalam kompetensi "&amp;VLOOKUP(X302,$G$532:$I$539,3)&amp;" dan kompetensi "&amp;VLOOKUP(Y302,$G$532:$I$539,3),PROPER(V302)&amp;" dalam kompetensi "&amp;VLOOKUP(X302,$G$532:$I$539,3)&amp;" dan memiliki kemampuan yang "&amp;W302&amp;" pada kompetensi "&amp;VLOOKUP(Y302,$G$532:$I$539,3)),""))</f>
        <v/>
      </c>
      <c r="AA302" s="343"/>
      <c r="AB302" s="344"/>
      <c r="AC302" s="344"/>
      <c r="AD302" s="344"/>
      <c r="AE302" s="344"/>
      <c r="AF302" s="344"/>
      <c r="AG302" s="344"/>
      <c r="AH302" s="345"/>
      <c r="AI302" s="220" t="str">
        <f t="shared" si="243"/>
        <v/>
      </c>
      <c r="AJ302" s="160" t="str">
        <f>IF(AI302="","",IF(AI302&gt;Data2!$C$12,Data2!$D$11,IF(AI302&gt;Data2!$C$13,Data2!$D$12,IF(AI302&gt;Data2!$C$14,Data2!$D$13,Data2!$D$14))))</f>
        <v/>
      </c>
      <c r="AK302" s="146">
        <f t="shared" si="244"/>
        <v>0</v>
      </c>
      <c r="AL302" s="146">
        <f t="shared" si="245"/>
        <v>0</v>
      </c>
      <c r="AM302" s="147" t="str">
        <f t="shared" si="236"/>
        <v>Mulai meningkat</v>
      </c>
      <c r="AN302" s="147" t="str">
        <f t="shared" si="237"/>
        <v>Mulai meningkat</v>
      </c>
      <c r="AO302" s="146" t="e">
        <f t="shared" si="246"/>
        <v>#N/A</v>
      </c>
      <c r="AP302" s="148" t="e">
        <f t="shared" si="247"/>
        <v>#N/A</v>
      </c>
      <c r="AQ302" s="158" t="str">
        <f>IF('PA-Non'!V274&lt;&gt;"",'PA-Non'!V274,IFERROR("Mempunyai keterampilan yang "&amp;IF(AM302=AN302,PROPER(AN302)&amp;" dalam kompetensi "&amp;VLOOKUP(AO302,$AA$532:$AC$539,3)&amp;", demikian juga dalam kompetensi "&amp;VLOOKUP(AP302,$AA$532:$AC$539,3),PROPER(AM302)&amp;" dalam kompetensi "&amp;VLOOKUP(AO302,$AA$532:$AC$539,3)&amp;" dan "&amp;AN302&amp;" pada kompetensi "&amp;VLOOKUP(AP302,$AA$532:$AC$539,3)),""))</f>
        <v/>
      </c>
      <c r="AR302" s="188"/>
    </row>
    <row r="303" spans="2:44" ht="27.9" customHeight="1" thickBot="1" x14ac:dyDescent="0.35">
      <c r="B303" s="384" t="s">
        <v>126</v>
      </c>
      <c r="C303" s="149">
        <f t="shared" si="249"/>
        <v>14</v>
      </c>
      <c r="D303" s="150" t="str">
        <f>IF(Data!F298="","",Data!F298)</f>
        <v>03736</v>
      </c>
      <c r="E303" s="151" t="str">
        <f>IF(Data!H298="","",Data!H298)</f>
        <v>Techa Pramudia Ramadhani</v>
      </c>
      <c r="F303" s="152" t="str">
        <f>IF(Data!I298="","",Data!I298)</f>
        <v>Perempuan</v>
      </c>
      <c r="G303" s="343"/>
      <c r="H303" s="344"/>
      <c r="I303" s="344"/>
      <c r="J303" s="344"/>
      <c r="K303" s="344"/>
      <c r="L303" s="344"/>
      <c r="M303" s="344"/>
      <c r="N303" s="345"/>
      <c r="O303" s="157" t="str">
        <f t="shared" si="238"/>
        <v/>
      </c>
      <c r="P303" s="344"/>
      <c r="Q303" s="346"/>
      <c r="R303" s="157" t="str">
        <f t="shared" si="248"/>
        <v/>
      </c>
      <c r="S303" s="159" t="str">
        <f>IF(R303="","",IF(R303&gt;Data2!$C$12,Data2!$D$11,IF(R303&gt;Data2!$C$13,Data2!$D$12,IF(R303&gt;Data2!$C$14,Data2!$D$13,Data2!$D$14))))</f>
        <v/>
      </c>
      <c r="T303" s="144">
        <f t="shared" si="239"/>
        <v>0</v>
      </c>
      <c r="U303" s="144">
        <f t="shared" si="240"/>
        <v>0</v>
      </c>
      <c r="V303" s="144" t="str">
        <f t="shared" si="234"/>
        <v>Mulai berkembang</v>
      </c>
      <c r="W303" s="144" t="str">
        <f t="shared" si="235"/>
        <v>Mulai berkembang</v>
      </c>
      <c r="X303" s="144" t="e">
        <f t="shared" si="241"/>
        <v>#N/A</v>
      </c>
      <c r="Y303" s="145" t="e">
        <f t="shared" si="242"/>
        <v>#N/A</v>
      </c>
      <c r="Z303" s="218" t="str">
        <f>IF('PA-Non'!O275&lt;&gt;"",'PA-Non'!O275,IFERROR("Mempunyai kemampuan yang " &amp;IF(V303=W303,PROPER(W303)&amp;" dalam kompetensi "&amp;VLOOKUP(X303,$G$532:$I$539,3)&amp;" dan kompetensi "&amp;VLOOKUP(Y303,$G$532:$I$539,3),PROPER(V303)&amp;" dalam kompetensi "&amp;VLOOKUP(X303,$G$532:$I$539,3)&amp;" dan memiliki kemampuan yang "&amp;W303&amp;" pada kompetensi "&amp;VLOOKUP(Y303,$G$532:$I$539,3)),""))</f>
        <v/>
      </c>
      <c r="AA303" s="343"/>
      <c r="AB303" s="344"/>
      <c r="AC303" s="344"/>
      <c r="AD303" s="344"/>
      <c r="AE303" s="344"/>
      <c r="AF303" s="344"/>
      <c r="AG303" s="344"/>
      <c r="AH303" s="345"/>
      <c r="AI303" s="220" t="str">
        <f t="shared" si="243"/>
        <v/>
      </c>
      <c r="AJ303" s="160" t="str">
        <f>IF(AI303="","",IF(AI303&gt;Data2!$C$12,Data2!$D$11,IF(AI303&gt;Data2!$C$13,Data2!$D$12,IF(AI303&gt;Data2!$C$14,Data2!$D$13,Data2!$D$14))))</f>
        <v/>
      </c>
      <c r="AK303" s="146">
        <f t="shared" si="244"/>
        <v>0</v>
      </c>
      <c r="AL303" s="146">
        <f t="shared" si="245"/>
        <v>0</v>
      </c>
      <c r="AM303" s="147" t="str">
        <f t="shared" si="236"/>
        <v>Mulai meningkat</v>
      </c>
      <c r="AN303" s="147" t="str">
        <f t="shared" si="237"/>
        <v>Mulai meningkat</v>
      </c>
      <c r="AO303" s="146" t="e">
        <f t="shared" si="246"/>
        <v>#N/A</v>
      </c>
      <c r="AP303" s="148" t="e">
        <f t="shared" si="247"/>
        <v>#N/A</v>
      </c>
      <c r="AQ303" s="158" t="str">
        <f>IF('PA-Non'!V275&lt;&gt;"",'PA-Non'!V275,IFERROR("Mempunyai keterampilan yang "&amp;IF(AM303=AN303,PROPER(AN303)&amp;" dalam kompetensi "&amp;VLOOKUP(AO303,$AA$532:$AC$539,3)&amp;", demikian juga dalam kompetensi "&amp;VLOOKUP(AP303,$AA$532:$AC$539,3),PROPER(AM303)&amp;" dalam kompetensi "&amp;VLOOKUP(AO303,$AA$532:$AC$539,3)&amp;" dan "&amp;AN303&amp;" pada kompetensi "&amp;VLOOKUP(AP303,$AA$532:$AC$539,3)),""))</f>
        <v/>
      </c>
      <c r="AR303" s="188"/>
    </row>
    <row r="304" spans="2:44" ht="27.9" customHeight="1" thickBot="1" x14ac:dyDescent="0.35">
      <c r="B304" s="384" t="s">
        <v>126</v>
      </c>
      <c r="C304" s="149">
        <f t="shared" si="249"/>
        <v>15</v>
      </c>
      <c r="D304" s="150" t="str">
        <f>IF(Data!F299="","",Data!F299)</f>
        <v>03739</v>
      </c>
      <c r="E304" s="151" t="str">
        <f>IF(Data!H299="","",Data!H299)</f>
        <v>Wafaanil Misthobah</v>
      </c>
      <c r="F304" s="152" t="str">
        <f>IF(Data!I299="","",Data!I299)</f>
        <v>Perempuan</v>
      </c>
      <c r="G304" s="343"/>
      <c r="H304" s="344"/>
      <c r="I304" s="344"/>
      <c r="J304" s="344"/>
      <c r="K304" s="344"/>
      <c r="L304" s="344"/>
      <c r="M304" s="344"/>
      <c r="N304" s="345"/>
      <c r="O304" s="157" t="str">
        <f t="shared" si="238"/>
        <v/>
      </c>
      <c r="P304" s="344"/>
      <c r="Q304" s="346"/>
      <c r="R304" s="157" t="str">
        <f t="shared" si="248"/>
        <v/>
      </c>
      <c r="S304" s="159" t="str">
        <f>IF(R304="","",IF(R304&gt;Data2!$C$12,Data2!$D$11,IF(R304&gt;Data2!$C$13,Data2!$D$12,IF(R304&gt;Data2!$C$14,Data2!$D$13,Data2!$D$14))))</f>
        <v/>
      </c>
      <c r="T304" s="144">
        <f t="shared" si="239"/>
        <v>0</v>
      </c>
      <c r="U304" s="144">
        <f t="shared" si="240"/>
        <v>0</v>
      </c>
      <c r="V304" s="144" t="str">
        <f t="shared" si="234"/>
        <v>Mulai berkembang</v>
      </c>
      <c r="W304" s="144" t="str">
        <f t="shared" si="235"/>
        <v>Mulai berkembang</v>
      </c>
      <c r="X304" s="144" t="e">
        <f t="shared" si="241"/>
        <v>#N/A</v>
      </c>
      <c r="Y304" s="145" t="e">
        <f t="shared" si="242"/>
        <v>#N/A</v>
      </c>
      <c r="Z304" s="218" t="str">
        <f>IF('PA-Non'!O276&lt;&gt;"",'PA-Non'!O276,IFERROR("Mempunyai kemampuan yang " &amp;IF(V304=W304,PROPER(W304)&amp;" dalam kompetensi "&amp;VLOOKUP(X304,$G$532:$I$539,3)&amp;" dan kompetensi "&amp;VLOOKUP(Y304,$G$532:$I$539,3),PROPER(V304)&amp;" dalam kompetensi "&amp;VLOOKUP(X304,$G$532:$I$539,3)&amp;" dan memiliki kemampuan yang "&amp;W304&amp;" pada kompetensi "&amp;VLOOKUP(Y304,$G$532:$I$539,3)),""))</f>
        <v/>
      </c>
      <c r="AA304" s="343"/>
      <c r="AB304" s="344"/>
      <c r="AC304" s="344"/>
      <c r="AD304" s="344"/>
      <c r="AE304" s="344"/>
      <c r="AF304" s="344"/>
      <c r="AG304" s="344"/>
      <c r="AH304" s="345"/>
      <c r="AI304" s="220" t="str">
        <f t="shared" si="243"/>
        <v/>
      </c>
      <c r="AJ304" s="160" t="str">
        <f>IF(AI304="","",IF(AI304&gt;Data2!$C$12,Data2!$D$11,IF(AI304&gt;Data2!$C$13,Data2!$D$12,IF(AI304&gt;Data2!$C$14,Data2!$D$13,Data2!$D$14))))</f>
        <v/>
      </c>
      <c r="AK304" s="146">
        <f t="shared" si="244"/>
        <v>0</v>
      </c>
      <c r="AL304" s="146">
        <f t="shared" si="245"/>
        <v>0</v>
      </c>
      <c r="AM304" s="147" t="str">
        <f t="shared" si="236"/>
        <v>Mulai meningkat</v>
      </c>
      <c r="AN304" s="147" t="str">
        <f t="shared" si="237"/>
        <v>Mulai meningkat</v>
      </c>
      <c r="AO304" s="146" t="e">
        <f t="shared" si="246"/>
        <v>#N/A</v>
      </c>
      <c r="AP304" s="148" t="e">
        <f t="shared" si="247"/>
        <v>#N/A</v>
      </c>
      <c r="AQ304" s="158" t="str">
        <f>IF('PA-Non'!V276&lt;&gt;"",'PA-Non'!V276,IFERROR("Mempunyai keterampilan yang "&amp;IF(AM304=AN304,PROPER(AN304)&amp;" dalam kompetensi "&amp;VLOOKUP(AO304,$AA$532:$AC$539,3)&amp;", demikian juga dalam kompetensi "&amp;VLOOKUP(AP304,$AA$532:$AC$539,3),PROPER(AM304)&amp;" dalam kompetensi "&amp;VLOOKUP(AO304,$AA$532:$AC$539,3)&amp;" dan "&amp;AN304&amp;" pada kompetensi "&amp;VLOOKUP(AP304,$AA$532:$AC$539,3)),""))</f>
        <v/>
      </c>
      <c r="AR304" s="188"/>
    </row>
    <row r="305" spans="2:44" ht="27.9" customHeight="1" thickBot="1" x14ac:dyDescent="0.35">
      <c r="B305" s="384" t="s">
        <v>126</v>
      </c>
      <c r="C305" s="149">
        <f t="shared" si="249"/>
        <v>16</v>
      </c>
      <c r="D305" s="150" t="str">
        <f>IF(Data!F300="","",Data!F300)</f>
        <v>03742</v>
      </c>
      <c r="E305" s="151" t="str">
        <f>IF(Data!H300="","",Data!H300)</f>
        <v>Yesenia Qadira Neysa</v>
      </c>
      <c r="F305" s="152" t="str">
        <f>IF(Data!I300="","",Data!I300)</f>
        <v>Perempuan</v>
      </c>
      <c r="G305" s="343"/>
      <c r="H305" s="344"/>
      <c r="I305" s="344"/>
      <c r="J305" s="344"/>
      <c r="K305" s="344"/>
      <c r="L305" s="344"/>
      <c r="M305" s="344"/>
      <c r="N305" s="345"/>
      <c r="O305" s="157" t="str">
        <f t="shared" si="238"/>
        <v/>
      </c>
      <c r="P305" s="344"/>
      <c r="Q305" s="346"/>
      <c r="R305" s="157" t="str">
        <f t="shared" si="248"/>
        <v/>
      </c>
      <c r="S305" s="159" t="str">
        <f>IF(R305="","",IF(R305&gt;Data2!$C$12,Data2!$D$11,IF(R305&gt;Data2!$C$13,Data2!$D$12,IF(R305&gt;Data2!$C$14,Data2!$D$13,Data2!$D$14))))</f>
        <v/>
      </c>
      <c r="T305" s="144">
        <f t="shared" si="239"/>
        <v>0</v>
      </c>
      <c r="U305" s="144">
        <f t="shared" si="240"/>
        <v>0</v>
      </c>
      <c r="V305" s="144" t="str">
        <f t="shared" si="234"/>
        <v>Mulai berkembang</v>
      </c>
      <c r="W305" s="144" t="str">
        <f t="shared" si="235"/>
        <v>Mulai berkembang</v>
      </c>
      <c r="X305" s="144" t="e">
        <f t="shared" si="241"/>
        <v>#N/A</v>
      </c>
      <c r="Y305" s="145" t="e">
        <f t="shared" si="242"/>
        <v>#N/A</v>
      </c>
      <c r="Z305" s="218" t="str">
        <f>IF('PA-Non'!O277&lt;&gt;"",'PA-Non'!O277,IFERROR("Mempunyai kemampuan yang " &amp;IF(V305=W305,PROPER(W305)&amp;" dalam kompetensi "&amp;VLOOKUP(X305,$G$532:$I$539,3)&amp;" dan kompetensi "&amp;VLOOKUP(Y305,$G$532:$I$539,3),PROPER(V305)&amp;" dalam kompetensi "&amp;VLOOKUP(X305,$G$532:$I$539,3)&amp;" dan memiliki kemampuan yang "&amp;W305&amp;" pada kompetensi "&amp;VLOOKUP(Y305,$G$532:$I$539,3)),""))</f>
        <v/>
      </c>
      <c r="AA305" s="343"/>
      <c r="AB305" s="344"/>
      <c r="AC305" s="344"/>
      <c r="AD305" s="344"/>
      <c r="AE305" s="344"/>
      <c r="AF305" s="344"/>
      <c r="AG305" s="344"/>
      <c r="AH305" s="345"/>
      <c r="AI305" s="220" t="str">
        <f t="shared" si="243"/>
        <v/>
      </c>
      <c r="AJ305" s="160" t="str">
        <f>IF(AI305="","",IF(AI305&gt;Data2!$C$12,Data2!$D$11,IF(AI305&gt;Data2!$C$13,Data2!$D$12,IF(AI305&gt;Data2!$C$14,Data2!$D$13,Data2!$D$14))))</f>
        <v/>
      </c>
      <c r="AK305" s="146">
        <f t="shared" si="244"/>
        <v>0</v>
      </c>
      <c r="AL305" s="146">
        <f t="shared" si="245"/>
        <v>0</v>
      </c>
      <c r="AM305" s="147" t="str">
        <f t="shared" si="236"/>
        <v>Mulai meningkat</v>
      </c>
      <c r="AN305" s="147" t="str">
        <f t="shared" si="237"/>
        <v>Mulai meningkat</v>
      </c>
      <c r="AO305" s="146" t="e">
        <f t="shared" si="246"/>
        <v>#N/A</v>
      </c>
      <c r="AP305" s="148" t="e">
        <f t="shared" si="247"/>
        <v>#N/A</v>
      </c>
      <c r="AQ305" s="158" t="str">
        <f>IF('PA-Non'!V277&lt;&gt;"",'PA-Non'!V277,IFERROR("Mempunyai keterampilan yang "&amp;IF(AM305=AN305,PROPER(AN305)&amp;" dalam kompetensi "&amp;VLOOKUP(AO305,$AA$532:$AC$539,3)&amp;", demikian juga dalam kompetensi "&amp;VLOOKUP(AP305,$AA$532:$AC$539,3),PROPER(AM305)&amp;" dalam kompetensi "&amp;VLOOKUP(AO305,$AA$532:$AC$539,3)&amp;" dan "&amp;AN305&amp;" pada kompetensi "&amp;VLOOKUP(AP305,$AA$532:$AC$539,3)),""))</f>
        <v/>
      </c>
      <c r="AR305" s="188"/>
    </row>
    <row r="306" spans="2:44" ht="27.9" customHeight="1" thickBot="1" x14ac:dyDescent="0.35">
      <c r="B306" s="384" t="s">
        <v>126</v>
      </c>
      <c r="C306" s="149">
        <f t="shared" si="249"/>
        <v>17</v>
      </c>
      <c r="D306" s="150" t="str">
        <f>IF(Data!F301="","",Data!F301)</f>
        <v>03747</v>
      </c>
      <c r="E306" s="151" t="str">
        <f>IF(Data!H301="","",Data!H301)</f>
        <v>Zahroul Afidah</v>
      </c>
      <c r="F306" s="152" t="str">
        <f>IF(Data!I301="","",Data!I301)</f>
        <v>Perempuan</v>
      </c>
      <c r="G306" s="343"/>
      <c r="H306" s="344"/>
      <c r="I306" s="344"/>
      <c r="J306" s="344"/>
      <c r="K306" s="344"/>
      <c r="L306" s="344"/>
      <c r="M306" s="344"/>
      <c r="N306" s="345"/>
      <c r="O306" s="157" t="str">
        <f t="shared" si="238"/>
        <v/>
      </c>
      <c r="P306" s="344"/>
      <c r="Q306" s="346"/>
      <c r="R306" s="157" t="str">
        <f t="shared" si="248"/>
        <v/>
      </c>
      <c r="S306" s="159" t="str">
        <f>IF(R306="","",IF(R306&gt;Data2!$C$12,Data2!$D$11,IF(R306&gt;Data2!$C$13,Data2!$D$12,IF(R306&gt;Data2!$C$14,Data2!$D$13,Data2!$D$14))))</f>
        <v/>
      </c>
      <c r="T306" s="144">
        <f t="shared" si="239"/>
        <v>0</v>
      </c>
      <c r="U306" s="144">
        <f t="shared" si="240"/>
        <v>0</v>
      </c>
      <c r="V306" s="144" t="str">
        <f t="shared" si="234"/>
        <v>Mulai berkembang</v>
      </c>
      <c r="W306" s="144" t="str">
        <f t="shared" si="235"/>
        <v>Mulai berkembang</v>
      </c>
      <c r="X306" s="144" t="e">
        <f t="shared" si="241"/>
        <v>#N/A</v>
      </c>
      <c r="Y306" s="145" t="e">
        <f t="shared" si="242"/>
        <v>#N/A</v>
      </c>
      <c r="Z306" s="218" t="str">
        <f>IF('PA-Non'!O278&lt;&gt;"",'PA-Non'!O278,IFERROR("Mempunyai kemampuan yang " &amp;IF(V306=W306,PROPER(W306)&amp;" dalam kompetensi "&amp;VLOOKUP(X306,$G$532:$I$539,3)&amp;" dan kompetensi "&amp;VLOOKUP(Y306,$G$532:$I$539,3),PROPER(V306)&amp;" dalam kompetensi "&amp;VLOOKUP(X306,$G$532:$I$539,3)&amp;" dan memiliki kemampuan yang "&amp;W306&amp;" pada kompetensi "&amp;VLOOKUP(Y306,$G$532:$I$539,3)),""))</f>
        <v/>
      </c>
      <c r="AA306" s="343"/>
      <c r="AB306" s="344"/>
      <c r="AC306" s="344"/>
      <c r="AD306" s="344"/>
      <c r="AE306" s="344"/>
      <c r="AF306" s="344"/>
      <c r="AG306" s="344"/>
      <c r="AH306" s="345"/>
      <c r="AI306" s="220" t="str">
        <f t="shared" si="243"/>
        <v/>
      </c>
      <c r="AJ306" s="160" t="str">
        <f>IF(AI306="","",IF(AI306&gt;Data2!$C$12,Data2!$D$11,IF(AI306&gt;Data2!$C$13,Data2!$D$12,IF(AI306&gt;Data2!$C$14,Data2!$D$13,Data2!$D$14))))</f>
        <v/>
      </c>
      <c r="AK306" s="146">
        <f t="shared" si="244"/>
        <v>0</v>
      </c>
      <c r="AL306" s="146">
        <f t="shared" si="245"/>
        <v>0</v>
      </c>
      <c r="AM306" s="147" t="str">
        <f t="shared" si="236"/>
        <v>Mulai meningkat</v>
      </c>
      <c r="AN306" s="147" t="str">
        <f t="shared" si="237"/>
        <v>Mulai meningkat</v>
      </c>
      <c r="AO306" s="146" t="e">
        <f t="shared" si="246"/>
        <v>#N/A</v>
      </c>
      <c r="AP306" s="148" t="e">
        <f t="shared" si="247"/>
        <v>#N/A</v>
      </c>
      <c r="AQ306" s="158" t="str">
        <f>IF('PA-Non'!V278&lt;&gt;"",'PA-Non'!V278,IFERROR("Mempunyai keterampilan yang "&amp;IF(AM306=AN306,PROPER(AN306)&amp;" dalam kompetensi "&amp;VLOOKUP(AO306,$AA$532:$AC$539,3)&amp;", demikian juga dalam kompetensi "&amp;VLOOKUP(AP306,$AA$532:$AC$539,3),PROPER(AM306)&amp;" dalam kompetensi "&amp;VLOOKUP(AO306,$AA$532:$AC$539,3)&amp;" dan "&amp;AN306&amp;" pada kompetensi "&amp;VLOOKUP(AP306,$AA$532:$AC$539,3)),""))</f>
        <v/>
      </c>
      <c r="AR306" s="188"/>
    </row>
    <row r="307" spans="2:44" ht="27.9" customHeight="1" thickBot="1" x14ac:dyDescent="0.35">
      <c r="B307" s="384" t="s">
        <v>126</v>
      </c>
      <c r="C307" s="149" t="str">
        <f t="shared" si="249"/>
        <v/>
      </c>
      <c r="D307" s="150" t="str">
        <f>IF(Data!F302="","",Data!F302)</f>
        <v/>
      </c>
      <c r="E307" s="151" t="str">
        <f>IF(Data!H302="","",Data!H302)</f>
        <v/>
      </c>
      <c r="F307" s="152" t="str">
        <f>IF(Data!I302="","",Data!I302)</f>
        <v/>
      </c>
      <c r="G307" s="343"/>
      <c r="H307" s="344"/>
      <c r="I307" s="344"/>
      <c r="J307" s="344"/>
      <c r="K307" s="344"/>
      <c r="L307" s="344"/>
      <c r="M307" s="344"/>
      <c r="N307" s="345"/>
      <c r="O307" s="157" t="str">
        <f t="shared" si="238"/>
        <v/>
      </c>
      <c r="P307" s="344"/>
      <c r="Q307" s="346"/>
      <c r="R307" s="157" t="str">
        <f t="shared" si="248"/>
        <v/>
      </c>
      <c r="S307" s="159" t="str">
        <f>IF(R307="","",IF(R307&gt;Data2!$C$12,Data2!$D$11,IF(R307&gt;Data2!$C$13,Data2!$D$12,IF(R307&gt;Data2!$C$14,Data2!$D$13,Data2!$D$14))))</f>
        <v/>
      </c>
      <c r="T307" s="144">
        <f t="shared" si="239"/>
        <v>0</v>
      </c>
      <c r="U307" s="144">
        <f t="shared" si="240"/>
        <v>0</v>
      </c>
      <c r="V307" s="144" t="str">
        <f t="shared" si="234"/>
        <v>Mulai berkembang</v>
      </c>
      <c r="W307" s="144" t="str">
        <f t="shared" si="235"/>
        <v>Mulai berkembang</v>
      </c>
      <c r="X307" s="144" t="e">
        <f t="shared" si="241"/>
        <v>#N/A</v>
      </c>
      <c r="Y307" s="145" t="e">
        <f t="shared" si="242"/>
        <v>#N/A</v>
      </c>
      <c r="Z307" s="218" t="str">
        <f>IF('PA-Non'!O279&lt;&gt;"",'PA-Non'!O279,IFERROR("Mempunyai kemampuan yang " &amp;IF(V307=W307,PROPER(W307)&amp;" dalam kompetensi "&amp;VLOOKUP(X307,$G$532:$I$539,3)&amp;" dan kompetensi "&amp;VLOOKUP(Y307,$G$532:$I$539,3),PROPER(V307)&amp;" dalam kompetensi "&amp;VLOOKUP(X307,$G$532:$I$539,3)&amp;" dan memiliki kemampuan yang "&amp;W307&amp;" pada kompetensi "&amp;VLOOKUP(Y307,$G$532:$I$539,3)),""))</f>
        <v/>
      </c>
      <c r="AA307" s="343"/>
      <c r="AB307" s="344"/>
      <c r="AC307" s="344"/>
      <c r="AD307" s="344"/>
      <c r="AE307" s="344"/>
      <c r="AF307" s="344"/>
      <c r="AG307" s="344"/>
      <c r="AH307" s="345"/>
      <c r="AI307" s="220" t="str">
        <f t="shared" si="243"/>
        <v/>
      </c>
      <c r="AJ307" s="160" t="str">
        <f>IF(AI307="","",IF(AI307&gt;Data2!$C$12,Data2!$D$11,IF(AI307&gt;Data2!$C$13,Data2!$D$12,IF(AI307&gt;Data2!$C$14,Data2!$D$13,Data2!$D$14))))</f>
        <v/>
      </c>
      <c r="AK307" s="146">
        <f t="shared" si="244"/>
        <v>0</v>
      </c>
      <c r="AL307" s="146">
        <f t="shared" si="245"/>
        <v>0</v>
      </c>
      <c r="AM307" s="147" t="str">
        <f t="shared" si="236"/>
        <v>Mulai meningkat</v>
      </c>
      <c r="AN307" s="147" t="str">
        <f t="shared" si="237"/>
        <v>Mulai meningkat</v>
      </c>
      <c r="AO307" s="146" t="e">
        <f t="shared" si="246"/>
        <v>#N/A</v>
      </c>
      <c r="AP307" s="148" t="e">
        <f t="shared" si="247"/>
        <v>#N/A</v>
      </c>
      <c r="AQ307" s="158" t="str">
        <f>IF('PA-Non'!V279&lt;&gt;"",'PA-Non'!V279,IFERROR("Mempunyai keterampilan yang "&amp;IF(AM307=AN307,PROPER(AN307)&amp;" dalam kompetensi "&amp;VLOOKUP(AO307,$AA$532:$AC$539,3)&amp;", demikian juga dalam kompetensi "&amp;VLOOKUP(AP307,$AA$532:$AC$539,3),PROPER(AM307)&amp;" dalam kompetensi "&amp;VLOOKUP(AO307,$AA$532:$AC$539,3)&amp;" dan "&amp;AN307&amp;" pada kompetensi "&amp;VLOOKUP(AP307,$AA$532:$AC$539,3)),""))</f>
        <v/>
      </c>
      <c r="AR307" s="188"/>
    </row>
    <row r="308" spans="2:44" ht="27.9" customHeight="1" thickBot="1" x14ac:dyDescent="0.35">
      <c r="B308" s="384" t="s">
        <v>126</v>
      </c>
      <c r="C308" s="149" t="str">
        <f t="shared" si="249"/>
        <v/>
      </c>
      <c r="D308" s="150" t="str">
        <f>IF(Data!F303="","",Data!F303)</f>
        <v/>
      </c>
      <c r="E308" s="151" t="str">
        <f>IF(Data!H303="","",Data!H303)</f>
        <v/>
      </c>
      <c r="F308" s="152" t="str">
        <f>IF(Data!I303="","",Data!I303)</f>
        <v/>
      </c>
      <c r="G308" s="343"/>
      <c r="H308" s="344"/>
      <c r="I308" s="344"/>
      <c r="J308" s="344"/>
      <c r="K308" s="344"/>
      <c r="L308" s="344"/>
      <c r="M308" s="344"/>
      <c r="N308" s="345"/>
      <c r="O308" s="157" t="str">
        <f t="shared" si="238"/>
        <v/>
      </c>
      <c r="P308" s="344"/>
      <c r="Q308" s="346"/>
      <c r="R308" s="157" t="str">
        <f t="shared" si="248"/>
        <v/>
      </c>
      <c r="S308" s="159" t="str">
        <f>IF(R308="","",IF(R308&gt;Data2!$C$12,Data2!$D$11,IF(R308&gt;Data2!$C$13,Data2!$D$12,IF(R308&gt;Data2!$C$14,Data2!$D$13,Data2!$D$14))))</f>
        <v/>
      </c>
      <c r="T308" s="144">
        <f t="shared" si="239"/>
        <v>0</v>
      </c>
      <c r="U308" s="144">
        <f t="shared" si="240"/>
        <v>0</v>
      </c>
      <c r="V308" s="144" t="str">
        <f t="shared" si="234"/>
        <v>Mulai berkembang</v>
      </c>
      <c r="W308" s="144" t="str">
        <f t="shared" si="235"/>
        <v>Mulai berkembang</v>
      </c>
      <c r="X308" s="144" t="e">
        <f t="shared" si="241"/>
        <v>#N/A</v>
      </c>
      <c r="Y308" s="145" t="e">
        <f t="shared" si="242"/>
        <v>#N/A</v>
      </c>
      <c r="Z308" s="218" t="str">
        <f>IF('PA-Non'!O280&lt;&gt;"",'PA-Non'!O280,IFERROR("Mempunyai kemampuan yang " &amp;IF(V308=W308,PROPER(W308)&amp;" dalam kompetensi "&amp;VLOOKUP(X308,$G$532:$I$539,3)&amp;" dan kompetensi "&amp;VLOOKUP(Y308,$G$532:$I$539,3),PROPER(V308)&amp;" dalam kompetensi "&amp;VLOOKUP(X308,$G$532:$I$539,3)&amp;" dan memiliki kemampuan yang "&amp;W308&amp;" pada kompetensi "&amp;VLOOKUP(Y308,$G$532:$I$539,3)),""))</f>
        <v/>
      </c>
      <c r="AA308" s="343"/>
      <c r="AB308" s="344"/>
      <c r="AC308" s="344"/>
      <c r="AD308" s="344"/>
      <c r="AE308" s="344"/>
      <c r="AF308" s="344"/>
      <c r="AG308" s="344"/>
      <c r="AH308" s="345"/>
      <c r="AI308" s="220" t="str">
        <f t="shared" si="243"/>
        <v/>
      </c>
      <c r="AJ308" s="160" t="str">
        <f>IF(AI308="","",IF(AI308&gt;Data2!$C$12,Data2!$D$11,IF(AI308&gt;Data2!$C$13,Data2!$D$12,IF(AI308&gt;Data2!$C$14,Data2!$D$13,Data2!$D$14))))</f>
        <v/>
      </c>
      <c r="AK308" s="146">
        <f t="shared" si="244"/>
        <v>0</v>
      </c>
      <c r="AL308" s="146">
        <f t="shared" si="245"/>
        <v>0</v>
      </c>
      <c r="AM308" s="147" t="str">
        <f t="shared" si="236"/>
        <v>Mulai meningkat</v>
      </c>
      <c r="AN308" s="147" t="str">
        <f t="shared" si="237"/>
        <v>Mulai meningkat</v>
      </c>
      <c r="AO308" s="146" t="e">
        <f t="shared" si="246"/>
        <v>#N/A</v>
      </c>
      <c r="AP308" s="148" t="e">
        <f t="shared" si="247"/>
        <v>#N/A</v>
      </c>
      <c r="AQ308" s="158" t="str">
        <f>IF('PA-Non'!V280&lt;&gt;"",'PA-Non'!V280,IFERROR("Mempunyai keterampilan yang "&amp;IF(AM308=AN308,PROPER(AN308)&amp;" dalam kompetensi "&amp;VLOOKUP(AO308,$AA$532:$AC$539,3)&amp;", demikian juga dalam kompetensi "&amp;VLOOKUP(AP308,$AA$532:$AC$539,3),PROPER(AM308)&amp;" dalam kompetensi "&amp;VLOOKUP(AO308,$AA$532:$AC$539,3)&amp;" dan "&amp;AN308&amp;" pada kompetensi "&amp;VLOOKUP(AP308,$AA$532:$AC$539,3)),""))</f>
        <v/>
      </c>
      <c r="AR308" s="188"/>
    </row>
    <row r="309" spans="2:44" ht="27.9" customHeight="1" thickBot="1" x14ac:dyDescent="0.35">
      <c r="B309" s="384" t="s">
        <v>126</v>
      </c>
      <c r="C309" s="149" t="str">
        <f t="shared" si="249"/>
        <v/>
      </c>
      <c r="D309" s="150" t="str">
        <f>IF(Data!F304="","",Data!F304)</f>
        <v/>
      </c>
      <c r="E309" s="151" t="str">
        <f>IF(Data!H304="","",Data!H304)</f>
        <v/>
      </c>
      <c r="F309" s="152" t="str">
        <f>IF(Data!I304="","",Data!I304)</f>
        <v/>
      </c>
      <c r="G309" s="343"/>
      <c r="H309" s="344"/>
      <c r="I309" s="344"/>
      <c r="J309" s="344"/>
      <c r="K309" s="344"/>
      <c r="L309" s="344"/>
      <c r="M309" s="344"/>
      <c r="N309" s="345"/>
      <c r="O309" s="157" t="str">
        <f t="shared" si="238"/>
        <v/>
      </c>
      <c r="P309" s="344"/>
      <c r="Q309" s="346"/>
      <c r="R309" s="157" t="str">
        <f t="shared" si="248"/>
        <v/>
      </c>
      <c r="S309" s="159" t="str">
        <f>IF(R309="","",IF(R309&gt;Data2!$C$12,Data2!$D$11,IF(R309&gt;Data2!$C$13,Data2!$D$12,IF(R309&gt;Data2!$C$14,Data2!$D$13,Data2!$D$14))))</f>
        <v/>
      </c>
      <c r="T309" s="144">
        <f t="shared" si="239"/>
        <v>0</v>
      </c>
      <c r="U309" s="144">
        <f t="shared" si="240"/>
        <v>0</v>
      </c>
      <c r="V309" s="144" t="str">
        <f t="shared" si="234"/>
        <v>Mulai berkembang</v>
      </c>
      <c r="W309" s="144" t="str">
        <f t="shared" si="235"/>
        <v>Mulai berkembang</v>
      </c>
      <c r="X309" s="144" t="e">
        <f t="shared" si="241"/>
        <v>#N/A</v>
      </c>
      <c r="Y309" s="145" t="e">
        <f t="shared" si="242"/>
        <v>#N/A</v>
      </c>
      <c r="Z309" s="218" t="str">
        <f>IF('PA-Non'!O281&lt;&gt;"",'PA-Non'!O281,IFERROR("Mempunyai kemampuan yang " &amp;IF(V309=W309,PROPER(W309)&amp;" dalam kompetensi "&amp;VLOOKUP(X309,$G$532:$I$539,3)&amp;" dan kompetensi "&amp;VLOOKUP(Y309,$G$532:$I$539,3),PROPER(V309)&amp;" dalam kompetensi "&amp;VLOOKUP(X309,$G$532:$I$539,3)&amp;" dan memiliki kemampuan yang "&amp;W309&amp;" pada kompetensi "&amp;VLOOKUP(Y309,$G$532:$I$539,3)),""))</f>
        <v/>
      </c>
      <c r="AA309" s="343"/>
      <c r="AB309" s="344"/>
      <c r="AC309" s="344"/>
      <c r="AD309" s="344"/>
      <c r="AE309" s="344"/>
      <c r="AF309" s="344"/>
      <c r="AG309" s="344"/>
      <c r="AH309" s="345"/>
      <c r="AI309" s="220" t="str">
        <f t="shared" si="243"/>
        <v/>
      </c>
      <c r="AJ309" s="160" t="str">
        <f>IF(AI309="","",IF(AI309&gt;Data2!$C$12,Data2!$D$11,IF(AI309&gt;Data2!$C$13,Data2!$D$12,IF(AI309&gt;Data2!$C$14,Data2!$D$13,Data2!$D$14))))</f>
        <v/>
      </c>
      <c r="AK309" s="146">
        <f t="shared" si="244"/>
        <v>0</v>
      </c>
      <c r="AL309" s="146">
        <f t="shared" si="245"/>
        <v>0</v>
      </c>
      <c r="AM309" s="147" t="str">
        <f t="shared" si="236"/>
        <v>Mulai meningkat</v>
      </c>
      <c r="AN309" s="147" t="str">
        <f t="shared" si="237"/>
        <v>Mulai meningkat</v>
      </c>
      <c r="AO309" s="146" t="e">
        <f t="shared" si="246"/>
        <v>#N/A</v>
      </c>
      <c r="AP309" s="148" t="e">
        <f t="shared" si="247"/>
        <v>#N/A</v>
      </c>
      <c r="AQ309" s="158" t="str">
        <f>IF('PA-Non'!V281&lt;&gt;"",'PA-Non'!V281,IFERROR("Mempunyai keterampilan yang "&amp;IF(AM309=AN309,PROPER(AN309)&amp;" dalam kompetensi "&amp;VLOOKUP(AO309,$AA$532:$AC$539,3)&amp;", demikian juga dalam kompetensi "&amp;VLOOKUP(AP309,$AA$532:$AC$539,3),PROPER(AM309)&amp;" dalam kompetensi "&amp;VLOOKUP(AO309,$AA$532:$AC$539,3)&amp;" dan "&amp;AN309&amp;" pada kompetensi "&amp;VLOOKUP(AP309,$AA$532:$AC$539,3)),""))</f>
        <v/>
      </c>
      <c r="AR309" s="188"/>
    </row>
    <row r="310" spans="2:44" ht="27.9" customHeight="1" thickBot="1" x14ac:dyDescent="0.35">
      <c r="B310" s="384" t="s">
        <v>126</v>
      </c>
      <c r="C310" s="149" t="str">
        <f t="shared" si="249"/>
        <v/>
      </c>
      <c r="D310" s="150" t="str">
        <f>IF(Data!F305="","",Data!F305)</f>
        <v/>
      </c>
      <c r="E310" s="151" t="str">
        <f>IF(Data!H305="","",Data!H305)</f>
        <v/>
      </c>
      <c r="F310" s="152" t="str">
        <f>IF(Data!I305="","",Data!I305)</f>
        <v/>
      </c>
      <c r="G310" s="343"/>
      <c r="H310" s="344"/>
      <c r="I310" s="344"/>
      <c r="J310" s="344"/>
      <c r="K310" s="344"/>
      <c r="L310" s="344"/>
      <c r="M310" s="344"/>
      <c r="N310" s="345"/>
      <c r="O310" s="157" t="str">
        <f t="shared" si="238"/>
        <v/>
      </c>
      <c r="P310" s="344"/>
      <c r="Q310" s="346"/>
      <c r="R310" s="157" t="str">
        <f t="shared" si="248"/>
        <v/>
      </c>
      <c r="S310" s="159" t="str">
        <f>IF(R310="","",IF(R310&gt;Data2!$C$12,Data2!$D$11,IF(R310&gt;Data2!$C$13,Data2!$D$12,IF(R310&gt;Data2!$C$14,Data2!$D$13,Data2!$D$14))))</f>
        <v/>
      </c>
      <c r="T310" s="144">
        <f t="shared" si="239"/>
        <v>0</v>
      </c>
      <c r="U310" s="144">
        <f t="shared" si="240"/>
        <v>0</v>
      </c>
      <c r="V310" s="144" t="str">
        <f t="shared" si="234"/>
        <v>Mulai berkembang</v>
      </c>
      <c r="W310" s="144" t="str">
        <f t="shared" si="235"/>
        <v>Mulai berkembang</v>
      </c>
      <c r="X310" s="144" t="e">
        <f t="shared" si="241"/>
        <v>#N/A</v>
      </c>
      <c r="Y310" s="145" t="e">
        <f t="shared" si="242"/>
        <v>#N/A</v>
      </c>
      <c r="Z310" s="218" t="str">
        <f>IF('PA-Non'!O282&lt;&gt;"",'PA-Non'!O282,IFERROR("Mempunyai kemampuan yang " &amp;IF(V310=W310,PROPER(W310)&amp;" dalam kompetensi "&amp;VLOOKUP(X310,$G$532:$I$539,3)&amp;" dan kompetensi "&amp;VLOOKUP(Y310,$G$532:$I$539,3),PROPER(V310)&amp;" dalam kompetensi "&amp;VLOOKUP(X310,$G$532:$I$539,3)&amp;" dan memiliki kemampuan yang "&amp;W310&amp;" pada kompetensi "&amp;VLOOKUP(Y310,$G$532:$I$539,3)),""))</f>
        <v/>
      </c>
      <c r="AA310" s="343"/>
      <c r="AB310" s="344"/>
      <c r="AC310" s="344"/>
      <c r="AD310" s="344"/>
      <c r="AE310" s="344"/>
      <c r="AF310" s="344"/>
      <c r="AG310" s="344"/>
      <c r="AH310" s="345"/>
      <c r="AI310" s="220" t="str">
        <f t="shared" si="243"/>
        <v/>
      </c>
      <c r="AJ310" s="160" t="str">
        <f>IF(AI310="","",IF(AI310&gt;Data2!$C$12,Data2!$D$11,IF(AI310&gt;Data2!$C$13,Data2!$D$12,IF(AI310&gt;Data2!$C$14,Data2!$D$13,Data2!$D$14))))</f>
        <v/>
      </c>
      <c r="AK310" s="146">
        <f t="shared" si="244"/>
        <v>0</v>
      </c>
      <c r="AL310" s="146">
        <f t="shared" si="245"/>
        <v>0</v>
      </c>
      <c r="AM310" s="147" t="str">
        <f t="shared" si="236"/>
        <v>Mulai meningkat</v>
      </c>
      <c r="AN310" s="147" t="str">
        <f t="shared" si="237"/>
        <v>Mulai meningkat</v>
      </c>
      <c r="AO310" s="146" t="e">
        <f t="shared" si="246"/>
        <v>#N/A</v>
      </c>
      <c r="AP310" s="148" t="e">
        <f t="shared" si="247"/>
        <v>#N/A</v>
      </c>
      <c r="AQ310" s="158" t="str">
        <f>IF('PA-Non'!V282&lt;&gt;"",'PA-Non'!V282,IFERROR("Mempunyai keterampilan yang "&amp;IF(AM310=AN310,PROPER(AN310)&amp;" dalam kompetensi "&amp;VLOOKUP(AO310,$AA$532:$AC$539,3)&amp;", demikian juga dalam kompetensi "&amp;VLOOKUP(AP310,$AA$532:$AC$539,3),PROPER(AM310)&amp;" dalam kompetensi "&amp;VLOOKUP(AO310,$AA$532:$AC$539,3)&amp;" dan "&amp;AN310&amp;" pada kompetensi "&amp;VLOOKUP(AP310,$AA$532:$AC$539,3)),""))</f>
        <v/>
      </c>
      <c r="AR310" s="188"/>
    </row>
    <row r="311" spans="2:44" ht="27.9" customHeight="1" thickBot="1" x14ac:dyDescent="0.35">
      <c r="B311" s="384" t="s">
        <v>126</v>
      </c>
      <c r="C311" s="149" t="str">
        <f>IF(E311="","",C310+1)</f>
        <v/>
      </c>
      <c r="D311" s="150" t="str">
        <f>IF(Data!F306="","",Data!F306)</f>
        <v/>
      </c>
      <c r="E311" s="151" t="str">
        <f>IF(Data!H306="","",Data!H306)</f>
        <v/>
      </c>
      <c r="F311" s="152" t="str">
        <f>IF(Data!I306="","",Data!I306)</f>
        <v/>
      </c>
      <c r="G311" s="343"/>
      <c r="H311" s="344"/>
      <c r="I311" s="344"/>
      <c r="J311" s="344"/>
      <c r="K311" s="344"/>
      <c r="L311" s="344"/>
      <c r="M311" s="344"/>
      <c r="N311" s="345"/>
      <c r="O311" s="157" t="str">
        <f t="shared" ref="O311:O323" si="250">IF(COUNT(G311:N311)&lt;3,"",ROUND(SUM(G311:N311)/$O$6,0))</f>
        <v/>
      </c>
      <c r="P311" s="344"/>
      <c r="Q311" s="346"/>
      <c r="R311" s="157" t="str">
        <f t="shared" ref="R311:R323" si="251">IFERROR(IF(OR(P311="",Q311=""),"",ROUND(((O311*$O$8)+(P311*$P$8)+(Q311*$Q$8))/$Q$6,0)),"")</f>
        <v/>
      </c>
      <c r="S311" s="159" t="str">
        <f>IF(R311="","",IF(R311&gt;Data2!$C$12,Data2!$D$11,IF(R311&gt;Data2!$C$13,Data2!$D$12,IF(R311&gt;Data2!$C$14,Data2!$D$13,Data2!$D$14))))</f>
        <v/>
      </c>
      <c r="T311" s="144">
        <f t="shared" ref="T311:T323" si="252">MAX(G311:N311)</f>
        <v>0</v>
      </c>
      <c r="U311" s="144">
        <f t="shared" ref="U311:U323" si="253">MIN(G311:N311)</f>
        <v>0</v>
      </c>
      <c r="V311" s="144" t="str">
        <f t="shared" si="234"/>
        <v>Mulai berkembang</v>
      </c>
      <c r="W311" s="144" t="str">
        <f t="shared" si="235"/>
        <v>Mulai berkembang</v>
      </c>
      <c r="X311" s="144" t="e">
        <f t="shared" ref="X311:X323" si="254">MATCH(T311,G311:N311,0)</f>
        <v>#N/A</v>
      </c>
      <c r="Y311" s="145" t="e">
        <f t="shared" ref="Y311:Y323" si="255">MATCH(U311,G311:N311,0)</f>
        <v>#N/A</v>
      </c>
      <c r="Z311" s="218" t="str">
        <f>IF('PA-Non'!O283&lt;&gt;"",'PA-Non'!O283,IFERROR("Mempunyai kemampuan yang " &amp;IF(V311=W311,PROPER(W311)&amp;" dalam kompetensi "&amp;VLOOKUP(X311,$G$532:$I$539,3)&amp;" dan kompetensi "&amp;VLOOKUP(Y311,$G$532:$I$539,3),PROPER(V311)&amp;" dalam kompetensi "&amp;VLOOKUP(X311,$G$532:$I$539,3)&amp;" dan memiliki kemampuan yang "&amp;W311&amp;" pada kompetensi "&amp;VLOOKUP(Y311,$G$532:$I$539,3)),""))</f>
        <v/>
      </c>
      <c r="AA311" s="343"/>
      <c r="AB311" s="344"/>
      <c r="AC311" s="344"/>
      <c r="AD311" s="344"/>
      <c r="AE311" s="344"/>
      <c r="AF311" s="344"/>
      <c r="AG311" s="344"/>
      <c r="AH311" s="345"/>
      <c r="AI311" s="220" t="str">
        <f t="shared" ref="AI311:AI323" si="256">IF(COUNT(AA311:AH311)&lt;3,"",ROUND(((AA311*$AA$8)+(AB311*$AB$8)+(AC311*$AC$8)+(AD311*$AD$8)+(AE311*$AE$8)+(AF311*$AF$8)+(AG311*$AG$8)+(AH311*$AH$8))/$AI$6,0))</f>
        <v/>
      </c>
      <c r="AJ311" s="160" t="str">
        <f>IF(AI311="","",IF(AI311&gt;Data2!$C$12,Data2!$D$11,IF(AI311&gt;Data2!$C$13,Data2!$D$12,IF(AI311&gt;Data2!$C$14,Data2!$D$13,Data2!$D$14))))</f>
        <v/>
      </c>
      <c r="AK311" s="146">
        <f t="shared" ref="AK311:AK323" si="257">MAX(AA311:AH311)</f>
        <v>0</v>
      </c>
      <c r="AL311" s="146">
        <f t="shared" ref="AL311:AL323" si="258">MIN(AA311:AH311)</f>
        <v>0</v>
      </c>
      <c r="AM311" s="147" t="str">
        <f t="shared" si="236"/>
        <v>Mulai meningkat</v>
      </c>
      <c r="AN311" s="147" t="str">
        <f t="shared" si="237"/>
        <v>Mulai meningkat</v>
      </c>
      <c r="AO311" s="146" t="e">
        <f t="shared" ref="AO311:AO323" si="259">MATCH(AK311,AA311:AH311,0)</f>
        <v>#N/A</v>
      </c>
      <c r="AP311" s="148" t="e">
        <f t="shared" ref="AP311:AP323" si="260">MATCH(AL311,AA311:AH311,0)</f>
        <v>#N/A</v>
      </c>
      <c r="AQ311" s="158" t="str">
        <f>IF('PA-Non'!V283&lt;&gt;"",'PA-Non'!V283,IFERROR("Mempunyai keterampilan yang "&amp;IF(AM311=AN311,PROPER(AN311)&amp;" dalam kompetensi "&amp;VLOOKUP(AO311,$AA$532:$AC$539,3)&amp;", demikian juga dalam kompetensi "&amp;VLOOKUP(AP311,$AA$532:$AC$539,3),PROPER(AM311)&amp;" dalam kompetensi "&amp;VLOOKUP(AO311,$AA$532:$AC$539,3)&amp;" dan "&amp;AN311&amp;" pada kompetensi "&amp;VLOOKUP(AP311,$AA$532:$AC$539,3)),""))</f>
        <v/>
      </c>
      <c r="AR311" s="188"/>
    </row>
    <row r="312" spans="2:44" ht="27.9" customHeight="1" thickBot="1" x14ac:dyDescent="0.35">
      <c r="B312" s="384" t="s">
        <v>126</v>
      </c>
      <c r="C312" s="149" t="str">
        <f t="shared" ref="C312:C323" si="261">IF(E312="","",C311+1)</f>
        <v/>
      </c>
      <c r="D312" s="150" t="str">
        <f>IF(Data!F307="","",Data!F307)</f>
        <v/>
      </c>
      <c r="E312" s="151" t="str">
        <f>IF(Data!H307="","",Data!H307)</f>
        <v/>
      </c>
      <c r="F312" s="152" t="str">
        <f>IF(Data!I307="","",Data!I307)</f>
        <v/>
      </c>
      <c r="G312" s="343"/>
      <c r="H312" s="344"/>
      <c r="I312" s="344"/>
      <c r="J312" s="344"/>
      <c r="K312" s="344"/>
      <c r="L312" s="344"/>
      <c r="M312" s="344"/>
      <c r="N312" s="345"/>
      <c r="O312" s="157" t="str">
        <f t="shared" si="250"/>
        <v/>
      </c>
      <c r="P312" s="344"/>
      <c r="Q312" s="346"/>
      <c r="R312" s="157" t="str">
        <f t="shared" si="251"/>
        <v/>
      </c>
      <c r="S312" s="159" t="str">
        <f>IF(R312="","",IF(R312&gt;Data2!$C$12,Data2!$D$11,IF(R312&gt;Data2!$C$13,Data2!$D$12,IF(R312&gt;Data2!$C$14,Data2!$D$13,Data2!$D$14))))</f>
        <v/>
      </c>
      <c r="T312" s="144">
        <f t="shared" si="252"/>
        <v>0</v>
      </c>
      <c r="U312" s="144">
        <f t="shared" si="253"/>
        <v>0</v>
      </c>
      <c r="V312" s="144" t="str">
        <f t="shared" si="234"/>
        <v>Mulai berkembang</v>
      </c>
      <c r="W312" s="144" t="str">
        <f t="shared" si="235"/>
        <v>Mulai berkembang</v>
      </c>
      <c r="X312" s="144" t="e">
        <f t="shared" si="254"/>
        <v>#N/A</v>
      </c>
      <c r="Y312" s="145" t="e">
        <f t="shared" si="255"/>
        <v>#N/A</v>
      </c>
      <c r="Z312" s="218" t="str">
        <f>IF('PA-Non'!O284&lt;&gt;"",'PA-Non'!O284,IFERROR("Mempunyai kemampuan yang " &amp;IF(V312=W312,PROPER(W312)&amp;" dalam kompetensi "&amp;VLOOKUP(X312,$G$532:$I$539,3)&amp;" dan kompetensi "&amp;VLOOKUP(Y312,$G$532:$I$539,3),PROPER(V312)&amp;" dalam kompetensi "&amp;VLOOKUP(X312,$G$532:$I$539,3)&amp;" dan memiliki kemampuan yang "&amp;W312&amp;" pada kompetensi "&amp;VLOOKUP(Y312,$G$532:$I$539,3)),""))</f>
        <v/>
      </c>
      <c r="AA312" s="343"/>
      <c r="AB312" s="344"/>
      <c r="AC312" s="344"/>
      <c r="AD312" s="344"/>
      <c r="AE312" s="344"/>
      <c r="AF312" s="344"/>
      <c r="AG312" s="344"/>
      <c r="AH312" s="345"/>
      <c r="AI312" s="220" t="str">
        <f t="shared" si="256"/>
        <v/>
      </c>
      <c r="AJ312" s="160" t="str">
        <f>IF(AI312="","",IF(AI312&gt;Data2!$C$12,Data2!$D$11,IF(AI312&gt;Data2!$C$13,Data2!$D$12,IF(AI312&gt;Data2!$C$14,Data2!$D$13,Data2!$D$14))))</f>
        <v/>
      </c>
      <c r="AK312" s="146">
        <f t="shared" si="257"/>
        <v>0</v>
      </c>
      <c r="AL312" s="146">
        <f t="shared" si="258"/>
        <v>0</v>
      </c>
      <c r="AM312" s="147" t="str">
        <f t="shared" si="236"/>
        <v>Mulai meningkat</v>
      </c>
      <c r="AN312" s="147" t="str">
        <f t="shared" si="237"/>
        <v>Mulai meningkat</v>
      </c>
      <c r="AO312" s="146" t="e">
        <f t="shared" si="259"/>
        <v>#N/A</v>
      </c>
      <c r="AP312" s="148" t="e">
        <f t="shared" si="260"/>
        <v>#N/A</v>
      </c>
      <c r="AQ312" s="158" t="str">
        <f>IF('PA-Non'!V284&lt;&gt;"",'PA-Non'!V284,IFERROR("Mempunyai keterampilan yang "&amp;IF(AM312=AN312,PROPER(AN312)&amp;" dalam kompetensi "&amp;VLOOKUP(AO312,$AA$532:$AC$539,3)&amp;", demikian juga dalam kompetensi "&amp;VLOOKUP(AP312,$AA$532:$AC$539,3),PROPER(AM312)&amp;" dalam kompetensi "&amp;VLOOKUP(AO312,$AA$532:$AC$539,3)&amp;" dan "&amp;AN312&amp;" pada kompetensi "&amp;VLOOKUP(AP312,$AA$532:$AC$539,3)),""))</f>
        <v/>
      </c>
      <c r="AR312" s="188"/>
    </row>
    <row r="313" spans="2:44" ht="27.9" customHeight="1" thickBot="1" x14ac:dyDescent="0.35">
      <c r="B313" s="384" t="s">
        <v>126</v>
      </c>
      <c r="C313" s="149" t="str">
        <f t="shared" si="261"/>
        <v/>
      </c>
      <c r="D313" s="150" t="str">
        <f>IF(Data!F308="","",Data!F308)</f>
        <v/>
      </c>
      <c r="E313" s="151" t="str">
        <f>IF(Data!H308="","",Data!H308)</f>
        <v/>
      </c>
      <c r="F313" s="152" t="str">
        <f>IF(Data!I308="","",Data!I308)</f>
        <v/>
      </c>
      <c r="G313" s="343"/>
      <c r="H313" s="344"/>
      <c r="I313" s="344"/>
      <c r="J313" s="344"/>
      <c r="K313" s="344"/>
      <c r="L313" s="344"/>
      <c r="M313" s="344"/>
      <c r="N313" s="345"/>
      <c r="O313" s="157" t="str">
        <f t="shared" si="250"/>
        <v/>
      </c>
      <c r="P313" s="344"/>
      <c r="Q313" s="346"/>
      <c r="R313" s="157" t="str">
        <f t="shared" si="251"/>
        <v/>
      </c>
      <c r="S313" s="159" t="str">
        <f>IF(R313="","",IF(R313&gt;Data2!$C$12,Data2!$D$11,IF(R313&gt;Data2!$C$13,Data2!$D$12,IF(R313&gt;Data2!$C$14,Data2!$D$13,Data2!$D$14))))</f>
        <v/>
      </c>
      <c r="T313" s="144">
        <f t="shared" si="252"/>
        <v>0</v>
      </c>
      <c r="U313" s="144">
        <f t="shared" si="253"/>
        <v>0</v>
      </c>
      <c r="V313" s="144" t="str">
        <f t="shared" si="234"/>
        <v>Mulai berkembang</v>
      </c>
      <c r="W313" s="144" t="str">
        <f t="shared" si="235"/>
        <v>Mulai berkembang</v>
      </c>
      <c r="X313" s="144" t="e">
        <f t="shared" si="254"/>
        <v>#N/A</v>
      </c>
      <c r="Y313" s="145" t="e">
        <f t="shared" si="255"/>
        <v>#N/A</v>
      </c>
      <c r="Z313" s="218" t="str">
        <f>IF('PA-Non'!O285&lt;&gt;"",'PA-Non'!O285,IFERROR("Mempunyai kemampuan yang " &amp;IF(V313=W313,PROPER(W313)&amp;" dalam kompetensi "&amp;VLOOKUP(X313,$G$532:$I$539,3)&amp;" dan kompetensi "&amp;VLOOKUP(Y313,$G$532:$I$539,3),PROPER(V313)&amp;" dalam kompetensi "&amp;VLOOKUP(X313,$G$532:$I$539,3)&amp;" dan memiliki kemampuan yang "&amp;W313&amp;" pada kompetensi "&amp;VLOOKUP(Y313,$G$532:$I$539,3)),""))</f>
        <v/>
      </c>
      <c r="AA313" s="343"/>
      <c r="AB313" s="344"/>
      <c r="AC313" s="344"/>
      <c r="AD313" s="344"/>
      <c r="AE313" s="344"/>
      <c r="AF313" s="344"/>
      <c r="AG313" s="344"/>
      <c r="AH313" s="345"/>
      <c r="AI313" s="220" t="str">
        <f t="shared" si="256"/>
        <v/>
      </c>
      <c r="AJ313" s="160" t="str">
        <f>IF(AI313="","",IF(AI313&gt;Data2!$C$12,Data2!$D$11,IF(AI313&gt;Data2!$C$13,Data2!$D$12,IF(AI313&gt;Data2!$C$14,Data2!$D$13,Data2!$D$14))))</f>
        <v/>
      </c>
      <c r="AK313" s="146">
        <f t="shared" si="257"/>
        <v>0</v>
      </c>
      <c r="AL313" s="146">
        <f t="shared" si="258"/>
        <v>0</v>
      </c>
      <c r="AM313" s="147" t="str">
        <f t="shared" si="236"/>
        <v>Mulai meningkat</v>
      </c>
      <c r="AN313" s="147" t="str">
        <f t="shared" si="237"/>
        <v>Mulai meningkat</v>
      </c>
      <c r="AO313" s="146" t="e">
        <f t="shared" si="259"/>
        <v>#N/A</v>
      </c>
      <c r="AP313" s="148" t="e">
        <f t="shared" si="260"/>
        <v>#N/A</v>
      </c>
      <c r="AQ313" s="158" t="str">
        <f>IF('PA-Non'!V285&lt;&gt;"",'PA-Non'!V285,IFERROR("Mempunyai keterampilan yang "&amp;IF(AM313=AN313,PROPER(AN313)&amp;" dalam kompetensi "&amp;VLOOKUP(AO313,$AA$532:$AC$539,3)&amp;", demikian juga dalam kompetensi "&amp;VLOOKUP(AP313,$AA$532:$AC$539,3),PROPER(AM313)&amp;" dalam kompetensi "&amp;VLOOKUP(AO313,$AA$532:$AC$539,3)&amp;" dan "&amp;AN313&amp;" pada kompetensi "&amp;VLOOKUP(AP313,$AA$532:$AC$539,3)),""))</f>
        <v/>
      </c>
      <c r="AR313" s="188"/>
    </row>
    <row r="314" spans="2:44" ht="27.9" customHeight="1" thickBot="1" x14ac:dyDescent="0.35">
      <c r="B314" s="384" t="s">
        <v>126</v>
      </c>
      <c r="C314" s="149" t="str">
        <f t="shared" si="261"/>
        <v/>
      </c>
      <c r="D314" s="150" t="str">
        <f>IF(Data!F309="","",Data!F309)</f>
        <v/>
      </c>
      <c r="E314" s="151" t="str">
        <f>IF(Data!H309="","",Data!H309)</f>
        <v/>
      </c>
      <c r="F314" s="152" t="str">
        <f>IF(Data!I309="","",Data!I309)</f>
        <v/>
      </c>
      <c r="G314" s="343"/>
      <c r="H314" s="344"/>
      <c r="I314" s="344"/>
      <c r="J314" s="344"/>
      <c r="K314" s="344"/>
      <c r="L314" s="344"/>
      <c r="M314" s="344"/>
      <c r="N314" s="345"/>
      <c r="O314" s="157" t="str">
        <f t="shared" si="250"/>
        <v/>
      </c>
      <c r="P314" s="344"/>
      <c r="Q314" s="346"/>
      <c r="R314" s="157" t="str">
        <f t="shared" si="251"/>
        <v/>
      </c>
      <c r="S314" s="159" t="str">
        <f>IF(R314="","",IF(R314&gt;Data2!$C$12,Data2!$D$11,IF(R314&gt;Data2!$C$13,Data2!$D$12,IF(R314&gt;Data2!$C$14,Data2!$D$13,Data2!$D$14))))</f>
        <v/>
      </c>
      <c r="T314" s="144">
        <f t="shared" si="252"/>
        <v>0</v>
      </c>
      <c r="U314" s="144">
        <f t="shared" si="253"/>
        <v>0</v>
      </c>
      <c r="V314" s="144" t="str">
        <f t="shared" si="234"/>
        <v>Mulai berkembang</v>
      </c>
      <c r="W314" s="144" t="str">
        <f t="shared" si="235"/>
        <v>Mulai berkembang</v>
      </c>
      <c r="X314" s="144" t="e">
        <f t="shared" si="254"/>
        <v>#N/A</v>
      </c>
      <c r="Y314" s="145" t="e">
        <f t="shared" si="255"/>
        <v>#N/A</v>
      </c>
      <c r="Z314" s="218" t="str">
        <f>IF('PA-Non'!O286&lt;&gt;"",'PA-Non'!O286,IFERROR("Mempunyai kemampuan yang " &amp;IF(V314=W314,PROPER(W314)&amp;" dalam kompetensi "&amp;VLOOKUP(X314,$G$532:$I$539,3)&amp;" dan kompetensi "&amp;VLOOKUP(Y314,$G$532:$I$539,3),PROPER(V314)&amp;" dalam kompetensi "&amp;VLOOKUP(X314,$G$532:$I$539,3)&amp;" dan memiliki kemampuan yang "&amp;W314&amp;" pada kompetensi "&amp;VLOOKUP(Y314,$G$532:$I$539,3)),""))</f>
        <v/>
      </c>
      <c r="AA314" s="343"/>
      <c r="AB314" s="344"/>
      <c r="AC314" s="344"/>
      <c r="AD314" s="344"/>
      <c r="AE314" s="344"/>
      <c r="AF314" s="344"/>
      <c r="AG314" s="344"/>
      <c r="AH314" s="345"/>
      <c r="AI314" s="220" t="str">
        <f t="shared" si="256"/>
        <v/>
      </c>
      <c r="AJ314" s="160" t="str">
        <f>IF(AI314="","",IF(AI314&gt;Data2!$C$12,Data2!$D$11,IF(AI314&gt;Data2!$C$13,Data2!$D$12,IF(AI314&gt;Data2!$C$14,Data2!$D$13,Data2!$D$14))))</f>
        <v/>
      </c>
      <c r="AK314" s="146">
        <f t="shared" si="257"/>
        <v>0</v>
      </c>
      <c r="AL314" s="146">
        <f t="shared" si="258"/>
        <v>0</v>
      </c>
      <c r="AM314" s="147" t="str">
        <f t="shared" si="236"/>
        <v>Mulai meningkat</v>
      </c>
      <c r="AN314" s="147" t="str">
        <f t="shared" si="237"/>
        <v>Mulai meningkat</v>
      </c>
      <c r="AO314" s="146" t="e">
        <f t="shared" si="259"/>
        <v>#N/A</v>
      </c>
      <c r="AP314" s="148" t="e">
        <f t="shared" si="260"/>
        <v>#N/A</v>
      </c>
      <c r="AQ314" s="158" t="str">
        <f>IF('PA-Non'!V286&lt;&gt;"",'PA-Non'!V286,IFERROR("Mempunyai keterampilan yang "&amp;IF(AM314=AN314,PROPER(AN314)&amp;" dalam kompetensi "&amp;VLOOKUP(AO314,$AA$532:$AC$539,3)&amp;", demikian juga dalam kompetensi "&amp;VLOOKUP(AP314,$AA$532:$AC$539,3),PROPER(AM314)&amp;" dalam kompetensi "&amp;VLOOKUP(AO314,$AA$532:$AC$539,3)&amp;" dan "&amp;AN314&amp;" pada kompetensi "&amp;VLOOKUP(AP314,$AA$532:$AC$539,3)),""))</f>
        <v/>
      </c>
      <c r="AR314" s="188"/>
    </row>
    <row r="315" spans="2:44" ht="27.9" customHeight="1" thickBot="1" x14ac:dyDescent="0.35">
      <c r="B315" s="384" t="s">
        <v>126</v>
      </c>
      <c r="C315" s="149" t="str">
        <f t="shared" si="261"/>
        <v/>
      </c>
      <c r="D315" s="150" t="str">
        <f>IF(Data!F310="","",Data!F310)</f>
        <v/>
      </c>
      <c r="E315" s="151" t="str">
        <f>IF(Data!H310="","",Data!H310)</f>
        <v/>
      </c>
      <c r="F315" s="152" t="str">
        <f>IF(Data!I310="","",Data!I310)</f>
        <v/>
      </c>
      <c r="G315" s="343"/>
      <c r="H315" s="344"/>
      <c r="I315" s="344"/>
      <c r="J315" s="344"/>
      <c r="K315" s="344"/>
      <c r="L315" s="344"/>
      <c r="M315" s="344"/>
      <c r="N315" s="345"/>
      <c r="O315" s="157" t="str">
        <f t="shared" si="250"/>
        <v/>
      </c>
      <c r="P315" s="344"/>
      <c r="Q315" s="346"/>
      <c r="R315" s="157" t="str">
        <f t="shared" si="251"/>
        <v/>
      </c>
      <c r="S315" s="159" t="str">
        <f>IF(R315="","",IF(R315&gt;Data2!$C$12,Data2!$D$11,IF(R315&gt;Data2!$C$13,Data2!$D$12,IF(R315&gt;Data2!$C$14,Data2!$D$13,Data2!$D$14))))</f>
        <v/>
      </c>
      <c r="T315" s="144">
        <f t="shared" si="252"/>
        <v>0</v>
      </c>
      <c r="U315" s="144">
        <f t="shared" si="253"/>
        <v>0</v>
      </c>
      <c r="V315" s="144" t="str">
        <f t="shared" si="234"/>
        <v>Mulai berkembang</v>
      </c>
      <c r="W315" s="144" t="str">
        <f t="shared" si="235"/>
        <v>Mulai berkembang</v>
      </c>
      <c r="X315" s="144" t="e">
        <f t="shared" si="254"/>
        <v>#N/A</v>
      </c>
      <c r="Y315" s="145" t="e">
        <f t="shared" si="255"/>
        <v>#N/A</v>
      </c>
      <c r="Z315" s="218" t="str">
        <f>IF('PA-Non'!O287&lt;&gt;"",'PA-Non'!O287,IFERROR("Mempunyai kemampuan yang " &amp;IF(V315=W315,PROPER(W315)&amp;" dalam kompetensi "&amp;VLOOKUP(X315,$G$532:$I$539,3)&amp;" dan kompetensi "&amp;VLOOKUP(Y315,$G$532:$I$539,3),PROPER(V315)&amp;" dalam kompetensi "&amp;VLOOKUP(X315,$G$532:$I$539,3)&amp;" dan memiliki kemampuan yang "&amp;W315&amp;" pada kompetensi "&amp;VLOOKUP(Y315,$G$532:$I$539,3)),""))</f>
        <v/>
      </c>
      <c r="AA315" s="343"/>
      <c r="AB315" s="344"/>
      <c r="AC315" s="344"/>
      <c r="AD315" s="344"/>
      <c r="AE315" s="344"/>
      <c r="AF315" s="344"/>
      <c r="AG315" s="344"/>
      <c r="AH315" s="345"/>
      <c r="AI315" s="220" t="str">
        <f t="shared" si="256"/>
        <v/>
      </c>
      <c r="AJ315" s="160" t="str">
        <f>IF(AI315="","",IF(AI315&gt;Data2!$C$12,Data2!$D$11,IF(AI315&gt;Data2!$C$13,Data2!$D$12,IF(AI315&gt;Data2!$C$14,Data2!$D$13,Data2!$D$14))))</f>
        <v/>
      </c>
      <c r="AK315" s="146">
        <f t="shared" si="257"/>
        <v>0</v>
      </c>
      <c r="AL315" s="146">
        <f t="shared" si="258"/>
        <v>0</v>
      </c>
      <c r="AM315" s="147" t="str">
        <f t="shared" si="236"/>
        <v>Mulai meningkat</v>
      </c>
      <c r="AN315" s="147" t="str">
        <f t="shared" si="237"/>
        <v>Mulai meningkat</v>
      </c>
      <c r="AO315" s="146" t="e">
        <f t="shared" si="259"/>
        <v>#N/A</v>
      </c>
      <c r="AP315" s="148" t="e">
        <f t="shared" si="260"/>
        <v>#N/A</v>
      </c>
      <c r="AQ315" s="158" t="str">
        <f>IF('PA-Non'!V287&lt;&gt;"",'PA-Non'!V287,IFERROR("Mempunyai keterampilan yang "&amp;IF(AM315=AN315,PROPER(AN315)&amp;" dalam kompetensi "&amp;VLOOKUP(AO315,$AA$532:$AC$539,3)&amp;", demikian juga dalam kompetensi "&amp;VLOOKUP(AP315,$AA$532:$AC$539,3),PROPER(AM315)&amp;" dalam kompetensi "&amp;VLOOKUP(AO315,$AA$532:$AC$539,3)&amp;" dan "&amp;AN315&amp;" pada kompetensi "&amp;VLOOKUP(AP315,$AA$532:$AC$539,3)),""))</f>
        <v/>
      </c>
      <c r="AR315" s="188"/>
    </row>
    <row r="316" spans="2:44" ht="27.9" customHeight="1" thickBot="1" x14ac:dyDescent="0.35">
      <c r="B316" s="384" t="s">
        <v>126</v>
      </c>
      <c r="C316" s="149" t="str">
        <f t="shared" si="261"/>
        <v/>
      </c>
      <c r="D316" s="150" t="str">
        <f>IF(Data!F311="","",Data!F311)</f>
        <v/>
      </c>
      <c r="E316" s="151" t="str">
        <f>IF(Data!H311="","",Data!H311)</f>
        <v/>
      </c>
      <c r="F316" s="152" t="str">
        <f>IF(Data!I311="","",Data!I311)</f>
        <v/>
      </c>
      <c r="G316" s="343"/>
      <c r="H316" s="344"/>
      <c r="I316" s="344"/>
      <c r="J316" s="344"/>
      <c r="K316" s="344"/>
      <c r="L316" s="344"/>
      <c r="M316" s="344"/>
      <c r="N316" s="345"/>
      <c r="O316" s="157" t="str">
        <f t="shared" si="250"/>
        <v/>
      </c>
      <c r="P316" s="344"/>
      <c r="Q316" s="346"/>
      <c r="R316" s="157" t="str">
        <f t="shared" si="251"/>
        <v/>
      </c>
      <c r="S316" s="159" t="str">
        <f>IF(R316="","",IF(R316&gt;Data2!$C$12,Data2!$D$11,IF(R316&gt;Data2!$C$13,Data2!$D$12,IF(R316&gt;Data2!$C$14,Data2!$D$13,Data2!$D$14))))</f>
        <v/>
      </c>
      <c r="T316" s="144">
        <f t="shared" si="252"/>
        <v>0</v>
      </c>
      <c r="U316" s="144">
        <f t="shared" si="253"/>
        <v>0</v>
      </c>
      <c r="V316" s="144" t="str">
        <f t="shared" si="234"/>
        <v>Mulai berkembang</v>
      </c>
      <c r="W316" s="144" t="str">
        <f t="shared" si="235"/>
        <v>Mulai berkembang</v>
      </c>
      <c r="X316" s="144" t="e">
        <f t="shared" si="254"/>
        <v>#N/A</v>
      </c>
      <c r="Y316" s="145" t="e">
        <f t="shared" si="255"/>
        <v>#N/A</v>
      </c>
      <c r="Z316" s="218" t="str">
        <f>IF('PA-Non'!O288&lt;&gt;"",'PA-Non'!O288,IFERROR("Mempunyai kemampuan yang " &amp;IF(V316=W316,PROPER(W316)&amp;" dalam kompetensi "&amp;VLOOKUP(X316,$G$532:$I$539,3)&amp;" dan kompetensi "&amp;VLOOKUP(Y316,$G$532:$I$539,3),PROPER(V316)&amp;" dalam kompetensi "&amp;VLOOKUP(X316,$G$532:$I$539,3)&amp;" dan memiliki kemampuan yang "&amp;W316&amp;" pada kompetensi "&amp;VLOOKUP(Y316,$G$532:$I$539,3)),""))</f>
        <v/>
      </c>
      <c r="AA316" s="343"/>
      <c r="AB316" s="344"/>
      <c r="AC316" s="344"/>
      <c r="AD316" s="344"/>
      <c r="AE316" s="344"/>
      <c r="AF316" s="344"/>
      <c r="AG316" s="344"/>
      <c r="AH316" s="345"/>
      <c r="AI316" s="220" t="str">
        <f t="shared" si="256"/>
        <v/>
      </c>
      <c r="AJ316" s="160" t="str">
        <f>IF(AI316="","",IF(AI316&gt;Data2!$C$12,Data2!$D$11,IF(AI316&gt;Data2!$C$13,Data2!$D$12,IF(AI316&gt;Data2!$C$14,Data2!$D$13,Data2!$D$14))))</f>
        <v/>
      </c>
      <c r="AK316" s="146">
        <f t="shared" si="257"/>
        <v>0</v>
      </c>
      <c r="AL316" s="146">
        <f t="shared" si="258"/>
        <v>0</v>
      </c>
      <c r="AM316" s="147" t="str">
        <f t="shared" si="236"/>
        <v>Mulai meningkat</v>
      </c>
      <c r="AN316" s="147" t="str">
        <f t="shared" si="237"/>
        <v>Mulai meningkat</v>
      </c>
      <c r="AO316" s="146" t="e">
        <f t="shared" si="259"/>
        <v>#N/A</v>
      </c>
      <c r="AP316" s="148" t="e">
        <f t="shared" si="260"/>
        <v>#N/A</v>
      </c>
      <c r="AQ316" s="158" t="str">
        <f>IF('PA-Non'!V288&lt;&gt;"",'PA-Non'!V288,IFERROR("Mempunyai keterampilan yang "&amp;IF(AM316=AN316,PROPER(AN316)&amp;" dalam kompetensi "&amp;VLOOKUP(AO316,$AA$532:$AC$539,3)&amp;", demikian juga dalam kompetensi "&amp;VLOOKUP(AP316,$AA$532:$AC$539,3),PROPER(AM316)&amp;" dalam kompetensi "&amp;VLOOKUP(AO316,$AA$532:$AC$539,3)&amp;" dan "&amp;AN316&amp;" pada kompetensi "&amp;VLOOKUP(AP316,$AA$532:$AC$539,3)),""))</f>
        <v/>
      </c>
      <c r="AR316" s="188"/>
    </row>
    <row r="317" spans="2:44" ht="27.9" customHeight="1" thickBot="1" x14ac:dyDescent="0.35">
      <c r="B317" s="384" t="s">
        <v>126</v>
      </c>
      <c r="C317" s="149" t="str">
        <f t="shared" si="261"/>
        <v/>
      </c>
      <c r="D317" s="150" t="str">
        <f>IF(Data!F312="","",Data!F312)</f>
        <v/>
      </c>
      <c r="E317" s="151" t="str">
        <f>IF(Data!H312="","",Data!H312)</f>
        <v/>
      </c>
      <c r="F317" s="152" t="str">
        <f>IF(Data!I312="","",Data!I312)</f>
        <v/>
      </c>
      <c r="G317" s="343"/>
      <c r="H317" s="344"/>
      <c r="I317" s="344"/>
      <c r="J317" s="344"/>
      <c r="K317" s="344"/>
      <c r="L317" s="344"/>
      <c r="M317" s="344"/>
      <c r="N317" s="345"/>
      <c r="O317" s="157" t="str">
        <f t="shared" si="250"/>
        <v/>
      </c>
      <c r="P317" s="344"/>
      <c r="Q317" s="346"/>
      <c r="R317" s="157" t="str">
        <f t="shared" si="251"/>
        <v/>
      </c>
      <c r="S317" s="159" t="str">
        <f>IF(R317="","",IF(R317&gt;Data2!$C$12,Data2!$D$11,IF(R317&gt;Data2!$C$13,Data2!$D$12,IF(R317&gt;Data2!$C$14,Data2!$D$13,Data2!$D$14))))</f>
        <v/>
      </c>
      <c r="T317" s="144">
        <f t="shared" si="252"/>
        <v>0</v>
      </c>
      <c r="U317" s="144">
        <f t="shared" si="253"/>
        <v>0</v>
      </c>
      <c r="V317" s="144" t="str">
        <f t="shared" si="234"/>
        <v>Mulai berkembang</v>
      </c>
      <c r="W317" s="144" t="str">
        <f t="shared" si="235"/>
        <v>Mulai berkembang</v>
      </c>
      <c r="X317" s="144" t="e">
        <f t="shared" si="254"/>
        <v>#N/A</v>
      </c>
      <c r="Y317" s="145" t="e">
        <f t="shared" si="255"/>
        <v>#N/A</v>
      </c>
      <c r="Z317" s="218" t="str">
        <f>IF('PA-Non'!O289&lt;&gt;"",'PA-Non'!O289,IFERROR("Mempunyai kemampuan yang " &amp;IF(V317=W317,PROPER(W317)&amp;" dalam kompetensi "&amp;VLOOKUP(X317,$G$532:$I$539,3)&amp;" dan kompetensi "&amp;VLOOKUP(Y317,$G$532:$I$539,3),PROPER(V317)&amp;" dalam kompetensi "&amp;VLOOKUP(X317,$G$532:$I$539,3)&amp;" dan memiliki kemampuan yang "&amp;W317&amp;" pada kompetensi "&amp;VLOOKUP(Y317,$G$532:$I$539,3)),""))</f>
        <v/>
      </c>
      <c r="AA317" s="343"/>
      <c r="AB317" s="344"/>
      <c r="AC317" s="344"/>
      <c r="AD317" s="344"/>
      <c r="AE317" s="344"/>
      <c r="AF317" s="344"/>
      <c r="AG317" s="344"/>
      <c r="AH317" s="345"/>
      <c r="AI317" s="220" t="str">
        <f t="shared" si="256"/>
        <v/>
      </c>
      <c r="AJ317" s="160" t="str">
        <f>IF(AI317="","",IF(AI317&gt;Data2!$C$12,Data2!$D$11,IF(AI317&gt;Data2!$C$13,Data2!$D$12,IF(AI317&gt;Data2!$C$14,Data2!$D$13,Data2!$D$14))))</f>
        <v/>
      </c>
      <c r="AK317" s="146">
        <f t="shared" si="257"/>
        <v>0</v>
      </c>
      <c r="AL317" s="146">
        <f t="shared" si="258"/>
        <v>0</v>
      </c>
      <c r="AM317" s="147" t="str">
        <f t="shared" si="236"/>
        <v>Mulai meningkat</v>
      </c>
      <c r="AN317" s="147" t="str">
        <f t="shared" si="237"/>
        <v>Mulai meningkat</v>
      </c>
      <c r="AO317" s="146" t="e">
        <f t="shared" si="259"/>
        <v>#N/A</v>
      </c>
      <c r="AP317" s="148" t="e">
        <f t="shared" si="260"/>
        <v>#N/A</v>
      </c>
      <c r="AQ317" s="158" t="str">
        <f>IF('PA-Non'!V289&lt;&gt;"",'PA-Non'!V289,IFERROR("Mempunyai keterampilan yang "&amp;IF(AM317=AN317,PROPER(AN317)&amp;" dalam kompetensi "&amp;VLOOKUP(AO317,$AA$532:$AC$539,3)&amp;", demikian juga dalam kompetensi "&amp;VLOOKUP(AP317,$AA$532:$AC$539,3),PROPER(AM317)&amp;" dalam kompetensi "&amp;VLOOKUP(AO317,$AA$532:$AC$539,3)&amp;" dan "&amp;AN317&amp;" pada kompetensi "&amp;VLOOKUP(AP317,$AA$532:$AC$539,3)),""))</f>
        <v/>
      </c>
      <c r="AR317" s="188"/>
    </row>
    <row r="318" spans="2:44" ht="27.9" customHeight="1" thickBot="1" x14ac:dyDescent="0.35">
      <c r="B318" s="384" t="s">
        <v>126</v>
      </c>
      <c r="C318" s="149" t="str">
        <f t="shared" si="261"/>
        <v/>
      </c>
      <c r="D318" s="150" t="str">
        <f>IF(Data!F313="","",Data!F313)</f>
        <v/>
      </c>
      <c r="E318" s="151" t="str">
        <f>IF(Data!H313="","",Data!H313)</f>
        <v/>
      </c>
      <c r="F318" s="152" t="str">
        <f>IF(Data!I313="","",Data!I313)</f>
        <v/>
      </c>
      <c r="G318" s="343"/>
      <c r="H318" s="344"/>
      <c r="I318" s="344"/>
      <c r="J318" s="344"/>
      <c r="K318" s="344"/>
      <c r="L318" s="344"/>
      <c r="M318" s="344"/>
      <c r="N318" s="345"/>
      <c r="O318" s="157" t="str">
        <f t="shared" si="250"/>
        <v/>
      </c>
      <c r="P318" s="344"/>
      <c r="Q318" s="346"/>
      <c r="R318" s="157" t="str">
        <f t="shared" si="251"/>
        <v/>
      </c>
      <c r="S318" s="159" t="str">
        <f>IF(R318="","",IF(R318&gt;Data2!$C$12,Data2!$D$11,IF(R318&gt;Data2!$C$13,Data2!$D$12,IF(R318&gt;Data2!$C$14,Data2!$D$13,Data2!$D$14))))</f>
        <v/>
      </c>
      <c r="T318" s="144">
        <f t="shared" si="252"/>
        <v>0</v>
      </c>
      <c r="U318" s="144">
        <f t="shared" si="253"/>
        <v>0</v>
      </c>
      <c r="V318" s="144" t="str">
        <f t="shared" si="234"/>
        <v>Mulai berkembang</v>
      </c>
      <c r="W318" s="144" t="str">
        <f t="shared" si="235"/>
        <v>Mulai berkembang</v>
      </c>
      <c r="X318" s="144" t="e">
        <f t="shared" si="254"/>
        <v>#N/A</v>
      </c>
      <c r="Y318" s="145" t="e">
        <f t="shared" si="255"/>
        <v>#N/A</v>
      </c>
      <c r="Z318" s="218" t="str">
        <f>IF('PA-Non'!O290&lt;&gt;"",'PA-Non'!O290,IFERROR("Mempunyai kemampuan yang " &amp;IF(V318=W318,PROPER(W318)&amp;" dalam kompetensi "&amp;VLOOKUP(X318,$G$532:$I$539,3)&amp;" dan kompetensi "&amp;VLOOKUP(Y318,$G$532:$I$539,3),PROPER(V318)&amp;" dalam kompetensi "&amp;VLOOKUP(X318,$G$532:$I$539,3)&amp;" dan memiliki kemampuan yang "&amp;W318&amp;" pada kompetensi "&amp;VLOOKUP(Y318,$G$532:$I$539,3)),""))</f>
        <v/>
      </c>
      <c r="AA318" s="343"/>
      <c r="AB318" s="344"/>
      <c r="AC318" s="344"/>
      <c r="AD318" s="344"/>
      <c r="AE318" s="344"/>
      <c r="AF318" s="344"/>
      <c r="AG318" s="344"/>
      <c r="AH318" s="345"/>
      <c r="AI318" s="220" t="str">
        <f t="shared" si="256"/>
        <v/>
      </c>
      <c r="AJ318" s="160" t="str">
        <f>IF(AI318="","",IF(AI318&gt;Data2!$C$12,Data2!$D$11,IF(AI318&gt;Data2!$C$13,Data2!$D$12,IF(AI318&gt;Data2!$C$14,Data2!$D$13,Data2!$D$14))))</f>
        <v/>
      </c>
      <c r="AK318" s="146">
        <f t="shared" si="257"/>
        <v>0</v>
      </c>
      <c r="AL318" s="146">
        <f t="shared" si="258"/>
        <v>0</v>
      </c>
      <c r="AM318" s="147" t="str">
        <f t="shared" si="236"/>
        <v>Mulai meningkat</v>
      </c>
      <c r="AN318" s="147" t="str">
        <f t="shared" si="237"/>
        <v>Mulai meningkat</v>
      </c>
      <c r="AO318" s="146" t="e">
        <f t="shared" si="259"/>
        <v>#N/A</v>
      </c>
      <c r="AP318" s="148" t="e">
        <f t="shared" si="260"/>
        <v>#N/A</v>
      </c>
      <c r="AQ318" s="158" t="str">
        <f>IF('PA-Non'!V290&lt;&gt;"",'PA-Non'!V290,IFERROR("Mempunyai keterampilan yang "&amp;IF(AM318=AN318,PROPER(AN318)&amp;" dalam kompetensi "&amp;VLOOKUP(AO318,$AA$532:$AC$539,3)&amp;", demikian juga dalam kompetensi "&amp;VLOOKUP(AP318,$AA$532:$AC$539,3),PROPER(AM318)&amp;" dalam kompetensi "&amp;VLOOKUP(AO318,$AA$532:$AC$539,3)&amp;" dan "&amp;AN318&amp;" pada kompetensi "&amp;VLOOKUP(AP318,$AA$532:$AC$539,3)),""))</f>
        <v/>
      </c>
      <c r="AR318" s="188"/>
    </row>
    <row r="319" spans="2:44" ht="27.9" customHeight="1" thickBot="1" x14ac:dyDescent="0.35">
      <c r="B319" s="384" t="s">
        <v>126</v>
      </c>
      <c r="C319" s="149" t="str">
        <f t="shared" si="261"/>
        <v/>
      </c>
      <c r="D319" s="150" t="str">
        <f>IF(Data!F314="","",Data!F314)</f>
        <v/>
      </c>
      <c r="E319" s="151" t="str">
        <f>IF(Data!H314="","",Data!H314)</f>
        <v/>
      </c>
      <c r="F319" s="152" t="str">
        <f>IF(Data!I314="","",Data!I314)</f>
        <v/>
      </c>
      <c r="G319" s="343"/>
      <c r="H319" s="344"/>
      <c r="I319" s="344"/>
      <c r="J319" s="344"/>
      <c r="K319" s="344"/>
      <c r="L319" s="344"/>
      <c r="M319" s="344"/>
      <c r="N319" s="345"/>
      <c r="O319" s="157" t="str">
        <f t="shared" si="250"/>
        <v/>
      </c>
      <c r="P319" s="344"/>
      <c r="Q319" s="346"/>
      <c r="R319" s="157" t="str">
        <f t="shared" si="251"/>
        <v/>
      </c>
      <c r="S319" s="159" t="str">
        <f>IF(R319="","",IF(R319&gt;Data2!$C$12,Data2!$D$11,IF(R319&gt;Data2!$C$13,Data2!$D$12,IF(R319&gt;Data2!$C$14,Data2!$D$13,Data2!$D$14))))</f>
        <v/>
      </c>
      <c r="T319" s="144">
        <f t="shared" si="252"/>
        <v>0</v>
      </c>
      <c r="U319" s="144">
        <f t="shared" si="253"/>
        <v>0</v>
      </c>
      <c r="V319" s="144" t="str">
        <f t="shared" si="234"/>
        <v>Mulai berkembang</v>
      </c>
      <c r="W319" s="144" t="str">
        <f t="shared" si="235"/>
        <v>Mulai berkembang</v>
      </c>
      <c r="X319" s="144" t="e">
        <f t="shared" si="254"/>
        <v>#N/A</v>
      </c>
      <c r="Y319" s="145" t="e">
        <f t="shared" si="255"/>
        <v>#N/A</v>
      </c>
      <c r="Z319" s="218" t="str">
        <f>IF('PA-Non'!O291&lt;&gt;"",'PA-Non'!O291,IFERROR("Mempunyai kemampuan yang " &amp;IF(V319=W319,PROPER(W319)&amp;" dalam kompetensi "&amp;VLOOKUP(X319,$G$532:$I$539,3)&amp;" dan kompetensi "&amp;VLOOKUP(Y319,$G$532:$I$539,3),PROPER(V319)&amp;" dalam kompetensi "&amp;VLOOKUP(X319,$G$532:$I$539,3)&amp;" dan memiliki kemampuan yang "&amp;W319&amp;" pada kompetensi "&amp;VLOOKUP(Y319,$G$532:$I$539,3)),""))</f>
        <v/>
      </c>
      <c r="AA319" s="343"/>
      <c r="AB319" s="344"/>
      <c r="AC319" s="344"/>
      <c r="AD319" s="344"/>
      <c r="AE319" s="344"/>
      <c r="AF319" s="344"/>
      <c r="AG319" s="344"/>
      <c r="AH319" s="345"/>
      <c r="AI319" s="220" t="str">
        <f t="shared" si="256"/>
        <v/>
      </c>
      <c r="AJ319" s="160" t="str">
        <f>IF(AI319="","",IF(AI319&gt;Data2!$C$12,Data2!$D$11,IF(AI319&gt;Data2!$C$13,Data2!$D$12,IF(AI319&gt;Data2!$C$14,Data2!$D$13,Data2!$D$14))))</f>
        <v/>
      </c>
      <c r="AK319" s="146">
        <f t="shared" si="257"/>
        <v>0</v>
      </c>
      <c r="AL319" s="146">
        <f t="shared" si="258"/>
        <v>0</v>
      </c>
      <c r="AM319" s="147" t="str">
        <f t="shared" si="236"/>
        <v>Mulai meningkat</v>
      </c>
      <c r="AN319" s="147" t="str">
        <f t="shared" si="237"/>
        <v>Mulai meningkat</v>
      </c>
      <c r="AO319" s="146" t="e">
        <f t="shared" si="259"/>
        <v>#N/A</v>
      </c>
      <c r="AP319" s="148" t="e">
        <f t="shared" si="260"/>
        <v>#N/A</v>
      </c>
      <c r="AQ319" s="158" t="str">
        <f>IF('PA-Non'!V291&lt;&gt;"",'PA-Non'!V291,IFERROR("Mempunyai keterampilan yang "&amp;IF(AM319=AN319,PROPER(AN319)&amp;" dalam kompetensi "&amp;VLOOKUP(AO319,$AA$532:$AC$539,3)&amp;", demikian juga dalam kompetensi "&amp;VLOOKUP(AP319,$AA$532:$AC$539,3),PROPER(AM319)&amp;" dalam kompetensi "&amp;VLOOKUP(AO319,$AA$532:$AC$539,3)&amp;" dan "&amp;AN319&amp;" pada kompetensi "&amp;VLOOKUP(AP319,$AA$532:$AC$539,3)),""))</f>
        <v/>
      </c>
      <c r="AR319" s="188"/>
    </row>
    <row r="320" spans="2:44" ht="27.9" customHeight="1" thickBot="1" x14ac:dyDescent="0.35">
      <c r="B320" s="384" t="s">
        <v>126</v>
      </c>
      <c r="C320" s="149" t="str">
        <f t="shared" si="261"/>
        <v/>
      </c>
      <c r="D320" s="150" t="str">
        <f>IF(Data!F315="","",Data!F315)</f>
        <v/>
      </c>
      <c r="E320" s="151" t="str">
        <f>IF(Data!H315="","",Data!H315)</f>
        <v/>
      </c>
      <c r="F320" s="152" t="str">
        <f>IF(Data!I315="","",Data!I315)</f>
        <v/>
      </c>
      <c r="G320" s="343"/>
      <c r="H320" s="344"/>
      <c r="I320" s="344"/>
      <c r="J320" s="344"/>
      <c r="K320" s="344"/>
      <c r="L320" s="344"/>
      <c r="M320" s="344"/>
      <c r="N320" s="345"/>
      <c r="O320" s="157" t="str">
        <f t="shared" si="250"/>
        <v/>
      </c>
      <c r="P320" s="344"/>
      <c r="Q320" s="346"/>
      <c r="R320" s="157" t="str">
        <f t="shared" si="251"/>
        <v/>
      </c>
      <c r="S320" s="159" t="str">
        <f>IF(R320="","",IF(R320&gt;Data2!$C$12,Data2!$D$11,IF(R320&gt;Data2!$C$13,Data2!$D$12,IF(R320&gt;Data2!$C$14,Data2!$D$13,Data2!$D$14))))</f>
        <v/>
      </c>
      <c r="T320" s="144">
        <f t="shared" si="252"/>
        <v>0</v>
      </c>
      <c r="U320" s="144">
        <f t="shared" si="253"/>
        <v>0</v>
      </c>
      <c r="V320" s="144" t="str">
        <f t="shared" si="234"/>
        <v>Mulai berkembang</v>
      </c>
      <c r="W320" s="144" t="str">
        <f t="shared" si="235"/>
        <v>Mulai berkembang</v>
      </c>
      <c r="X320" s="144" t="e">
        <f t="shared" si="254"/>
        <v>#N/A</v>
      </c>
      <c r="Y320" s="145" t="e">
        <f t="shared" si="255"/>
        <v>#N/A</v>
      </c>
      <c r="Z320" s="218" t="str">
        <f>IF('PA-Non'!O292&lt;&gt;"",'PA-Non'!O292,IFERROR("Mempunyai kemampuan yang " &amp;IF(V320=W320,PROPER(W320)&amp;" dalam kompetensi "&amp;VLOOKUP(X320,$G$532:$I$539,3)&amp;" dan kompetensi "&amp;VLOOKUP(Y320,$G$532:$I$539,3),PROPER(V320)&amp;" dalam kompetensi "&amp;VLOOKUP(X320,$G$532:$I$539,3)&amp;" dan memiliki kemampuan yang "&amp;W320&amp;" pada kompetensi "&amp;VLOOKUP(Y320,$G$532:$I$539,3)),""))</f>
        <v/>
      </c>
      <c r="AA320" s="343"/>
      <c r="AB320" s="344"/>
      <c r="AC320" s="344"/>
      <c r="AD320" s="344"/>
      <c r="AE320" s="344"/>
      <c r="AF320" s="344"/>
      <c r="AG320" s="344"/>
      <c r="AH320" s="345"/>
      <c r="AI320" s="220" t="str">
        <f t="shared" si="256"/>
        <v/>
      </c>
      <c r="AJ320" s="160" t="str">
        <f>IF(AI320="","",IF(AI320&gt;Data2!$C$12,Data2!$D$11,IF(AI320&gt;Data2!$C$13,Data2!$D$12,IF(AI320&gt;Data2!$C$14,Data2!$D$13,Data2!$D$14))))</f>
        <v/>
      </c>
      <c r="AK320" s="146">
        <f t="shared" si="257"/>
        <v>0</v>
      </c>
      <c r="AL320" s="146">
        <f t="shared" si="258"/>
        <v>0</v>
      </c>
      <c r="AM320" s="147" t="str">
        <f t="shared" si="236"/>
        <v>Mulai meningkat</v>
      </c>
      <c r="AN320" s="147" t="str">
        <f t="shared" si="237"/>
        <v>Mulai meningkat</v>
      </c>
      <c r="AO320" s="146" t="e">
        <f t="shared" si="259"/>
        <v>#N/A</v>
      </c>
      <c r="AP320" s="148" t="e">
        <f t="shared" si="260"/>
        <v>#N/A</v>
      </c>
      <c r="AQ320" s="158" t="str">
        <f>IF('PA-Non'!V292&lt;&gt;"",'PA-Non'!V292,IFERROR("Mempunyai keterampilan yang "&amp;IF(AM320=AN320,PROPER(AN320)&amp;" dalam kompetensi "&amp;VLOOKUP(AO320,$AA$532:$AC$539,3)&amp;", demikian juga dalam kompetensi "&amp;VLOOKUP(AP320,$AA$532:$AC$539,3),PROPER(AM320)&amp;" dalam kompetensi "&amp;VLOOKUP(AO320,$AA$532:$AC$539,3)&amp;" dan "&amp;AN320&amp;" pada kompetensi "&amp;VLOOKUP(AP320,$AA$532:$AC$539,3)),""))</f>
        <v/>
      </c>
      <c r="AR320" s="188"/>
    </row>
    <row r="321" spans="2:44" ht="27.9" customHeight="1" thickBot="1" x14ac:dyDescent="0.35">
      <c r="B321" s="384" t="s">
        <v>126</v>
      </c>
      <c r="C321" s="149" t="str">
        <f t="shared" si="261"/>
        <v/>
      </c>
      <c r="D321" s="150" t="str">
        <f>IF(Data!F316="","",Data!F316)</f>
        <v/>
      </c>
      <c r="E321" s="151" t="str">
        <f>IF(Data!H316="","",Data!H316)</f>
        <v/>
      </c>
      <c r="F321" s="152" t="str">
        <f>IF(Data!I316="","",Data!I316)</f>
        <v/>
      </c>
      <c r="G321" s="343"/>
      <c r="H321" s="344"/>
      <c r="I321" s="344"/>
      <c r="J321" s="344"/>
      <c r="K321" s="344"/>
      <c r="L321" s="344"/>
      <c r="M321" s="344"/>
      <c r="N321" s="345"/>
      <c r="O321" s="157" t="str">
        <f t="shared" si="250"/>
        <v/>
      </c>
      <c r="P321" s="344"/>
      <c r="Q321" s="346"/>
      <c r="R321" s="157" t="str">
        <f t="shared" si="251"/>
        <v/>
      </c>
      <c r="S321" s="159" t="str">
        <f>IF(R321="","",IF(R321&gt;Data2!$C$12,Data2!$D$11,IF(R321&gt;Data2!$C$13,Data2!$D$12,IF(R321&gt;Data2!$C$14,Data2!$D$13,Data2!$D$14))))</f>
        <v/>
      </c>
      <c r="T321" s="144">
        <f t="shared" si="252"/>
        <v>0</v>
      </c>
      <c r="U321" s="144">
        <f t="shared" si="253"/>
        <v>0</v>
      </c>
      <c r="V321" s="144" t="str">
        <f t="shared" si="234"/>
        <v>Mulai berkembang</v>
      </c>
      <c r="W321" s="144" t="str">
        <f t="shared" si="235"/>
        <v>Mulai berkembang</v>
      </c>
      <c r="X321" s="144" t="e">
        <f t="shared" si="254"/>
        <v>#N/A</v>
      </c>
      <c r="Y321" s="145" t="e">
        <f t="shared" si="255"/>
        <v>#N/A</v>
      </c>
      <c r="Z321" s="218" t="str">
        <f>IF('PA-Non'!O293&lt;&gt;"",'PA-Non'!O293,IFERROR("Mempunyai kemampuan yang " &amp;IF(V321=W321,PROPER(W321)&amp;" dalam kompetensi "&amp;VLOOKUP(X321,$G$532:$I$539,3)&amp;" dan kompetensi "&amp;VLOOKUP(Y321,$G$532:$I$539,3),PROPER(V321)&amp;" dalam kompetensi "&amp;VLOOKUP(X321,$G$532:$I$539,3)&amp;" dan memiliki kemampuan yang "&amp;W321&amp;" pada kompetensi "&amp;VLOOKUP(Y321,$G$532:$I$539,3)),""))</f>
        <v/>
      </c>
      <c r="AA321" s="343"/>
      <c r="AB321" s="344"/>
      <c r="AC321" s="344"/>
      <c r="AD321" s="344"/>
      <c r="AE321" s="344"/>
      <c r="AF321" s="344"/>
      <c r="AG321" s="344"/>
      <c r="AH321" s="345"/>
      <c r="AI321" s="220" t="str">
        <f t="shared" si="256"/>
        <v/>
      </c>
      <c r="AJ321" s="160" t="str">
        <f>IF(AI321="","",IF(AI321&gt;Data2!$C$12,Data2!$D$11,IF(AI321&gt;Data2!$C$13,Data2!$D$12,IF(AI321&gt;Data2!$C$14,Data2!$D$13,Data2!$D$14))))</f>
        <v/>
      </c>
      <c r="AK321" s="146">
        <f t="shared" si="257"/>
        <v>0</v>
      </c>
      <c r="AL321" s="146">
        <f t="shared" si="258"/>
        <v>0</v>
      </c>
      <c r="AM321" s="147" t="str">
        <f t="shared" si="236"/>
        <v>Mulai meningkat</v>
      </c>
      <c r="AN321" s="147" t="str">
        <f t="shared" si="237"/>
        <v>Mulai meningkat</v>
      </c>
      <c r="AO321" s="146" t="e">
        <f t="shared" si="259"/>
        <v>#N/A</v>
      </c>
      <c r="AP321" s="148" t="e">
        <f t="shared" si="260"/>
        <v>#N/A</v>
      </c>
      <c r="AQ321" s="158" t="str">
        <f>IF('PA-Non'!V293&lt;&gt;"",'PA-Non'!V293,IFERROR("Mempunyai keterampilan yang "&amp;IF(AM321=AN321,PROPER(AN321)&amp;" dalam kompetensi "&amp;VLOOKUP(AO321,$AA$532:$AC$539,3)&amp;", demikian juga dalam kompetensi "&amp;VLOOKUP(AP321,$AA$532:$AC$539,3),PROPER(AM321)&amp;" dalam kompetensi "&amp;VLOOKUP(AO321,$AA$532:$AC$539,3)&amp;" dan "&amp;AN321&amp;" pada kompetensi "&amp;VLOOKUP(AP321,$AA$532:$AC$539,3)),""))</f>
        <v/>
      </c>
      <c r="AR321" s="188"/>
    </row>
    <row r="322" spans="2:44" ht="27.9" customHeight="1" thickBot="1" x14ac:dyDescent="0.35">
      <c r="B322" s="384" t="s">
        <v>126</v>
      </c>
      <c r="C322" s="149" t="str">
        <f t="shared" si="261"/>
        <v/>
      </c>
      <c r="D322" s="150" t="str">
        <f>IF(Data!F317="","",Data!F317)</f>
        <v/>
      </c>
      <c r="E322" s="151" t="str">
        <f>IF(Data!H317="","",Data!H317)</f>
        <v/>
      </c>
      <c r="F322" s="152" t="str">
        <f>IF(Data!I317="","",Data!I317)</f>
        <v/>
      </c>
      <c r="G322" s="343"/>
      <c r="H322" s="344"/>
      <c r="I322" s="344"/>
      <c r="J322" s="344"/>
      <c r="K322" s="344"/>
      <c r="L322" s="344"/>
      <c r="M322" s="344"/>
      <c r="N322" s="345"/>
      <c r="O322" s="157" t="str">
        <f t="shared" si="250"/>
        <v/>
      </c>
      <c r="P322" s="344"/>
      <c r="Q322" s="346"/>
      <c r="R322" s="157" t="str">
        <f t="shared" si="251"/>
        <v/>
      </c>
      <c r="S322" s="159" t="str">
        <f>IF(R322="","",IF(R322&gt;Data2!$C$12,Data2!$D$11,IF(R322&gt;Data2!$C$13,Data2!$D$12,IF(R322&gt;Data2!$C$14,Data2!$D$13,Data2!$D$14))))</f>
        <v/>
      </c>
      <c r="T322" s="144">
        <f t="shared" si="252"/>
        <v>0</v>
      </c>
      <c r="U322" s="144">
        <f t="shared" si="253"/>
        <v>0</v>
      </c>
      <c r="V322" s="144" t="str">
        <f t="shared" si="234"/>
        <v>Mulai berkembang</v>
      </c>
      <c r="W322" s="144" t="str">
        <f t="shared" si="235"/>
        <v>Mulai berkembang</v>
      </c>
      <c r="X322" s="144" t="e">
        <f t="shared" si="254"/>
        <v>#N/A</v>
      </c>
      <c r="Y322" s="145" t="e">
        <f t="shared" si="255"/>
        <v>#N/A</v>
      </c>
      <c r="Z322" s="218" t="str">
        <f>IF('PA-Non'!O294&lt;&gt;"",'PA-Non'!O294,IFERROR("Mempunyai kemampuan yang " &amp;IF(V322=W322,PROPER(W322)&amp;" dalam kompetensi "&amp;VLOOKUP(X322,$G$532:$I$539,3)&amp;" dan kompetensi "&amp;VLOOKUP(Y322,$G$532:$I$539,3),PROPER(V322)&amp;" dalam kompetensi "&amp;VLOOKUP(X322,$G$532:$I$539,3)&amp;" dan memiliki kemampuan yang "&amp;W322&amp;" pada kompetensi "&amp;VLOOKUP(Y322,$G$532:$I$539,3)),""))</f>
        <v/>
      </c>
      <c r="AA322" s="343"/>
      <c r="AB322" s="344"/>
      <c r="AC322" s="344"/>
      <c r="AD322" s="344"/>
      <c r="AE322" s="344"/>
      <c r="AF322" s="344"/>
      <c r="AG322" s="344"/>
      <c r="AH322" s="345"/>
      <c r="AI322" s="220" t="str">
        <f t="shared" si="256"/>
        <v/>
      </c>
      <c r="AJ322" s="160" t="str">
        <f>IF(AI322="","",IF(AI322&gt;Data2!$C$12,Data2!$D$11,IF(AI322&gt;Data2!$C$13,Data2!$D$12,IF(AI322&gt;Data2!$C$14,Data2!$D$13,Data2!$D$14))))</f>
        <v/>
      </c>
      <c r="AK322" s="146">
        <f t="shared" si="257"/>
        <v>0</v>
      </c>
      <c r="AL322" s="146">
        <f t="shared" si="258"/>
        <v>0</v>
      </c>
      <c r="AM322" s="147" t="str">
        <f t="shared" si="236"/>
        <v>Mulai meningkat</v>
      </c>
      <c r="AN322" s="147" t="str">
        <f t="shared" si="237"/>
        <v>Mulai meningkat</v>
      </c>
      <c r="AO322" s="146" t="e">
        <f t="shared" si="259"/>
        <v>#N/A</v>
      </c>
      <c r="AP322" s="148" t="e">
        <f t="shared" si="260"/>
        <v>#N/A</v>
      </c>
      <c r="AQ322" s="158" t="str">
        <f>IF('PA-Non'!V294&lt;&gt;"",'PA-Non'!V294,IFERROR("Mempunyai keterampilan yang "&amp;IF(AM322=AN322,PROPER(AN322)&amp;" dalam kompetensi "&amp;VLOOKUP(AO322,$AA$532:$AC$539,3)&amp;", demikian juga dalam kompetensi "&amp;VLOOKUP(AP322,$AA$532:$AC$539,3),PROPER(AM322)&amp;" dalam kompetensi "&amp;VLOOKUP(AO322,$AA$532:$AC$539,3)&amp;" dan "&amp;AN322&amp;" pada kompetensi "&amp;VLOOKUP(AP322,$AA$532:$AC$539,3)),""))</f>
        <v/>
      </c>
      <c r="AR322" s="188"/>
    </row>
    <row r="323" spans="2:44" ht="27.9" customHeight="1" thickBot="1" x14ac:dyDescent="0.35">
      <c r="B323" s="384" t="s">
        <v>126</v>
      </c>
      <c r="C323" s="149" t="str">
        <f t="shared" si="261"/>
        <v/>
      </c>
      <c r="D323" s="150" t="str">
        <f>IF(Data!F318="","",Data!F318)</f>
        <v/>
      </c>
      <c r="E323" s="151" t="str">
        <f>IF(Data!H318="","",Data!H318)</f>
        <v/>
      </c>
      <c r="F323" s="152" t="str">
        <f>IF(Data!I318="","",Data!I318)</f>
        <v/>
      </c>
      <c r="G323" s="343"/>
      <c r="H323" s="344"/>
      <c r="I323" s="344"/>
      <c r="J323" s="344"/>
      <c r="K323" s="344"/>
      <c r="L323" s="344"/>
      <c r="M323" s="344"/>
      <c r="N323" s="345"/>
      <c r="O323" s="157" t="str">
        <f t="shared" si="250"/>
        <v/>
      </c>
      <c r="P323" s="344"/>
      <c r="Q323" s="346"/>
      <c r="R323" s="157" t="str">
        <f t="shared" si="251"/>
        <v/>
      </c>
      <c r="S323" s="159" t="str">
        <f>IF(R323="","",IF(R323&gt;Data2!$C$12,Data2!$D$11,IF(R323&gt;Data2!$C$13,Data2!$D$12,IF(R323&gt;Data2!$C$14,Data2!$D$13,Data2!$D$14))))</f>
        <v/>
      </c>
      <c r="T323" s="144">
        <f t="shared" si="252"/>
        <v>0</v>
      </c>
      <c r="U323" s="144">
        <f t="shared" si="253"/>
        <v>0</v>
      </c>
      <c r="V323" s="144" t="str">
        <f t="shared" si="234"/>
        <v>Mulai berkembang</v>
      </c>
      <c r="W323" s="144" t="str">
        <f t="shared" si="235"/>
        <v>Mulai berkembang</v>
      </c>
      <c r="X323" s="144" t="e">
        <f t="shared" si="254"/>
        <v>#N/A</v>
      </c>
      <c r="Y323" s="145" t="e">
        <f t="shared" si="255"/>
        <v>#N/A</v>
      </c>
      <c r="Z323" s="218" t="str">
        <f>IF('PA-Non'!O295&lt;&gt;"",'PA-Non'!O295,IFERROR("Mempunyai kemampuan yang " &amp;IF(V323=W323,PROPER(W323)&amp;" dalam kompetensi "&amp;VLOOKUP(X323,$G$532:$I$539,3)&amp;" dan kompetensi "&amp;VLOOKUP(Y323,$G$532:$I$539,3),PROPER(V323)&amp;" dalam kompetensi "&amp;VLOOKUP(X323,$G$532:$I$539,3)&amp;" dan memiliki kemampuan yang "&amp;W323&amp;" pada kompetensi "&amp;VLOOKUP(Y323,$G$532:$I$539,3)),""))</f>
        <v/>
      </c>
      <c r="AA323" s="343"/>
      <c r="AB323" s="344"/>
      <c r="AC323" s="344"/>
      <c r="AD323" s="344"/>
      <c r="AE323" s="344"/>
      <c r="AF323" s="344"/>
      <c r="AG323" s="344"/>
      <c r="AH323" s="345"/>
      <c r="AI323" s="220" t="str">
        <f t="shared" si="256"/>
        <v/>
      </c>
      <c r="AJ323" s="160" t="str">
        <f>IF(AI323="","",IF(AI323&gt;Data2!$C$12,Data2!$D$11,IF(AI323&gt;Data2!$C$13,Data2!$D$12,IF(AI323&gt;Data2!$C$14,Data2!$D$13,Data2!$D$14))))</f>
        <v/>
      </c>
      <c r="AK323" s="146">
        <f t="shared" si="257"/>
        <v>0</v>
      </c>
      <c r="AL323" s="146">
        <f t="shared" si="258"/>
        <v>0</v>
      </c>
      <c r="AM323" s="147" t="str">
        <f t="shared" si="236"/>
        <v>Mulai meningkat</v>
      </c>
      <c r="AN323" s="147" t="str">
        <f t="shared" si="237"/>
        <v>Mulai meningkat</v>
      </c>
      <c r="AO323" s="146" t="e">
        <f t="shared" si="259"/>
        <v>#N/A</v>
      </c>
      <c r="AP323" s="148" t="e">
        <f t="shared" si="260"/>
        <v>#N/A</v>
      </c>
      <c r="AQ323" s="158" t="str">
        <f>IF('PA-Non'!V295&lt;&gt;"",'PA-Non'!V295,IFERROR("Mempunyai keterampilan yang "&amp;IF(AM323=AN323,PROPER(AN323)&amp;" dalam kompetensi "&amp;VLOOKUP(AO323,$AA$532:$AC$539,3)&amp;", demikian juga dalam kompetensi "&amp;VLOOKUP(AP323,$AA$532:$AC$539,3),PROPER(AM323)&amp;" dalam kompetensi "&amp;VLOOKUP(AO323,$AA$532:$AC$539,3)&amp;" dan "&amp;AN323&amp;" pada kompetensi "&amp;VLOOKUP(AP323,$AA$532:$AC$539,3)),""))</f>
        <v/>
      </c>
      <c r="AR323" s="188"/>
    </row>
    <row r="324" spans="2:44" ht="27.9" customHeight="1" thickBot="1" x14ac:dyDescent="0.35">
      <c r="B324" s="384" t="s">
        <v>126</v>
      </c>
      <c r="C324" s="149" t="str">
        <f t="shared" ref="C324:C329" si="262">IF(E324="","",C323+1)</f>
        <v/>
      </c>
      <c r="D324" s="150" t="str">
        <f>IF(Data!F319="","",Data!F319)</f>
        <v/>
      </c>
      <c r="E324" s="151" t="str">
        <f>IF(Data!H319="","",Data!H319)</f>
        <v/>
      </c>
      <c r="F324" s="152" t="str">
        <f>IF(Data!I319="","",Data!I319)</f>
        <v/>
      </c>
      <c r="G324" s="343"/>
      <c r="H324" s="344"/>
      <c r="I324" s="344"/>
      <c r="J324" s="344"/>
      <c r="K324" s="344"/>
      <c r="L324" s="344"/>
      <c r="M324" s="344"/>
      <c r="N324" s="345"/>
      <c r="O324" s="157" t="str">
        <f t="shared" ref="O324:O329" si="263">IF(COUNT(G324:N324)&lt;3,"",ROUND(SUM(G324:N324)/$O$6,0))</f>
        <v/>
      </c>
      <c r="P324" s="344"/>
      <c r="Q324" s="346"/>
      <c r="R324" s="157" t="str">
        <f t="shared" ref="R324:R329" si="264">IFERROR(IF(OR(P324="",Q324=""),"",ROUND(((O324*$O$8)+(P324*$P$8)+(Q324*$Q$8))/$Q$6,0)),"")</f>
        <v/>
      </c>
      <c r="S324" s="159" t="str">
        <f>IF(R324="","",IF(R324&gt;Data2!$C$12,Data2!$D$11,IF(R324&gt;Data2!$C$13,Data2!$D$12,IF(R324&gt;Data2!$C$14,Data2!$D$13,Data2!$D$14))))</f>
        <v/>
      </c>
      <c r="T324" s="144">
        <f t="shared" ref="T324:T329" si="265">MAX(G324:N324)</f>
        <v>0</v>
      </c>
      <c r="U324" s="144">
        <f t="shared" ref="U324:U329" si="266">MIN(G324:N324)</f>
        <v>0</v>
      </c>
      <c r="V324" s="144" t="str">
        <f t="shared" si="234"/>
        <v>Mulai berkembang</v>
      </c>
      <c r="W324" s="144" t="str">
        <f t="shared" si="235"/>
        <v>Mulai berkembang</v>
      </c>
      <c r="X324" s="144" t="e">
        <f t="shared" ref="X324:X329" si="267">MATCH(T324,G324:N324,0)</f>
        <v>#N/A</v>
      </c>
      <c r="Y324" s="145" t="e">
        <f t="shared" ref="Y324:Y329" si="268">MATCH(U324,G324:N324,0)</f>
        <v>#N/A</v>
      </c>
      <c r="Z324" s="218" t="str">
        <f>IF('PA-Non'!O296&lt;&gt;"",'PA-Non'!O296,IFERROR("Mempunyai kemampuan yang " &amp;IF(V324=W324,PROPER(W324)&amp;" dalam kompetensi "&amp;VLOOKUP(X324,$G$532:$I$539,3)&amp;" dan kompetensi "&amp;VLOOKUP(Y324,$G$532:$I$539,3),PROPER(V324)&amp;" dalam kompetensi "&amp;VLOOKUP(X324,$G$532:$I$539,3)&amp;" dan memiliki kemampuan yang "&amp;W324&amp;" pada kompetensi "&amp;VLOOKUP(Y324,$G$532:$I$539,3)),""))</f>
        <v/>
      </c>
      <c r="AA324" s="343"/>
      <c r="AB324" s="344"/>
      <c r="AC324" s="344"/>
      <c r="AD324" s="344"/>
      <c r="AE324" s="344"/>
      <c r="AF324" s="344"/>
      <c r="AG324" s="344"/>
      <c r="AH324" s="345"/>
      <c r="AI324" s="220" t="str">
        <f t="shared" ref="AI324:AI329" si="269">IF(COUNT(AA324:AH324)&lt;3,"",ROUND(((AA324*$AA$8)+(AB324*$AB$8)+(AC324*$AC$8)+(AD324*$AD$8)+(AE324*$AE$8)+(AF324*$AF$8)+(AG324*$AG$8)+(AH324*$AH$8))/$AI$6,0))</f>
        <v/>
      </c>
      <c r="AJ324" s="160" t="str">
        <f>IF(AI324="","",IF(AI324&gt;Data2!$C$12,Data2!$D$11,IF(AI324&gt;Data2!$C$13,Data2!$D$12,IF(AI324&gt;Data2!$C$14,Data2!$D$13,Data2!$D$14))))</f>
        <v/>
      </c>
      <c r="AK324" s="146">
        <f t="shared" ref="AK324:AK329" si="270">MAX(AA324:AH324)</f>
        <v>0</v>
      </c>
      <c r="AL324" s="146">
        <f t="shared" ref="AL324:AL329" si="271">MIN(AA324:AH324)</f>
        <v>0</v>
      </c>
      <c r="AM324" s="147" t="str">
        <f t="shared" si="236"/>
        <v>Mulai meningkat</v>
      </c>
      <c r="AN324" s="147" t="str">
        <f t="shared" si="237"/>
        <v>Mulai meningkat</v>
      </c>
      <c r="AO324" s="146" t="e">
        <f t="shared" ref="AO324:AO329" si="272">MATCH(AK324,AA324:AH324,0)</f>
        <v>#N/A</v>
      </c>
      <c r="AP324" s="148" t="e">
        <f t="shared" ref="AP324:AP329" si="273">MATCH(AL324,AA324:AH324,0)</f>
        <v>#N/A</v>
      </c>
      <c r="AQ324" s="158" t="str">
        <f>IF('PA-Non'!V296&lt;&gt;"",'PA-Non'!V296,IFERROR("Mempunyai keterampilan yang "&amp;IF(AM324=AN324,PROPER(AN324)&amp;" dalam kompetensi "&amp;VLOOKUP(AO324,$AA$532:$AC$539,3)&amp;", demikian juga dalam kompetensi "&amp;VLOOKUP(AP324,$AA$532:$AC$539,3),PROPER(AM324)&amp;" dalam kompetensi "&amp;VLOOKUP(AO324,$AA$532:$AC$539,3)&amp;" dan "&amp;AN324&amp;" pada kompetensi "&amp;VLOOKUP(AP324,$AA$532:$AC$539,3)),""))</f>
        <v/>
      </c>
      <c r="AR324" s="188"/>
    </row>
    <row r="325" spans="2:44" ht="27.9" customHeight="1" thickBot="1" x14ac:dyDescent="0.35">
      <c r="B325" s="384" t="s">
        <v>126</v>
      </c>
      <c r="C325" s="149" t="str">
        <f t="shared" si="262"/>
        <v/>
      </c>
      <c r="D325" s="150" t="str">
        <f>IF(Data!F320="","",Data!F320)</f>
        <v/>
      </c>
      <c r="E325" s="151" t="str">
        <f>IF(Data!H320="","",Data!H320)</f>
        <v/>
      </c>
      <c r="F325" s="152" t="str">
        <f>IF(Data!I320="","",Data!I320)</f>
        <v/>
      </c>
      <c r="G325" s="343"/>
      <c r="H325" s="344"/>
      <c r="I325" s="344"/>
      <c r="J325" s="344"/>
      <c r="K325" s="344"/>
      <c r="L325" s="344"/>
      <c r="M325" s="344"/>
      <c r="N325" s="345"/>
      <c r="O325" s="157" t="str">
        <f t="shared" si="263"/>
        <v/>
      </c>
      <c r="P325" s="344"/>
      <c r="Q325" s="346"/>
      <c r="R325" s="157" t="str">
        <f t="shared" si="264"/>
        <v/>
      </c>
      <c r="S325" s="159" t="str">
        <f>IF(R325="","",IF(R325&gt;Data2!$C$12,Data2!$D$11,IF(R325&gt;Data2!$C$13,Data2!$D$12,IF(R325&gt;Data2!$C$14,Data2!$D$13,Data2!$D$14))))</f>
        <v/>
      </c>
      <c r="T325" s="144">
        <f t="shared" si="265"/>
        <v>0</v>
      </c>
      <c r="U325" s="144">
        <f t="shared" si="266"/>
        <v>0</v>
      </c>
      <c r="V325" s="144" t="str">
        <f t="shared" si="234"/>
        <v>Mulai berkembang</v>
      </c>
      <c r="W325" s="144" t="str">
        <f t="shared" si="235"/>
        <v>Mulai berkembang</v>
      </c>
      <c r="X325" s="144" t="e">
        <f t="shared" si="267"/>
        <v>#N/A</v>
      </c>
      <c r="Y325" s="145" t="e">
        <f t="shared" si="268"/>
        <v>#N/A</v>
      </c>
      <c r="Z325" s="218" t="str">
        <f>IF('PA-Non'!O297&lt;&gt;"",'PA-Non'!O297,IFERROR("Mempunyai kemampuan yang " &amp;IF(V325=W325,PROPER(W325)&amp;" dalam kompetensi "&amp;VLOOKUP(X325,$G$532:$I$539,3)&amp;" dan kompetensi "&amp;VLOOKUP(Y325,$G$532:$I$539,3),PROPER(V325)&amp;" dalam kompetensi "&amp;VLOOKUP(X325,$G$532:$I$539,3)&amp;" dan memiliki kemampuan yang "&amp;W325&amp;" pada kompetensi "&amp;VLOOKUP(Y325,$G$532:$I$539,3)),""))</f>
        <v/>
      </c>
      <c r="AA325" s="343"/>
      <c r="AB325" s="344"/>
      <c r="AC325" s="344"/>
      <c r="AD325" s="344"/>
      <c r="AE325" s="344"/>
      <c r="AF325" s="344"/>
      <c r="AG325" s="344"/>
      <c r="AH325" s="345"/>
      <c r="AI325" s="220" t="str">
        <f t="shared" si="269"/>
        <v/>
      </c>
      <c r="AJ325" s="160" t="str">
        <f>IF(AI325="","",IF(AI325&gt;Data2!$C$12,Data2!$D$11,IF(AI325&gt;Data2!$C$13,Data2!$D$12,IF(AI325&gt;Data2!$C$14,Data2!$D$13,Data2!$D$14))))</f>
        <v/>
      </c>
      <c r="AK325" s="146">
        <f t="shared" si="270"/>
        <v>0</v>
      </c>
      <c r="AL325" s="146">
        <f t="shared" si="271"/>
        <v>0</v>
      </c>
      <c r="AM325" s="147" t="str">
        <f t="shared" si="236"/>
        <v>Mulai meningkat</v>
      </c>
      <c r="AN325" s="147" t="str">
        <f t="shared" si="237"/>
        <v>Mulai meningkat</v>
      </c>
      <c r="AO325" s="146" t="e">
        <f t="shared" si="272"/>
        <v>#N/A</v>
      </c>
      <c r="AP325" s="148" t="e">
        <f t="shared" si="273"/>
        <v>#N/A</v>
      </c>
      <c r="AQ325" s="158" t="str">
        <f>IF('PA-Non'!V297&lt;&gt;"",'PA-Non'!V297,IFERROR("Mempunyai keterampilan yang "&amp;IF(AM325=AN325,PROPER(AN325)&amp;" dalam kompetensi "&amp;VLOOKUP(AO325,$AA$532:$AC$539,3)&amp;", demikian juga dalam kompetensi "&amp;VLOOKUP(AP325,$AA$532:$AC$539,3),PROPER(AM325)&amp;" dalam kompetensi "&amp;VLOOKUP(AO325,$AA$532:$AC$539,3)&amp;" dan "&amp;AN325&amp;" pada kompetensi "&amp;VLOOKUP(AP325,$AA$532:$AC$539,3)),""))</f>
        <v/>
      </c>
      <c r="AR325" s="188"/>
    </row>
    <row r="326" spans="2:44" ht="27.9" customHeight="1" thickBot="1" x14ac:dyDescent="0.35">
      <c r="B326" s="384" t="s">
        <v>126</v>
      </c>
      <c r="C326" s="149" t="str">
        <f t="shared" si="262"/>
        <v/>
      </c>
      <c r="D326" s="150" t="str">
        <f>IF(Data!F321="","",Data!F321)</f>
        <v/>
      </c>
      <c r="E326" s="151" t="str">
        <f>IF(Data!H321="","",Data!H321)</f>
        <v/>
      </c>
      <c r="F326" s="152" t="str">
        <f>IF(Data!I321="","",Data!I321)</f>
        <v/>
      </c>
      <c r="G326" s="343"/>
      <c r="H326" s="344"/>
      <c r="I326" s="344"/>
      <c r="J326" s="344"/>
      <c r="K326" s="344"/>
      <c r="L326" s="344"/>
      <c r="M326" s="344"/>
      <c r="N326" s="345"/>
      <c r="O326" s="157" t="str">
        <f t="shared" si="263"/>
        <v/>
      </c>
      <c r="P326" s="344"/>
      <c r="Q326" s="346"/>
      <c r="R326" s="157" t="str">
        <f t="shared" si="264"/>
        <v/>
      </c>
      <c r="S326" s="159" t="str">
        <f>IF(R326="","",IF(R326&gt;Data2!$C$12,Data2!$D$11,IF(R326&gt;Data2!$C$13,Data2!$D$12,IF(R326&gt;Data2!$C$14,Data2!$D$13,Data2!$D$14))))</f>
        <v/>
      </c>
      <c r="T326" s="144">
        <f t="shared" si="265"/>
        <v>0</v>
      </c>
      <c r="U326" s="144">
        <f t="shared" si="266"/>
        <v>0</v>
      </c>
      <c r="V326" s="144" t="str">
        <f t="shared" si="234"/>
        <v>Mulai berkembang</v>
      </c>
      <c r="W326" s="144" t="str">
        <f t="shared" si="235"/>
        <v>Mulai berkembang</v>
      </c>
      <c r="X326" s="144" t="e">
        <f t="shared" si="267"/>
        <v>#N/A</v>
      </c>
      <c r="Y326" s="145" t="e">
        <f t="shared" si="268"/>
        <v>#N/A</v>
      </c>
      <c r="Z326" s="218" t="str">
        <f>IF('PA-Non'!O298&lt;&gt;"",'PA-Non'!O298,IFERROR("Mempunyai kemampuan yang " &amp;IF(V326=W326,PROPER(W326)&amp;" dalam kompetensi "&amp;VLOOKUP(X326,$G$532:$I$539,3)&amp;" dan kompetensi "&amp;VLOOKUP(Y326,$G$532:$I$539,3),PROPER(V326)&amp;" dalam kompetensi "&amp;VLOOKUP(X326,$G$532:$I$539,3)&amp;" dan memiliki kemampuan yang "&amp;W326&amp;" pada kompetensi "&amp;VLOOKUP(Y326,$G$532:$I$539,3)),""))</f>
        <v/>
      </c>
      <c r="AA326" s="343"/>
      <c r="AB326" s="344"/>
      <c r="AC326" s="344"/>
      <c r="AD326" s="344"/>
      <c r="AE326" s="344"/>
      <c r="AF326" s="344"/>
      <c r="AG326" s="344"/>
      <c r="AH326" s="345"/>
      <c r="AI326" s="220" t="str">
        <f t="shared" si="269"/>
        <v/>
      </c>
      <c r="AJ326" s="160" t="str">
        <f>IF(AI326="","",IF(AI326&gt;Data2!$C$12,Data2!$D$11,IF(AI326&gt;Data2!$C$13,Data2!$D$12,IF(AI326&gt;Data2!$C$14,Data2!$D$13,Data2!$D$14))))</f>
        <v/>
      </c>
      <c r="AK326" s="146">
        <f t="shared" si="270"/>
        <v>0</v>
      </c>
      <c r="AL326" s="146">
        <f t="shared" si="271"/>
        <v>0</v>
      </c>
      <c r="AM326" s="147" t="str">
        <f t="shared" si="236"/>
        <v>Mulai meningkat</v>
      </c>
      <c r="AN326" s="147" t="str">
        <f t="shared" si="237"/>
        <v>Mulai meningkat</v>
      </c>
      <c r="AO326" s="146" t="e">
        <f t="shared" si="272"/>
        <v>#N/A</v>
      </c>
      <c r="AP326" s="148" t="e">
        <f t="shared" si="273"/>
        <v>#N/A</v>
      </c>
      <c r="AQ326" s="158" t="str">
        <f>IF('PA-Non'!V298&lt;&gt;"",'PA-Non'!V298,IFERROR("Mempunyai keterampilan yang "&amp;IF(AM326=AN326,PROPER(AN326)&amp;" dalam kompetensi "&amp;VLOOKUP(AO326,$AA$532:$AC$539,3)&amp;", demikian juga dalam kompetensi "&amp;VLOOKUP(AP326,$AA$532:$AC$539,3),PROPER(AM326)&amp;" dalam kompetensi "&amp;VLOOKUP(AO326,$AA$532:$AC$539,3)&amp;" dan "&amp;AN326&amp;" pada kompetensi "&amp;VLOOKUP(AP326,$AA$532:$AC$539,3)),""))</f>
        <v/>
      </c>
      <c r="AR326" s="188"/>
    </row>
    <row r="327" spans="2:44" ht="27.9" customHeight="1" thickBot="1" x14ac:dyDescent="0.35">
      <c r="B327" s="384" t="s">
        <v>126</v>
      </c>
      <c r="C327" s="149" t="str">
        <f t="shared" si="262"/>
        <v/>
      </c>
      <c r="D327" s="150" t="str">
        <f>IF(Data!F322="","",Data!F322)</f>
        <v/>
      </c>
      <c r="E327" s="151" t="str">
        <f>IF(Data!H322="","",Data!H322)</f>
        <v/>
      </c>
      <c r="F327" s="152" t="str">
        <f>IF(Data!I322="","",Data!I322)</f>
        <v/>
      </c>
      <c r="G327" s="343"/>
      <c r="H327" s="344"/>
      <c r="I327" s="344"/>
      <c r="J327" s="344"/>
      <c r="K327" s="344"/>
      <c r="L327" s="344"/>
      <c r="M327" s="344"/>
      <c r="N327" s="345"/>
      <c r="O327" s="157" t="str">
        <f t="shared" si="263"/>
        <v/>
      </c>
      <c r="P327" s="344"/>
      <c r="Q327" s="346"/>
      <c r="R327" s="157" t="str">
        <f t="shared" si="264"/>
        <v/>
      </c>
      <c r="S327" s="159" t="str">
        <f>IF(R327="","",IF(R327&gt;Data2!$C$12,Data2!$D$11,IF(R327&gt;Data2!$C$13,Data2!$D$12,IF(R327&gt;Data2!$C$14,Data2!$D$13,Data2!$D$14))))</f>
        <v/>
      </c>
      <c r="T327" s="144">
        <f t="shared" si="265"/>
        <v>0</v>
      </c>
      <c r="U327" s="144">
        <f t="shared" si="266"/>
        <v>0</v>
      </c>
      <c r="V327" s="144" t="str">
        <f t="shared" si="234"/>
        <v>Mulai berkembang</v>
      </c>
      <c r="W327" s="144" t="str">
        <f t="shared" si="235"/>
        <v>Mulai berkembang</v>
      </c>
      <c r="X327" s="144" t="e">
        <f t="shared" si="267"/>
        <v>#N/A</v>
      </c>
      <c r="Y327" s="145" t="e">
        <f t="shared" si="268"/>
        <v>#N/A</v>
      </c>
      <c r="Z327" s="218" t="str">
        <f>IF('PA-Non'!O299&lt;&gt;"",'PA-Non'!O299,IFERROR("Mempunyai kemampuan yang " &amp;IF(V327=W327,PROPER(W327)&amp;" dalam kompetensi "&amp;VLOOKUP(X327,$G$532:$I$539,3)&amp;" dan kompetensi "&amp;VLOOKUP(Y327,$G$532:$I$539,3),PROPER(V327)&amp;" dalam kompetensi "&amp;VLOOKUP(X327,$G$532:$I$539,3)&amp;" dan memiliki kemampuan yang "&amp;W327&amp;" pada kompetensi "&amp;VLOOKUP(Y327,$G$532:$I$539,3)),""))</f>
        <v/>
      </c>
      <c r="AA327" s="343"/>
      <c r="AB327" s="344"/>
      <c r="AC327" s="344"/>
      <c r="AD327" s="344"/>
      <c r="AE327" s="344"/>
      <c r="AF327" s="344"/>
      <c r="AG327" s="344"/>
      <c r="AH327" s="345"/>
      <c r="AI327" s="220" t="str">
        <f t="shared" si="269"/>
        <v/>
      </c>
      <c r="AJ327" s="160" t="str">
        <f>IF(AI327="","",IF(AI327&gt;Data2!$C$12,Data2!$D$11,IF(AI327&gt;Data2!$C$13,Data2!$D$12,IF(AI327&gt;Data2!$C$14,Data2!$D$13,Data2!$D$14))))</f>
        <v/>
      </c>
      <c r="AK327" s="146">
        <f t="shared" si="270"/>
        <v>0</v>
      </c>
      <c r="AL327" s="146">
        <f t="shared" si="271"/>
        <v>0</v>
      </c>
      <c r="AM327" s="147" t="str">
        <f t="shared" si="236"/>
        <v>Mulai meningkat</v>
      </c>
      <c r="AN327" s="147" t="str">
        <f t="shared" si="237"/>
        <v>Mulai meningkat</v>
      </c>
      <c r="AO327" s="146" t="e">
        <f t="shared" si="272"/>
        <v>#N/A</v>
      </c>
      <c r="AP327" s="148" t="e">
        <f t="shared" si="273"/>
        <v>#N/A</v>
      </c>
      <c r="AQ327" s="158" t="str">
        <f>IF('PA-Non'!V299&lt;&gt;"",'PA-Non'!V299,IFERROR("Mempunyai keterampilan yang "&amp;IF(AM327=AN327,PROPER(AN327)&amp;" dalam kompetensi "&amp;VLOOKUP(AO327,$AA$532:$AC$539,3)&amp;", demikian juga dalam kompetensi "&amp;VLOOKUP(AP327,$AA$532:$AC$539,3),PROPER(AM327)&amp;" dalam kompetensi "&amp;VLOOKUP(AO327,$AA$532:$AC$539,3)&amp;" dan "&amp;AN327&amp;" pada kompetensi "&amp;VLOOKUP(AP327,$AA$532:$AC$539,3)),""))</f>
        <v/>
      </c>
      <c r="AR327" s="188"/>
    </row>
    <row r="328" spans="2:44" ht="27.9" customHeight="1" x14ac:dyDescent="0.3">
      <c r="B328" s="410" t="s">
        <v>126</v>
      </c>
      <c r="C328" s="387" t="str">
        <f t="shared" si="262"/>
        <v/>
      </c>
      <c r="D328" s="51" t="str">
        <f>IF(Data!F323="","",Data!F323)</f>
        <v/>
      </c>
      <c r="E328" s="91" t="str">
        <f>IF(Data!H323="","",Data!H323)</f>
        <v/>
      </c>
      <c r="F328" s="52" t="str">
        <f>IF(Data!I323="","",Data!I323)</f>
        <v/>
      </c>
      <c r="G328" s="411"/>
      <c r="H328" s="412"/>
      <c r="I328" s="412"/>
      <c r="J328" s="412"/>
      <c r="K328" s="412"/>
      <c r="L328" s="412"/>
      <c r="M328" s="412"/>
      <c r="N328" s="413"/>
      <c r="O328" s="391" t="str">
        <f t="shared" si="263"/>
        <v/>
      </c>
      <c r="P328" s="412"/>
      <c r="Q328" s="414"/>
      <c r="R328" s="391" t="str">
        <f t="shared" si="264"/>
        <v/>
      </c>
      <c r="S328" s="393" t="str">
        <f>IF(R328="","",IF(R328&gt;Data2!$C$12,Data2!$D$11,IF(R328&gt;Data2!$C$13,Data2!$D$12,IF(R328&gt;Data2!$C$14,Data2!$D$13,Data2!$D$14))))</f>
        <v/>
      </c>
      <c r="T328" s="394">
        <f t="shared" si="265"/>
        <v>0</v>
      </c>
      <c r="U328" s="394">
        <f t="shared" si="266"/>
        <v>0</v>
      </c>
      <c r="V328" s="394" t="str">
        <f t="shared" si="234"/>
        <v>Mulai berkembang</v>
      </c>
      <c r="W328" s="394" t="str">
        <f t="shared" si="235"/>
        <v>Mulai berkembang</v>
      </c>
      <c r="X328" s="394" t="e">
        <f t="shared" si="267"/>
        <v>#N/A</v>
      </c>
      <c r="Y328" s="395" t="e">
        <f t="shared" si="268"/>
        <v>#N/A</v>
      </c>
      <c r="Z328" s="396" t="str">
        <f>IF('PA-Non'!O300&lt;&gt;"",'PA-Non'!O300,IFERROR("Mempunyai kemampuan yang " &amp;IF(V328=W328,PROPER(W328)&amp;" dalam kompetensi "&amp;VLOOKUP(X328,$G$532:$I$539,3)&amp;" dan kompetensi "&amp;VLOOKUP(Y328,$G$532:$I$539,3),PROPER(V328)&amp;" dalam kompetensi "&amp;VLOOKUP(X328,$G$532:$I$539,3)&amp;" dan memiliki kemampuan yang "&amp;W328&amp;" pada kompetensi "&amp;VLOOKUP(Y328,$G$532:$I$539,3)),""))</f>
        <v/>
      </c>
      <c r="AA328" s="411"/>
      <c r="AB328" s="412"/>
      <c r="AC328" s="412"/>
      <c r="AD328" s="412"/>
      <c r="AE328" s="412"/>
      <c r="AF328" s="412"/>
      <c r="AG328" s="412"/>
      <c r="AH328" s="413"/>
      <c r="AI328" s="397" t="str">
        <f t="shared" si="269"/>
        <v/>
      </c>
      <c r="AJ328" s="398" t="str">
        <f>IF(AI328="","",IF(AI328&gt;Data2!$C$12,Data2!$D$11,IF(AI328&gt;Data2!$C$13,Data2!$D$12,IF(AI328&gt;Data2!$C$14,Data2!$D$13,Data2!$D$14))))</f>
        <v/>
      </c>
      <c r="AK328" s="399">
        <f t="shared" si="270"/>
        <v>0</v>
      </c>
      <c r="AL328" s="399">
        <f t="shared" si="271"/>
        <v>0</v>
      </c>
      <c r="AM328" s="400" t="str">
        <f t="shared" si="236"/>
        <v>Mulai meningkat</v>
      </c>
      <c r="AN328" s="400" t="str">
        <f t="shared" si="237"/>
        <v>Mulai meningkat</v>
      </c>
      <c r="AO328" s="399" t="e">
        <f t="shared" si="272"/>
        <v>#N/A</v>
      </c>
      <c r="AP328" s="401" t="e">
        <f t="shared" si="273"/>
        <v>#N/A</v>
      </c>
      <c r="AQ328" s="402" t="str">
        <f>IF('PA-Non'!V300&lt;&gt;"",'PA-Non'!V300,IFERROR("Mempunyai keterampilan yang "&amp;IF(AM328=AN328,PROPER(AN328)&amp;" dalam kompetensi "&amp;VLOOKUP(AO328,$AA$532:$AC$539,3)&amp;", demikian juga dalam kompetensi "&amp;VLOOKUP(AP328,$AA$532:$AC$539,3),PROPER(AM328)&amp;" dalam kompetensi "&amp;VLOOKUP(AO328,$AA$532:$AC$539,3)&amp;" dan "&amp;AN328&amp;" pada kompetensi "&amp;VLOOKUP(AP328,$AA$532:$AC$539,3)),""))</f>
        <v/>
      </c>
      <c r="AR328" s="188"/>
    </row>
    <row r="329" spans="2:44" ht="27.9" customHeight="1" thickBot="1" x14ac:dyDescent="0.35">
      <c r="B329" s="385" t="s">
        <v>126</v>
      </c>
      <c r="C329" s="366" t="str">
        <f t="shared" si="262"/>
        <v/>
      </c>
      <c r="D329" s="367" t="str">
        <f>IF(Data!F324="","",Data!F324)</f>
        <v/>
      </c>
      <c r="E329" s="368" t="str">
        <f>IF(Data!H324="","",Data!H324)</f>
        <v/>
      </c>
      <c r="F329" s="369" t="str">
        <f>IF(Data!I324="","",Data!I324)</f>
        <v/>
      </c>
      <c r="G329" s="379"/>
      <c r="H329" s="380"/>
      <c r="I329" s="380"/>
      <c r="J329" s="380"/>
      <c r="K329" s="380"/>
      <c r="L329" s="380"/>
      <c r="M329" s="380"/>
      <c r="N329" s="381"/>
      <c r="O329" s="373" t="str">
        <f t="shared" si="263"/>
        <v/>
      </c>
      <c r="P329" s="380"/>
      <c r="Q329" s="382"/>
      <c r="R329" s="373" t="str">
        <f t="shared" si="264"/>
        <v/>
      </c>
      <c r="S329" s="375" t="str">
        <f>IF(R329="","",IF(R329&gt;Data2!$C$12,Data2!$D$11,IF(R329&gt;Data2!$C$13,Data2!$D$12,IF(R329&gt;Data2!$C$14,Data2!$D$13,Data2!$D$14))))</f>
        <v/>
      </c>
      <c r="T329" s="404">
        <f t="shared" si="265"/>
        <v>0</v>
      </c>
      <c r="U329" s="404">
        <f t="shared" si="266"/>
        <v>0</v>
      </c>
      <c r="V329" s="404" t="str">
        <f t="shared" si="234"/>
        <v>Mulai berkembang</v>
      </c>
      <c r="W329" s="404" t="str">
        <f t="shared" si="235"/>
        <v>Mulai berkembang</v>
      </c>
      <c r="X329" s="404" t="e">
        <f t="shared" si="267"/>
        <v>#N/A</v>
      </c>
      <c r="Y329" s="405" t="e">
        <f t="shared" si="268"/>
        <v>#N/A</v>
      </c>
      <c r="Z329" s="376" t="str">
        <f>IF('PA-Non'!O301&lt;&gt;"",'PA-Non'!O301,IFERROR("Mempunyai kemampuan yang " &amp;IF(V329=W329,PROPER(W329)&amp;" dalam kompetensi "&amp;VLOOKUP(X329,$G$532:$I$539,3)&amp;" dan kompetensi "&amp;VLOOKUP(Y329,$G$532:$I$539,3),PROPER(V329)&amp;" dalam kompetensi "&amp;VLOOKUP(X329,$G$532:$I$539,3)&amp;" dan memiliki kemampuan yang "&amp;W329&amp;" pada kompetensi "&amp;VLOOKUP(Y329,$G$532:$I$539,3)),""))</f>
        <v/>
      </c>
      <c r="AA329" s="379"/>
      <c r="AB329" s="380"/>
      <c r="AC329" s="380"/>
      <c r="AD329" s="380"/>
      <c r="AE329" s="380"/>
      <c r="AF329" s="380"/>
      <c r="AG329" s="380"/>
      <c r="AH329" s="381"/>
      <c r="AI329" s="377" t="str">
        <f t="shared" si="269"/>
        <v/>
      </c>
      <c r="AJ329" s="378" t="str">
        <f>IF(AI329="","",IF(AI329&gt;Data2!$C$12,Data2!$D$11,IF(AI329&gt;Data2!$C$13,Data2!$D$12,IF(AI329&gt;Data2!$C$14,Data2!$D$13,Data2!$D$14))))</f>
        <v/>
      </c>
      <c r="AK329" s="406">
        <f t="shared" si="270"/>
        <v>0</v>
      </c>
      <c r="AL329" s="406">
        <f t="shared" si="271"/>
        <v>0</v>
      </c>
      <c r="AM329" s="407" t="str">
        <f t="shared" si="236"/>
        <v>Mulai meningkat</v>
      </c>
      <c r="AN329" s="407" t="str">
        <f t="shared" si="237"/>
        <v>Mulai meningkat</v>
      </c>
      <c r="AO329" s="406" t="e">
        <f t="shared" si="272"/>
        <v>#N/A</v>
      </c>
      <c r="AP329" s="408" t="e">
        <f t="shared" si="273"/>
        <v>#N/A</v>
      </c>
      <c r="AQ329" s="409" t="str">
        <f>IF('PA-Non'!V301&lt;&gt;"",'PA-Non'!V301,IFERROR("Mempunyai keterampilan yang "&amp;IF(AM329=AN329,PROPER(AN329)&amp;" dalam kompetensi "&amp;VLOOKUP(AO329,$AA$532:$AC$539,3)&amp;", demikian juga dalam kompetensi "&amp;VLOOKUP(AP329,$AA$532:$AC$539,3),PROPER(AM329)&amp;" dalam kompetensi "&amp;VLOOKUP(AO329,$AA$532:$AC$539,3)&amp;" dan "&amp;AN329&amp;" pada kompetensi "&amp;VLOOKUP(AP329,$AA$532:$AC$539,3)),""))</f>
        <v/>
      </c>
      <c r="AR329" s="188"/>
    </row>
    <row r="330" spans="2:44" ht="27.75" customHeight="1" thickBot="1" x14ac:dyDescent="0.35">
      <c r="B330" s="226" t="s">
        <v>127</v>
      </c>
      <c r="C330" s="137">
        <v>1</v>
      </c>
      <c r="D330" s="138" t="str">
        <f>IF(Data!F325="","",Data!F325)</f>
        <v/>
      </c>
      <c r="E330" s="139" t="str">
        <f>IF(Data!H325="","",Data!H325)</f>
        <v/>
      </c>
      <c r="F330" s="140" t="str">
        <f>IF(Data!I325="","",Data!I325)</f>
        <v/>
      </c>
      <c r="G330" s="153"/>
      <c r="H330" s="154"/>
      <c r="I330" s="154"/>
      <c r="J330" s="154"/>
      <c r="K330" s="154"/>
      <c r="L330" s="154"/>
      <c r="M330" s="154"/>
      <c r="N330" s="155"/>
      <c r="O330" s="143" t="str">
        <f t="shared" si="238"/>
        <v/>
      </c>
      <c r="P330" s="141"/>
      <c r="Q330" s="142"/>
      <c r="R330" s="143" t="str">
        <f t="shared" si="248"/>
        <v/>
      </c>
      <c r="S330" s="159" t="str">
        <f>IF(R330="","",IF(R330&gt;Data2!$C$12,Data2!$D$11,IF(R330&gt;Data2!$C$13,Data2!$D$12,IF(R330&gt;Data2!$C$14,Data2!$D$13,Data2!$D$14))))</f>
        <v/>
      </c>
      <c r="T330" s="144">
        <f t="shared" si="239"/>
        <v>0</v>
      </c>
      <c r="U330" s="144">
        <f t="shared" si="240"/>
        <v>0</v>
      </c>
      <c r="V330" s="144" t="str">
        <f t="shared" ref="V330:V370" si="274">IF(T330&gt;$I$560,$J$559,IF(T330&gt;$I$561,$J$560,IF(T330&gt;$I$562,$J$561,$J$562)))</f>
        <v>Mulai berkembang</v>
      </c>
      <c r="W330" s="144" t="str">
        <f t="shared" ref="W330:W370" si="275">IF(U330&gt;$I$560,$J$559,IF(U330&gt;$I$561,$J$560,IF(U330&gt;$I$562,$J$561,$J$562)))</f>
        <v>Mulai berkembang</v>
      </c>
      <c r="X330" s="144" t="e">
        <f t="shared" si="241"/>
        <v>#N/A</v>
      </c>
      <c r="Y330" s="145" t="e">
        <f t="shared" si="242"/>
        <v>#N/A</v>
      </c>
      <c r="Z330" s="218" t="str">
        <f>IF('PA-Non'!O298&lt;&gt;"",'PA-Non'!O298,IFERROR("Mempunyai kemampuan yang " &amp;IF(V330=W330,PROPER(W330)&amp;" dalam kompetensi "&amp;VLOOKUP(X330,$G$532:$I$539,3)&amp;" dan kompetensi "&amp;VLOOKUP(Y330,$G$532:$I$539,3),PROPER(V330)&amp;" dalam kompetensi "&amp;VLOOKUP(X330,$G$532:$I$539,3)&amp;" dan memiliki kemampuan yang "&amp;W330&amp;" pada kompetensi "&amp;VLOOKUP(Y330,$G$532:$I$539,3)),""))</f>
        <v/>
      </c>
      <c r="AA330" s="153"/>
      <c r="AB330" s="154"/>
      <c r="AC330" s="154"/>
      <c r="AD330" s="154"/>
      <c r="AE330" s="154"/>
      <c r="AF330" s="154"/>
      <c r="AG330" s="154"/>
      <c r="AH330" s="155"/>
      <c r="AI330" s="219" t="str">
        <f t="shared" si="243"/>
        <v/>
      </c>
      <c r="AJ330" s="160" t="str">
        <f>IF(AI330="","",IF(AI330&gt;Data2!$C$12,Data2!$D$11,IF(AI330&gt;Data2!$C$13,Data2!$D$12,IF(AI330&gt;Data2!$C$14,Data2!$D$13,Data2!$D$14))))</f>
        <v/>
      </c>
      <c r="AK330" s="146">
        <f t="shared" si="244"/>
        <v>0</v>
      </c>
      <c r="AL330" s="146">
        <f t="shared" si="245"/>
        <v>0</v>
      </c>
      <c r="AM330" s="147" t="str">
        <f t="shared" ref="AM330:AM370" si="276">IF(AK330&gt;$I$560,$AD$559,IF(AK330&gt;$I$561,$AD$560,IF(AK330&gt;$I$562,$AD$561,$AD$562)))</f>
        <v>Mulai meningkat</v>
      </c>
      <c r="AN330" s="147" t="str">
        <f t="shared" ref="AN330:AN370" si="277">IF(AL330&gt;$I$560,$AD$559,IF(AL330&gt;$I$561,$AD$560,IF(AL330&gt;$I$562,$AD$561,$AD$562)))</f>
        <v>Mulai meningkat</v>
      </c>
      <c r="AO330" s="146" t="e">
        <f t="shared" si="246"/>
        <v>#N/A</v>
      </c>
      <c r="AP330" s="148" t="e">
        <f t="shared" si="247"/>
        <v>#N/A</v>
      </c>
      <c r="AQ330" s="158" t="str">
        <f>IF('PA-Non'!V298&lt;&gt;"",'PA-Non'!V298,IFERROR("Mempunyai keterampilan yang "&amp;IF(AM330=AN330,PROPER(AN330)&amp;" dalam kompetensi "&amp;VLOOKUP(AO330,$AA$532:$AC$539,3)&amp;", demikian juga dalam kompetensi "&amp;VLOOKUP(AP330,$AA$532:$AC$539,3),PROPER(AM330)&amp;" dalam kompetensi "&amp;VLOOKUP(AO330,$AA$532:$AC$539,3)&amp;" dan "&amp;AN330&amp;" pada kompetensi "&amp;VLOOKUP(AP330,$AA$532:$AC$539,3)),""))</f>
        <v/>
      </c>
      <c r="AR330" s="188"/>
    </row>
    <row r="331" spans="2:44" ht="27.75" customHeight="1" thickBot="1" x14ac:dyDescent="0.35">
      <c r="B331" s="226" t="s">
        <v>127</v>
      </c>
      <c r="C331" s="149" t="str">
        <f t="shared" ref="C331" si="278">IF(E331="","",C330+1)</f>
        <v/>
      </c>
      <c r="D331" s="150" t="str">
        <f>IF(Data!F326="","",Data!F326)</f>
        <v/>
      </c>
      <c r="E331" s="151" t="str">
        <f>IF(Data!H326="","",Data!H326)</f>
        <v/>
      </c>
      <c r="F331" s="152" t="str">
        <f>IF(Data!I326="","",Data!I326)</f>
        <v/>
      </c>
      <c r="G331" s="153"/>
      <c r="H331" s="154"/>
      <c r="I331" s="154"/>
      <c r="J331" s="154"/>
      <c r="K331" s="154"/>
      <c r="L331" s="154"/>
      <c r="M331" s="154"/>
      <c r="N331" s="155"/>
      <c r="O331" s="157" t="str">
        <f t="shared" si="238"/>
        <v/>
      </c>
      <c r="P331" s="154"/>
      <c r="Q331" s="156"/>
      <c r="R331" s="157" t="str">
        <f t="shared" si="248"/>
        <v/>
      </c>
      <c r="S331" s="159" t="str">
        <f>IF(R331="","",IF(R331&gt;Data2!$C$12,Data2!$D$11,IF(R331&gt;Data2!$C$13,Data2!$D$12,IF(R331&gt;Data2!$C$14,Data2!$D$13,Data2!$D$14))))</f>
        <v/>
      </c>
      <c r="T331" s="144">
        <f t="shared" si="239"/>
        <v>0</v>
      </c>
      <c r="U331" s="144">
        <f t="shared" si="240"/>
        <v>0</v>
      </c>
      <c r="V331" s="144" t="str">
        <f t="shared" si="274"/>
        <v>Mulai berkembang</v>
      </c>
      <c r="W331" s="144" t="str">
        <f t="shared" si="275"/>
        <v>Mulai berkembang</v>
      </c>
      <c r="X331" s="144" t="e">
        <f t="shared" si="241"/>
        <v>#N/A</v>
      </c>
      <c r="Y331" s="145" t="e">
        <f t="shared" si="242"/>
        <v>#N/A</v>
      </c>
      <c r="Z331" s="218" t="str">
        <f>IF('PA-Non'!O299&lt;&gt;"",'PA-Non'!O299,IFERROR("Mempunyai kemampuan yang " &amp;IF(V331=W331,PROPER(W331)&amp;" dalam kompetensi "&amp;VLOOKUP(X331,$G$532:$I$539,3)&amp;" dan kompetensi "&amp;VLOOKUP(Y331,$G$532:$I$539,3),PROPER(V331)&amp;" dalam kompetensi "&amp;VLOOKUP(X331,$G$532:$I$539,3)&amp;" dan memiliki kemampuan yang "&amp;W331&amp;" pada kompetensi "&amp;VLOOKUP(Y331,$G$532:$I$539,3)),""))</f>
        <v/>
      </c>
      <c r="AA331" s="153"/>
      <c r="AB331" s="154"/>
      <c r="AC331" s="154"/>
      <c r="AD331" s="154"/>
      <c r="AE331" s="154"/>
      <c r="AF331" s="154"/>
      <c r="AG331" s="154"/>
      <c r="AH331" s="155"/>
      <c r="AI331" s="220" t="str">
        <f t="shared" si="243"/>
        <v/>
      </c>
      <c r="AJ331" s="160" t="str">
        <f>IF(AI331="","",IF(AI331&gt;Data2!$C$12,Data2!$D$11,IF(AI331&gt;Data2!$C$13,Data2!$D$12,IF(AI331&gt;Data2!$C$14,Data2!$D$13,Data2!$D$14))))</f>
        <v/>
      </c>
      <c r="AK331" s="146">
        <f t="shared" si="244"/>
        <v>0</v>
      </c>
      <c r="AL331" s="146">
        <f t="shared" si="245"/>
        <v>0</v>
      </c>
      <c r="AM331" s="147" t="str">
        <f t="shared" si="276"/>
        <v>Mulai meningkat</v>
      </c>
      <c r="AN331" s="147" t="str">
        <f t="shared" si="277"/>
        <v>Mulai meningkat</v>
      </c>
      <c r="AO331" s="146" t="e">
        <f t="shared" si="246"/>
        <v>#N/A</v>
      </c>
      <c r="AP331" s="148" t="e">
        <f t="shared" si="247"/>
        <v>#N/A</v>
      </c>
      <c r="AQ331" s="158" t="str">
        <f>IF('PA-Non'!V299&lt;&gt;"",'PA-Non'!V299,IFERROR("Mempunyai keterampilan yang "&amp;IF(AM331=AN331,PROPER(AN331)&amp;" dalam kompetensi "&amp;VLOOKUP(AO331,$AA$532:$AC$539,3)&amp;", demikian juga dalam kompetensi "&amp;VLOOKUP(AP331,$AA$532:$AC$539,3),PROPER(AM331)&amp;" dalam kompetensi "&amp;VLOOKUP(AO331,$AA$532:$AC$539,3)&amp;" dan "&amp;AN331&amp;" pada kompetensi "&amp;VLOOKUP(AP331,$AA$532:$AC$539,3)),""))</f>
        <v/>
      </c>
      <c r="AR331" s="188"/>
    </row>
    <row r="332" spans="2:44" ht="27.75" customHeight="1" thickBot="1" x14ac:dyDescent="0.35">
      <c r="B332" s="226" t="s">
        <v>127</v>
      </c>
      <c r="C332" s="149" t="str">
        <f t="shared" ref="C332:C360" si="279">IF(E332="","",C331+1)</f>
        <v/>
      </c>
      <c r="D332" s="150" t="str">
        <f>IF(Data!F327="","",Data!F327)</f>
        <v/>
      </c>
      <c r="E332" s="151" t="str">
        <f>IF(Data!H327="","",Data!H327)</f>
        <v/>
      </c>
      <c r="F332" s="152" t="str">
        <f>IF(Data!I327="","",Data!I327)</f>
        <v/>
      </c>
      <c r="G332" s="153"/>
      <c r="H332" s="154"/>
      <c r="I332" s="154"/>
      <c r="J332" s="154"/>
      <c r="K332" s="154"/>
      <c r="L332" s="154"/>
      <c r="M332" s="154"/>
      <c r="N332" s="155"/>
      <c r="O332" s="157" t="str">
        <f t="shared" ref="O332:O360" si="280">IF(COUNT(G332:N332)&lt;3,"",ROUND(SUM(G332:N332)/$O$6,0))</f>
        <v/>
      </c>
      <c r="P332" s="154"/>
      <c r="Q332" s="156"/>
      <c r="R332" s="157" t="str">
        <f t="shared" ref="R332:R360" si="281">IFERROR(IF(OR(P332="",Q332=""),"",ROUND(((O332*$O$8)+(P332*$P$8)+(Q332*$Q$8))/$Q$6,0)),"")</f>
        <v/>
      </c>
      <c r="S332" s="159" t="str">
        <f>IF(R332="","",IF(R332&gt;Data2!$C$12,Data2!$D$11,IF(R332&gt;Data2!$C$13,Data2!$D$12,IF(R332&gt;Data2!$C$14,Data2!$D$13,Data2!$D$14))))</f>
        <v/>
      </c>
      <c r="T332" s="144">
        <f t="shared" ref="T332:T360" si="282">MAX(G332:N332)</f>
        <v>0</v>
      </c>
      <c r="U332" s="144">
        <f t="shared" ref="U332:U360" si="283">MIN(G332:N332)</f>
        <v>0</v>
      </c>
      <c r="V332" s="144" t="str">
        <f t="shared" si="274"/>
        <v>Mulai berkembang</v>
      </c>
      <c r="W332" s="144" t="str">
        <f t="shared" si="275"/>
        <v>Mulai berkembang</v>
      </c>
      <c r="X332" s="144" t="e">
        <f t="shared" ref="X332:X360" si="284">MATCH(T332,G332:N332,0)</f>
        <v>#N/A</v>
      </c>
      <c r="Y332" s="145" t="e">
        <f t="shared" ref="Y332:Y360" si="285">MATCH(U332,G332:N332,0)</f>
        <v>#N/A</v>
      </c>
      <c r="Z332" s="218" t="str">
        <f>IF('PA-Non'!O300&lt;&gt;"",'PA-Non'!O300,IFERROR("Mempunyai kemampuan yang " &amp;IF(V332=W332,PROPER(W332)&amp;" dalam kompetensi "&amp;VLOOKUP(X332,$G$532:$I$539,3)&amp;" dan kompetensi "&amp;VLOOKUP(Y332,$G$532:$I$539,3),PROPER(V332)&amp;" dalam kompetensi "&amp;VLOOKUP(X332,$G$532:$I$539,3)&amp;" dan memiliki kemampuan yang "&amp;W332&amp;" pada kompetensi "&amp;VLOOKUP(Y332,$G$532:$I$539,3)),""))</f>
        <v/>
      </c>
      <c r="AA332" s="153"/>
      <c r="AB332" s="154"/>
      <c r="AC332" s="154"/>
      <c r="AD332" s="154"/>
      <c r="AE332" s="154"/>
      <c r="AF332" s="154"/>
      <c r="AG332" s="154"/>
      <c r="AH332" s="155"/>
      <c r="AI332" s="220" t="str">
        <f t="shared" ref="AI332:AI360" si="286">IF(COUNT(AA332:AH332)&lt;3,"",ROUND(((AA332*$AA$8)+(AB332*$AB$8)+(AC332*$AC$8)+(AD332*$AD$8)+(AE332*$AE$8)+(AF332*$AF$8)+(AG332*$AG$8)+(AH332*$AH$8))/$AI$6,0))</f>
        <v/>
      </c>
      <c r="AJ332" s="160" t="str">
        <f>IF(AI332="","",IF(AI332&gt;Data2!$C$12,Data2!$D$11,IF(AI332&gt;Data2!$C$13,Data2!$D$12,IF(AI332&gt;Data2!$C$14,Data2!$D$13,Data2!$D$14))))</f>
        <v/>
      </c>
      <c r="AK332" s="146">
        <f t="shared" ref="AK332:AK360" si="287">MAX(AA332:AH332)</f>
        <v>0</v>
      </c>
      <c r="AL332" s="146">
        <f t="shared" ref="AL332:AL360" si="288">MIN(AA332:AH332)</f>
        <v>0</v>
      </c>
      <c r="AM332" s="147" t="str">
        <f t="shared" si="276"/>
        <v>Mulai meningkat</v>
      </c>
      <c r="AN332" s="147" t="str">
        <f t="shared" si="277"/>
        <v>Mulai meningkat</v>
      </c>
      <c r="AO332" s="146" t="e">
        <f t="shared" ref="AO332:AO360" si="289">MATCH(AK332,AA332:AH332,0)</f>
        <v>#N/A</v>
      </c>
      <c r="AP332" s="148" t="e">
        <f t="shared" ref="AP332:AP360" si="290">MATCH(AL332,AA332:AH332,0)</f>
        <v>#N/A</v>
      </c>
      <c r="AQ332" s="158" t="str">
        <f>IF('PA-Non'!V300&lt;&gt;"",'PA-Non'!V300,IFERROR("Mempunyai keterampilan yang "&amp;IF(AM332=AN332,PROPER(AN332)&amp;" dalam kompetensi "&amp;VLOOKUP(AO332,$AA$532:$AC$539,3)&amp;", demikian juga dalam kompetensi "&amp;VLOOKUP(AP332,$AA$532:$AC$539,3),PROPER(AM332)&amp;" dalam kompetensi "&amp;VLOOKUP(AO332,$AA$532:$AC$539,3)&amp;" dan "&amp;AN332&amp;" pada kompetensi "&amp;VLOOKUP(AP332,$AA$532:$AC$539,3)),""))</f>
        <v/>
      </c>
      <c r="AR332" s="188"/>
    </row>
    <row r="333" spans="2:44" ht="27.9" customHeight="1" thickBot="1" x14ac:dyDescent="0.35">
      <c r="B333" s="226" t="s">
        <v>127</v>
      </c>
      <c r="C333" s="149" t="str">
        <f t="shared" si="279"/>
        <v/>
      </c>
      <c r="D333" s="150" t="str">
        <f>IF(Data!F328="","",Data!F328)</f>
        <v/>
      </c>
      <c r="E333" s="151" t="str">
        <f>IF(Data!H328="","",Data!H328)</f>
        <v/>
      </c>
      <c r="F333" s="152" t="str">
        <f>IF(Data!I328="","",Data!I328)</f>
        <v/>
      </c>
      <c r="G333" s="153"/>
      <c r="H333" s="154"/>
      <c r="I333" s="154"/>
      <c r="J333" s="154"/>
      <c r="K333" s="154"/>
      <c r="L333" s="154"/>
      <c r="M333" s="154"/>
      <c r="N333" s="155"/>
      <c r="O333" s="157" t="str">
        <f t="shared" si="280"/>
        <v/>
      </c>
      <c r="P333" s="154"/>
      <c r="Q333" s="156"/>
      <c r="R333" s="157" t="str">
        <f t="shared" si="281"/>
        <v/>
      </c>
      <c r="S333" s="159" t="str">
        <f>IF(R333="","",IF(R333&gt;Data2!$C$12,Data2!$D$11,IF(R333&gt;Data2!$C$13,Data2!$D$12,IF(R333&gt;Data2!$C$14,Data2!$D$13,Data2!$D$14))))</f>
        <v/>
      </c>
      <c r="T333" s="144">
        <f t="shared" si="282"/>
        <v>0</v>
      </c>
      <c r="U333" s="144">
        <f t="shared" si="283"/>
        <v>0</v>
      </c>
      <c r="V333" s="144" t="str">
        <f t="shared" si="274"/>
        <v>Mulai berkembang</v>
      </c>
      <c r="W333" s="144" t="str">
        <f t="shared" si="275"/>
        <v>Mulai berkembang</v>
      </c>
      <c r="X333" s="144" t="e">
        <f t="shared" si="284"/>
        <v>#N/A</v>
      </c>
      <c r="Y333" s="145" t="e">
        <f t="shared" si="285"/>
        <v>#N/A</v>
      </c>
      <c r="Z333" s="218" t="str">
        <f>IF('PA-Non'!O301&lt;&gt;"",'PA-Non'!O301,IFERROR("Mempunyai kemampuan yang " &amp;IF(V333=W333,PROPER(W333)&amp;" dalam kompetensi "&amp;VLOOKUP(X333,$G$532:$I$539,3)&amp;" dan kompetensi "&amp;VLOOKUP(Y333,$G$532:$I$539,3),PROPER(V333)&amp;" dalam kompetensi "&amp;VLOOKUP(X333,$G$532:$I$539,3)&amp;" dan memiliki kemampuan yang "&amp;W333&amp;" pada kompetensi "&amp;VLOOKUP(Y333,$G$532:$I$539,3)),""))</f>
        <v/>
      </c>
      <c r="AA333" s="153"/>
      <c r="AB333" s="154"/>
      <c r="AC333" s="154"/>
      <c r="AD333" s="154"/>
      <c r="AE333" s="154"/>
      <c r="AF333" s="154"/>
      <c r="AG333" s="154"/>
      <c r="AH333" s="155"/>
      <c r="AI333" s="220" t="str">
        <f t="shared" si="286"/>
        <v/>
      </c>
      <c r="AJ333" s="160" t="str">
        <f>IF(AI333="","",IF(AI333&gt;Data2!$C$12,Data2!$D$11,IF(AI333&gt;Data2!$C$13,Data2!$D$12,IF(AI333&gt;Data2!$C$14,Data2!$D$13,Data2!$D$14))))</f>
        <v/>
      </c>
      <c r="AK333" s="146">
        <f t="shared" si="287"/>
        <v>0</v>
      </c>
      <c r="AL333" s="146">
        <f t="shared" si="288"/>
        <v>0</v>
      </c>
      <c r="AM333" s="147" t="str">
        <f t="shared" si="276"/>
        <v>Mulai meningkat</v>
      </c>
      <c r="AN333" s="147" t="str">
        <f t="shared" si="277"/>
        <v>Mulai meningkat</v>
      </c>
      <c r="AO333" s="146" t="e">
        <f t="shared" si="289"/>
        <v>#N/A</v>
      </c>
      <c r="AP333" s="148" t="e">
        <f t="shared" si="290"/>
        <v>#N/A</v>
      </c>
      <c r="AQ333" s="158" t="str">
        <f>IF('PA-Non'!V301&lt;&gt;"",'PA-Non'!V301,IFERROR("Mempunyai keterampilan yang "&amp;IF(AM333=AN333,PROPER(AN333)&amp;" dalam kompetensi "&amp;VLOOKUP(AO333,$AA$532:$AC$539,3)&amp;", demikian juga dalam kompetensi "&amp;VLOOKUP(AP333,$AA$532:$AC$539,3),PROPER(AM333)&amp;" dalam kompetensi "&amp;VLOOKUP(AO333,$AA$532:$AC$539,3)&amp;" dan "&amp;AN333&amp;" pada kompetensi "&amp;VLOOKUP(AP333,$AA$532:$AC$539,3)),""))</f>
        <v/>
      </c>
      <c r="AR333" s="188"/>
    </row>
    <row r="334" spans="2:44" ht="27.9" customHeight="1" thickBot="1" x14ac:dyDescent="0.35">
      <c r="B334" s="226" t="s">
        <v>127</v>
      </c>
      <c r="C334" s="149" t="str">
        <f t="shared" si="279"/>
        <v/>
      </c>
      <c r="D334" s="150" t="str">
        <f>IF(Data!F329="","",Data!F329)</f>
        <v/>
      </c>
      <c r="E334" s="151" t="str">
        <f>IF(Data!H329="","",Data!H329)</f>
        <v/>
      </c>
      <c r="F334" s="152" t="str">
        <f>IF(Data!I329="","",Data!I329)</f>
        <v/>
      </c>
      <c r="G334" s="153"/>
      <c r="H334" s="154"/>
      <c r="I334" s="154"/>
      <c r="J334" s="154"/>
      <c r="K334" s="154"/>
      <c r="L334" s="154"/>
      <c r="M334" s="154"/>
      <c r="N334" s="155"/>
      <c r="O334" s="157" t="str">
        <f t="shared" si="280"/>
        <v/>
      </c>
      <c r="P334" s="154"/>
      <c r="Q334" s="156"/>
      <c r="R334" s="157" t="str">
        <f t="shared" si="281"/>
        <v/>
      </c>
      <c r="S334" s="159" t="str">
        <f>IF(R334="","",IF(R334&gt;Data2!$C$12,Data2!$D$11,IF(R334&gt;Data2!$C$13,Data2!$D$12,IF(R334&gt;Data2!$C$14,Data2!$D$13,Data2!$D$14))))</f>
        <v/>
      </c>
      <c r="T334" s="144">
        <f t="shared" si="282"/>
        <v>0</v>
      </c>
      <c r="U334" s="144">
        <f t="shared" si="283"/>
        <v>0</v>
      </c>
      <c r="V334" s="144" t="str">
        <f t="shared" si="274"/>
        <v>Mulai berkembang</v>
      </c>
      <c r="W334" s="144" t="str">
        <f t="shared" si="275"/>
        <v>Mulai berkembang</v>
      </c>
      <c r="X334" s="144" t="e">
        <f t="shared" si="284"/>
        <v>#N/A</v>
      </c>
      <c r="Y334" s="145" t="e">
        <f t="shared" si="285"/>
        <v>#N/A</v>
      </c>
      <c r="Z334" s="218" t="str">
        <f>IF('PA-Non'!O302&lt;&gt;"",'PA-Non'!O302,IFERROR("Mempunyai kemampuan yang " &amp;IF(V334=W334,PROPER(W334)&amp;" dalam kompetensi "&amp;VLOOKUP(X334,$G$532:$I$539,3)&amp;" dan kompetensi "&amp;VLOOKUP(Y334,$G$532:$I$539,3),PROPER(V334)&amp;" dalam kompetensi "&amp;VLOOKUP(X334,$G$532:$I$539,3)&amp;" dan memiliki kemampuan yang "&amp;W334&amp;" pada kompetensi "&amp;VLOOKUP(Y334,$G$532:$I$539,3)),""))</f>
        <v/>
      </c>
      <c r="AA334" s="153"/>
      <c r="AB334" s="154"/>
      <c r="AC334" s="154"/>
      <c r="AD334" s="154"/>
      <c r="AE334" s="154"/>
      <c r="AF334" s="154"/>
      <c r="AG334" s="154"/>
      <c r="AH334" s="155"/>
      <c r="AI334" s="220" t="str">
        <f t="shared" si="286"/>
        <v/>
      </c>
      <c r="AJ334" s="160" t="str">
        <f>IF(AI334="","",IF(AI334&gt;Data2!$C$12,Data2!$D$11,IF(AI334&gt;Data2!$C$13,Data2!$D$12,IF(AI334&gt;Data2!$C$14,Data2!$D$13,Data2!$D$14))))</f>
        <v/>
      </c>
      <c r="AK334" s="146">
        <f t="shared" si="287"/>
        <v>0</v>
      </c>
      <c r="AL334" s="146">
        <f t="shared" si="288"/>
        <v>0</v>
      </c>
      <c r="AM334" s="147" t="str">
        <f t="shared" si="276"/>
        <v>Mulai meningkat</v>
      </c>
      <c r="AN334" s="147" t="str">
        <f t="shared" si="277"/>
        <v>Mulai meningkat</v>
      </c>
      <c r="AO334" s="146" t="e">
        <f t="shared" si="289"/>
        <v>#N/A</v>
      </c>
      <c r="AP334" s="148" t="e">
        <f t="shared" si="290"/>
        <v>#N/A</v>
      </c>
      <c r="AQ334" s="158" t="str">
        <f>IF('PA-Non'!V302&lt;&gt;"",'PA-Non'!V302,IFERROR("Mempunyai keterampilan yang "&amp;IF(AM334=AN334,PROPER(AN334)&amp;" dalam kompetensi "&amp;VLOOKUP(AO334,$AA$532:$AC$539,3)&amp;", demikian juga dalam kompetensi "&amp;VLOOKUP(AP334,$AA$532:$AC$539,3),PROPER(AM334)&amp;" dalam kompetensi "&amp;VLOOKUP(AO334,$AA$532:$AC$539,3)&amp;" dan "&amp;AN334&amp;" pada kompetensi "&amp;VLOOKUP(AP334,$AA$532:$AC$539,3)),""))</f>
        <v/>
      </c>
      <c r="AR334" s="188"/>
    </row>
    <row r="335" spans="2:44" ht="27.9" customHeight="1" thickBot="1" x14ac:dyDescent="0.35">
      <c r="B335" s="226" t="s">
        <v>127</v>
      </c>
      <c r="C335" s="149" t="str">
        <f t="shared" si="279"/>
        <v/>
      </c>
      <c r="D335" s="150" t="str">
        <f>IF(Data!F330="","",Data!F330)</f>
        <v/>
      </c>
      <c r="E335" s="151" t="str">
        <f>IF(Data!H330="","",Data!H330)</f>
        <v/>
      </c>
      <c r="F335" s="152" t="str">
        <f>IF(Data!I330="","",Data!I330)</f>
        <v/>
      </c>
      <c r="G335" s="153"/>
      <c r="H335" s="154"/>
      <c r="I335" s="154"/>
      <c r="J335" s="154"/>
      <c r="K335" s="154"/>
      <c r="L335" s="154"/>
      <c r="M335" s="154"/>
      <c r="N335" s="155"/>
      <c r="O335" s="157" t="str">
        <f t="shared" si="280"/>
        <v/>
      </c>
      <c r="P335" s="154"/>
      <c r="Q335" s="156"/>
      <c r="R335" s="157" t="str">
        <f t="shared" si="281"/>
        <v/>
      </c>
      <c r="S335" s="159" t="str">
        <f>IF(R335="","",IF(R335&gt;Data2!$C$12,Data2!$D$11,IF(R335&gt;Data2!$C$13,Data2!$D$12,IF(R335&gt;Data2!$C$14,Data2!$D$13,Data2!$D$14))))</f>
        <v/>
      </c>
      <c r="T335" s="144">
        <f t="shared" si="282"/>
        <v>0</v>
      </c>
      <c r="U335" s="144">
        <f t="shared" si="283"/>
        <v>0</v>
      </c>
      <c r="V335" s="144" t="str">
        <f t="shared" si="274"/>
        <v>Mulai berkembang</v>
      </c>
      <c r="W335" s="144" t="str">
        <f t="shared" si="275"/>
        <v>Mulai berkembang</v>
      </c>
      <c r="X335" s="144" t="e">
        <f t="shared" si="284"/>
        <v>#N/A</v>
      </c>
      <c r="Y335" s="145" t="e">
        <f t="shared" si="285"/>
        <v>#N/A</v>
      </c>
      <c r="Z335" s="218" t="str">
        <f>IF('PA-Non'!O303&lt;&gt;"",'PA-Non'!O303,IFERROR("Mempunyai kemampuan yang " &amp;IF(V335=W335,PROPER(W335)&amp;" dalam kompetensi "&amp;VLOOKUP(X335,$G$532:$I$539,3)&amp;" dan kompetensi "&amp;VLOOKUP(Y335,$G$532:$I$539,3),PROPER(V335)&amp;" dalam kompetensi "&amp;VLOOKUP(X335,$G$532:$I$539,3)&amp;" dan memiliki kemampuan yang "&amp;W335&amp;" pada kompetensi "&amp;VLOOKUP(Y335,$G$532:$I$539,3)),""))</f>
        <v/>
      </c>
      <c r="AA335" s="153"/>
      <c r="AB335" s="154"/>
      <c r="AC335" s="154"/>
      <c r="AD335" s="154"/>
      <c r="AE335" s="154"/>
      <c r="AF335" s="154"/>
      <c r="AG335" s="154"/>
      <c r="AH335" s="155"/>
      <c r="AI335" s="220" t="str">
        <f t="shared" si="286"/>
        <v/>
      </c>
      <c r="AJ335" s="160" t="str">
        <f>IF(AI335="","",IF(AI335&gt;Data2!$C$12,Data2!$D$11,IF(AI335&gt;Data2!$C$13,Data2!$D$12,IF(AI335&gt;Data2!$C$14,Data2!$D$13,Data2!$D$14))))</f>
        <v/>
      </c>
      <c r="AK335" s="146">
        <f t="shared" si="287"/>
        <v>0</v>
      </c>
      <c r="AL335" s="146">
        <f t="shared" si="288"/>
        <v>0</v>
      </c>
      <c r="AM335" s="147" t="str">
        <f t="shared" si="276"/>
        <v>Mulai meningkat</v>
      </c>
      <c r="AN335" s="147" t="str">
        <f t="shared" si="277"/>
        <v>Mulai meningkat</v>
      </c>
      <c r="AO335" s="146" t="e">
        <f t="shared" si="289"/>
        <v>#N/A</v>
      </c>
      <c r="AP335" s="148" t="e">
        <f t="shared" si="290"/>
        <v>#N/A</v>
      </c>
      <c r="AQ335" s="158" t="str">
        <f>IF('PA-Non'!V303&lt;&gt;"",'PA-Non'!V303,IFERROR("Mempunyai keterampilan yang "&amp;IF(AM335=AN335,PROPER(AN335)&amp;" dalam kompetensi "&amp;VLOOKUP(AO335,$AA$532:$AC$539,3)&amp;", demikian juga dalam kompetensi "&amp;VLOOKUP(AP335,$AA$532:$AC$539,3),PROPER(AM335)&amp;" dalam kompetensi "&amp;VLOOKUP(AO335,$AA$532:$AC$539,3)&amp;" dan "&amp;AN335&amp;" pada kompetensi "&amp;VLOOKUP(AP335,$AA$532:$AC$539,3)),""))</f>
        <v/>
      </c>
      <c r="AR335" s="188"/>
    </row>
    <row r="336" spans="2:44" ht="27.9" customHeight="1" thickBot="1" x14ac:dyDescent="0.35">
      <c r="B336" s="226" t="s">
        <v>127</v>
      </c>
      <c r="C336" s="149" t="str">
        <f t="shared" si="279"/>
        <v/>
      </c>
      <c r="D336" s="150" t="str">
        <f>IF(Data!F331="","",Data!F331)</f>
        <v/>
      </c>
      <c r="E336" s="151" t="str">
        <f>IF(Data!H331="","",Data!H331)</f>
        <v/>
      </c>
      <c r="F336" s="152" t="str">
        <f>IF(Data!I331="","",Data!I331)</f>
        <v/>
      </c>
      <c r="G336" s="153"/>
      <c r="H336" s="154"/>
      <c r="I336" s="154"/>
      <c r="J336" s="154"/>
      <c r="K336" s="154"/>
      <c r="L336" s="154"/>
      <c r="M336" s="154"/>
      <c r="N336" s="155"/>
      <c r="O336" s="157" t="str">
        <f t="shared" si="280"/>
        <v/>
      </c>
      <c r="P336" s="154"/>
      <c r="Q336" s="156"/>
      <c r="R336" s="157" t="str">
        <f t="shared" si="281"/>
        <v/>
      </c>
      <c r="S336" s="159" t="str">
        <f>IF(R336="","",IF(R336&gt;Data2!$C$12,Data2!$D$11,IF(R336&gt;Data2!$C$13,Data2!$D$12,IF(R336&gt;Data2!$C$14,Data2!$D$13,Data2!$D$14))))</f>
        <v/>
      </c>
      <c r="T336" s="144">
        <f t="shared" si="282"/>
        <v>0</v>
      </c>
      <c r="U336" s="144">
        <f t="shared" si="283"/>
        <v>0</v>
      </c>
      <c r="V336" s="144" t="str">
        <f t="shared" si="274"/>
        <v>Mulai berkembang</v>
      </c>
      <c r="W336" s="144" t="str">
        <f t="shared" si="275"/>
        <v>Mulai berkembang</v>
      </c>
      <c r="X336" s="144" t="e">
        <f t="shared" si="284"/>
        <v>#N/A</v>
      </c>
      <c r="Y336" s="145" t="e">
        <f t="shared" si="285"/>
        <v>#N/A</v>
      </c>
      <c r="Z336" s="218" t="str">
        <f>IF('PA-Non'!O304&lt;&gt;"",'PA-Non'!O304,IFERROR("Mempunyai kemampuan yang " &amp;IF(V336=W336,PROPER(W336)&amp;" dalam kompetensi "&amp;VLOOKUP(X336,$G$532:$I$539,3)&amp;" dan kompetensi "&amp;VLOOKUP(Y336,$G$532:$I$539,3),PROPER(V336)&amp;" dalam kompetensi "&amp;VLOOKUP(X336,$G$532:$I$539,3)&amp;" dan memiliki kemampuan yang "&amp;W336&amp;" pada kompetensi "&amp;VLOOKUP(Y336,$G$532:$I$539,3)),""))</f>
        <v/>
      </c>
      <c r="AA336" s="153"/>
      <c r="AB336" s="154"/>
      <c r="AC336" s="154"/>
      <c r="AD336" s="154"/>
      <c r="AE336" s="154"/>
      <c r="AF336" s="154"/>
      <c r="AG336" s="154"/>
      <c r="AH336" s="155"/>
      <c r="AI336" s="220" t="str">
        <f t="shared" si="286"/>
        <v/>
      </c>
      <c r="AJ336" s="160" t="str">
        <f>IF(AI336="","",IF(AI336&gt;Data2!$C$12,Data2!$D$11,IF(AI336&gt;Data2!$C$13,Data2!$D$12,IF(AI336&gt;Data2!$C$14,Data2!$D$13,Data2!$D$14))))</f>
        <v/>
      </c>
      <c r="AK336" s="146">
        <f t="shared" si="287"/>
        <v>0</v>
      </c>
      <c r="AL336" s="146">
        <f t="shared" si="288"/>
        <v>0</v>
      </c>
      <c r="AM336" s="147" t="str">
        <f t="shared" si="276"/>
        <v>Mulai meningkat</v>
      </c>
      <c r="AN336" s="147" t="str">
        <f t="shared" si="277"/>
        <v>Mulai meningkat</v>
      </c>
      <c r="AO336" s="146" t="e">
        <f t="shared" si="289"/>
        <v>#N/A</v>
      </c>
      <c r="AP336" s="148" t="e">
        <f t="shared" si="290"/>
        <v>#N/A</v>
      </c>
      <c r="AQ336" s="158" t="str">
        <f>IF('PA-Non'!V304&lt;&gt;"",'PA-Non'!V304,IFERROR("Mempunyai keterampilan yang "&amp;IF(AM336=AN336,PROPER(AN336)&amp;" dalam kompetensi "&amp;VLOOKUP(AO336,$AA$532:$AC$539,3)&amp;", demikian juga dalam kompetensi "&amp;VLOOKUP(AP336,$AA$532:$AC$539,3),PROPER(AM336)&amp;" dalam kompetensi "&amp;VLOOKUP(AO336,$AA$532:$AC$539,3)&amp;" dan "&amp;AN336&amp;" pada kompetensi "&amp;VLOOKUP(AP336,$AA$532:$AC$539,3)),""))</f>
        <v/>
      </c>
      <c r="AR336" s="188"/>
    </row>
    <row r="337" spans="2:44" ht="27.9" customHeight="1" thickBot="1" x14ac:dyDescent="0.35">
      <c r="B337" s="226" t="s">
        <v>127</v>
      </c>
      <c r="C337" s="149" t="str">
        <f t="shared" si="279"/>
        <v/>
      </c>
      <c r="D337" s="150" t="str">
        <f>IF(Data!F332="","",Data!F332)</f>
        <v/>
      </c>
      <c r="E337" s="151" t="str">
        <f>IF(Data!H332="","",Data!H332)</f>
        <v/>
      </c>
      <c r="F337" s="152" t="str">
        <f>IF(Data!I332="","",Data!I332)</f>
        <v/>
      </c>
      <c r="G337" s="153"/>
      <c r="H337" s="154"/>
      <c r="I337" s="154"/>
      <c r="J337" s="154"/>
      <c r="K337" s="154"/>
      <c r="L337" s="154"/>
      <c r="M337" s="154"/>
      <c r="N337" s="155"/>
      <c r="O337" s="157" t="str">
        <f t="shared" si="280"/>
        <v/>
      </c>
      <c r="P337" s="154"/>
      <c r="Q337" s="156"/>
      <c r="R337" s="157" t="str">
        <f t="shared" si="281"/>
        <v/>
      </c>
      <c r="S337" s="159" t="str">
        <f>IF(R337="","",IF(R337&gt;Data2!$C$12,Data2!$D$11,IF(R337&gt;Data2!$C$13,Data2!$D$12,IF(R337&gt;Data2!$C$14,Data2!$D$13,Data2!$D$14))))</f>
        <v/>
      </c>
      <c r="T337" s="144">
        <f t="shared" si="282"/>
        <v>0</v>
      </c>
      <c r="U337" s="144">
        <f t="shared" si="283"/>
        <v>0</v>
      </c>
      <c r="V337" s="144" t="str">
        <f t="shared" si="274"/>
        <v>Mulai berkembang</v>
      </c>
      <c r="W337" s="144" t="str">
        <f t="shared" si="275"/>
        <v>Mulai berkembang</v>
      </c>
      <c r="X337" s="144" t="e">
        <f t="shared" si="284"/>
        <v>#N/A</v>
      </c>
      <c r="Y337" s="145" t="e">
        <f t="shared" si="285"/>
        <v>#N/A</v>
      </c>
      <c r="Z337" s="218" t="str">
        <f>IF('PA-Non'!O305&lt;&gt;"",'PA-Non'!O305,IFERROR("Mempunyai kemampuan yang " &amp;IF(V337=W337,PROPER(W337)&amp;" dalam kompetensi "&amp;VLOOKUP(X337,$G$532:$I$539,3)&amp;" dan kompetensi "&amp;VLOOKUP(Y337,$G$532:$I$539,3),PROPER(V337)&amp;" dalam kompetensi "&amp;VLOOKUP(X337,$G$532:$I$539,3)&amp;" dan memiliki kemampuan yang "&amp;W337&amp;" pada kompetensi "&amp;VLOOKUP(Y337,$G$532:$I$539,3)),""))</f>
        <v/>
      </c>
      <c r="AA337" s="153"/>
      <c r="AB337" s="154"/>
      <c r="AC337" s="154"/>
      <c r="AD337" s="154"/>
      <c r="AE337" s="154"/>
      <c r="AF337" s="154"/>
      <c r="AG337" s="154"/>
      <c r="AH337" s="155"/>
      <c r="AI337" s="220" t="str">
        <f t="shared" si="286"/>
        <v/>
      </c>
      <c r="AJ337" s="160" t="str">
        <f>IF(AI337="","",IF(AI337&gt;Data2!$C$12,Data2!$D$11,IF(AI337&gt;Data2!$C$13,Data2!$D$12,IF(AI337&gt;Data2!$C$14,Data2!$D$13,Data2!$D$14))))</f>
        <v/>
      </c>
      <c r="AK337" s="146">
        <f t="shared" si="287"/>
        <v>0</v>
      </c>
      <c r="AL337" s="146">
        <f t="shared" si="288"/>
        <v>0</v>
      </c>
      <c r="AM337" s="147" t="str">
        <f t="shared" si="276"/>
        <v>Mulai meningkat</v>
      </c>
      <c r="AN337" s="147" t="str">
        <f t="shared" si="277"/>
        <v>Mulai meningkat</v>
      </c>
      <c r="AO337" s="146" t="e">
        <f t="shared" si="289"/>
        <v>#N/A</v>
      </c>
      <c r="AP337" s="148" t="e">
        <f t="shared" si="290"/>
        <v>#N/A</v>
      </c>
      <c r="AQ337" s="158" t="str">
        <f>IF('PA-Non'!V305&lt;&gt;"",'PA-Non'!V305,IFERROR("Mempunyai keterampilan yang "&amp;IF(AM337=AN337,PROPER(AN337)&amp;" dalam kompetensi "&amp;VLOOKUP(AO337,$AA$532:$AC$539,3)&amp;", demikian juga dalam kompetensi "&amp;VLOOKUP(AP337,$AA$532:$AC$539,3),PROPER(AM337)&amp;" dalam kompetensi "&amp;VLOOKUP(AO337,$AA$532:$AC$539,3)&amp;" dan "&amp;AN337&amp;" pada kompetensi "&amp;VLOOKUP(AP337,$AA$532:$AC$539,3)),""))</f>
        <v/>
      </c>
      <c r="AR337" s="188"/>
    </row>
    <row r="338" spans="2:44" ht="27.9" customHeight="1" thickBot="1" x14ac:dyDescent="0.35">
      <c r="B338" s="226" t="s">
        <v>127</v>
      </c>
      <c r="C338" s="149" t="str">
        <f t="shared" si="279"/>
        <v/>
      </c>
      <c r="D338" s="150" t="str">
        <f>IF(Data!F333="","",Data!F333)</f>
        <v/>
      </c>
      <c r="E338" s="151" t="str">
        <f>IF(Data!H333="","",Data!H333)</f>
        <v/>
      </c>
      <c r="F338" s="152" t="str">
        <f>IF(Data!I333="","",Data!I333)</f>
        <v/>
      </c>
      <c r="G338" s="153"/>
      <c r="H338" s="154"/>
      <c r="I338" s="154"/>
      <c r="J338" s="154"/>
      <c r="K338" s="154"/>
      <c r="L338" s="154"/>
      <c r="M338" s="154"/>
      <c r="N338" s="155"/>
      <c r="O338" s="157" t="str">
        <f t="shared" si="280"/>
        <v/>
      </c>
      <c r="P338" s="154"/>
      <c r="Q338" s="156"/>
      <c r="R338" s="157" t="str">
        <f t="shared" si="281"/>
        <v/>
      </c>
      <c r="S338" s="159" t="str">
        <f>IF(R338="","",IF(R338&gt;Data2!$C$12,Data2!$D$11,IF(R338&gt;Data2!$C$13,Data2!$D$12,IF(R338&gt;Data2!$C$14,Data2!$D$13,Data2!$D$14))))</f>
        <v/>
      </c>
      <c r="T338" s="144">
        <f t="shared" si="282"/>
        <v>0</v>
      </c>
      <c r="U338" s="144">
        <f t="shared" si="283"/>
        <v>0</v>
      </c>
      <c r="V338" s="144" t="str">
        <f t="shared" si="274"/>
        <v>Mulai berkembang</v>
      </c>
      <c r="W338" s="144" t="str">
        <f t="shared" si="275"/>
        <v>Mulai berkembang</v>
      </c>
      <c r="X338" s="144" t="e">
        <f t="shared" si="284"/>
        <v>#N/A</v>
      </c>
      <c r="Y338" s="145" t="e">
        <f t="shared" si="285"/>
        <v>#N/A</v>
      </c>
      <c r="Z338" s="218" t="str">
        <f>IF('PA-Non'!O306&lt;&gt;"",'PA-Non'!O306,IFERROR("Mempunyai kemampuan yang " &amp;IF(V338=W338,PROPER(W338)&amp;" dalam kompetensi "&amp;VLOOKUP(X338,$G$532:$I$539,3)&amp;" dan kompetensi "&amp;VLOOKUP(Y338,$G$532:$I$539,3),PROPER(V338)&amp;" dalam kompetensi "&amp;VLOOKUP(X338,$G$532:$I$539,3)&amp;" dan memiliki kemampuan yang "&amp;W338&amp;" pada kompetensi "&amp;VLOOKUP(Y338,$G$532:$I$539,3)),""))</f>
        <v/>
      </c>
      <c r="AA338" s="153"/>
      <c r="AB338" s="154"/>
      <c r="AC338" s="154"/>
      <c r="AD338" s="154"/>
      <c r="AE338" s="154"/>
      <c r="AF338" s="154"/>
      <c r="AG338" s="154"/>
      <c r="AH338" s="155"/>
      <c r="AI338" s="220" t="str">
        <f t="shared" si="286"/>
        <v/>
      </c>
      <c r="AJ338" s="160" t="str">
        <f>IF(AI338="","",IF(AI338&gt;Data2!$C$12,Data2!$D$11,IF(AI338&gt;Data2!$C$13,Data2!$D$12,IF(AI338&gt;Data2!$C$14,Data2!$D$13,Data2!$D$14))))</f>
        <v/>
      </c>
      <c r="AK338" s="146">
        <f t="shared" si="287"/>
        <v>0</v>
      </c>
      <c r="AL338" s="146">
        <f t="shared" si="288"/>
        <v>0</v>
      </c>
      <c r="AM338" s="147" t="str">
        <f t="shared" si="276"/>
        <v>Mulai meningkat</v>
      </c>
      <c r="AN338" s="147" t="str">
        <f t="shared" si="277"/>
        <v>Mulai meningkat</v>
      </c>
      <c r="AO338" s="146" t="e">
        <f t="shared" si="289"/>
        <v>#N/A</v>
      </c>
      <c r="AP338" s="148" t="e">
        <f t="shared" si="290"/>
        <v>#N/A</v>
      </c>
      <c r="AQ338" s="158" t="str">
        <f>IF('PA-Non'!V306&lt;&gt;"",'PA-Non'!V306,IFERROR("Mempunyai keterampilan yang "&amp;IF(AM338=AN338,PROPER(AN338)&amp;" dalam kompetensi "&amp;VLOOKUP(AO338,$AA$532:$AC$539,3)&amp;", demikian juga dalam kompetensi "&amp;VLOOKUP(AP338,$AA$532:$AC$539,3),PROPER(AM338)&amp;" dalam kompetensi "&amp;VLOOKUP(AO338,$AA$532:$AC$539,3)&amp;" dan "&amp;AN338&amp;" pada kompetensi "&amp;VLOOKUP(AP338,$AA$532:$AC$539,3)),""))</f>
        <v/>
      </c>
      <c r="AR338" s="188"/>
    </row>
    <row r="339" spans="2:44" ht="27.9" customHeight="1" thickBot="1" x14ac:dyDescent="0.35">
      <c r="B339" s="226" t="s">
        <v>127</v>
      </c>
      <c r="C339" s="149" t="str">
        <f t="shared" si="279"/>
        <v/>
      </c>
      <c r="D339" s="150" t="str">
        <f>IF(Data!F334="","",Data!F334)</f>
        <v/>
      </c>
      <c r="E339" s="151" t="str">
        <f>IF(Data!H334="","",Data!H334)</f>
        <v/>
      </c>
      <c r="F339" s="152" t="str">
        <f>IF(Data!I334="","",Data!I334)</f>
        <v/>
      </c>
      <c r="G339" s="153"/>
      <c r="H339" s="154"/>
      <c r="I339" s="154"/>
      <c r="J339" s="154"/>
      <c r="K339" s="154"/>
      <c r="L339" s="154"/>
      <c r="M339" s="154"/>
      <c r="N339" s="155"/>
      <c r="O339" s="157" t="str">
        <f t="shared" si="280"/>
        <v/>
      </c>
      <c r="P339" s="154"/>
      <c r="Q339" s="156"/>
      <c r="R339" s="157" t="str">
        <f t="shared" si="281"/>
        <v/>
      </c>
      <c r="S339" s="159" t="str">
        <f>IF(R339="","",IF(R339&gt;Data2!$C$12,Data2!$D$11,IF(R339&gt;Data2!$C$13,Data2!$D$12,IF(R339&gt;Data2!$C$14,Data2!$D$13,Data2!$D$14))))</f>
        <v/>
      </c>
      <c r="T339" s="144">
        <f t="shared" si="282"/>
        <v>0</v>
      </c>
      <c r="U339" s="144">
        <f t="shared" si="283"/>
        <v>0</v>
      </c>
      <c r="V339" s="144" t="str">
        <f t="shared" si="274"/>
        <v>Mulai berkembang</v>
      </c>
      <c r="W339" s="144" t="str">
        <f t="shared" si="275"/>
        <v>Mulai berkembang</v>
      </c>
      <c r="X339" s="144" t="e">
        <f t="shared" si="284"/>
        <v>#N/A</v>
      </c>
      <c r="Y339" s="145" t="e">
        <f t="shared" si="285"/>
        <v>#N/A</v>
      </c>
      <c r="Z339" s="218" t="str">
        <f>IF('PA-Non'!O307&lt;&gt;"",'PA-Non'!O307,IFERROR("Mempunyai kemampuan yang " &amp;IF(V339=W339,PROPER(W339)&amp;" dalam kompetensi "&amp;VLOOKUP(X339,$G$532:$I$539,3)&amp;" dan kompetensi "&amp;VLOOKUP(Y339,$G$532:$I$539,3),PROPER(V339)&amp;" dalam kompetensi "&amp;VLOOKUP(X339,$G$532:$I$539,3)&amp;" dan memiliki kemampuan yang "&amp;W339&amp;" pada kompetensi "&amp;VLOOKUP(Y339,$G$532:$I$539,3)),""))</f>
        <v/>
      </c>
      <c r="AA339" s="153"/>
      <c r="AB339" s="154"/>
      <c r="AC339" s="154"/>
      <c r="AD339" s="154"/>
      <c r="AE339" s="154"/>
      <c r="AF339" s="154"/>
      <c r="AG339" s="154"/>
      <c r="AH339" s="155"/>
      <c r="AI339" s="220" t="str">
        <f t="shared" si="286"/>
        <v/>
      </c>
      <c r="AJ339" s="160" t="str">
        <f>IF(AI339="","",IF(AI339&gt;Data2!$C$12,Data2!$D$11,IF(AI339&gt;Data2!$C$13,Data2!$D$12,IF(AI339&gt;Data2!$C$14,Data2!$D$13,Data2!$D$14))))</f>
        <v/>
      </c>
      <c r="AK339" s="146">
        <f t="shared" si="287"/>
        <v>0</v>
      </c>
      <c r="AL339" s="146">
        <f t="shared" si="288"/>
        <v>0</v>
      </c>
      <c r="AM339" s="147" t="str">
        <f t="shared" si="276"/>
        <v>Mulai meningkat</v>
      </c>
      <c r="AN339" s="147" t="str">
        <f t="shared" si="277"/>
        <v>Mulai meningkat</v>
      </c>
      <c r="AO339" s="146" t="e">
        <f t="shared" si="289"/>
        <v>#N/A</v>
      </c>
      <c r="AP339" s="148" t="e">
        <f t="shared" si="290"/>
        <v>#N/A</v>
      </c>
      <c r="AQ339" s="158" t="str">
        <f>IF('PA-Non'!V307&lt;&gt;"",'PA-Non'!V307,IFERROR("Mempunyai keterampilan yang "&amp;IF(AM339=AN339,PROPER(AN339)&amp;" dalam kompetensi "&amp;VLOOKUP(AO339,$AA$532:$AC$539,3)&amp;", demikian juga dalam kompetensi "&amp;VLOOKUP(AP339,$AA$532:$AC$539,3),PROPER(AM339)&amp;" dalam kompetensi "&amp;VLOOKUP(AO339,$AA$532:$AC$539,3)&amp;" dan "&amp;AN339&amp;" pada kompetensi "&amp;VLOOKUP(AP339,$AA$532:$AC$539,3)),""))</f>
        <v/>
      </c>
      <c r="AR339" s="188"/>
    </row>
    <row r="340" spans="2:44" ht="27.9" customHeight="1" thickBot="1" x14ac:dyDescent="0.35">
      <c r="B340" s="226" t="s">
        <v>127</v>
      </c>
      <c r="C340" s="149" t="str">
        <f t="shared" si="279"/>
        <v/>
      </c>
      <c r="D340" s="150" t="str">
        <f>IF(Data!F335="","",Data!F335)</f>
        <v/>
      </c>
      <c r="E340" s="151" t="str">
        <f>IF(Data!H335="","",Data!H335)</f>
        <v/>
      </c>
      <c r="F340" s="152" t="str">
        <f>IF(Data!I335="","",Data!I335)</f>
        <v/>
      </c>
      <c r="G340" s="153"/>
      <c r="H340" s="154"/>
      <c r="I340" s="154"/>
      <c r="J340" s="154"/>
      <c r="K340" s="154"/>
      <c r="L340" s="154"/>
      <c r="M340" s="154"/>
      <c r="N340" s="155"/>
      <c r="O340" s="157" t="str">
        <f t="shared" si="280"/>
        <v/>
      </c>
      <c r="P340" s="154"/>
      <c r="Q340" s="156"/>
      <c r="R340" s="157" t="str">
        <f t="shared" si="281"/>
        <v/>
      </c>
      <c r="S340" s="159" t="str">
        <f>IF(R340="","",IF(R340&gt;Data2!$C$12,Data2!$D$11,IF(R340&gt;Data2!$C$13,Data2!$D$12,IF(R340&gt;Data2!$C$14,Data2!$D$13,Data2!$D$14))))</f>
        <v/>
      </c>
      <c r="T340" s="144">
        <f t="shared" si="282"/>
        <v>0</v>
      </c>
      <c r="U340" s="144">
        <f t="shared" si="283"/>
        <v>0</v>
      </c>
      <c r="V340" s="144" t="str">
        <f t="shared" si="274"/>
        <v>Mulai berkembang</v>
      </c>
      <c r="W340" s="144" t="str">
        <f t="shared" si="275"/>
        <v>Mulai berkembang</v>
      </c>
      <c r="X340" s="144" t="e">
        <f t="shared" si="284"/>
        <v>#N/A</v>
      </c>
      <c r="Y340" s="145" t="e">
        <f t="shared" si="285"/>
        <v>#N/A</v>
      </c>
      <c r="Z340" s="218" t="str">
        <f>IF('PA-Non'!O308&lt;&gt;"",'PA-Non'!O308,IFERROR("Mempunyai kemampuan yang " &amp;IF(V340=W340,PROPER(W340)&amp;" dalam kompetensi "&amp;VLOOKUP(X340,$G$532:$I$539,3)&amp;" dan kompetensi "&amp;VLOOKUP(Y340,$G$532:$I$539,3),PROPER(V340)&amp;" dalam kompetensi "&amp;VLOOKUP(X340,$G$532:$I$539,3)&amp;" dan memiliki kemampuan yang "&amp;W340&amp;" pada kompetensi "&amp;VLOOKUP(Y340,$G$532:$I$539,3)),""))</f>
        <v/>
      </c>
      <c r="AA340" s="153"/>
      <c r="AB340" s="154"/>
      <c r="AC340" s="154"/>
      <c r="AD340" s="154"/>
      <c r="AE340" s="154"/>
      <c r="AF340" s="154"/>
      <c r="AG340" s="154"/>
      <c r="AH340" s="155"/>
      <c r="AI340" s="220" t="str">
        <f t="shared" si="286"/>
        <v/>
      </c>
      <c r="AJ340" s="160" t="str">
        <f>IF(AI340="","",IF(AI340&gt;Data2!$C$12,Data2!$D$11,IF(AI340&gt;Data2!$C$13,Data2!$D$12,IF(AI340&gt;Data2!$C$14,Data2!$D$13,Data2!$D$14))))</f>
        <v/>
      </c>
      <c r="AK340" s="146">
        <f t="shared" si="287"/>
        <v>0</v>
      </c>
      <c r="AL340" s="146">
        <f t="shared" si="288"/>
        <v>0</v>
      </c>
      <c r="AM340" s="147" t="str">
        <f t="shared" si="276"/>
        <v>Mulai meningkat</v>
      </c>
      <c r="AN340" s="147" t="str">
        <f t="shared" si="277"/>
        <v>Mulai meningkat</v>
      </c>
      <c r="AO340" s="146" t="e">
        <f t="shared" si="289"/>
        <v>#N/A</v>
      </c>
      <c r="AP340" s="148" t="e">
        <f t="shared" si="290"/>
        <v>#N/A</v>
      </c>
      <c r="AQ340" s="158" t="str">
        <f>IF('PA-Non'!V308&lt;&gt;"",'PA-Non'!V308,IFERROR("Mempunyai keterampilan yang "&amp;IF(AM340=AN340,PROPER(AN340)&amp;" dalam kompetensi "&amp;VLOOKUP(AO340,$AA$532:$AC$539,3)&amp;", demikian juga dalam kompetensi "&amp;VLOOKUP(AP340,$AA$532:$AC$539,3),PROPER(AM340)&amp;" dalam kompetensi "&amp;VLOOKUP(AO340,$AA$532:$AC$539,3)&amp;" dan "&amp;AN340&amp;" pada kompetensi "&amp;VLOOKUP(AP340,$AA$532:$AC$539,3)),""))</f>
        <v/>
      </c>
      <c r="AR340" s="188"/>
    </row>
    <row r="341" spans="2:44" ht="27.9" customHeight="1" thickBot="1" x14ac:dyDescent="0.35">
      <c r="B341" s="226" t="s">
        <v>127</v>
      </c>
      <c r="C341" s="149" t="str">
        <f t="shared" si="279"/>
        <v/>
      </c>
      <c r="D341" s="150" t="str">
        <f>IF(Data!F336="","",Data!F336)</f>
        <v/>
      </c>
      <c r="E341" s="151" t="str">
        <f>IF(Data!H336="","",Data!H336)</f>
        <v/>
      </c>
      <c r="F341" s="152" t="str">
        <f>IF(Data!I336="","",Data!I336)</f>
        <v/>
      </c>
      <c r="G341" s="153"/>
      <c r="H341" s="154"/>
      <c r="I341" s="154"/>
      <c r="J341" s="154"/>
      <c r="K341" s="154"/>
      <c r="L341" s="154"/>
      <c r="M341" s="154"/>
      <c r="N341" s="155"/>
      <c r="O341" s="157" t="str">
        <f t="shared" si="280"/>
        <v/>
      </c>
      <c r="P341" s="154"/>
      <c r="Q341" s="156"/>
      <c r="R341" s="157" t="str">
        <f t="shared" si="281"/>
        <v/>
      </c>
      <c r="S341" s="159" t="str">
        <f>IF(R341="","",IF(R341&gt;Data2!$C$12,Data2!$D$11,IF(R341&gt;Data2!$C$13,Data2!$D$12,IF(R341&gt;Data2!$C$14,Data2!$D$13,Data2!$D$14))))</f>
        <v/>
      </c>
      <c r="T341" s="144">
        <f t="shared" si="282"/>
        <v>0</v>
      </c>
      <c r="U341" s="144">
        <f t="shared" si="283"/>
        <v>0</v>
      </c>
      <c r="V341" s="144" t="str">
        <f t="shared" si="274"/>
        <v>Mulai berkembang</v>
      </c>
      <c r="W341" s="144" t="str">
        <f t="shared" si="275"/>
        <v>Mulai berkembang</v>
      </c>
      <c r="X341" s="144" t="e">
        <f t="shared" si="284"/>
        <v>#N/A</v>
      </c>
      <c r="Y341" s="145" t="e">
        <f t="shared" si="285"/>
        <v>#N/A</v>
      </c>
      <c r="Z341" s="218" t="str">
        <f>IF('PA-Non'!O309&lt;&gt;"",'PA-Non'!O309,IFERROR("Mempunyai kemampuan yang " &amp;IF(V341=W341,PROPER(W341)&amp;" dalam kompetensi "&amp;VLOOKUP(X341,$G$532:$I$539,3)&amp;" dan kompetensi "&amp;VLOOKUP(Y341,$G$532:$I$539,3),PROPER(V341)&amp;" dalam kompetensi "&amp;VLOOKUP(X341,$G$532:$I$539,3)&amp;" dan memiliki kemampuan yang "&amp;W341&amp;" pada kompetensi "&amp;VLOOKUP(Y341,$G$532:$I$539,3)),""))</f>
        <v/>
      </c>
      <c r="AA341" s="153"/>
      <c r="AB341" s="154"/>
      <c r="AC341" s="154"/>
      <c r="AD341" s="154"/>
      <c r="AE341" s="154"/>
      <c r="AF341" s="154"/>
      <c r="AG341" s="154"/>
      <c r="AH341" s="155"/>
      <c r="AI341" s="220" t="str">
        <f t="shared" si="286"/>
        <v/>
      </c>
      <c r="AJ341" s="160" t="str">
        <f>IF(AI341="","",IF(AI341&gt;Data2!$C$12,Data2!$D$11,IF(AI341&gt;Data2!$C$13,Data2!$D$12,IF(AI341&gt;Data2!$C$14,Data2!$D$13,Data2!$D$14))))</f>
        <v/>
      </c>
      <c r="AK341" s="146">
        <f t="shared" si="287"/>
        <v>0</v>
      </c>
      <c r="AL341" s="146">
        <f t="shared" si="288"/>
        <v>0</v>
      </c>
      <c r="AM341" s="147" t="str">
        <f t="shared" si="276"/>
        <v>Mulai meningkat</v>
      </c>
      <c r="AN341" s="147" t="str">
        <f t="shared" si="277"/>
        <v>Mulai meningkat</v>
      </c>
      <c r="AO341" s="146" t="e">
        <f t="shared" si="289"/>
        <v>#N/A</v>
      </c>
      <c r="AP341" s="148" t="e">
        <f t="shared" si="290"/>
        <v>#N/A</v>
      </c>
      <c r="AQ341" s="158" t="str">
        <f>IF('PA-Non'!V309&lt;&gt;"",'PA-Non'!V309,IFERROR("Mempunyai keterampilan yang "&amp;IF(AM341=AN341,PROPER(AN341)&amp;" dalam kompetensi "&amp;VLOOKUP(AO341,$AA$532:$AC$539,3)&amp;", demikian juga dalam kompetensi "&amp;VLOOKUP(AP341,$AA$532:$AC$539,3),PROPER(AM341)&amp;" dalam kompetensi "&amp;VLOOKUP(AO341,$AA$532:$AC$539,3)&amp;" dan "&amp;AN341&amp;" pada kompetensi "&amp;VLOOKUP(AP341,$AA$532:$AC$539,3)),""))</f>
        <v/>
      </c>
      <c r="AR341" s="188"/>
    </row>
    <row r="342" spans="2:44" ht="27.9" customHeight="1" thickBot="1" x14ac:dyDescent="0.35">
      <c r="B342" s="226" t="s">
        <v>127</v>
      </c>
      <c r="C342" s="149" t="str">
        <f t="shared" si="279"/>
        <v/>
      </c>
      <c r="D342" s="150" t="str">
        <f>IF(Data!F337="","",Data!F337)</f>
        <v/>
      </c>
      <c r="E342" s="151" t="str">
        <f>IF(Data!H337="","",Data!H337)</f>
        <v/>
      </c>
      <c r="F342" s="152" t="str">
        <f>IF(Data!I337="","",Data!I337)</f>
        <v/>
      </c>
      <c r="G342" s="153"/>
      <c r="H342" s="154"/>
      <c r="I342" s="154"/>
      <c r="J342" s="154"/>
      <c r="K342" s="154"/>
      <c r="L342" s="154"/>
      <c r="M342" s="154"/>
      <c r="N342" s="155"/>
      <c r="O342" s="157" t="str">
        <f t="shared" si="280"/>
        <v/>
      </c>
      <c r="P342" s="154"/>
      <c r="Q342" s="156"/>
      <c r="R342" s="157" t="str">
        <f t="shared" si="281"/>
        <v/>
      </c>
      <c r="S342" s="159" t="str">
        <f>IF(R342="","",IF(R342&gt;Data2!$C$12,Data2!$D$11,IF(R342&gt;Data2!$C$13,Data2!$D$12,IF(R342&gt;Data2!$C$14,Data2!$D$13,Data2!$D$14))))</f>
        <v/>
      </c>
      <c r="T342" s="144">
        <f t="shared" si="282"/>
        <v>0</v>
      </c>
      <c r="U342" s="144">
        <f t="shared" si="283"/>
        <v>0</v>
      </c>
      <c r="V342" s="144" t="str">
        <f t="shared" si="274"/>
        <v>Mulai berkembang</v>
      </c>
      <c r="W342" s="144" t="str">
        <f t="shared" si="275"/>
        <v>Mulai berkembang</v>
      </c>
      <c r="X342" s="144" t="e">
        <f t="shared" si="284"/>
        <v>#N/A</v>
      </c>
      <c r="Y342" s="145" t="e">
        <f t="shared" si="285"/>
        <v>#N/A</v>
      </c>
      <c r="Z342" s="218" t="str">
        <f>IF('PA-Non'!O310&lt;&gt;"",'PA-Non'!O310,IFERROR("Mempunyai kemampuan yang " &amp;IF(V342=W342,PROPER(W342)&amp;" dalam kompetensi "&amp;VLOOKUP(X342,$G$532:$I$539,3)&amp;" dan kompetensi "&amp;VLOOKUP(Y342,$G$532:$I$539,3),PROPER(V342)&amp;" dalam kompetensi "&amp;VLOOKUP(X342,$G$532:$I$539,3)&amp;" dan memiliki kemampuan yang "&amp;W342&amp;" pada kompetensi "&amp;VLOOKUP(Y342,$G$532:$I$539,3)),""))</f>
        <v/>
      </c>
      <c r="AA342" s="153"/>
      <c r="AB342" s="154"/>
      <c r="AC342" s="154"/>
      <c r="AD342" s="154"/>
      <c r="AE342" s="154"/>
      <c r="AF342" s="154"/>
      <c r="AG342" s="154"/>
      <c r="AH342" s="155"/>
      <c r="AI342" s="220" t="str">
        <f t="shared" si="286"/>
        <v/>
      </c>
      <c r="AJ342" s="160" t="str">
        <f>IF(AI342="","",IF(AI342&gt;Data2!$C$12,Data2!$D$11,IF(AI342&gt;Data2!$C$13,Data2!$D$12,IF(AI342&gt;Data2!$C$14,Data2!$D$13,Data2!$D$14))))</f>
        <v/>
      </c>
      <c r="AK342" s="146">
        <f t="shared" si="287"/>
        <v>0</v>
      </c>
      <c r="AL342" s="146">
        <f t="shared" si="288"/>
        <v>0</v>
      </c>
      <c r="AM342" s="147" t="str">
        <f t="shared" si="276"/>
        <v>Mulai meningkat</v>
      </c>
      <c r="AN342" s="147" t="str">
        <f t="shared" si="277"/>
        <v>Mulai meningkat</v>
      </c>
      <c r="AO342" s="146" t="e">
        <f t="shared" si="289"/>
        <v>#N/A</v>
      </c>
      <c r="AP342" s="148" t="e">
        <f t="shared" si="290"/>
        <v>#N/A</v>
      </c>
      <c r="AQ342" s="158" t="str">
        <f>IF('PA-Non'!V310&lt;&gt;"",'PA-Non'!V310,IFERROR("Mempunyai keterampilan yang "&amp;IF(AM342=AN342,PROPER(AN342)&amp;" dalam kompetensi "&amp;VLOOKUP(AO342,$AA$532:$AC$539,3)&amp;", demikian juga dalam kompetensi "&amp;VLOOKUP(AP342,$AA$532:$AC$539,3),PROPER(AM342)&amp;" dalam kompetensi "&amp;VLOOKUP(AO342,$AA$532:$AC$539,3)&amp;" dan "&amp;AN342&amp;" pada kompetensi "&amp;VLOOKUP(AP342,$AA$532:$AC$539,3)),""))</f>
        <v/>
      </c>
      <c r="AR342" s="188"/>
    </row>
    <row r="343" spans="2:44" ht="27.9" customHeight="1" thickBot="1" x14ac:dyDescent="0.35">
      <c r="B343" s="226" t="s">
        <v>127</v>
      </c>
      <c r="C343" s="149" t="str">
        <f t="shared" si="279"/>
        <v/>
      </c>
      <c r="D343" s="150" t="str">
        <f>IF(Data!F338="","",Data!F338)</f>
        <v/>
      </c>
      <c r="E343" s="151" t="str">
        <f>IF(Data!H338="","",Data!H338)</f>
        <v/>
      </c>
      <c r="F343" s="152" t="str">
        <f>IF(Data!I338="","",Data!I338)</f>
        <v/>
      </c>
      <c r="G343" s="153"/>
      <c r="H343" s="154"/>
      <c r="I343" s="154"/>
      <c r="J343" s="154"/>
      <c r="K343" s="154"/>
      <c r="L343" s="154"/>
      <c r="M343" s="154"/>
      <c r="N343" s="155"/>
      <c r="O343" s="157" t="str">
        <f t="shared" si="280"/>
        <v/>
      </c>
      <c r="P343" s="154"/>
      <c r="Q343" s="156"/>
      <c r="R343" s="157" t="str">
        <f t="shared" si="281"/>
        <v/>
      </c>
      <c r="S343" s="159" t="str">
        <f>IF(R343="","",IF(R343&gt;Data2!$C$12,Data2!$D$11,IF(R343&gt;Data2!$C$13,Data2!$D$12,IF(R343&gt;Data2!$C$14,Data2!$D$13,Data2!$D$14))))</f>
        <v/>
      </c>
      <c r="T343" s="144">
        <f t="shared" si="282"/>
        <v>0</v>
      </c>
      <c r="U343" s="144">
        <f t="shared" si="283"/>
        <v>0</v>
      </c>
      <c r="V343" s="144" t="str">
        <f t="shared" si="274"/>
        <v>Mulai berkembang</v>
      </c>
      <c r="W343" s="144" t="str">
        <f t="shared" si="275"/>
        <v>Mulai berkembang</v>
      </c>
      <c r="X343" s="144" t="e">
        <f t="shared" si="284"/>
        <v>#N/A</v>
      </c>
      <c r="Y343" s="145" t="e">
        <f t="shared" si="285"/>
        <v>#N/A</v>
      </c>
      <c r="Z343" s="218" t="str">
        <f>IF('PA-Non'!O311&lt;&gt;"",'PA-Non'!O311,IFERROR("Mempunyai kemampuan yang " &amp;IF(V343=W343,PROPER(W343)&amp;" dalam kompetensi "&amp;VLOOKUP(X343,$G$532:$I$539,3)&amp;" dan kompetensi "&amp;VLOOKUP(Y343,$G$532:$I$539,3),PROPER(V343)&amp;" dalam kompetensi "&amp;VLOOKUP(X343,$G$532:$I$539,3)&amp;" dan memiliki kemampuan yang "&amp;W343&amp;" pada kompetensi "&amp;VLOOKUP(Y343,$G$532:$I$539,3)),""))</f>
        <v/>
      </c>
      <c r="AA343" s="153"/>
      <c r="AB343" s="154"/>
      <c r="AC343" s="154"/>
      <c r="AD343" s="154"/>
      <c r="AE343" s="154"/>
      <c r="AF343" s="154"/>
      <c r="AG343" s="154"/>
      <c r="AH343" s="155"/>
      <c r="AI343" s="220" t="str">
        <f t="shared" si="286"/>
        <v/>
      </c>
      <c r="AJ343" s="160" t="str">
        <f>IF(AI343="","",IF(AI343&gt;Data2!$C$12,Data2!$D$11,IF(AI343&gt;Data2!$C$13,Data2!$D$12,IF(AI343&gt;Data2!$C$14,Data2!$D$13,Data2!$D$14))))</f>
        <v/>
      </c>
      <c r="AK343" s="146">
        <f t="shared" si="287"/>
        <v>0</v>
      </c>
      <c r="AL343" s="146">
        <f t="shared" si="288"/>
        <v>0</v>
      </c>
      <c r="AM343" s="147" t="str">
        <f t="shared" si="276"/>
        <v>Mulai meningkat</v>
      </c>
      <c r="AN343" s="147" t="str">
        <f t="shared" si="277"/>
        <v>Mulai meningkat</v>
      </c>
      <c r="AO343" s="146" t="e">
        <f t="shared" si="289"/>
        <v>#N/A</v>
      </c>
      <c r="AP343" s="148" t="e">
        <f t="shared" si="290"/>
        <v>#N/A</v>
      </c>
      <c r="AQ343" s="158" t="str">
        <f>IF('PA-Non'!V311&lt;&gt;"",'PA-Non'!V311,IFERROR("Mempunyai keterampilan yang "&amp;IF(AM343=AN343,PROPER(AN343)&amp;" dalam kompetensi "&amp;VLOOKUP(AO343,$AA$532:$AC$539,3)&amp;", demikian juga dalam kompetensi "&amp;VLOOKUP(AP343,$AA$532:$AC$539,3),PROPER(AM343)&amp;" dalam kompetensi "&amp;VLOOKUP(AO343,$AA$532:$AC$539,3)&amp;" dan "&amp;AN343&amp;" pada kompetensi "&amp;VLOOKUP(AP343,$AA$532:$AC$539,3)),""))</f>
        <v/>
      </c>
      <c r="AR343" s="188"/>
    </row>
    <row r="344" spans="2:44" ht="27.9" customHeight="1" thickBot="1" x14ac:dyDescent="0.35">
      <c r="B344" s="226" t="s">
        <v>127</v>
      </c>
      <c r="C344" s="149" t="str">
        <f t="shared" si="279"/>
        <v/>
      </c>
      <c r="D344" s="150" t="str">
        <f>IF(Data!F339="","",Data!F339)</f>
        <v/>
      </c>
      <c r="E344" s="151" t="str">
        <f>IF(Data!H339="","",Data!H339)</f>
        <v/>
      </c>
      <c r="F344" s="152" t="str">
        <f>IF(Data!I339="","",Data!I339)</f>
        <v/>
      </c>
      <c r="G344" s="153"/>
      <c r="H344" s="154"/>
      <c r="I344" s="154"/>
      <c r="J344" s="154"/>
      <c r="K344" s="154"/>
      <c r="L344" s="154"/>
      <c r="M344" s="154"/>
      <c r="N344" s="155"/>
      <c r="O344" s="157" t="str">
        <f t="shared" si="280"/>
        <v/>
      </c>
      <c r="P344" s="154"/>
      <c r="Q344" s="156"/>
      <c r="R344" s="157" t="str">
        <f t="shared" si="281"/>
        <v/>
      </c>
      <c r="S344" s="159" t="str">
        <f>IF(R344="","",IF(R344&gt;Data2!$C$12,Data2!$D$11,IF(R344&gt;Data2!$C$13,Data2!$D$12,IF(R344&gt;Data2!$C$14,Data2!$D$13,Data2!$D$14))))</f>
        <v/>
      </c>
      <c r="T344" s="144">
        <f t="shared" si="282"/>
        <v>0</v>
      </c>
      <c r="U344" s="144">
        <f t="shared" si="283"/>
        <v>0</v>
      </c>
      <c r="V344" s="144" t="str">
        <f t="shared" si="274"/>
        <v>Mulai berkembang</v>
      </c>
      <c r="W344" s="144" t="str">
        <f t="shared" si="275"/>
        <v>Mulai berkembang</v>
      </c>
      <c r="X344" s="144" t="e">
        <f t="shared" si="284"/>
        <v>#N/A</v>
      </c>
      <c r="Y344" s="145" t="e">
        <f t="shared" si="285"/>
        <v>#N/A</v>
      </c>
      <c r="Z344" s="218" t="str">
        <f>IF('PA-Non'!O312&lt;&gt;"",'PA-Non'!O312,IFERROR("Mempunyai kemampuan yang " &amp;IF(V344=W344,PROPER(W344)&amp;" dalam kompetensi "&amp;VLOOKUP(X344,$G$532:$I$539,3)&amp;" dan kompetensi "&amp;VLOOKUP(Y344,$G$532:$I$539,3),PROPER(V344)&amp;" dalam kompetensi "&amp;VLOOKUP(X344,$G$532:$I$539,3)&amp;" dan memiliki kemampuan yang "&amp;W344&amp;" pada kompetensi "&amp;VLOOKUP(Y344,$G$532:$I$539,3)),""))</f>
        <v/>
      </c>
      <c r="AA344" s="153"/>
      <c r="AB344" s="154"/>
      <c r="AC344" s="154"/>
      <c r="AD344" s="154"/>
      <c r="AE344" s="154"/>
      <c r="AF344" s="154"/>
      <c r="AG344" s="154"/>
      <c r="AH344" s="155"/>
      <c r="AI344" s="220" t="str">
        <f t="shared" si="286"/>
        <v/>
      </c>
      <c r="AJ344" s="160" t="str">
        <f>IF(AI344="","",IF(AI344&gt;Data2!$C$12,Data2!$D$11,IF(AI344&gt;Data2!$C$13,Data2!$D$12,IF(AI344&gt;Data2!$C$14,Data2!$D$13,Data2!$D$14))))</f>
        <v/>
      </c>
      <c r="AK344" s="146">
        <f t="shared" si="287"/>
        <v>0</v>
      </c>
      <c r="AL344" s="146">
        <f t="shared" si="288"/>
        <v>0</v>
      </c>
      <c r="AM344" s="147" t="str">
        <f t="shared" si="276"/>
        <v>Mulai meningkat</v>
      </c>
      <c r="AN344" s="147" t="str">
        <f t="shared" si="277"/>
        <v>Mulai meningkat</v>
      </c>
      <c r="AO344" s="146" t="e">
        <f t="shared" si="289"/>
        <v>#N/A</v>
      </c>
      <c r="AP344" s="148" t="e">
        <f t="shared" si="290"/>
        <v>#N/A</v>
      </c>
      <c r="AQ344" s="158" t="str">
        <f>IF('PA-Non'!V312&lt;&gt;"",'PA-Non'!V312,IFERROR("Mempunyai keterampilan yang "&amp;IF(AM344=AN344,PROPER(AN344)&amp;" dalam kompetensi "&amp;VLOOKUP(AO344,$AA$532:$AC$539,3)&amp;", demikian juga dalam kompetensi "&amp;VLOOKUP(AP344,$AA$532:$AC$539,3),PROPER(AM344)&amp;" dalam kompetensi "&amp;VLOOKUP(AO344,$AA$532:$AC$539,3)&amp;" dan "&amp;AN344&amp;" pada kompetensi "&amp;VLOOKUP(AP344,$AA$532:$AC$539,3)),""))</f>
        <v/>
      </c>
      <c r="AR344" s="188"/>
    </row>
    <row r="345" spans="2:44" ht="27.9" customHeight="1" thickBot="1" x14ac:dyDescent="0.35">
      <c r="B345" s="226" t="s">
        <v>127</v>
      </c>
      <c r="C345" s="149" t="str">
        <f t="shared" si="279"/>
        <v/>
      </c>
      <c r="D345" s="150" t="str">
        <f>IF(Data!F340="","",Data!F340)</f>
        <v/>
      </c>
      <c r="E345" s="151" t="str">
        <f>IF(Data!H340="","",Data!H340)</f>
        <v/>
      </c>
      <c r="F345" s="152" t="str">
        <f>IF(Data!I340="","",Data!I340)</f>
        <v/>
      </c>
      <c r="G345" s="153"/>
      <c r="H345" s="154"/>
      <c r="I345" s="154"/>
      <c r="J345" s="154"/>
      <c r="K345" s="154"/>
      <c r="L345" s="154"/>
      <c r="M345" s="154"/>
      <c r="N345" s="155"/>
      <c r="O345" s="157" t="str">
        <f t="shared" si="280"/>
        <v/>
      </c>
      <c r="P345" s="154"/>
      <c r="Q345" s="156"/>
      <c r="R345" s="157" t="str">
        <f t="shared" si="281"/>
        <v/>
      </c>
      <c r="S345" s="159" t="str">
        <f>IF(R345="","",IF(R345&gt;Data2!$C$12,Data2!$D$11,IF(R345&gt;Data2!$C$13,Data2!$D$12,IF(R345&gt;Data2!$C$14,Data2!$D$13,Data2!$D$14))))</f>
        <v/>
      </c>
      <c r="T345" s="144">
        <f t="shared" si="282"/>
        <v>0</v>
      </c>
      <c r="U345" s="144">
        <f t="shared" si="283"/>
        <v>0</v>
      </c>
      <c r="V345" s="144" t="str">
        <f t="shared" si="274"/>
        <v>Mulai berkembang</v>
      </c>
      <c r="W345" s="144" t="str">
        <f t="shared" si="275"/>
        <v>Mulai berkembang</v>
      </c>
      <c r="X345" s="144" t="e">
        <f t="shared" si="284"/>
        <v>#N/A</v>
      </c>
      <c r="Y345" s="145" t="e">
        <f t="shared" si="285"/>
        <v>#N/A</v>
      </c>
      <c r="Z345" s="218" t="str">
        <f>IF('PA-Non'!O313&lt;&gt;"",'PA-Non'!O313,IFERROR("Mempunyai kemampuan yang " &amp;IF(V345=W345,PROPER(W345)&amp;" dalam kompetensi "&amp;VLOOKUP(X345,$G$532:$I$539,3)&amp;" dan kompetensi "&amp;VLOOKUP(Y345,$G$532:$I$539,3),PROPER(V345)&amp;" dalam kompetensi "&amp;VLOOKUP(X345,$G$532:$I$539,3)&amp;" dan memiliki kemampuan yang "&amp;W345&amp;" pada kompetensi "&amp;VLOOKUP(Y345,$G$532:$I$539,3)),""))</f>
        <v/>
      </c>
      <c r="AA345" s="153"/>
      <c r="AB345" s="154"/>
      <c r="AC345" s="154"/>
      <c r="AD345" s="154"/>
      <c r="AE345" s="154"/>
      <c r="AF345" s="154"/>
      <c r="AG345" s="154"/>
      <c r="AH345" s="155"/>
      <c r="AI345" s="220" t="str">
        <f t="shared" si="286"/>
        <v/>
      </c>
      <c r="AJ345" s="160" t="str">
        <f>IF(AI345="","",IF(AI345&gt;Data2!$C$12,Data2!$D$11,IF(AI345&gt;Data2!$C$13,Data2!$D$12,IF(AI345&gt;Data2!$C$14,Data2!$D$13,Data2!$D$14))))</f>
        <v/>
      </c>
      <c r="AK345" s="146">
        <f t="shared" si="287"/>
        <v>0</v>
      </c>
      <c r="AL345" s="146">
        <f t="shared" si="288"/>
        <v>0</v>
      </c>
      <c r="AM345" s="147" t="str">
        <f t="shared" si="276"/>
        <v>Mulai meningkat</v>
      </c>
      <c r="AN345" s="147" t="str">
        <f t="shared" si="277"/>
        <v>Mulai meningkat</v>
      </c>
      <c r="AO345" s="146" t="e">
        <f t="shared" si="289"/>
        <v>#N/A</v>
      </c>
      <c r="AP345" s="148" t="e">
        <f t="shared" si="290"/>
        <v>#N/A</v>
      </c>
      <c r="AQ345" s="158" t="str">
        <f>IF('PA-Non'!V313&lt;&gt;"",'PA-Non'!V313,IFERROR("Mempunyai keterampilan yang "&amp;IF(AM345=AN345,PROPER(AN345)&amp;" dalam kompetensi "&amp;VLOOKUP(AO345,$AA$532:$AC$539,3)&amp;", demikian juga dalam kompetensi "&amp;VLOOKUP(AP345,$AA$532:$AC$539,3),PROPER(AM345)&amp;" dalam kompetensi "&amp;VLOOKUP(AO345,$AA$532:$AC$539,3)&amp;" dan "&amp;AN345&amp;" pada kompetensi "&amp;VLOOKUP(AP345,$AA$532:$AC$539,3)),""))</f>
        <v/>
      </c>
      <c r="AR345" s="188"/>
    </row>
    <row r="346" spans="2:44" ht="27.9" customHeight="1" thickBot="1" x14ac:dyDescent="0.35">
      <c r="B346" s="226" t="s">
        <v>127</v>
      </c>
      <c r="C346" s="149" t="str">
        <f t="shared" si="279"/>
        <v/>
      </c>
      <c r="D346" s="150" t="str">
        <f>IF(Data!F341="","",Data!F341)</f>
        <v/>
      </c>
      <c r="E346" s="151" t="str">
        <f>IF(Data!H341="","",Data!H341)</f>
        <v/>
      </c>
      <c r="F346" s="152" t="str">
        <f>IF(Data!I341="","",Data!I341)</f>
        <v/>
      </c>
      <c r="G346" s="153"/>
      <c r="H346" s="154"/>
      <c r="I346" s="154"/>
      <c r="J346" s="154"/>
      <c r="K346" s="154"/>
      <c r="L346" s="154"/>
      <c r="M346" s="154"/>
      <c r="N346" s="155"/>
      <c r="O346" s="157" t="str">
        <f t="shared" si="280"/>
        <v/>
      </c>
      <c r="P346" s="154"/>
      <c r="Q346" s="156"/>
      <c r="R346" s="157" t="str">
        <f t="shared" si="281"/>
        <v/>
      </c>
      <c r="S346" s="159" t="str">
        <f>IF(R346="","",IF(R346&gt;Data2!$C$12,Data2!$D$11,IF(R346&gt;Data2!$C$13,Data2!$D$12,IF(R346&gt;Data2!$C$14,Data2!$D$13,Data2!$D$14))))</f>
        <v/>
      </c>
      <c r="T346" s="144">
        <f t="shared" si="282"/>
        <v>0</v>
      </c>
      <c r="U346" s="144">
        <f t="shared" si="283"/>
        <v>0</v>
      </c>
      <c r="V346" s="144" t="str">
        <f t="shared" si="274"/>
        <v>Mulai berkembang</v>
      </c>
      <c r="W346" s="144" t="str">
        <f t="shared" si="275"/>
        <v>Mulai berkembang</v>
      </c>
      <c r="X346" s="144" t="e">
        <f t="shared" si="284"/>
        <v>#N/A</v>
      </c>
      <c r="Y346" s="145" t="e">
        <f t="shared" si="285"/>
        <v>#N/A</v>
      </c>
      <c r="Z346" s="218" t="str">
        <f>IF('PA-Non'!O314&lt;&gt;"",'PA-Non'!O314,IFERROR("Mempunyai kemampuan yang " &amp;IF(V346=W346,PROPER(W346)&amp;" dalam kompetensi "&amp;VLOOKUP(X346,$G$532:$I$539,3)&amp;" dan kompetensi "&amp;VLOOKUP(Y346,$G$532:$I$539,3),PROPER(V346)&amp;" dalam kompetensi "&amp;VLOOKUP(X346,$G$532:$I$539,3)&amp;" dan memiliki kemampuan yang "&amp;W346&amp;" pada kompetensi "&amp;VLOOKUP(Y346,$G$532:$I$539,3)),""))</f>
        <v/>
      </c>
      <c r="AA346" s="153"/>
      <c r="AB346" s="154"/>
      <c r="AC346" s="154"/>
      <c r="AD346" s="154"/>
      <c r="AE346" s="154"/>
      <c r="AF346" s="154"/>
      <c r="AG346" s="154"/>
      <c r="AH346" s="155"/>
      <c r="AI346" s="220" t="str">
        <f t="shared" si="286"/>
        <v/>
      </c>
      <c r="AJ346" s="160" t="str">
        <f>IF(AI346="","",IF(AI346&gt;Data2!$C$12,Data2!$D$11,IF(AI346&gt;Data2!$C$13,Data2!$D$12,IF(AI346&gt;Data2!$C$14,Data2!$D$13,Data2!$D$14))))</f>
        <v/>
      </c>
      <c r="AK346" s="146">
        <f t="shared" si="287"/>
        <v>0</v>
      </c>
      <c r="AL346" s="146">
        <f t="shared" si="288"/>
        <v>0</v>
      </c>
      <c r="AM346" s="147" t="str">
        <f t="shared" si="276"/>
        <v>Mulai meningkat</v>
      </c>
      <c r="AN346" s="147" t="str">
        <f t="shared" si="277"/>
        <v>Mulai meningkat</v>
      </c>
      <c r="AO346" s="146" t="e">
        <f t="shared" si="289"/>
        <v>#N/A</v>
      </c>
      <c r="AP346" s="148" t="e">
        <f t="shared" si="290"/>
        <v>#N/A</v>
      </c>
      <c r="AQ346" s="158" t="str">
        <f>IF('PA-Non'!V314&lt;&gt;"",'PA-Non'!V314,IFERROR("Mempunyai keterampilan yang "&amp;IF(AM346=AN346,PROPER(AN346)&amp;" dalam kompetensi "&amp;VLOOKUP(AO346,$AA$532:$AC$539,3)&amp;", demikian juga dalam kompetensi "&amp;VLOOKUP(AP346,$AA$532:$AC$539,3),PROPER(AM346)&amp;" dalam kompetensi "&amp;VLOOKUP(AO346,$AA$532:$AC$539,3)&amp;" dan "&amp;AN346&amp;" pada kompetensi "&amp;VLOOKUP(AP346,$AA$532:$AC$539,3)),""))</f>
        <v/>
      </c>
      <c r="AR346" s="188"/>
    </row>
    <row r="347" spans="2:44" ht="27.9" customHeight="1" thickBot="1" x14ac:dyDescent="0.35">
      <c r="B347" s="226" t="s">
        <v>127</v>
      </c>
      <c r="C347" s="149" t="str">
        <f t="shared" si="279"/>
        <v/>
      </c>
      <c r="D347" s="150" t="str">
        <f>IF(Data!F342="","",Data!F342)</f>
        <v/>
      </c>
      <c r="E347" s="151" t="str">
        <f>IF(Data!H342="","",Data!H342)</f>
        <v/>
      </c>
      <c r="F347" s="152" t="str">
        <f>IF(Data!I342="","",Data!I342)</f>
        <v/>
      </c>
      <c r="G347" s="153"/>
      <c r="H347" s="154"/>
      <c r="I347" s="154"/>
      <c r="J347" s="154"/>
      <c r="K347" s="154"/>
      <c r="L347" s="154"/>
      <c r="M347" s="154"/>
      <c r="N347" s="155"/>
      <c r="O347" s="157" t="str">
        <f t="shared" si="280"/>
        <v/>
      </c>
      <c r="P347" s="154"/>
      <c r="Q347" s="156"/>
      <c r="R347" s="157" t="str">
        <f t="shared" si="281"/>
        <v/>
      </c>
      <c r="S347" s="159" t="str">
        <f>IF(R347="","",IF(R347&gt;Data2!$C$12,Data2!$D$11,IF(R347&gt;Data2!$C$13,Data2!$D$12,IF(R347&gt;Data2!$C$14,Data2!$D$13,Data2!$D$14))))</f>
        <v/>
      </c>
      <c r="T347" s="144">
        <f t="shared" si="282"/>
        <v>0</v>
      </c>
      <c r="U347" s="144">
        <f t="shared" si="283"/>
        <v>0</v>
      </c>
      <c r="V347" s="144" t="str">
        <f t="shared" si="274"/>
        <v>Mulai berkembang</v>
      </c>
      <c r="W347" s="144" t="str">
        <f t="shared" si="275"/>
        <v>Mulai berkembang</v>
      </c>
      <c r="X347" s="144" t="e">
        <f t="shared" si="284"/>
        <v>#N/A</v>
      </c>
      <c r="Y347" s="145" t="e">
        <f t="shared" si="285"/>
        <v>#N/A</v>
      </c>
      <c r="Z347" s="218" t="str">
        <f>IF('PA-Non'!O315&lt;&gt;"",'PA-Non'!O315,IFERROR("Mempunyai kemampuan yang " &amp;IF(V347=W347,PROPER(W347)&amp;" dalam kompetensi "&amp;VLOOKUP(X347,$G$532:$I$539,3)&amp;" dan kompetensi "&amp;VLOOKUP(Y347,$G$532:$I$539,3),PROPER(V347)&amp;" dalam kompetensi "&amp;VLOOKUP(X347,$G$532:$I$539,3)&amp;" dan memiliki kemampuan yang "&amp;W347&amp;" pada kompetensi "&amp;VLOOKUP(Y347,$G$532:$I$539,3)),""))</f>
        <v/>
      </c>
      <c r="AA347" s="153"/>
      <c r="AB347" s="154"/>
      <c r="AC347" s="154"/>
      <c r="AD347" s="154"/>
      <c r="AE347" s="154"/>
      <c r="AF347" s="154"/>
      <c r="AG347" s="154"/>
      <c r="AH347" s="155"/>
      <c r="AI347" s="220" t="str">
        <f t="shared" si="286"/>
        <v/>
      </c>
      <c r="AJ347" s="160" t="str">
        <f>IF(AI347="","",IF(AI347&gt;Data2!$C$12,Data2!$D$11,IF(AI347&gt;Data2!$C$13,Data2!$D$12,IF(AI347&gt;Data2!$C$14,Data2!$D$13,Data2!$D$14))))</f>
        <v/>
      </c>
      <c r="AK347" s="146">
        <f t="shared" si="287"/>
        <v>0</v>
      </c>
      <c r="AL347" s="146">
        <f t="shared" si="288"/>
        <v>0</v>
      </c>
      <c r="AM347" s="147" t="str">
        <f t="shared" si="276"/>
        <v>Mulai meningkat</v>
      </c>
      <c r="AN347" s="147" t="str">
        <f t="shared" si="277"/>
        <v>Mulai meningkat</v>
      </c>
      <c r="AO347" s="146" t="e">
        <f t="shared" si="289"/>
        <v>#N/A</v>
      </c>
      <c r="AP347" s="148" t="e">
        <f t="shared" si="290"/>
        <v>#N/A</v>
      </c>
      <c r="AQ347" s="158" t="str">
        <f>IF('PA-Non'!V315&lt;&gt;"",'PA-Non'!V315,IFERROR("Mempunyai keterampilan yang "&amp;IF(AM347=AN347,PROPER(AN347)&amp;" dalam kompetensi "&amp;VLOOKUP(AO347,$AA$532:$AC$539,3)&amp;", demikian juga dalam kompetensi "&amp;VLOOKUP(AP347,$AA$532:$AC$539,3),PROPER(AM347)&amp;" dalam kompetensi "&amp;VLOOKUP(AO347,$AA$532:$AC$539,3)&amp;" dan "&amp;AN347&amp;" pada kompetensi "&amp;VLOOKUP(AP347,$AA$532:$AC$539,3)),""))</f>
        <v/>
      </c>
      <c r="AR347" s="188"/>
    </row>
    <row r="348" spans="2:44" ht="27.9" customHeight="1" thickBot="1" x14ac:dyDescent="0.35">
      <c r="B348" s="226" t="s">
        <v>127</v>
      </c>
      <c r="C348" s="149" t="str">
        <f t="shared" si="279"/>
        <v/>
      </c>
      <c r="D348" s="150" t="str">
        <f>IF(Data!F343="","",Data!F343)</f>
        <v/>
      </c>
      <c r="E348" s="151" t="str">
        <f>IF(Data!H343="","",Data!H343)</f>
        <v/>
      </c>
      <c r="F348" s="152" t="str">
        <f>IF(Data!I343="","",Data!I343)</f>
        <v/>
      </c>
      <c r="G348" s="153"/>
      <c r="H348" s="154"/>
      <c r="I348" s="154"/>
      <c r="J348" s="154"/>
      <c r="K348" s="154"/>
      <c r="L348" s="154"/>
      <c r="M348" s="154"/>
      <c r="N348" s="155"/>
      <c r="O348" s="157" t="str">
        <f t="shared" si="280"/>
        <v/>
      </c>
      <c r="P348" s="154"/>
      <c r="Q348" s="156"/>
      <c r="R348" s="157" t="str">
        <f t="shared" si="281"/>
        <v/>
      </c>
      <c r="S348" s="159" t="str">
        <f>IF(R348="","",IF(R348&gt;Data2!$C$12,Data2!$D$11,IF(R348&gt;Data2!$C$13,Data2!$D$12,IF(R348&gt;Data2!$C$14,Data2!$D$13,Data2!$D$14))))</f>
        <v/>
      </c>
      <c r="T348" s="144">
        <f t="shared" si="282"/>
        <v>0</v>
      </c>
      <c r="U348" s="144">
        <f t="shared" si="283"/>
        <v>0</v>
      </c>
      <c r="V348" s="144" t="str">
        <f t="shared" si="274"/>
        <v>Mulai berkembang</v>
      </c>
      <c r="W348" s="144" t="str">
        <f t="shared" si="275"/>
        <v>Mulai berkembang</v>
      </c>
      <c r="X348" s="144" t="e">
        <f t="shared" si="284"/>
        <v>#N/A</v>
      </c>
      <c r="Y348" s="145" t="e">
        <f t="shared" si="285"/>
        <v>#N/A</v>
      </c>
      <c r="Z348" s="218" t="str">
        <f>IF('PA-Non'!O316&lt;&gt;"",'PA-Non'!O316,IFERROR("Mempunyai kemampuan yang " &amp;IF(V348=W348,PROPER(W348)&amp;" dalam kompetensi "&amp;VLOOKUP(X348,$G$532:$I$539,3)&amp;" dan kompetensi "&amp;VLOOKUP(Y348,$G$532:$I$539,3),PROPER(V348)&amp;" dalam kompetensi "&amp;VLOOKUP(X348,$G$532:$I$539,3)&amp;" dan memiliki kemampuan yang "&amp;W348&amp;" pada kompetensi "&amp;VLOOKUP(Y348,$G$532:$I$539,3)),""))</f>
        <v/>
      </c>
      <c r="AA348" s="153"/>
      <c r="AB348" s="154"/>
      <c r="AC348" s="154"/>
      <c r="AD348" s="154"/>
      <c r="AE348" s="154"/>
      <c r="AF348" s="154"/>
      <c r="AG348" s="154"/>
      <c r="AH348" s="155"/>
      <c r="AI348" s="220" t="str">
        <f t="shared" si="286"/>
        <v/>
      </c>
      <c r="AJ348" s="160" t="str">
        <f>IF(AI348="","",IF(AI348&gt;Data2!$C$12,Data2!$D$11,IF(AI348&gt;Data2!$C$13,Data2!$D$12,IF(AI348&gt;Data2!$C$14,Data2!$D$13,Data2!$D$14))))</f>
        <v/>
      </c>
      <c r="AK348" s="146">
        <f t="shared" si="287"/>
        <v>0</v>
      </c>
      <c r="AL348" s="146">
        <f t="shared" si="288"/>
        <v>0</v>
      </c>
      <c r="AM348" s="147" t="str">
        <f t="shared" si="276"/>
        <v>Mulai meningkat</v>
      </c>
      <c r="AN348" s="147" t="str">
        <f t="shared" si="277"/>
        <v>Mulai meningkat</v>
      </c>
      <c r="AO348" s="146" t="e">
        <f t="shared" si="289"/>
        <v>#N/A</v>
      </c>
      <c r="AP348" s="148" t="e">
        <f t="shared" si="290"/>
        <v>#N/A</v>
      </c>
      <c r="AQ348" s="158" t="str">
        <f>IF('PA-Non'!V316&lt;&gt;"",'PA-Non'!V316,IFERROR("Mempunyai keterampilan yang "&amp;IF(AM348=AN348,PROPER(AN348)&amp;" dalam kompetensi "&amp;VLOOKUP(AO348,$AA$532:$AC$539,3)&amp;", demikian juga dalam kompetensi "&amp;VLOOKUP(AP348,$AA$532:$AC$539,3),PROPER(AM348)&amp;" dalam kompetensi "&amp;VLOOKUP(AO348,$AA$532:$AC$539,3)&amp;" dan "&amp;AN348&amp;" pada kompetensi "&amp;VLOOKUP(AP348,$AA$532:$AC$539,3)),""))</f>
        <v/>
      </c>
      <c r="AR348" s="188"/>
    </row>
    <row r="349" spans="2:44" ht="27.9" customHeight="1" thickBot="1" x14ac:dyDescent="0.35">
      <c r="B349" s="226" t="s">
        <v>127</v>
      </c>
      <c r="C349" s="149" t="str">
        <f t="shared" si="279"/>
        <v/>
      </c>
      <c r="D349" s="150" t="str">
        <f>IF(Data!F344="","",Data!F344)</f>
        <v/>
      </c>
      <c r="E349" s="151" t="str">
        <f>IF(Data!H344="","",Data!H344)</f>
        <v/>
      </c>
      <c r="F349" s="152" t="str">
        <f>IF(Data!I344="","",Data!I344)</f>
        <v/>
      </c>
      <c r="G349" s="153"/>
      <c r="H349" s="154"/>
      <c r="I349" s="154"/>
      <c r="J349" s="154"/>
      <c r="K349" s="154"/>
      <c r="L349" s="154"/>
      <c r="M349" s="154"/>
      <c r="N349" s="155"/>
      <c r="O349" s="157" t="str">
        <f t="shared" si="280"/>
        <v/>
      </c>
      <c r="P349" s="154"/>
      <c r="Q349" s="156"/>
      <c r="R349" s="157" t="str">
        <f t="shared" si="281"/>
        <v/>
      </c>
      <c r="S349" s="159" t="str">
        <f>IF(R349="","",IF(R349&gt;Data2!$C$12,Data2!$D$11,IF(R349&gt;Data2!$C$13,Data2!$D$12,IF(R349&gt;Data2!$C$14,Data2!$D$13,Data2!$D$14))))</f>
        <v/>
      </c>
      <c r="T349" s="144">
        <f t="shared" si="282"/>
        <v>0</v>
      </c>
      <c r="U349" s="144">
        <f t="shared" si="283"/>
        <v>0</v>
      </c>
      <c r="V349" s="144" t="str">
        <f t="shared" si="274"/>
        <v>Mulai berkembang</v>
      </c>
      <c r="W349" s="144" t="str">
        <f t="shared" si="275"/>
        <v>Mulai berkembang</v>
      </c>
      <c r="X349" s="144" t="e">
        <f t="shared" si="284"/>
        <v>#N/A</v>
      </c>
      <c r="Y349" s="145" t="e">
        <f t="shared" si="285"/>
        <v>#N/A</v>
      </c>
      <c r="Z349" s="218" t="str">
        <f>IF('PA-Non'!O317&lt;&gt;"",'PA-Non'!O317,IFERROR("Mempunyai kemampuan yang " &amp;IF(V349=W349,PROPER(W349)&amp;" dalam kompetensi "&amp;VLOOKUP(X349,$G$532:$I$539,3)&amp;" dan kompetensi "&amp;VLOOKUP(Y349,$G$532:$I$539,3),PROPER(V349)&amp;" dalam kompetensi "&amp;VLOOKUP(X349,$G$532:$I$539,3)&amp;" dan memiliki kemampuan yang "&amp;W349&amp;" pada kompetensi "&amp;VLOOKUP(Y349,$G$532:$I$539,3)),""))</f>
        <v/>
      </c>
      <c r="AA349" s="153"/>
      <c r="AB349" s="154"/>
      <c r="AC349" s="154"/>
      <c r="AD349" s="154"/>
      <c r="AE349" s="154"/>
      <c r="AF349" s="154"/>
      <c r="AG349" s="154"/>
      <c r="AH349" s="155"/>
      <c r="AI349" s="220" t="str">
        <f t="shared" si="286"/>
        <v/>
      </c>
      <c r="AJ349" s="160" t="str">
        <f>IF(AI349="","",IF(AI349&gt;Data2!$C$12,Data2!$D$11,IF(AI349&gt;Data2!$C$13,Data2!$D$12,IF(AI349&gt;Data2!$C$14,Data2!$D$13,Data2!$D$14))))</f>
        <v/>
      </c>
      <c r="AK349" s="146">
        <f t="shared" si="287"/>
        <v>0</v>
      </c>
      <c r="AL349" s="146">
        <f t="shared" si="288"/>
        <v>0</v>
      </c>
      <c r="AM349" s="147" t="str">
        <f t="shared" si="276"/>
        <v>Mulai meningkat</v>
      </c>
      <c r="AN349" s="147" t="str">
        <f t="shared" si="277"/>
        <v>Mulai meningkat</v>
      </c>
      <c r="AO349" s="146" t="e">
        <f t="shared" si="289"/>
        <v>#N/A</v>
      </c>
      <c r="AP349" s="148" t="e">
        <f t="shared" si="290"/>
        <v>#N/A</v>
      </c>
      <c r="AQ349" s="158" t="str">
        <f>IF('PA-Non'!V317&lt;&gt;"",'PA-Non'!V317,IFERROR("Mempunyai keterampilan yang "&amp;IF(AM349=AN349,PROPER(AN349)&amp;" dalam kompetensi "&amp;VLOOKUP(AO349,$AA$532:$AC$539,3)&amp;", demikian juga dalam kompetensi "&amp;VLOOKUP(AP349,$AA$532:$AC$539,3),PROPER(AM349)&amp;" dalam kompetensi "&amp;VLOOKUP(AO349,$AA$532:$AC$539,3)&amp;" dan "&amp;AN349&amp;" pada kompetensi "&amp;VLOOKUP(AP349,$AA$532:$AC$539,3)),""))</f>
        <v/>
      </c>
      <c r="AR349" s="188"/>
    </row>
    <row r="350" spans="2:44" ht="27.9" customHeight="1" thickBot="1" x14ac:dyDescent="0.35">
      <c r="B350" s="226" t="s">
        <v>127</v>
      </c>
      <c r="C350" s="149" t="str">
        <f t="shared" si="279"/>
        <v/>
      </c>
      <c r="D350" s="150" t="str">
        <f>IF(Data!F345="","",Data!F345)</f>
        <v/>
      </c>
      <c r="E350" s="151" t="str">
        <f>IF(Data!H345="","",Data!H345)</f>
        <v/>
      </c>
      <c r="F350" s="152" t="str">
        <f>IF(Data!I345="","",Data!I345)</f>
        <v/>
      </c>
      <c r="G350" s="153"/>
      <c r="H350" s="154"/>
      <c r="I350" s="154"/>
      <c r="J350" s="154"/>
      <c r="K350" s="154"/>
      <c r="L350" s="154"/>
      <c r="M350" s="154"/>
      <c r="N350" s="155"/>
      <c r="O350" s="157" t="str">
        <f t="shared" si="280"/>
        <v/>
      </c>
      <c r="P350" s="154"/>
      <c r="Q350" s="156"/>
      <c r="R350" s="157" t="str">
        <f t="shared" si="281"/>
        <v/>
      </c>
      <c r="S350" s="159" t="str">
        <f>IF(R350="","",IF(R350&gt;Data2!$C$12,Data2!$D$11,IF(R350&gt;Data2!$C$13,Data2!$D$12,IF(R350&gt;Data2!$C$14,Data2!$D$13,Data2!$D$14))))</f>
        <v/>
      </c>
      <c r="T350" s="144">
        <f t="shared" si="282"/>
        <v>0</v>
      </c>
      <c r="U350" s="144">
        <f t="shared" si="283"/>
        <v>0</v>
      </c>
      <c r="V350" s="144" t="str">
        <f t="shared" si="274"/>
        <v>Mulai berkembang</v>
      </c>
      <c r="W350" s="144" t="str">
        <f t="shared" si="275"/>
        <v>Mulai berkembang</v>
      </c>
      <c r="X350" s="144" t="e">
        <f t="shared" si="284"/>
        <v>#N/A</v>
      </c>
      <c r="Y350" s="145" t="e">
        <f t="shared" si="285"/>
        <v>#N/A</v>
      </c>
      <c r="Z350" s="218" t="str">
        <f>IF('PA-Non'!O318&lt;&gt;"",'PA-Non'!O318,IFERROR("Mempunyai kemampuan yang " &amp;IF(V350=W350,PROPER(W350)&amp;" dalam kompetensi "&amp;VLOOKUP(X350,$G$532:$I$539,3)&amp;" dan kompetensi "&amp;VLOOKUP(Y350,$G$532:$I$539,3),PROPER(V350)&amp;" dalam kompetensi "&amp;VLOOKUP(X350,$G$532:$I$539,3)&amp;" dan memiliki kemampuan yang "&amp;W350&amp;" pada kompetensi "&amp;VLOOKUP(Y350,$G$532:$I$539,3)),""))</f>
        <v/>
      </c>
      <c r="AA350" s="153"/>
      <c r="AB350" s="154"/>
      <c r="AC350" s="154"/>
      <c r="AD350" s="154"/>
      <c r="AE350" s="154"/>
      <c r="AF350" s="154"/>
      <c r="AG350" s="154"/>
      <c r="AH350" s="155"/>
      <c r="AI350" s="220" t="str">
        <f t="shared" si="286"/>
        <v/>
      </c>
      <c r="AJ350" s="160" t="str">
        <f>IF(AI350="","",IF(AI350&gt;Data2!$C$12,Data2!$D$11,IF(AI350&gt;Data2!$C$13,Data2!$D$12,IF(AI350&gt;Data2!$C$14,Data2!$D$13,Data2!$D$14))))</f>
        <v/>
      </c>
      <c r="AK350" s="146">
        <f t="shared" si="287"/>
        <v>0</v>
      </c>
      <c r="AL350" s="146">
        <f t="shared" si="288"/>
        <v>0</v>
      </c>
      <c r="AM350" s="147" t="str">
        <f t="shared" si="276"/>
        <v>Mulai meningkat</v>
      </c>
      <c r="AN350" s="147" t="str">
        <f t="shared" si="277"/>
        <v>Mulai meningkat</v>
      </c>
      <c r="AO350" s="146" t="e">
        <f t="shared" si="289"/>
        <v>#N/A</v>
      </c>
      <c r="AP350" s="148" t="e">
        <f t="shared" si="290"/>
        <v>#N/A</v>
      </c>
      <c r="AQ350" s="158" t="str">
        <f>IF('PA-Non'!V318&lt;&gt;"",'PA-Non'!V318,IFERROR("Mempunyai keterampilan yang "&amp;IF(AM350=AN350,PROPER(AN350)&amp;" dalam kompetensi "&amp;VLOOKUP(AO350,$AA$532:$AC$539,3)&amp;", demikian juga dalam kompetensi "&amp;VLOOKUP(AP350,$AA$532:$AC$539,3),PROPER(AM350)&amp;" dalam kompetensi "&amp;VLOOKUP(AO350,$AA$532:$AC$539,3)&amp;" dan "&amp;AN350&amp;" pada kompetensi "&amp;VLOOKUP(AP350,$AA$532:$AC$539,3)),""))</f>
        <v/>
      </c>
      <c r="AR350" s="188"/>
    </row>
    <row r="351" spans="2:44" ht="27.9" customHeight="1" thickBot="1" x14ac:dyDescent="0.35">
      <c r="B351" s="226" t="s">
        <v>127</v>
      </c>
      <c r="C351" s="149" t="str">
        <f t="shared" si="279"/>
        <v/>
      </c>
      <c r="D351" s="150" t="str">
        <f>IF(Data!F346="","",Data!F346)</f>
        <v/>
      </c>
      <c r="E351" s="151" t="str">
        <f>IF(Data!H346="","",Data!H346)</f>
        <v/>
      </c>
      <c r="F351" s="152" t="str">
        <f>IF(Data!I346="","",Data!I346)</f>
        <v/>
      </c>
      <c r="G351" s="153"/>
      <c r="H351" s="154"/>
      <c r="I351" s="154"/>
      <c r="J351" s="154"/>
      <c r="K351" s="154"/>
      <c r="L351" s="154"/>
      <c r="M351" s="154"/>
      <c r="N351" s="155"/>
      <c r="O351" s="157" t="str">
        <f t="shared" si="280"/>
        <v/>
      </c>
      <c r="P351" s="154"/>
      <c r="Q351" s="156"/>
      <c r="R351" s="157" t="str">
        <f t="shared" si="281"/>
        <v/>
      </c>
      <c r="S351" s="159" t="str">
        <f>IF(R351="","",IF(R351&gt;Data2!$C$12,Data2!$D$11,IF(R351&gt;Data2!$C$13,Data2!$D$12,IF(R351&gt;Data2!$C$14,Data2!$D$13,Data2!$D$14))))</f>
        <v/>
      </c>
      <c r="T351" s="144">
        <f t="shared" si="282"/>
        <v>0</v>
      </c>
      <c r="U351" s="144">
        <f t="shared" si="283"/>
        <v>0</v>
      </c>
      <c r="V351" s="144" t="str">
        <f t="shared" si="274"/>
        <v>Mulai berkembang</v>
      </c>
      <c r="W351" s="144" t="str">
        <f t="shared" si="275"/>
        <v>Mulai berkembang</v>
      </c>
      <c r="X351" s="144" t="e">
        <f t="shared" si="284"/>
        <v>#N/A</v>
      </c>
      <c r="Y351" s="145" t="e">
        <f t="shared" si="285"/>
        <v>#N/A</v>
      </c>
      <c r="Z351" s="218" t="str">
        <f>IF('PA-Non'!O319&lt;&gt;"",'PA-Non'!O319,IFERROR("Mempunyai kemampuan yang " &amp;IF(V351=W351,PROPER(W351)&amp;" dalam kompetensi "&amp;VLOOKUP(X351,$G$532:$I$539,3)&amp;" dan kompetensi "&amp;VLOOKUP(Y351,$G$532:$I$539,3),PROPER(V351)&amp;" dalam kompetensi "&amp;VLOOKUP(X351,$G$532:$I$539,3)&amp;" dan memiliki kemampuan yang "&amp;W351&amp;" pada kompetensi "&amp;VLOOKUP(Y351,$G$532:$I$539,3)),""))</f>
        <v/>
      </c>
      <c r="AA351" s="153"/>
      <c r="AB351" s="154"/>
      <c r="AC351" s="154"/>
      <c r="AD351" s="154"/>
      <c r="AE351" s="154"/>
      <c r="AF351" s="154"/>
      <c r="AG351" s="154"/>
      <c r="AH351" s="155"/>
      <c r="AI351" s="220" t="str">
        <f t="shared" si="286"/>
        <v/>
      </c>
      <c r="AJ351" s="160" t="str">
        <f>IF(AI351="","",IF(AI351&gt;Data2!$C$12,Data2!$D$11,IF(AI351&gt;Data2!$C$13,Data2!$D$12,IF(AI351&gt;Data2!$C$14,Data2!$D$13,Data2!$D$14))))</f>
        <v/>
      </c>
      <c r="AK351" s="146">
        <f t="shared" si="287"/>
        <v>0</v>
      </c>
      <c r="AL351" s="146">
        <f t="shared" si="288"/>
        <v>0</v>
      </c>
      <c r="AM351" s="147" t="str">
        <f t="shared" si="276"/>
        <v>Mulai meningkat</v>
      </c>
      <c r="AN351" s="147" t="str">
        <f t="shared" si="277"/>
        <v>Mulai meningkat</v>
      </c>
      <c r="AO351" s="146" t="e">
        <f t="shared" si="289"/>
        <v>#N/A</v>
      </c>
      <c r="AP351" s="148" t="e">
        <f t="shared" si="290"/>
        <v>#N/A</v>
      </c>
      <c r="AQ351" s="158" t="str">
        <f>IF('PA-Non'!V319&lt;&gt;"",'PA-Non'!V319,IFERROR("Mempunyai keterampilan yang "&amp;IF(AM351=AN351,PROPER(AN351)&amp;" dalam kompetensi "&amp;VLOOKUP(AO351,$AA$532:$AC$539,3)&amp;", demikian juga dalam kompetensi "&amp;VLOOKUP(AP351,$AA$532:$AC$539,3),PROPER(AM351)&amp;" dalam kompetensi "&amp;VLOOKUP(AO351,$AA$532:$AC$539,3)&amp;" dan "&amp;AN351&amp;" pada kompetensi "&amp;VLOOKUP(AP351,$AA$532:$AC$539,3)),""))</f>
        <v/>
      </c>
      <c r="AR351" s="188"/>
    </row>
    <row r="352" spans="2:44" ht="27.9" customHeight="1" thickBot="1" x14ac:dyDescent="0.35">
      <c r="B352" s="226" t="s">
        <v>127</v>
      </c>
      <c r="C352" s="149" t="str">
        <f t="shared" si="279"/>
        <v/>
      </c>
      <c r="D352" s="150" t="str">
        <f>IF(Data!F347="","",Data!F347)</f>
        <v/>
      </c>
      <c r="E352" s="151" t="str">
        <f>IF(Data!H347="","",Data!H347)</f>
        <v/>
      </c>
      <c r="F352" s="152" t="str">
        <f>IF(Data!I347="","",Data!I347)</f>
        <v/>
      </c>
      <c r="G352" s="153"/>
      <c r="H352" s="154"/>
      <c r="I352" s="154"/>
      <c r="J352" s="154"/>
      <c r="K352" s="154"/>
      <c r="L352" s="154"/>
      <c r="M352" s="154"/>
      <c r="N352" s="155"/>
      <c r="O352" s="157" t="str">
        <f t="shared" si="280"/>
        <v/>
      </c>
      <c r="P352" s="154"/>
      <c r="Q352" s="156"/>
      <c r="R352" s="157" t="str">
        <f t="shared" si="281"/>
        <v/>
      </c>
      <c r="S352" s="159" t="str">
        <f>IF(R352="","",IF(R352&gt;Data2!$C$12,Data2!$D$11,IF(R352&gt;Data2!$C$13,Data2!$D$12,IF(R352&gt;Data2!$C$14,Data2!$D$13,Data2!$D$14))))</f>
        <v/>
      </c>
      <c r="T352" s="144">
        <f t="shared" si="282"/>
        <v>0</v>
      </c>
      <c r="U352" s="144">
        <f t="shared" si="283"/>
        <v>0</v>
      </c>
      <c r="V352" s="144" t="str">
        <f t="shared" si="274"/>
        <v>Mulai berkembang</v>
      </c>
      <c r="W352" s="144" t="str">
        <f t="shared" si="275"/>
        <v>Mulai berkembang</v>
      </c>
      <c r="X352" s="144" t="e">
        <f t="shared" si="284"/>
        <v>#N/A</v>
      </c>
      <c r="Y352" s="145" t="e">
        <f t="shared" si="285"/>
        <v>#N/A</v>
      </c>
      <c r="Z352" s="218" t="str">
        <f>IF('PA-Non'!O320&lt;&gt;"",'PA-Non'!O320,IFERROR("Mempunyai kemampuan yang " &amp;IF(V352=W352,PROPER(W352)&amp;" dalam kompetensi "&amp;VLOOKUP(X352,$G$532:$I$539,3)&amp;" dan kompetensi "&amp;VLOOKUP(Y352,$G$532:$I$539,3),PROPER(V352)&amp;" dalam kompetensi "&amp;VLOOKUP(X352,$G$532:$I$539,3)&amp;" dan memiliki kemampuan yang "&amp;W352&amp;" pada kompetensi "&amp;VLOOKUP(Y352,$G$532:$I$539,3)),""))</f>
        <v/>
      </c>
      <c r="AA352" s="153"/>
      <c r="AB352" s="154"/>
      <c r="AC352" s="154"/>
      <c r="AD352" s="154"/>
      <c r="AE352" s="154"/>
      <c r="AF352" s="154"/>
      <c r="AG352" s="154"/>
      <c r="AH352" s="155"/>
      <c r="AI352" s="220" t="str">
        <f t="shared" si="286"/>
        <v/>
      </c>
      <c r="AJ352" s="160" t="str">
        <f>IF(AI352="","",IF(AI352&gt;Data2!$C$12,Data2!$D$11,IF(AI352&gt;Data2!$C$13,Data2!$D$12,IF(AI352&gt;Data2!$C$14,Data2!$D$13,Data2!$D$14))))</f>
        <v/>
      </c>
      <c r="AK352" s="146">
        <f t="shared" si="287"/>
        <v>0</v>
      </c>
      <c r="AL352" s="146">
        <f t="shared" si="288"/>
        <v>0</v>
      </c>
      <c r="AM352" s="147" t="str">
        <f t="shared" si="276"/>
        <v>Mulai meningkat</v>
      </c>
      <c r="AN352" s="147" t="str">
        <f t="shared" si="277"/>
        <v>Mulai meningkat</v>
      </c>
      <c r="AO352" s="146" t="e">
        <f t="shared" si="289"/>
        <v>#N/A</v>
      </c>
      <c r="AP352" s="148" t="e">
        <f t="shared" si="290"/>
        <v>#N/A</v>
      </c>
      <c r="AQ352" s="158" t="str">
        <f>IF('PA-Non'!V320&lt;&gt;"",'PA-Non'!V320,IFERROR("Mempunyai keterampilan yang "&amp;IF(AM352=AN352,PROPER(AN352)&amp;" dalam kompetensi "&amp;VLOOKUP(AO352,$AA$532:$AC$539,3)&amp;", demikian juga dalam kompetensi "&amp;VLOOKUP(AP352,$AA$532:$AC$539,3),PROPER(AM352)&amp;" dalam kompetensi "&amp;VLOOKUP(AO352,$AA$532:$AC$539,3)&amp;" dan "&amp;AN352&amp;" pada kompetensi "&amp;VLOOKUP(AP352,$AA$532:$AC$539,3)),""))</f>
        <v/>
      </c>
      <c r="AR352" s="188"/>
    </row>
    <row r="353" spans="2:44" ht="27.9" customHeight="1" thickBot="1" x14ac:dyDescent="0.35">
      <c r="B353" s="226" t="s">
        <v>127</v>
      </c>
      <c r="C353" s="149" t="str">
        <f t="shared" si="279"/>
        <v/>
      </c>
      <c r="D353" s="150" t="str">
        <f>IF(Data!F348="","",Data!F348)</f>
        <v/>
      </c>
      <c r="E353" s="151" t="str">
        <f>IF(Data!H348="","",Data!H348)</f>
        <v/>
      </c>
      <c r="F353" s="152" t="str">
        <f>IF(Data!I348="","",Data!I348)</f>
        <v/>
      </c>
      <c r="G353" s="153"/>
      <c r="H353" s="154"/>
      <c r="I353" s="154"/>
      <c r="J353" s="154"/>
      <c r="K353" s="154"/>
      <c r="L353" s="154"/>
      <c r="M353" s="154"/>
      <c r="N353" s="155"/>
      <c r="O353" s="157" t="str">
        <f t="shared" si="280"/>
        <v/>
      </c>
      <c r="P353" s="154"/>
      <c r="Q353" s="156"/>
      <c r="R353" s="157" t="str">
        <f t="shared" si="281"/>
        <v/>
      </c>
      <c r="S353" s="159" t="str">
        <f>IF(R353="","",IF(R353&gt;Data2!$C$12,Data2!$D$11,IF(R353&gt;Data2!$C$13,Data2!$D$12,IF(R353&gt;Data2!$C$14,Data2!$D$13,Data2!$D$14))))</f>
        <v/>
      </c>
      <c r="T353" s="144">
        <f t="shared" si="282"/>
        <v>0</v>
      </c>
      <c r="U353" s="144">
        <f t="shared" si="283"/>
        <v>0</v>
      </c>
      <c r="V353" s="144" t="str">
        <f t="shared" si="274"/>
        <v>Mulai berkembang</v>
      </c>
      <c r="W353" s="144" t="str">
        <f t="shared" si="275"/>
        <v>Mulai berkembang</v>
      </c>
      <c r="X353" s="144" t="e">
        <f t="shared" si="284"/>
        <v>#N/A</v>
      </c>
      <c r="Y353" s="145" t="e">
        <f t="shared" si="285"/>
        <v>#N/A</v>
      </c>
      <c r="Z353" s="218" t="str">
        <f>IF('PA-Non'!O321&lt;&gt;"",'PA-Non'!O321,IFERROR("Mempunyai kemampuan yang " &amp;IF(V353=W353,PROPER(W353)&amp;" dalam kompetensi "&amp;VLOOKUP(X353,$G$532:$I$539,3)&amp;" dan kompetensi "&amp;VLOOKUP(Y353,$G$532:$I$539,3),PROPER(V353)&amp;" dalam kompetensi "&amp;VLOOKUP(X353,$G$532:$I$539,3)&amp;" dan memiliki kemampuan yang "&amp;W353&amp;" pada kompetensi "&amp;VLOOKUP(Y353,$G$532:$I$539,3)),""))</f>
        <v/>
      </c>
      <c r="AA353" s="153"/>
      <c r="AB353" s="154"/>
      <c r="AC353" s="154"/>
      <c r="AD353" s="154"/>
      <c r="AE353" s="154"/>
      <c r="AF353" s="154"/>
      <c r="AG353" s="154"/>
      <c r="AH353" s="155"/>
      <c r="AI353" s="220" t="str">
        <f t="shared" si="286"/>
        <v/>
      </c>
      <c r="AJ353" s="160" t="str">
        <f>IF(AI353="","",IF(AI353&gt;Data2!$C$12,Data2!$D$11,IF(AI353&gt;Data2!$C$13,Data2!$D$12,IF(AI353&gt;Data2!$C$14,Data2!$D$13,Data2!$D$14))))</f>
        <v/>
      </c>
      <c r="AK353" s="146">
        <f t="shared" si="287"/>
        <v>0</v>
      </c>
      <c r="AL353" s="146">
        <f t="shared" si="288"/>
        <v>0</v>
      </c>
      <c r="AM353" s="147" t="str">
        <f t="shared" si="276"/>
        <v>Mulai meningkat</v>
      </c>
      <c r="AN353" s="147" t="str">
        <f t="shared" si="277"/>
        <v>Mulai meningkat</v>
      </c>
      <c r="AO353" s="146" t="e">
        <f t="shared" si="289"/>
        <v>#N/A</v>
      </c>
      <c r="AP353" s="148" t="e">
        <f t="shared" si="290"/>
        <v>#N/A</v>
      </c>
      <c r="AQ353" s="158" t="str">
        <f>IF('PA-Non'!V321&lt;&gt;"",'PA-Non'!V321,IFERROR("Mempunyai keterampilan yang "&amp;IF(AM353=AN353,PROPER(AN353)&amp;" dalam kompetensi "&amp;VLOOKUP(AO353,$AA$532:$AC$539,3)&amp;", demikian juga dalam kompetensi "&amp;VLOOKUP(AP353,$AA$532:$AC$539,3),PROPER(AM353)&amp;" dalam kompetensi "&amp;VLOOKUP(AO353,$AA$532:$AC$539,3)&amp;" dan "&amp;AN353&amp;" pada kompetensi "&amp;VLOOKUP(AP353,$AA$532:$AC$539,3)),""))</f>
        <v/>
      </c>
      <c r="AR353" s="188"/>
    </row>
    <row r="354" spans="2:44" ht="27.9" customHeight="1" thickBot="1" x14ac:dyDescent="0.35">
      <c r="B354" s="226" t="s">
        <v>127</v>
      </c>
      <c r="C354" s="149" t="str">
        <f t="shared" si="279"/>
        <v/>
      </c>
      <c r="D354" s="150" t="str">
        <f>IF(Data!F349="","",Data!F349)</f>
        <v/>
      </c>
      <c r="E354" s="151" t="str">
        <f>IF(Data!H349="","",Data!H349)</f>
        <v/>
      </c>
      <c r="F354" s="152" t="str">
        <f>IF(Data!I349="","",Data!I349)</f>
        <v/>
      </c>
      <c r="G354" s="153"/>
      <c r="H354" s="154"/>
      <c r="I354" s="154"/>
      <c r="J354" s="154"/>
      <c r="K354" s="154"/>
      <c r="L354" s="154"/>
      <c r="M354" s="154"/>
      <c r="N354" s="155"/>
      <c r="O354" s="157" t="str">
        <f t="shared" si="280"/>
        <v/>
      </c>
      <c r="P354" s="154"/>
      <c r="Q354" s="156"/>
      <c r="R354" s="157" t="str">
        <f t="shared" si="281"/>
        <v/>
      </c>
      <c r="S354" s="159" t="str">
        <f>IF(R354="","",IF(R354&gt;Data2!$C$12,Data2!$D$11,IF(R354&gt;Data2!$C$13,Data2!$D$12,IF(R354&gt;Data2!$C$14,Data2!$D$13,Data2!$D$14))))</f>
        <v/>
      </c>
      <c r="T354" s="144">
        <f t="shared" si="282"/>
        <v>0</v>
      </c>
      <c r="U354" s="144">
        <f t="shared" si="283"/>
        <v>0</v>
      </c>
      <c r="V354" s="144" t="str">
        <f t="shared" si="274"/>
        <v>Mulai berkembang</v>
      </c>
      <c r="W354" s="144" t="str">
        <f t="shared" si="275"/>
        <v>Mulai berkembang</v>
      </c>
      <c r="X354" s="144" t="e">
        <f t="shared" si="284"/>
        <v>#N/A</v>
      </c>
      <c r="Y354" s="145" t="e">
        <f t="shared" si="285"/>
        <v>#N/A</v>
      </c>
      <c r="Z354" s="218" t="str">
        <f>IF('PA-Non'!O322&lt;&gt;"",'PA-Non'!O322,IFERROR("Mempunyai kemampuan yang " &amp;IF(V354=W354,PROPER(W354)&amp;" dalam kompetensi "&amp;VLOOKUP(X354,$G$532:$I$539,3)&amp;" dan kompetensi "&amp;VLOOKUP(Y354,$G$532:$I$539,3),PROPER(V354)&amp;" dalam kompetensi "&amp;VLOOKUP(X354,$G$532:$I$539,3)&amp;" dan memiliki kemampuan yang "&amp;W354&amp;" pada kompetensi "&amp;VLOOKUP(Y354,$G$532:$I$539,3)),""))</f>
        <v/>
      </c>
      <c r="AA354" s="153"/>
      <c r="AB354" s="154"/>
      <c r="AC354" s="154"/>
      <c r="AD354" s="154"/>
      <c r="AE354" s="154"/>
      <c r="AF354" s="154"/>
      <c r="AG354" s="154"/>
      <c r="AH354" s="155"/>
      <c r="AI354" s="220" t="str">
        <f t="shared" si="286"/>
        <v/>
      </c>
      <c r="AJ354" s="160" t="str">
        <f>IF(AI354="","",IF(AI354&gt;Data2!$C$12,Data2!$D$11,IF(AI354&gt;Data2!$C$13,Data2!$D$12,IF(AI354&gt;Data2!$C$14,Data2!$D$13,Data2!$D$14))))</f>
        <v/>
      </c>
      <c r="AK354" s="146">
        <f t="shared" si="287"/>
        <v>0</v>
      </c>
      <c r="AL354" s="146">
        <f t="shared" si="288"/>
        <v>0</v>
      </c>
      <c r="AM354" s="147" t="str">
        <f t="shared" si="276"/>
        <v>Mulai meningkat</v>
      </c>
      <c r="AN354" s="147" t="str">
        <f t="shared" si="277"/>
        <v>Mulai meningkat</v>
      </c>
      <c r="AO354" s="146" t="e">
        <f t="shared" si="289"/>
        <v>#N/A</v>
      </c>
      <c r="AP354" s="148" t="e">
        <f t="shared" si="290"/>
        <v>#N/A</v>
      </c>
      <c r="AQ354" s="158" t="str">
        <f>IF('PA-Non'!V322&lt;&gt;"",'PA-Non'!V322,IFERROR("Mempunyai keterampilan yang "&amp;IF(AM354=AN354,PROPER(AN354)&amp;" dalam kompetensi "&amp;VLOOKUP(AO354,$AA$532:$AC$539,3)&amp;", demikian juga dalam kompetensi "&amp;VLOOKUP(AP354,$AA$532:$AC$539,3),PROPER(AM354)&amp;" dalam kompetensi "&amp;VLOOKUP(AO354,$AA$532:$AC$539,3)&amp;" dan "&amp;AN354&amp;" pada kompetensi "&amp;VLOOKUP(AP354,$AA$532:$AC$539,3)),""))</f>
        <v/>
      </c>
      <c r="AR354" s="188"/>
    </row>
    <row r="355" spans="2:44" ht="27.9" customHeight="1" thickBot="1" x14ac:dyDescent="0.35">
      <c r="B355" s="226" t="s">
        <v>127</v>
      </c>
      <c r="C355" s="149" t="str">
        <f t="shared" si="279"/>
        <v/>
      </c>
      <c r="D355" s="150" t="str">
        <f>IF(Data!F350="","",Data!F350)</f>
        <v/>
      </c>
      <c r="E355" s="151" t="str">
        <f>IF(Data!H350="","",Data!H350)</f>
        <v/>
      </c>
      <c r="F355" s="152" t="str">
        <f>IF(Data!I350="","",Data!I350)</f>
        <v/>
      </c>
      <c r="G355" s="153"/>
      <c r="H355" s="154"/>
      <c r="I355" s="154"/>
      <c r="J355" s="154"/>
      <c r="K355" s="154"/>
      <c r="L355" s="154"/>
      <c r="M355" s="154"/>
      <c r="N355" s="155"/>
      <c r="O355" s="157" t="str">
        <f t="shared" si="280"/>
        <v/>
      </c>
      <c r="P355" s="154"/>
      <c r="Q355" s="156"/>
      <c r="R355" s="157" t="str">
        <f t="shared" si="281"/>
        <v/>
      </c>
      <c r="S355" s="159" t="str">
        <f>IF(R355="","",IF(R355&gt;Data2!$C$12,Data2!$D$11,IF(R355&gt;Data2!$C$13,Data2!$D$12,IF(R355&gt;Data2!$C$14,Data2!$D$13,Data2!$D$14))))</f>
        <v/>
      </c>
      <c r="T355" s="144">
        <f t="shared" si="282"/>
        <v>0</v>
      </c>
      <c r="U355" s="144">
        <f t="shared" si="283"/>
        <v>0</v>
      </c>
      <c r="V355" s="144" t="str">
        <f t="shared" si="274"/>
        <v>Mulai berkembang</v>
      </c>
      <c r="W355" s="144" t="str">
        <f t="shared" si="275"/>
        <v>Mulai berkembang</v>
      </c>
      <c r="X355" s="144" t="e">
        <f t="shared" si="284"/>
        <v>#N/A</v>
      </c>
      <c r="Y355" s="145" t="e">
        <f t="shared" si="285"/>
        <v>#N/A</v>
      </c>
      <c r="Z355" s="218" t="str">
        <f>IF('PA-Non'!O323&lt;&gt;"",'PA-Non'!O323,IFERROR("Mempunyai kemampuan yang " &amp;IF(V355=W355,PROPER(W355)&amp;" dalam kompetensi "&amp;VLOOKUP(X355,$G$532:$I$539,3)&amp;" dan kompetensi "&amp;VLOOKUP(Y355,$G$532:$I$539,3),PROPER(V355)&amp;" dalam kompetensi "&amp;VLOOKUP(X355,$G$532:$I$539,3)&amp;" dan memiliki kemampuan yang "&amp;W355&amp;" pada kompetensi "&amp;VLOOKUP(Y355,$G$532:$I$539,3)),""))</f>
        <v/>
      </c>
      <c r="AA355" s="153"/>
      <c r="AB355" s="154"/>
      <c r="AC355" s="154"/>
      <c r="AD355" s="154"/>
      <c r="AE355" s="154"/>
      <c r="AF355" s="154"/>
      <c r="AG355" s="154"/>
      <c r="AH355" s="155"/>
      <c r="AI355" s="220" t="str">
        <f t="shared" si="286"/>
        <v/>
      </c>
      <c r="AJ355" s="160" t="str">
        <f>IF(AI355="","",IF(AI355&gt;Data2!$C$12,Data2!$D$11,IF(AI355&gt;Data2!$C$13,Data2!$D$12,IF(AI355&gt;Data2!$C$14,Data2!$D$13,Data2!$D$14))))</f>
        <v/>
      </c>
      <c r="AK355" s="146">
        <f t="shared" si="287"/>
        <v>0</v>
      </c>
      <c r="AL355" s="146">
        <f t="shared" si="288"/>
        <v>0</v>
      </c>
      <c r="AM355" s="147" t="str">
        <f t="shared" si="276"/>
        <v>Mulai meningkat</v>
      </c>
      <c r="AN355" s="147" t="str">
        <f t="shared" si="277"/>
        <v>Mulai meningkat</v>
      </c>
      <c r="AO355" s="146" t="e">
        <f t="shared" si="289"/>
        <v>#N/A</v>
      </c>
      <c r="AP355" s="148" t="e">
        <f t="shared" si="290"/>
        <v>#N/A</v>
      </c>
      <c r="AQ355" s="158" t="str">
        <f>IF('PA-Non'!V323&lt;&gt;"",'PA-Non'!V323,IFERROR("Mempunyai keterampilan yang "&amp;IF(AM355=AN355,PROPER(AN355)&amp;" dalam kompetensi "&amp;VLOOKUP(AO355,$AA$532:$AC$539,3)&amp;", demikian juga dalam kompetensi "&amp;VLOOKUP(AP355,$AA$532:$AC$539,3),PROPER(AM355)&amp;" dalam kompetensi "&amp;VLOOKUP(AO355,$AA$532:$AC$539,3)&amp;" dan "&amp;AN355&amp;" pada kompetensi "&amp;VLOOKUP(AP355,$AA$532:$AC$539,3)),""))</f>
        <v/>
      </c>
      <c r="AR355" s="188"/>
    </row>
    <row r="356" spans="2:44" ht="27.9" customHeight="1" thickBot="1" x14ac:dyDescent="0.35">
      <c r="B356" s="226" t="s">
        <v>127</v>
      </c>
      <c r="C356" s="149" t="str">
        <f t="shared" si="279"/>
        <v/>
      </c>
      <c r="D356" s="150" t="str">
        <f>IF(Data!F351="","",Data!F351)</f>
        <v/>
      </c>
      <c r="E356" s="151" t="str">
        <f>IF(Data!H351="","",Data!H351)</f>
        <v/>
      </c>
      <c r="F356" s="152" t="str">
        <f>IF(Data!I351="","",Data!I351)</f>
        <v/>
      </c>
      <c r="G356" s="153"/>
      <c r="H356" s="154"/>
      <c r="I356" s="154"/>
      <c r="J356" s="154"/>
      <c r="K356" s="154"/>
      <c r="L356" s="154"/>
      <c r="M356" s="154"/>
      <c r="N356" s="155"/>
      <c r="O356" s="157" t="str">
        <f t="shared" si="280"/>
        <v/>
      </c>
      <c r="P356" s="154"/>
      <c r="Q356" s="156"/>
      <c r="R356" s="157" t="str">
        <f t="shared" si="281"/>
        <v/>
      </c>
      <c r="S356" s="159" t="str">
        <f>IF(R356="","",IF(R356&gt;Data2!$C$12,Data2!$D$11,IF(R356&gt;Data2!$C$13,Data2!$D$12,IF(R356&gt;Data2!$C$14,Data2!$D$13,Data2!$D$14))))</f>
        <v/>
      </c>
      <c r="T356" s="144">
        <f t="shared" si="282"/>
        <v>0</v>
      </c>
      <c r="U356" s="144">
        <f t="shared" si="283"/>
        <v>0</v>
      </c>
      <c r="V356" s="144" t="str">
        <f t="shared" si="274"/>
        <v>Mulai berkembang</v>
      </c>
      <c r="W356" s="144" t="str">
        <f t="shared" si="275"/>
        <v>Mulai berkembang</v>
      </c>
      <c r="X356" s="144" t="e">
        <f t="shared" si="284"/>
        <v>#N/A</v>
      </c>
      <c r="Y356" s="145" t="e">
        <f t="shared" si="285"/>
        <v>#N/A</v>
      </c>
      <c r="Z356" s="218" t="str">
        <f>IF('PA-Non'!O324&lt;&gt;"",'PA-Non'!O324,IFERROR("Mempunyai kemampuan yang " &amp;IF(V356=W356,PROPER(W356)&amp;" dalam kompetensi "&amp;VLOOKUP(X356,$G$532:$I$539,3)&amp;" dan kompetensi "&amp;VLOOKUP(Y356,$G$532:$I$539,3),PROPER(V356)&amp;" dalam kompetensi "&amp;VLOOKUP(X356,$G$532:$I$539,3)&amp;" dan memiliki kemampuan yang "&amp;W356&amp;" pada kompetensi "&amp;VLOOKUP(Y356,$G$532:$I$539,3)),""))</f>
        <v/>
      </c>
      <c r="AA356" s="153"/>
      <c r="AB356" s="154"/>
      <c r="AC356" s="154"/>
      <c r="AD356" s="154"/>
      <c r="AE356" s="154"/>
      <c r="AF356" s="154"/>
      <c r="AG356" s="154"/>
      <c r="AH356" s="155"/>
      <c r="AI356" s="220" t="str">
        <f t="shared" si="286"/>
        <v/>
      </c>
      <c r="AJ356" s="160" t="str">
        <f>IF(AI356="","",IF(AI356&gt;Data2!$C$12,Data2!$D$11,IF(AI356&gt;Data2!$C$13,Data2!$D$12,IF(AI356&gt;Data2!$C$14,Data2!$D$13,Data2!$D$14))))</f>
        <v/>
      </c>
      <c r="AK356" s="146">
        <f t="shared" si="287"/>
        <v>0</v>
      </c>
      <c r="AL356" s="146">
        <f t="shared" si="288"/>
        <v>0</v>
      </c>
      <c r="AM356" s="147" t="str">
        <f t="shared" si="276"/>
        <v>Mulai meningkat</v>
      </c>
      <c r="AN356" s="147" t="str">
        <f t="shared" si="277"/>
        <v>Mulai meningkat</v>
      </c>
      <c r="AO356" s="146" t="e">
        <f t="shared" si="289"/>
        <v>#N/A</v>
      </c>
      <c r="AP356" s="148" t="e">
        <f t="shared" si="290"/>
        <v>#N/A</v>
      </c>
      <c r="AQ356" s="158" t="str">
        <f>IF('PA-Non'!V324&lt;&gt;"",'PA-Non'!V324,IFERROR("Mempunyai keterampilan yang "&amp;IF(AM356=AN356,PROPER(AN356)&amp;" dalam kompetensi "&amp;VLOOKUP(AO356,$AA$532:$AC$539,3)&amp;", demikian juga dalam kompetensi "&amp;VLOOKUP(AP356,$AA$532:$AC$539,3),PROPER(AM356)&amp;" dalam kompetensi "&amp;VLOOKUP(AO356,$AA$532:$AC$539,3)&amp;" dan "&amp;AN356&amp;" pada kompetensi "&amp;VLOOKUP(AP356,$AA$532:$AC$539,3)),""))</f>
        <v/>
      </c>
      <c r="AR356" s="188"/>
    </row>
    <row r="357" spans="2:44" ht="27.9" customHeight="1" thickBot="1" x14ac:dyDescent="0.35">
      <c r="B357" s="226" t="s">
        <v>127</v>
      </c>
      <c r="C357" s="149" t="str">
        <f t="shared" si="279"/>
        <v/>
      </c>
      <c r="D357" s="150" t="str">
        <f>IF(Data!F352="","",Data!F352)</f>
        <v/>
      </c>
      <c r="E357" s="151" t="str">
        <f>IF(Data!H352="","",Data!H352)</f>
        <v/>
      </c>
      <c r="F357" s="152" t="str">
        <f>IF(Data!I352="","",Data!I352)</f>
        <v/>
      </c>
      <c r="G357" s="153"/>
      <c r="H357" s="154"/>
      <c r="I357" s="154"/>
      <c r="J357" s="154"/>
      <c r="K357" s="154"/>
      <c r="L357" s="154"/>
      <c r="M357" s="154"/>
      <c r="N357" s="155"/>
      <c r="O357" s="157" t="str">
        <f t="shared" si="280"/>
        <v/>
      </c>
      <c r="P357" s="154"/>
      <c r="Q357" s="156"/>
      <c r="R357" s="157" t="str">
        <f t="shared" si="281"/>
        <v/>
      </c>
      <c r="S357" s="159" t="str">
        <f>IF(R357="","",IF(R357&gt;Data2!$C$12,Data2!$D$11,IF(R357&gt;Data2!$C$13,Data2!$D$12,IF(R357&gt;Data2!$C$14,Data2!$D$13,Data2!$D$14))))</f>
        <v/>
      </c>
      <c r="T357" s="144">
        <f t="shared" si="282"/>
        <v>0</v>
      </c>
      <c r="U357" s="144">
        <f t="shared" si="283"/>
        <v>0</v>
      </c>
      <c r="V357" s="144" t="str">
        <f t="shared" si="274"/>
        <v>Mulai berkembang</v>
      </c>
      <c r="W357" s="144" t="str">
        <f t="shared" si="275"/>
        <v>Mulai berkembang</v>
      </c>
      <c r="X357" s="144" t="e">
        <f t="shared" si="284"/>
        <v>#N/A</v>
      </c>
      <c r="Y357" s="145" t="e">
        <f t="shared" si="285"/>
        <v>#N/A</v>
      </c>
      <c r="Z357" s="218" t="str">
        <f>IF('PA-Non'!O325&lt;&gt;"",'PA-Non'!O325,IFERROR("Mempunyai kemampuan yang " &amp;IF(V357=W357,PROPER(W357)&amp;" dalam kompetensi "&amp;VLOOKUP(X357,$G$532:$I$539,3)&amp;" dan kompetensi "&amp;VLOOKUP(Y357,$G$532:$I$539,3),PROPER(V357)&amp;" dalam kompetensi "&amp;VLOOKUP(X357,$G$532:$I$539,3)&amp;" dan memiliki kemampuan yang "&amp;W357&amp;" pada kompetensi "&amp;VLOOKUP(Y357,$G$532:$I$539,3)),""))</f>
        <v/>
      </c>
      <c r="AA357" s="153"/>
      <c r="AB357" s="154"/>
      <c r="AC357" s="154"/>
      <c r="AD357" s="154"/>
      <c r="AE357" s="154"/>
      <c r="AF357" s="154"/>
      <c r="AG357" s="154"/>
      <c r="AH357" s="155"/>
      <c r="AI357" s="220" t="str">
        <f t="shared" si="286"/>
        <v/>
      </c>
      <c r="AJ357" s="160" t="str">
        <f>IF(AI357="","",IF(AI357&gt;Data2!$C$12,Data2!$D$11,IF(AI357&gt;Data2!$C$13,Data2!$D$12,IF(AI357&gt;Data2!$C$14,Data2!$D$13,Data2!$D$14))))</f>
        <v/>
      </c>
      <c r="AK357" s="146">
        <f t="shared" si="287"/>
        <v>0</v>
      </c>
      <c r="AL357" s="146">
        <f t="shared" si="288"/>
        <v>0</v>
      </c>
      <c r="AM357" s="147" t="str">
        <f t="shared" si="276"/>
        <v>Mulai meningkat</v>
      </c>
      <c r="AN357" s="147" t="str">
        <f t="shared" si="277"/>
        <v>Mulai meningkat</v>
      </c>
      <c r="AO357" s="146" t="e">
        <f t="shared" si="289"/>
        <v>#N/A</v>
      </c>
      <c r="AP357" s="148" t="e">
        <f t="shared" si="290"/>
        <v>#N/A</v>
      </c>
      <c r="AQ357" s="158" t="str">
        <f>IF('PA-Non'!V325&lt;&gt;"",'PA-Non'!V325,IFERROR("Mempunyai keterampilan yang "&amp;IF(AM357=AN357,PROPER(AN357)&amp;" dalam kompetensi "&amp;VLOOKUP(AO357,$AA$532:$AC$539,3)&amp;", demikian juga dalam kompetensi "&amp;VLOOKUP(AP357,$AA$532:$AC$539,3),PROPER(AM357)&amp;" dalam kompetensi "&amp;VLOOKUP(AO357,$AA$532:$AC$539,3)&amp;" dan "&amp;AN357&amp;" pada kompetensi "&amp;VLOOKUP(AP357,$AA$532:$AC$539,3)),""))</f>
        <v/>
      </c>
      <c r="AR357" s="188"/>
    </row>
    <row r="358" spans="2:44" ht="27.9" customHeight="1" thickBot="1" x14ac:dyDescent="0.35">
      <c r="B358" s="226" t="s">
        <v>127</v>
      </c>
      <c r="C358" s="149" t="str">
        <f t="shared" si="279"/>
        <v/>
      </c>
      <c r="D358" s="150" t="str">
        <f>IF(Data!F353="","",Data!F353)</f>
        <v/>
      </c>
      <c r="E358" s="151" t="str">
        <f>IF(Data!H353="","",Data!H353)</f>
        <v/>
      </c>
      <c r="F358" s="152" t="str">
        <f>IF(Data!I353="","",Data!I353)</f>
        <v/>
      </c>
      <c r="G358" s="153"/>
      <c r="H358" s="154"/>
      <c r="I358" s="154"/>
      <c r="J358" s="154"/>
      <c r="K358" s="154"/>
      <c r="L358" s="154"/>
      <c r="M358" s="154"/>
      <c r="N358" s="155"/>
      <c r="O358" s="157" t="str">
        <f t="shared" si="280"/>
        <v/>
      </c>
      <c r="P358" s="154"/>
      <c r="Q358" s="156"/>
      <c r="R358" s="157" t="str">
        <f t="shared" si="281"/>
        <v/>
      </c>
      <c r="S358" s="159" t="str">
        <f>IF(R358="","",IF(R358&gt;Data2!$C$12,Data2!$D$11,IF(R358&gt;Data2!$C$13,Data2!$D$12,IF(R358&gt;Data2!$C$14,Data2!$D$13,Data2!$D$14))))</f>
        <v/>
      </c>
      <c r="T358" s="144">
        <f t="shared" si="282"/>
        <v>0</v>
      </c>
      <c r="U358" s="144">
        <f t="shared" si="283"/>
        <v>0</v>
      </c>
      <c r="V358" s="144" t="str">
        <f t="shared" si="274"/>
        <v>Mulai berkembang</v>
      </c>
      <c r="W358" s="144" t="str">
        <f t="shared" si="275"/>
        <v>Mulai berkembang</v>
      </c>
      <c r="X358" s="144" t="e">
        <f t="shared" si="284"/>
        <v>#N/A</v>
      </c>
      <c r="Y358" s="145" t="e">
        <f t="shared" si="285"/>
        <v>#N/A</v>
      </c>
      <c r="Z358" s="218" t="str">
        <f>IF('PA-Non'!O326&lt;&gt;"",'PA-Non'!O326,IFERROR("Mempunyai kemampuan yang " &amp;IF(V358=W358,PROPER(W358)&amp;" dalam kompetensi "&amp;VLOOKUP(X358,$G$532:$I$539,3)&amp;" dan kompetensi "&amp;VLOOKUP(Y358,$G$532:$I$539,3),PROPER(V358)&amp;" dalam kompetensi "&amp;VLOOKUP(X358,$G$532:$I$539,3)&amp;" dan memiliki kemampuan yang "&amp;W358&amp;" pada kompetensi "&amp;VLOOKUP(Y358,$G$532:$I$539,3)),""))</f>
        <v/>
      </c>
      <c r="AA358" s="153"/>
      <c r="AB358" s="154"/>
      <c r="AC358" s="154"/>
      <c r="AD358" s="154"/>
      <c r="AE358" s="154"/>
      <c r="AF358" s="154"/>
      <c r="AG358" s="154"/>
      <c r="AH358" s="155"/>
      <c r="AI358" s="220" t="str">
        <f t="shared" si="286"/>
        <v/>
      </c>
      <c r="AJ358" s="160" t="str">
        <f>IF(AI358="","",IF(AI358&gt;Data2!$C$12,Data2!$D$11,IF(AI358&gt;Data2!$C$13,Data2!$D$12,IF(AI358&gt;Data2!$C$14,Data2!$D$13,Data2!$D$14))))</f>
        <v/>
      </c>
      <c r="AK358" s="146">
        <f t="shared" si="287"/>
        <v>0</v>
      </c>
      <c r="AL358" s="146">
        <f t="shared" si="288"/>
        <v>0</v>
      </c>
      <c r="AM358" s="147" t="str">
        <f t="shared" si="276"/>
        <v>Mulai meningkat</v>
      </c>
      <c r="AN358" s="147" t="str">
        <f t="shared" si="277"/>
        <v>Mulai meningkat</v>
      </c>
      <c r="AO358" s="146" t="e">
        <f t="shared" si="289"/>
        <v>#N/A</v>
      </c>
      <c r="AP358" s="148" t="e">
        <f t="shared" si="290"/>
        <v>#N/A</v>
      </c>
      <c r="AQ358" s="158" t="str">
        <f>IF('PA-Non'!V326&lt;&gt;"",'PA-Non'!V326,IFERROR("Mempunyai keterampilan yang "&amp;IF(AM358=AN358,PROPER(AN358)&amp;" dalam kompetensi "&amp;VLOOKUP(AO358,$AA$532:$AC$539,3)&amp;", demikian juga dalam kompetensi "&amp;VLOOKUP(AP358,$AA$532:$AC$539,3),PROPER(AM358)&amp;" dalam kompetensi "&amp;VLOOKUP(AO358,$AA$532:$AC$539,3)&amp;" dan "&amp;AN358&amp;" pada kompetensi "&amp;VLOOKUP(AP358,$AA$532:$AC$539,3)),""))</f>
        <v/>
      </c>
      <c r="AR358" s="188"/>
    </row>
    <row r="359" spans="2:44" ht="27.9" customHeight="1" thickBot="1" x14ac:dyDescent="0.35">
      <c r="B359" s="226" t="s">
        <v>127</v>
      </c>
      <c r="C359" s="149" t="str">
        <f t="shared" si="279"/>
        <v/>
      </c>
      <c r="D359" s="150" t="str">
        <f>IF(Data!F354="","",Data!F354)</f>
        <v/>
      </c>
      <c r="E359" s="151" t="str">
        <f>IF(Data!H354="","",Data!H354)</f>
        <v/>
      </c>
      <c r="F359" s="152" t="str">
        <f>IF(Data!I354="","",Data!I354)</f>
        <v/>
      </c>
      <c r="G359" s="153"/>
      <c r="H359" s="154"/>
      <c r="I359" s="154"/>
      <c r="J359" s="154"/>
      <c r="K359" s="154"/>
      <c r="L359" s="154"/>
      <c r="M359" s="154"/>
      <c r="N359" s="155"/>
      <c r="O359" s="157" t="str">
        <f t="shared" si="280"/>
        <v/>
      </c>
      <c r="P359" s="154"/>
      <c r="Q359" s="156"/>
      <c r="R359" s="157" t="str">
        <f t="shared" si="281"/>
        <v/>
      </c>
      <c r="S359" s="159" t="str">
        <f>IF(R359="","",IF(R359&gt;Data2!$C$12,Data2!$D$11,IF(R359&gt;Data2!$C$13,Data2!$D$12,IF(R359&gt;Data2!$C$14,Data2!$D$13,Data2!$D$14))))</f>
        <v/>
      </c>
      <c r="T359" s="144">
        <f t="shared" si="282"/>
        <v>0</v>
      </c>
      <c r="U359" s="144">
        <f t="shared" si="283"/>
        <v>0</v>
      </c>
      <c r="V359" s="144" t="str">
        <f t="shared" si="274"/>
        <v>Mulai berkembang</v>
      </c>
      <c r="W359" s="144" t="str">
        <f t="shared" si="275"/>
        <v>Mulai berkembang</v>
      </c>
      <c r="X359" s="144" t="e">
        <f t="shared" si="284"/>
        <v>#N/A</v>
      </c>
      <c r="Y359" s="145" t="e">
        <f t="shared" si="285"/>
        <v>#N/A</v>
      </c>
      <c r="Z359" s="218" t="str">
        <f>IF('PA-Non'!O327&lt;&gt;"",'PA-Non'!O327,IFERROR("Mempunyai kemampuan yang " &amp;IF(V359=W359,PROPER(W359)&amp;" dalam kompetensi "&amp;VLOOKUP(X359,$G$532:$I$539,3)&amp;" dan kompetensi "&amp;VLOOKUP(Y359,$G$532:$I$539,3),PROPER(V359)&amp;" dalam kompetensi "&amp;VLOOKUP(X359,$G$532:$I$539,3)&amp;" dan memiliki kemampuan yang "&amp;W359&amp;" pada kompetensi "&amp;VLOOKUP(Y359,$G$532:$I$539,3)),""))</f>
        <v/>
      </c>
      <c r="AA359" s="153"/>
      <c r="AB359" s="154"/>
      <c r="AC359" s="154"/>
      <c r="AD359" s="154"/>
      <c r="AE359" s="154"/>
      <c r="AF359" s="154"/>
      <c r="AG359" s="154"/>
      <c r="AH359" s="155"/>
      <c r="AI359" s="220" t="str">
        <f t="shared" si="286"/>
        <v/>
      </c>
      <c r="AJ359" s="160" t="str">
        <f>IF(AI359="","",IF(AI359&gt;Data2!$C$12,Data2!$D$11,IF(AI359&gt;Data2!$C$13,Data2!$D$12,IF(AI359&gt;Data2!$C$14,Data2!$D$13,Data2!$D$14))))</f>
        <v/>
      </c>
      <c r="AK359" s="146">
        <f t="shared" si="287"/>
        <v>0</v>
      </c>
      <c r="AL359" s="146">
        <f t="shared" si="288"/>
        <v>0</v>
      </c>
      <c r="AM359" s="147" t="str">
        <f t="shared" si="276"/>
        <v>Mulai meningkat</v>
      </c>
      <c r="AN359" s="147" t="str">
        <f t="shared" si="277"/>
        <v>Mulai meningkat</v>
      </c>
      <c r="AO359" s="146" t="e">
        <f t="shared" si="289"/>
        <v>#N/A</v>
      </c>
      <c r="AP359" s="148" t="e">
        <f t="shared" si="290"/>
        <v>#N/A</v>
      </c>
      <c r="AQ359" s="158" t="str">
        <f>IF('PA-Non'!V327&lt;&gt;"",'PA-Non'!V327,IFERROR("Mempunyai keterampilan yang "&amp;IF(AM359=AN359,PROPER(AN359)&amp;" dalam kompetensi "&amp;VLOOKUP(AO359,$AA$532:$AC$539,3)&amp;", demikian juga dalam kompetensi "&amp;VLOOKUP(AP359,$AA$532:$AC$539,3),PROPER(AM359)&amp;" dalam kompetensi "&amp;VLOOKUP(AO359,$AA$532:$AC$539,3)&amp;" dan "&amp;AN359&amp;" pada kompetensi "&amp;VLOOKUP(AP359,$AA$532:$AC$539,3)),""))</f>
        <v/>
      </c>
      <c r="AR359" s="188"/>
    </row>
    <row r="360" spans="2:44" ht="27.9" customHeight="1" thickBot="1" x14ac:dyDescent="0.35">
      <c r="B360" s="226" t="s">
        <v>127</v>
      </c>
      <c r="C360" s="149" t="str">
        <f t="shared" si="279"/>
        <v/>
      </c>
      <c r="D360" s="150" t="str">
        <f>IF(Data!F355="","",Data!F355)</f>
        <v/>
      </c>
      <c r="E360" s="151" t="str">
        <f>IF(Data!H355="","",Data!H355)</f>
        <v/>
      </c>
      <c r="F360" s="152" t="str">
        <f>IF(Data!I355="","",Data!I355)</f>
        <v/>
      </c>
      <c r="G360" s="153"/>
      <c r="H360" s="154"/>
      <c r="I360" s="154"/>
      <c r="J360" s="154"/>
      <c r="K360" s="154"/>
      <c r="L360" s="154"/>
      <c r="M360" s="154"/>
      <c r="N360" s="155"/>
      <c r="O360" s="157" t="str">
        <f t="shared" si="280"/>
        <v/>
      </c>
      <c r="P360" s="154"/>
      <c r="Q360" s="156"/>
      <c r="R360" s="157" t="str">
        <f t="shared" si="281"/>
        <v/>
      </c>
      <c r="S360" s="159" t="str">
        <f>IF(R360="","",IF(R360&gt;Data2!$C$12,Data2!$D$11,IF(R360&gt;Data2!$C$13,Data2!$D$12,IF(R360&gt;Data2!$C$14,Data2!$D$13,Data2!$D$14))))</f>
        <v/>
      </c>
      <c r="T360" s="144">
        <f t="shared" si="282"/>
        <v>0</v>
      </c>
      <c r="U360" s="144">
        <f t="shared" si="283"/>
        <v>0</v>
      </c>
      <c r="V360" s="144" t="str">
        <f t="shared" si="274"/>
        <v>Mulai berkembang</v>
      </c>
      <c r="W360" s="144" t="str">
        <f t="shared" si="275"/>
        <v>Mulai berkembang</v>
      </c>
      <c r="X360" s="144" t="e">
        <f t="shared" si="284"/>
        <v>#N/A</v>
      </c>
      <c r="Y360" s="145" t="e">
        <f t="shared" si="285"/>
        <v>#N/A</v>
      </c>
      <c r="Z360" s="218" t="str">
        <f>IF('PA-Non'!O328&lt;&gt;"",'PA-Non'!O328,IFERROR("Mempunyai kemampuan yang " &amp;IF(V360=W360,PROPER(W360)&amp;" dalam kompetensi "&amp;VLOOKUP(X360,$G$532:$I$539,3)&amp;" dan kompetensi "&amp;VLOOKUP(Y360,$G$532:$I$539,3),PROPER(V360)&amp;" dalam kompetensi "&amp;VLOOKUP(X360,$G$532:$I$539,3)&amp;" dan memiliki kemampuan yang "&amp;W360&amp;" pada kompetensi "&amp;VLOOKUP(Y360,$G$532:$I$539,3)),""))</f>
        <v/>
      </c>
      <c r="AA360" s="153"/>
      <c r="AB360" s="154"/>
      <c r="AC360" s="154"/>
      <c r="AD360" s="154"/>
      <c r="AE360" s="154"/>
      <c r="AF360" s="154"/>
      <c r="AG360" s="154"/>
      <c r="AH360" s="155"/>
      <c r="AI360" s="220" t="str">
        <f t="shared" si="286"/>
        <v/>
      </c>
      <c r="AJ360" s="160" t="str">
        <f>IF(AI360="","",IF(AI360&gt;Data2!$C$12,Data2!$D$11,IF(AI360&gt;Data2!$C$13,Data2!$D$12,IF(AI360&gt;Data2!$C$14,Data2!$D$13,Data2!$D$14))))</f>
        <v/>
      </c>
      <c r="AK360" s="146">
        <f t="shared" si="287"/>
        <v>0</v>
      </c>
      <c r="AL360" s="146">
        <f t="shared" si="288"/>
        <v>0</v>
      </c>
      <c r="AM360" s="147" t="str">
        <f t="shared" si="276"/>
        <v>Mulai meningkat</v>
      </c>
      <c r="AN360" s="147" t="str">
        <f t="shared" si="277"/>
        <v>Mulai meningkat</v>
      </c>
      <c r="AO360" s="146" t="e">
        <f t="shared" si="289"/>
        <v>#N/A</v>
      </c>
      <c r="AP360" s="148" t="e">
        <f t="shared" si="290"/>
        <v>#N/A</v>
      </c>
      <c r="AQ360" s="158" t="str">
        <f>IF('PA-Non'!V328&lt;&gt;"",'PA-Non'!V328,IFERROR("Mempunyai keterampilan yang "&amp;IF(AM360=AN360,PROPER(AN360)&amp;" dalam kompetensi "&amp;VLOOKUP(AO360,$AA$532:$AC$539,3)&amp;", demikian juga dalam kompetensi "&amp;VLOOKUP(AP360,$AA$532:$AC$539,3),PROPER(AM360)&amp;" dalam kompetensi "&amp;VLOOKUP(AO360,$AA$532:$AC$539,3)&amp;" dan "&amp;AN360&amp;" pada kompetensi "&amp;VLOOKUP(AP360,$AA$532:$AC$539,3)),""))</f>
        <v/>
      </c>
      <c r="AR360" s="188"/>
    </row>
    <row r="361" spans="2:44" ht="27.9" customHeight="1" thickBot="1" x14ac:dyDescent="0.35">
      <c r="B361" s="226" t="s">
        <v>127</v>
      </c>
      <c r="C361" s="149" t="str">
        <f t="shared" ref="C361:C369" si="291">IF(E361="","",C360+1)</f>
        <v/>
      </c>
      <c r="D361" s="150" t="str">
        <f>IF(Data!F356="","",Data!F356)</f>
        <v/>
      </c>
      <c r="E361" s="151" t="str">
        <f>IF(Data!H356="","",Data!H356)</f>
        <v/>
      </c>
      <c r="F361" s="152" t="str">
        <f>IF(Data!I356="","",Data!I356)</f>
        <v/>
      </c>
      <c r="G361" s="153"/>
      <c r="H361" s="154"/>
      <c r="I361" s="154"/>
      <c r="J361" s="154"/>
      <c r="K361" s="154"/>
      <c r="L361" s="154"/>
      <c r="M361" s="154"/>
      <c r="N361" s="155"/>
      <c r="O361" s="157" t="str">
        <f t="shared" ref="O361:O450" si="292">IF(COUNT(G361:N361)&lt;3,"",ROUND(SUM(G361:N361)/$O$6,0))</f>
        <v/>
      </c>
      <c r="P361" s="154"/>
      <c r="Q361" s="156"/>
      <c r="R361" s="157" t="str">
        <f t="shared" ref="R361:R450" si="293">IFERROR(IF(OR(P361="",Q361=""),"",ROUND(((O361*$O$8)+(P361*$P$8)+(Q361*$Q$8))/$Q$6,0)),"")</f>
        <v/>
      </c>
      <c r="S361" s="159" t="str">
        <f>IF(R361="","",IF(R361&gt;Data2!$C$12,Data2!$D$11,IF(R361&gt;Data2!$C$13,Data2!$D$12,IF(R361&gt;Data2!$C$14,Data2!$D$13,Data2!$D$14))))</f>
        <v/>
      </c>
      <c r="T361" s="144">
        <f t="shared" ref="T361:T450" si="294">MAX(G361:N361)</f>
        <v>0</v>
      </c>
      <c r="U361" s="144">
        <f t="shared" ref="U361:U450" si="295">MIN(G361:N361)</f>
        <v>0</v>
      </c>
      <c r="V361" s="144" t="str">
        <f t="shared" si="274"/>
        <v>Mulai berkembang</v>
      </c>
      <c r="W361" s="144" t="str">
        <f t="shared" si="275"/>
        <v>Mulai berkembang</v>
      </c>
      <c r="X361" s="144" t="e">
        <f t="shared" ref="X361:X450" si="296">MATCH(T361,G361:N361,0)</f>
        <v>#N/A</v>
      </c>
      <c r="Y361" s="145" t="e">
        <f t="shared" ref="Y361:Y450" si="297">MATCH(U361,G361:N361,0)</f>
        <v>#N/A</v>
      </c>
      <c r="Z361" s="218" t="str">
        <f>IF('PA-Non'!O329&lt;&gt;"",'PA-Non'!O329,IFERROR("Mempunyai kemampuan yang " &amp;IF(V361=W361,PROPER(W361)&amp;" dalam kompetensi "&amp;VLOOKUP(X361,$G$532:$I$539,3)&amp;" dan kompetensi "&amp;VLOOKUP(Y361,$G$532:$I$539,3),PROPER(V361)&amp;" dalam kompetensi "&amp;VLOOKUP(X361,$G$532:$I$539,3)&amp;" dan memiliki kemampuan yang "&amp;W361&amp;" pada kompetensi "&amp;VLOOKUP(Y361,$G$532:$I$539,3)),""))</f>
        <v/>
      </c>
      <c r="AA361" s="153"/>
      <c r="AB361" s="154"/>
      <c r="AC361" s="154"/>
      <c r="AD361" s="154"/>
      <c r="AE361" s="154"/>
      <c r="AF361" s="154"/>
      <c r="AG361" s="154"/>
      <c r="AH361" s="155"/>
      <c r="AI361" s="220" t="str">
        <f t="shared" ref="AI361:AI450" si="298">IF(COUNT(AA361:AH361)&lt;3,"",ROUND(((AA361*$AA$8)+(AB361*$AB$8)+(AC361*$AC$8)+(AD361*$AD$8)+(AE361*$AE$8)+(AF361*$AF$8)+(AG361*$AG$8)+(AH361*$AH$8))/$AI$6,0))</f>
        <v/>
      </c>
      <c r="AJ361" s="160" t="str">
        <f>IF(AI361="","",IF(AI361&gt;Data2!$C$12,Data2!$D$11,IF(AI361&gt;Data2!$C$13,Data2!$D$12,IF(AI361&gt;Data2!$C$14,Data2!$D$13,Data2!$D$14))))</f>
        <v/>
      </c>
      <c r="AK361" s="146">
        <f t="shared" ref="AK361:AK450" si="299">MAX(AA361:AH361)</f>
        <v>0</v>
      </c>
      <c r="AL361" s="146">
        <f t="shared" ref="AL361:AL450" si="300">MIN(AA361:AH361)</f>
        <v>0</v>
      </c>
      <c r="AM361" s="147" t="str">
        <f t="shared" si="276"/>
        <v>Mulai meningkat</v>
      </c>
      <c r="AN361" s="147" t="str">
        <f t="shared" si="277"/>
        <v>Mulai meningkat</v>
      </c>
      <c r="AO361" s="146" t="e">
        <f t="shared" ref="AO361:AO450" si="301">MATCH(AK361,AA361:AH361,0)</f>
        <v>#N/A</v>
      </c>
      <c r="AP361" s="148" t="e">
        <f t="shared" ref="AP361:AP450" si="302">MATCH(AL361,AA361:AH361,0)</f>
        <v>#N/A</v>
      </c>
      <c r="AQ361" s="158" t="str">
        <f>IF('PA-Non'!V329&lt;&gt;"",'PA-Non'!V329,IFERROR("Mempunyai keterampilan yang "&amp;IF(AM361=AN361,PROPER(AN361)&amp;" dalam kompetensi "&amp;VLOOKUP(AO361,$AA$532:$AC$539,3)&amp;", demikian juga dalam kompetensi "&amp;VLOOKUP(AP361,$AA$532:$AC$539,3),PROPER(AM361)&amp;" dalam kompetensi "&amp;VLOOKUP(AO361,$AA$532:$AC$539,3)&amp;" dan "&amp;AN361&amp;" pada kompetensi "&amp;VLOOKUP(AP361,$AA$532:$AC$539,3)),""))</f>
        <v/>
      </c>
      <c r="AR361" s="188"/>
    </row>
    <row r="362" spans="2:44" ht="27.9" customHeight="1" thickBot="1" x14ac:dyDescent="0.35">
      <c r="B362" s="226" t="s">
        <v>127</v>
      </c>
      <c r="C362" s="149" t="str">
        <f t="shared" si="291"/>
        <v/>
      </c>
      <c r="D362" s="150" t="str">
        <f>IF(Data!F357="","",Data!F357)</f>
        <v/>
      </c>
      <c r="E362" s="151" t="str">
        <f>IF(Data!H357="","",Data!H357)</f>
        <v/>
      </c>
      <c r="F362" s="152" t="str">
        <f>IF(Data!I357="","",Data!I357)</f>
        <v/>
      </c>
      <c r="G362" s="153"/>
      <c r="H362" s="154"/>
      <c r="I362" s="154"/>
      <c r="J362" s="154"/>
      <c r="K362" s="154"/>
      <c r="L362" s="154"/>
      <c r="M362" s="154"/>
      <c r="N362" s="155"/>
      <c r="O362" s="157" t="str">
        <f t="shared" si="292"/>
        <v/>
      </c>
      <c r="P362" s="154"/>
      <c r="Q362" s="156"/>
      <c r="R362" s="157" t="str">
        <f t="shared" si="293"/>
        <v/>
      </c>
      <c r="S362" s="159" t="str">
        <f>IF(R362="","",IF(R362&gt;Data2!$C$12,Data2!$D$11,IF(R362&gt;Data2!$C$13,Data2!$D$12,IF(R362&gt;Data2!$C$14,Data2!$D$13,Data2!$D$14))))</f>
        <v/>
      </c>
      <c r="T362" s="144">
        <f t="shared" si="294"/>
        <v>0</v>
      </c>
      <c r="U362" s="144">
        <f t="shared" si="295"/>
        <v>0</v>
      </c>
      <c r="V362" s="144" t="str">
        <f t="shared" si="274"/>
        <v>Mulai berkembang</v>
      </c>
      <c r="W362" s="144" t="str">
        <f t="shared" si="275"/>
        <v>Mulai berkembang</v>
      </c>
      <c r="X362" s="144" t="e">
        <f t="shared" si="296"/>
        <v>#N/A</v>
      </c>
      <c r="Y362" s="145" t="e">
        <f t="shared" si="297"/>
        <v>#N/A</v>
      </c>
      <c r="Z362" s="218" t="str">
        <f>IF('PA-Non'!O330&lt;&gt;"",'PA-Non'!O330,IFERROR("Mempunyai kemampuan yang " &amp;IF(V362=W362,PROPER(W362)&amp;" dalam kompetensi "&amp;VLOOKUP(X362,$G$532:$I$539,3)&amp;" dan kompetensi "&amp;VLOOKUP(Y362,$G$532:$I$539,3),PROPER(V362)&amp;" dalam kompetensi "&amp;VLOOKUP(X362,$G$532:$I$539,3)&amp;" dan memiliki kemampuan yang "&amp;W362&amp;" pada kompetensi "&amp;VLOOKUP(Y362,$G$532:$I$539,3)),""))</f>
        <v/>
      </c>
      <c r="AA362" s="153"/>
      <c r="AB362" s="154"/>
      <c r="AC362" s="154"/>
      <c r="AD362" s="154"/>
      <c r="AE362" s="154"/>
      <c r="AF362" s="154"/>
      <c r="AG362" s="154"/>
      <c r="AH362" s="155"/>
      <c r="AI362" s="220" t="str">
        <f t="shared" si="298"/>
        <v/>
      </c>
      <c r="AJ362" s="160" t="str">
        <f>IF(AI362="","",IF(AI362&gt;Data2!$C$12,Data2!$D$11,IF(AI362&gt;Data2!$C$13,Data2!$D$12,IF(AI362&gt;Data2!$C$14,Data2!$D$13,Data2!$D$14))))</f>
        <v/>
      </c>
      <c r="AK362" s="146">
        <f t="shared" si="299"/>
        <v>0</v>
      </c>
      <c r="AL362" s="146">
        <f t="shared" si="300"/>
        <v>0</v>
      </c>
      <c r="AM362" s="147" t="str">
        <f t="shared" si="276"/>
        <v>Mulai meningkat</v>
      </c>
      <c r="AN362" s="147" t="str">
        <f t="shared" si="277"/>
        <v>Mulai meningkat</v>
      </c>
      <c r="AO362" s="146" t="e">
        <f t="shared" si="301"/>
        <v>#N/A</v>
      </c>
      <c r="AP362" s="148" t="e">
        <f t="shared" si="302"/>
        <v>#N/A</v>
      </c>
      <c r="AQ362" s="158" t="str">
        <f>IF('PA-Non'!V330&lt;&gt;"",'PA-Non'!V330,IFERROR("Mempunyai keterampilan yang "&amp;IF(AM362=AN362,PROPER(AN362)&amp;" dalam kompetensi "&amp;VLOOKUP(AO362,$AA$532:$AC$539,3)&amp;", demikian juga dalam kompetensi "&amp;VLOOKUP(AP362,$AA$532:$AC$539,3),PROPER(AM362)&amp;" dalam kompetensi "&amp;VLOOKUP(AO362,$AA$532:$AC$539,3)&amp;" dan "&amp;AN362&amp;" pada kompetensi "&amp;VLOOKUP(AP362,$AA$532:$AC$539,3)),""))</f>
        <v/>
      </c>
      <c r="AR362" s="188"/>
    </row>
    <row r="363" spans="2:44" ht="27.9" customHeight="1" thickBot="1" x14ac:dyDescent="0.35">
      <c r="B363" s="226" t="s">
        <v>127</v>
      </c>
      <c r="C363" s="149" t="str">
        <f t="shared" si="291"/>
        <v/>
      </c>
      <c r="D363" s="150" t="str">
        <f>IF(Data!F358="","",Data!F358)</f>
        <v/>
      </c>
      <c r="E363" s="151" t="str">
        <f>IF(Data!H358="","",Data!H358)</f>
        <v/>
      </c>
      <c r="F363" s="152" t="str">
        <f>IF(Data!I358="","",Data!I358)</f>
        <v/>
      </c>
      <c r="G363" s="153"/>
      <c r="H363" s="154"/>
      <c r="I363" s="154"/>
      <c r="J363" s="154"/>
      <c r="K363" s="154"/>
      <c r="L363" s="154"/>
      <c r="M363" s="154"/>
      <c r="N363" s="155"/>
      <c r="O363" s="157" t="str">
        <f t="shared" si="292"/>
        <v/>
      </c>
      <c r="P363" s="154"/>
      <c r="Q363" s="156"/>
      <c r="R363" s="157" t="str">
        <f t="shared" si="293"/>
        <v/>
      </c>
      <c r="S363" s="159" t="str">
        <f>IF(R363="","",IF(R363&gt;Data2!$C$12,Data2!$D$11,IF(R363&gt;Data2!$C$13,Data2!$D$12,IF(R363&gt;Data2!$C$14,Data2!$D$13,Data2!$D$14))))</f>
        <v/>
      </c>
      <c r="T363" s="144">
        <f t="shared" si="294"/>
        <v>0</v>
      </c>
      <c r="U363" s="144">
        <f t="shared" si="295"/>
        <v>0</v>
      </c>
      <c r="V363" s="144" t="str">
        <f t="shared" si="274"/>
        <v>Mulai berkembang</v>
      </c>
      <c r="W363" s="144" t="str">
        <f t="shared" si="275"/>
        <v>Mulai berkembang</v>
      </c>
      <c r="X363" s="144" t="e">
        <f t="shared" si="296"/>
        <v>#N/A</v>
      </c>
      <c r="Y363" s="145" t="e">
        <f t="shared" si="297"/>
        <v>#N/A</v>
      </c>
      <c r="Z363" s="218" t="str">
        <f>IF('PA-Non'!O331&lt;&gt;"",'PA-Non'!O331,IFERROR("Mempunyai kemampuan yang " &amp;IF(V363=W363,PROPER(W363)&amp;" dalam kompetensi "&amp;VLOOKUP(X363,$G$532:$I$539,3)&amp;" dan kompetensi "&amp;VLOOKUP(Y363,$G$532:$I$539,3),PROPER(V363)&amp;" dalam kompetensi "&amp;VLOOKUP(X363,$G$532:$I$539,3)&amp;" dan memiliki kemampuan yang "&amp;W363&amp;" pada kompetensi "&amp;VLOOKUP(Y363,$G$532:$I$539,3)),""))</f>
        <v/>
      </c>
      <c r="AA363" s="153"/>
      <c r="AB363" s="154"/>
      <c r="AC363" s="154"/>
      <c r="AD363" s="154"/>
      <c r="AE363" s="154"/>
      <c r="AF363" s="154"/>
      <c r="AG363" s="154"/>
      <c r="AH363" s="155"/>
      <c r="AI363" s="220" t="str">
        <f t="shared" si="298"/>
        <v/>
      </c>
      <c r="AJ363" s="160" t="str">
        <f>IF(AI363="","",IF(AI363&gt;Data2!$C$12,Data2!$D$11,IF(AI363&gt;Data2!$C$13,Data2!$D$12,IF(AI363&gt;Data2!$C$14,Data2!$D$13,Data2!$D$14))))</f>
        <v/>
      </c>
      <c r="AK363" s="146">
        <f t="shared" si="299"/>
        <v>0</v>
      </c>
      <c r="AL363" s="146">
        <f t="shared" si="300"/>
        <v>0</v>
      </c>
      <c r="AM363" s="147" t="str">
        <f t="shared" si="276"/>
        <v>Mulai meningkat</v>
      </c>
      <c r="AN363" s="147" t="str">
        <f t="shared" si="277"/>
        <v>Mulai meningkat</v>
      </c>
      <c r="AO363" s="146" t="e">
        <f t="shared" si="301"/>
        <v>#N/A</v>
      </c>
      <c r="AP363" s="148" t="e">
        <f t="shared" si="302"/>
        <v>#N/A</v>
      </c>
      <c r="AQ363" s="158" t="str">
        <f>IF('PA-Non'!V331&lt;&gt;"",'PA-Non'!V331,IFERROR("Mempunyai keterampilan yang "&amp;IF(AM363=AN363,PROPER(AN363)&amp;" dalam kompetensi "&amp;VLOOKUP(AO363,$AA$532:$AC$539,3)&amp;", demikian juga dalam kompetensi "&amp;VLOOKUP(AP363,$AA$532:$AC$539,3),PROPER(AM363)&amp;" dalam kompetensi "&amp;VLOOKUP(AO363,$AA$532:$AC$539,3)&amp;" dan "&amp;AN363&amp;" pada kompetensi "&amp;VLOOKUP(AP363,$AA$532:$AC$539,3)),""))</f>
        <v/>
      </c>
      <c r="AR363" s="188"/>
    </row>
    <row r="364" spans="2:44" ht="27.9" customHeight="1" thickBot="1" x14ac:dyDescent="0.35">
      <c r="B364" s="226" t="s">
        <v>127</v>
      </c>
      <c r="C364" s="149" t="str">
        <f t="shared" si="291"/>
        <v/>
      </c>
      <c r="D364" s="150" t="str">
        <f>IF(Data!F359="","",Data!F359)</f>
        <v/>
      </c>
      <c r="E364" s="151" t="str">
        <f>IF(Data!H359="","",Data!H359)</f>
        <v/>
      </c>
      <c r="F364" s="152" t="str">
        <f>IF(Data!I359="","",Data!I359)</f>
        <v/>
      </c>
      <c r="G364" s="153"/>
      <c r="H364" s="154"/>
      <c r="I364" s="154"/>
      <c r="J364" s="154"/>
      <c r="K364" s="154"/>
      <c r="L364" s="154"/>
      <c r="M364" s="154"/>
      <c r="N364" s="155"/>
      <c r="O364" s="157" t="str">
        <f t="shared" si="292"/>
        <v/>
      </c>
      <c r="P364" s="154"/>
      <c r="Q364" s="156"/>
      <c r="R364" s="157" t="str">
        <f t="shared" si="293"/>
        <v/>
      </c>
      <c r="S364" s="159" t="str">
        <f>IF(R364="","",IF(R364&gt;Data2!$C$12,Data2!$D$11,IF(R364&gt;Data2!$C$13,Data2!$D$12,IF(R364&gt;Data2!$C$14,Data2!$D$13,Data2!$D$14))))</f>
        <v/>
      </c>
      <c r="T364" s="144">
        <f t="shared" si="294"/>
        <v>0</v>
      </c>
      <c r="U364" s="144">
        <f t="shared" si="295"/>
        <v>0</v>
      </c>
      <c r="V364" s="144" t="str">
        <f t="shared" si="274"/>
        <v>Mulai berkembang</v>
      </c>
      <c r="W364" s="144" t="str">
        <f t="shared" si="275"/>
        <v>Mulai berkembang</v>
      </c>
      <c r="X364" s="144" t="e">
        <f t="shared" si="296"/>
        <v>#N/A</v>
      </c>
      <c r="Y364" s="145" t="e">
        <f t="shared" si="297"/>
        <v>#N/A</v>
      </c>
      <c r="Z364" s="218" t="str">
        <f>IF('PA-Non'!O332&lt;&gt;"",'PA-Non'!O332,IFERROR("Mempunyai kemampuan yang " &amp;IF(V364=W364,PROPER(W364)&amp;" dalam kompetensi "&amp;VLOOKUP(X364,$G$532:$I$539,3)&amp;" dan kompetensi "&amp;VLOOKUP(Y364,$G$532:$I$539,3),PROPER(V364)&amp;" dalam kompetensi "&amp;VLOOKUP(X364,$G$532:$I$539,3)&amp;" dan memiliki kemampuan yang "&amp;W364&amp;" pada kompetensi "&amp;VLOOKUP(Y364,$G$532:$I$539,3)),""))</f>
        <v/>
      </c>
      <c r="AA364" s="153"/>
      <c r="AB364" s="154"/>
      <c r="AC364" s="154"/>
      <c r="AD364" s="154"/>
      <c r="AE364" s="154"/>
      <c r="AF364" s="154"/>
      <c r="AG364" s="154"/>
      <c r="AH364" s="155"/>
      <c r="AI364" s="220" t="str">
        <f t="shared" si="298"/>
        <v/>
      </c>
      <c r="AJ364" s="160" t="str">
        <f>IF(AI364="","",IF(AI364&gt;Data2!$C$12,Data2!$D$11,IF(AI364&gt;Data2!$C$13,Data2!$D$12,IF(AI364&gt;Data2!$C$14,Data2!$D$13,Data2!$D$14))))</f>
        <v/>
      </c>
      <c r="AK364" s="146">
        <f t="shared" si="299"/>
        <v>0</v>
      </c>
      <c r="AL364" s="146">
        <f t="shared" si="300"/>
        <v>0</v>
      </c>
      <c r="AM364" s="147" t="str">
        <f t="shared" si="276"/>
        <v>Mulai meningkat</v>
      </c>
      <c r="AN364" s="147" t="str">
        <f t="shared" si="277"/>
        <v>Mulai meningkat</v>
      </c>
      <c r="AO364" s="146" t="e">
        <f t="shared" si="301"/>
        <v>#N/A</v>
      </c>
      <c r="AP364" s="148" t="e">
        <f t="shared" si="302"/>
        <v>#N/A</v>
      </c>
      <c r="AQ364" s="158" t="str">
        <f>IF('PA-Non'!V332&lt;&gt;"",'PA-Non'!V332,IFERROR("Mempunyai keterampilan yang "&amp;IF(AM364=AN364,PROPER(AN364)&amp;" dalam kompetensi "&amp;VLOOKUP(AO364,$AA$532:$AC$539,3)&amp;", demikian juga dalam kompetensi "&amp;VLOOKUP(AP364,$AA$532:$AC$539,3),PROPER(AM364)&amp;" dalam kompetensi "&amp;VLOOKUP(AO364,$AA$532:$AC$539,3)&amp;" dan "&amp;AN364&amp;" pada kompetensi "&amp;VLOOKUP(AP364,$AA$532:$AC$539,3)),""))</f>
        <v/>
      </c>
      <c r="AR364" s="188"/>
    </row>
    <row r="365" spans="2:44" ht="27.9" customHeight="1" thickBot="1" x14ac:dyDescent="0.35">
      <c r="B365" s="226" t="s">
        <v>127</v>
      </c>
      <c r="C365" s="149" t="str">
        <f t="shared" si="291"/>
        <v/>
      </c>
      <c r="D365" s="150" t="str">
        <f>IF(Data!F360="","",Data!F360)</f>
        <v/>
      </c>
      <c r="E365" s="151" t="str">
        <f>IF(Data!H360="","",Data!H360)</f>
        <v/>
      </c>
      <c r="F365" s="152" t="str">
        <f>IF(Data!I360="","",Data!I360)</f>
        <v/>
      </c>
      <c r="G365" s="153"/>
      <c r="H365" s="154"/>
      <c r="I365" s="154"/>
      <c r="J365" s="154"/>
      <c r="K365" s="154"/>
      <c r="L365" s="154"/>
      <c r="M365" s="154"/>
      <c r="N365" s="155"/>
      <c r="O365" s="157" t="str">
        <f t="shared" si="292"/>
        <v/>
      </c>
      <c r="P365" s="154"/>
      <c r="Q365" s="156"/>
      <c r="R365" s="157" t="str">
        <f t="shared" si="293"/>
        <v/>
      </c>
      <c r="S365" s="159" t="str">
        <f>IF(R365="","",IF(R365&gt;Data2!$C$12,Data2!$D$11,IF(R365&gt;Data2!$C$13,Data2!$D$12,IF(R365&gt;Data2!$C$14,Data2!$D$13,Data2!$D$14))))</f>
        <v/>
      </c>
      <c r="T365" s="144">
        <f t="shared" si="294"/>
        <v>0</v>
      </c>
      <c r="U365" s="144">
        <f t="shared" si="295"/>
        <v>0</v>
      </c>
      <c r="V365" s="144" t="str">
        <f t="shared" si="274"/>
        <v>Mulai berkembang</v>
      </c>
      <c r="W365" s="144" t="str">
        <f t="shared" si="275"/>
        <v>Mulai berkembang</v>
      </c>
      <c r="X365" s="144" t="e">
        <f t="shared" si="296"/>
        <v>#N/A</v>
      </c>
      <c r="Y365" s="145" t="e">
        <f t="shared" si="297"/>
        <v>#N/A</v>
      </c>
      <c r="Z365" s="218" t="str">
        <f>IF('PA-Non'!O333&lt;&gt;"",'PA-Non'!O333,IFERROR("Mempunyai kemampuan yang " &amp;IF(V365=W365,PROPER(W365)&amp;" dalam kompetensi "&amp;VLOOKUP(X365,$G$532:$I$539,3)&amp;" dan kompetensi "&amp;VLOOKUP(Y365,$G$532:$I$539,3),PROPER(V365)&amp;" dalam kompetensi "&amp;VLOOKUP(X365,$G$532:$I$539,3)&amp;" dan memiliki kemampuan yang "&amp;W365&amp;" pada kompetensi "&amp;VLOOKUP(Y365,$G$532:$I$539,3)),""))</f>
        <v/>
      </c>
      <c r="AA365" s="153"/>
      <c r="AB365" s="154"/>
      <c r="AC365" s="154"/>
      <c r="AD365" s="154"/>
      <c r="AE365" s="154"/>
      <c r="AF365" s="154"/>
      <c r="AG365" s="154"/>
      <c r="AH365" s="155"/>
      <c r="AI365" s="220" t="str">
        <f t="shared" si="298"/>
        <v/>
      </c>
      <c r="AJ365" s="160" t="str">
        <f>IF(AI365="","",IF(AI365&gt;Data2!$C$12,Data2!$D$11,IF(AI365&gt;Data2!$C$13,Data2!$D$12,IF(AI365&gt;Data2!$C$14,Data2!$D$13,Data2!$D$14))))</f>
        <v/>
      </c>
      <c r="AK365" s="146">
        <f t="shared" si="299"/>
        <v>0</v>
      </c>
      <c r="AL365" s="146">
        <f t="shared" si="300"/>
        <v>0</v>
      </c>
      <c r="AM365" s="147" t="str">
        <f t="shared" si="276"/>
        <v>Mulai meningkat</v>
      </c>
      <c r="AN365" s="147" t="str">
        <f t="shared" si="277"/>
        <v>Mulai meningkat</v>
      </c>
      <c r="AO365" s="146" t="e">
        <f t="shared" si="301"/>
        <v>#N/A</v>
      </c>
      <c r="AP365" s="148" t="e">
        <f t="shared" si="302"/>
        <v>#N/A</v>
      </c>
      <c r="AQ365" s="158" t="str">
        <f>IF('PA-Non'!V333&lt;&gt;"",'PA-Non'!V333,IFERROR("Mempunyai keterampilan yang "&amp;IF(AM365=AN365,PROPER(AN365)&amp;" dalam kompetensi "&amp;VLOOKUP(AO365,$AA$532:$AC$539,3)&amp;", demikian juga dalam kompetensi "&amp;VLOOKUP(AP365,$AA$532:$AC$539,3),PROPER(AM365)&amp;" dalam kompetensi "&amp;VLOOKUP(AO365,$AA$532:$AC$539,3)&amp;" dan "&amp;AN365&amp;" pada kompetensi "&amp;VLOOKUP(AP365,$AA$532:$AC$539,3)),""))</f>
        <v/>
      </c>
      <c r="AR365" s="188"/>
    </row>
    <row r="366" spans="2:44" ht="27.9" customHeight="1" thickBot="1" x14ac:dyDescent="0.35">
      <c r="B366" s="226" t="s">
        <v>127</v>
      </c>
      <c r="C366" s="149" t="str">
        <f t="shared" si="291"/>
        <v/>
      </c>
      <c r="D366" s="150" t="str">
        <f>IF(Data!F361="","",Data!F361)</f>
        <v/>
      </c>
      <c r="E366" s="151" t="str">
        <f>IF(Data!H361="","",Data!H361)</f>
        <v/>
      </c>
      <c r="F366" s="152" t="str">
        <f>IF(Data!I361="","",Data!I361)</f>
        <v/>
      </c>
      <c r="G366" s="153"/>
      <c r="H366" s="154"/>
      <c r="I366" s="154"/>
      <c r="J366" s="154"/>
      <c r="K366" s="154"/>
      <c r="L366" s="154"/>
      <c r="M366" s="154"/>
      <c r="N366" s="155"/>
      <c r="O366" s="157" t="str">
        <f t="shared" si="292"/>
        <v/>
      </c>
      <c r="P366" s="154"/>
      <c r="Q366" s="156"/>
      <c r="R366" s="157" t="str">
        <f t="shared" si="293"/>
        <v/>
      </c>
      <c r="S366" s="159" t="str">
        <f>IF(R366="","",IF(R366&gt;Data2!$C$12,Data2!$D$11,IF(R366&gt;Data2!$C$13,Data2!$D$12,IF(R366&gt;Data2!$C$14,Data2!$D$13,Data2!$D$14))))</f>
        <v/>
      </c>
      <c r="T366" s="144">
        <f t="shared" si="294"/>
        <v>0</v>
      </c>
      <c r="U366" s="144">
        <f t="shared" si="295"/>
        <v>0</v>
      </c>
      <c r="V366" s="144" t="str">
        <f t="shared" si="274"/>
        <v>Mulai berkembang</v>
      </c>
      <c r="W366" s="144" t="str">
        <f t="shared" si="275"/>
        <v>Mulai berkembang</v>
      </c>
      <c r="X366" s="144" t="e">
        <f t="shared" si="296"/>
        <v>#N/A</v>
      </c>
      <c r="Y366" s="145" t="e">
        <f t="shared" si="297"/>
        <v>#N/A</v>
      </c>
      <c r="Z366" s="218" t="str">
        <f>IF('PA-Non'!O334&lt;&gt;"",'PA-Non'!O334,IFERROR("Mempunyai kemampuan yang " &amp;IF(V366=W366,PROPER(W366)&amp;" dalam kompetensi "&amp;VLOOKUP(X366,$G$532:$I$539,3)&amp;" dan kompetensi "&amp;VLOOKUP(Y366,$G$532:$I$539,3),PROPER(V366)&amp;" dalam kompetensi "&amp;VLOOKUP(X366,$G$532:$I$539,3)&amp;" dan memiliki kemampuan yang "&amp;W366&amp;" pada kompetensi "&amp;VLOOKUP(Y366,$G$532:$I$539,3)),""))</f>
        <v/>
      </c>
      <c r="AA366" s="153"/>
      <c r="AB366" s="154"/>
      <c r="AC366" s="154"/>
      <c r="AD366" s="154"/>
      <c r="AE366" s="154"/>
      <c r="AF366" s="154"/>
      <c r="AG366" s="154"/>
      <c r="AH366" s="155"/>
      <c r="AI366" s="220" t="str">
        <f t="shared" si="298"/>
        <v/>
      </c>
      <c r="AJ366" s="160" t="str">
        <f>IF(AI366="","",IF(AI366&gt;Data2!$C$12,Data2!$D$11,IF(AI366&gt;Data2!$C$13,Data2!$D$12,IF(AI366&gt;Data2!$C$14,Data2!$D$13,Data2!$D$14))))</f>
        <v/>
      </c>
      <c r="AK366" s="146">
        <f t="shared" si="299"/>
        <v>0</v>
      </c>
      <c r="AL366" s="146">
        <f t="shared" si="300"/>
        <v>0</v>
      </c>
      <c r="AM366" s="147" t="str">
        <f t="shared" si="276"/>
        <v>Mulai meningkat</v>
      </c>
      <c r="AN366" s="147" t="str">
        <f t="shared" si="277"/>
        <v>Mulai meningkat</v>
      </c>
      <c r="AO366" s="146" t="e">
        <f t="shared" si="301"/>
        <v>#N/A</v>
      </c>
      <c r="AP366" s="148" t="e">
        <f t="shared" si="302"/>
        <v>#N/A</v>
      </c>
      <c r="AQ366" s="158" t="str">
        <f>IF('PA-Non'!V334&lt;&gt;"",'PA-Non'!V334,IFERROR("Mempunyai keterampilan yang "&amp;IF(AM366=AN366,PROPER(AN366)&amp;" dalam kompetensi "&amp;VLOOKUP(AO366,$AA$532:$AC$539,3)&amp;", demikian juga dalam kompetensi "&amp;VLOOKUP(AP366,$AA$532:$AC$539,3),PROPER(AM366)&amp;" dalam kompetensi "&amp;VLOOKUP(AO366,$AA$532:$AC$539,3)&amp;" dan "&amp;AN366&amp;" pada kompetensi "&amp;VLOOKUP(AP366,$AA$532:$AC$539,3)),""))</f>
        <v/>
      </c>
      <c r="AR366" s="188"/>
    </row>
    <row r="367" spans="2:44" ht="27.9" customHeight="1" thickBot="1" x14ac:dyDescent="0.35">
      <c r="B367" s="226" t="s">
        <v>127</v>
      </c>
      <c r="C367" s="149" t="str">
        <f t="shared" si="291"/>
        <v/>
      </c>
      <c r="D367" s="150" t="str">
        <f>IF(Data!F362="","",Data!F362)</f>
        <v/>
      </c>
      <c r="E367" s="151" t="str">
        <f>IF(Data!H362="","",Data!H362)</f>
        <v/>
      </c>
      <c r="F367" s="152" t="str">
        <f>IF(Data!I362="","",Data!I362)</f>
        <v/>
      </c>
      <c r="G367" s="153"/>
      <c r="H367" s="154"/>
      <c r="I367" s="154"/>
      <c r="J367" s="154"/>
      <c r="K367" s="154"/>
      <c r="L367" s="154"/>
      <c r="M367" s="154"/>
      <c r="N367" s="155"/>
      <c r="O367" s="157" t="str">
        <f t="shared" si="292"/>
        <v/>
      </c>
      <c r="P367" s="154"/>
      <c r="Q367" s="156"/>
      <c r="R367" s="157" t="str">
        <f t="shared" si="293"/>
        <v/>
      </c>
      <c r="S367" s="159" t="str">
        <f>IF(R367="","",IF(R367&gt;Data2!$C$12,Data2!$D$11,IF(R367&gt;Data2!$C$13,Data2!$D$12,IF(R367&gt;Data2!$C$14,Data2!$D$13,Data2!$D$14))))</f>
        <v/>
      </c>
      <c r="T367" s="144">
        <f t="shared" si="294"/>
        <v>0</v>
      </c>
      <c r="U367" s="144">
        <f t="shared" si="295"/>
        <v>0</v>
      </c>
      <c r="V367" s="144" t="str">
        <f t="shared" si="274"/>
        <v>Mulai berkembang</v>
      </c>
      <c r="W367" s="144" t="str">
        <f t="shared" si="275"/>
        <v>Mulai berkembang</v>
      </c>
      <c r="X367" s="144" t="e">
        <f t="shared" si="296"/>
        <v>#N/A</v>
      </c>
      <c r="Y367" s="145" t="e">
        <f t="shared" si="297"/>
        <v>#N/A</v>
      </c>
      <c r="Z367" s="218" t="str">
        <f>IF('PA-Non'!O335&lt;&gt;"",'PA-Non'!O335,IFERROR("Mempunyai kemampuan yang " &amp;IF(V367=W367,PROPER(W367)&amp;" dalam kompetensi "&amp;VLOOKUP(X367,$G$532:$I$539,3)&amp;" dan kompetensi "&amp;VLOOKUP(Y367,$G$532:$I$539,3),PROPER(V367)&amp;" dalam kompetensi "&amp;VLOOKUP(X367,$G$532:$I$539,3)&amp;" dan memiliki kemampuan yang "&amp;W367&amp;" pada kompetensi "&amp;VLOOKUP(Y367,$G$532:$I$539,3)),""))</f>
        <v/>
      </c>
      <c r="AA367" s="153"/>
      <c r="AB367" s="154"/>
      <c r="AC367" s="154"/>
      <c r="AD367" s="154"/>
      <c r="AE367" s="154"/>
      <c r="AF367" s="154"/>
      <c r="AG367" s="154"/>
      <c r="AH367" s="155"/>
      <c r="AI367" s="220" t="str">
        <f t="shared" si="298"/>
        <v/>
      </c>
      <c r="AJ367" s="160" t="str">
        <f>IF(AI367="","",IF(AI367&gt;Data2!$C$12,Data2!$D$11,IF(AI367&gt;Data2!$C$13,Data2!$D$12,IF(AI367&gt;Data2!$C$14,Data2!$D$13,Data2!$D$14))))</f>
        <v/>
      </c>
      <c r="AK367" s="146">
        <f t="shared" si="299"/>
        <v>0</v>
      </c>
      <c r="AL367" s="146">
        <f t="shared" si="300"/>
        <v>0</v>
      </c>
      <c r="AM367" s="147" t="str">
        <f t="shared" si="276"/>
        <v>Mulai meningkat</v>
      </c>
      <c r="AN367" s="147" t="str">
        <f t="shared" si="277"/>
        <v>Mulai meningkat</v>
      </c>
      <c r="AO367" s="146" t="e">
        <f t="shared" si="301"/>
        <v>#N/A</v>
      </c>
      <c r="AP367" s="148" t="e">
        <f t="shared" si="302"/>
        <v>#N/A</v>
      </c>
      <c r="AQ367" s="158" t="str">
        <f>IF('PA-Non'!V335&lt;&gt;"",'PA-Non'!V335,IFERROR("Mempunyai keterampilan yang "&amp;IF(AM367=AN367,PROPER(AN367)&amp;" dalam kompetensi "&amp;VLOOKUP(AO367,$AA$532:$AC$539,3)&amp;", demikian juga dalam kompetensi "&amp;VLOOKUP(AP367,$AA$532:$AC$539,3),PROPER(AM367)&amp;" dalam kompetensi "&amp;VLOOKUP(AO367,$AA$532:$AC$539,3)&amp;" dan "&amp;AN367&amp;" pada kompetensi "&amp;VLOOKUP(AP367,$AA$532:$AC$539,3)),""))</f>
        <v/>
      </c>
      <c r="AR367" s="188"/>
    </row>
    <row r="368" spans="2:44" ht="27.9" customHeight="1" x14ac:dyDescent="0.3">
      <c r="B368" s="386" t="s">
        <v>127</v>
      </c>
      <c r="C368" s="387" t="str">
        <f t="shared" si="291"/>
        <v/>
      </c>
      <c r="D368" s="51" t="str">
        <f>IF(Data!F363="","",Data!F363)</f>
        <v/>
      </c>
      <c r="E368" s="91" t="str">
        <f>IF(Data!H363="","",Data!H363)</f>
        <v/>
      </c>
      <c r="F368" s="52" t="str">
        <f>IF(Data!I363="","",Data!I363)</f>
        <v/>
      </c>
      <c r="G368" s="388"/>
      <c r="H368" s="389"/>
      <c r="I368" s="389"/>
      <c r="J368" s="389"/>
      <c r="K368" s="389"/>
      <c r="L368" s="389"/>
      <c r="M368" s="389"/>
      <c r="N368" s="390"/>
      <c r="O368" s="391" t="str">
        <f t="shared" si="292"/>
        <v/>
      </c>
      <c r="P368" s="389"/>
      <c r="Q368" s="392"/>
      <c r="R368" s="391" t="str">
        <f t="shared" si="293"/>
        <v/>
      </c>
      <c r="S368" s="393" t="str">
        <f>IF(R368="","",IF(R368&gt;Data2!$C$12,Data2!$D$11,IF(R368&gt;Data2!$C$13,Data2!$D$12,IF(R368&gt;Data2!$C$14,Data2!$D$13,Data2!$D$14))))</f>
        <v/>
      </c>
      <c r="T368" s="394">
        <f t="shared" si="294"/>
        <v>0</v>
      </c>
      <c r="U368" s="394">
        <f t="shared" si="295"/>
        <v>0</v>
      </c>
      <c r="V368" s="394" t="str">
        <f t="shared" si="274"/>
        <v>Mulai berkembang</v>
      </c>
      <c r="W368" s="394" t="str">
        <f t="shared" si="275"/>
        <v>Mulai berkembang</v>
      </c>
      <c r="X368" s="394" t="e">
        <f t="shared" si="296"/>
        <v>#N/A</v>
      </c>
      <c r="Y368" s="395" t="e">
        <f t="shared" si="297"/>
        <v>#N/A</v>
      </c>
      <c r="Z368" s="396" t="str">
        <f>IF('PA-Non'!O336&lt;&gt;"",'PA-Non'!O336,IFERROR("Mempunyai kemampuan yang " &amp;IF(V368=W368,PROPER(W368)&amp;" dalam kompetensi "&amp;VLOOKUP(X368,$G$532:$I$539,3)&amp;" dan kompetensi "&amp;VLOOKUP(Y368,$G$532:$I$539,3),PROPER(V368)&amp;" dalam kompetensi "&amp;VLOOKUP(X368,$G$532:$I$539,3)&amp;" dan memiliki kemampuan yang "&amp;W368&amp;" pada kompetensi "&amp;VLOOKUP(Y368,$G$532:$I$539,3)),""))</f>
        <v/>
      </c>
      <c r="AA368" s="388"/>
      <c r="AB368" s="389"/>
      <c r="AC368" s="389"/>
      <c r="AD368" s="389"/>
      <c r="AE368" s="389"/>
      <c r="AF368" s="389"/>
      <c r="AG368" s="389"/>
      <c r="AH368" s="390"/>
      <c r="AI368" s="397" t="str">
        <f t="shared" si="298"/>
        <v/>
      </c>
      <c r="AJ368" s="398" t="str">
        <f>IF(AI368="","",IF(AI368&gt;Data2!$C$12,Data2!$D$11,IF(AI368&gt;Data2!$C$13,Data2!$D$12,IF(AI368&gt;Data2!$C$14,Data2!$D$13,Data2!$D$14))))</f>
        <v/>
      </c>
      <c r="AK368" s="399">
        <f t="shared" si="299"/>
        <v>0</v>
      </c>
      <c r="AL368" s="399">
        <f t="shared" si="300"/>
        <v>0</v>
      </c>
      <c r="AM368" s="400" t="str">
        <f t="shared" si="276"/>
        <v>Mulai meningkat</v>
      </c>
      <c r="AN368" s="400" t="str">
        <f t="shared" si="277"/>
        <v>Mulai meningkat</v>
      </c>
      <c r="AO368" s="399" t="e">
        <f t="shared" si="301"/>
        <v>#N/A</v>
      </c>
      <c r="AP368" s="401" t="e">
        <f t="shared" si="302"/>
        <v>#N/A</v>
      </c>
      <c r="AQ368" s="402" t="str">
        <f>IF('PA-Non'!V336&lt;&gt;"",'PA-Non'!V336,IFERROR("Mempunyai keterampilan yang "&amp;IF(AM368=AN368,PROPER(AN368)&amp;" dalam kompetensi "&amp;VLOOKUP(AO368,$AA$532:$AC$539,3)&amp;", demikian juga dalam kompetensi "&amp;VLOOKUP(AP368,$AA$532:$AC$539,3),PROPER(AM368)&amp;" dalam kompetensi "&amp;VLOOKUP(AO368,$AA$532:$AC$539,3)&amp;" dan "&amp;AN368&amp;" pada kompetensi "&amp;VLOOKUP(AP368,$AA$532:$AC$539,3)),""))</f>
        <v/>
      </c>
      <c r="AR368" s="188"/>
    </row>
    <row r="369" spans="2:44" ht="27.9" customHeight="1" thickBot="1" x14ac:dyDescent="0.35">
      <c r="B369" s="365" t="s">
        <v>127</v>
      </c>
      <c r="C369" s="366" t="str">
        <f t="shared" si="291"/>
        <v/>
      </c>
      <c r="D369" s="367" t="str">
        <f>IF(Data!F364="","",Data!F364)</f>
        <v/>
      </c>
      <c r="E369" s="368" t="str">
        <f>IF(Data!H364="","",Data!H364)</f>
        <v/>
      </c>
      <c r="F369" s="369" t="str">
        <f>IF(Data!I364="","",Data!I364)</f>
        <v/>
      </c>
      <c r="G369" s="370"/>
      <c r="H369" s="371"/>
      <c r="I369" s="371"/>
      <c r="J369" s="371"/>
      <c r="K369" s="371"/>
      <c r="L369" s="371"/>
      <c r="M369" s="371"/>
      <c r="N369" s="372"/>
      <c r="O369" s="373" t="str">
        <f t="shared" si="292"/>
        <v/>
      </c>
      <c r="P369" s="371"/>
      <c r="Q369" s="374"/>
      <c r="R369" s="373" t="str">
        <f t="shared" si="293"/>
        <v/>
      </c>
      <c r="S369" s="375" t="str">
        <f>IF(R369="","",IF(R369&gt;Data2!$C$12,Data2!$D$11,IF(R369&gt;Data2!$C$13,Data2!$D$12,IF(R369&gt;Data2!$C$14,Data2!$D$13,Data2!$D$14))))</f>
        <v/>
      </c>
      <c r="T369" s="404">
        <f t="shared" si="294"/>
        <v>0</v>
      </c>
      <c r="U369" s="404">
        <f t="shared" si="295"/>
        <v>0</v>
      </c>
      <c r="V369" s="404" t="str">
        <f t="shared" si="274"/>
        <v>Mulai berkembang</v>
      </c>
      <c r="W369" s="404" t="str">
        <f t="shared" si="275"/>
        <v>Mulai berkembang</v>
      </c>
      <c r="X369" s="404" t="e">
        <f t="shared" si="296"/>
        <v>#N/A</v>
      </c>
      <c r="Y369" s="405" t="e">
        <f t="shared" si="297"/>
        <v>#N/A</v>
      </c>
      <c r="Z369" s="376" t="str">
        <f>IF('PA-Non'!O337&lt;&gt;"",'PA-Non'!O337,IFERROR("Mempunyai kemampuan yang " &amp;IF(V369=W369,PROPER(W369)&amp;" dalam kompetensi "&amp;VLOOKUP(X369,$G$532:$I$539,3)&amp;" dan kompetensi "&amp;VLOOKUP(Y369,$G$532:$I$539,3),PROPER(V369)&amp;" dalam kompetensi "&amp;VLOOKUP(X369,$G$532:$I$539,3)&amp;" dan memiliki kemampuan yang "&amp;W369&amp;" pada kompetensi "&amp;VLOOKUP(Y369,$G$532:$I$539,3)),""))</f>
        <v/>
      </c>
      <c r="AA369" s="370"/>
      <c r="AB369" s="371"/>
      <c r="AC369" s="371"/>
      <c r="AD369" s="371"/>
      <c r="AE369" s="371"/>
      <c r="AF369" s="371"/>
      <c r="AG369" s="371"/>
      <c r="AH369" s="372"/>
      <c r="AI369" s="377" t="str">
        <f t="shared" si="298"/>
        <v/>
      </c>
      <c r="AJ369" s="378" t="str">
        <f>IF(AI369="","",IF(AI369&gt;Data2!$C$12,Data2!$D$11,IF(AI369&gt;Data2!$C$13,Data2!$D$12,IF(AI369&gt;Data2!$C$14,Data2!$D$13,Data2!$D$14))))</f>
        <v/>
      </c>
      <c r="AK369" s="406">
        <f t="shared" si="299"/>
        <v>0</v>
      </c>
      <c r="AL369" s="406">
        <f t="shared" si="300"/>
        <v>0</v>
      </c>
      <c r="AM369" s="407" t="str">
        <f t="shared" si="276"/>
        <v>Mulai meningkat</v>
      </c>
      <c r="AN369" s="407" t="str">
        <f t="shared" si="277"/>
        <v>Mulai meningkat</v>
      </c>
      <c r="AO369" s="406" t="e">
        <f t="shared" si="301"/>
        <v>#N/A</v>
      </c>
      <c r="AP369" s="408" t="e">
        <f t="shared" si="302"/>
        <v>#N/A</v>
      </c>
      <c r="AQ369" s="409" t="str">
        <f>IF('PA-Non'!V337&lt;&gt;"",'PA-Non'!V337,IFERROR("Mempunyai keterampilan yang "&amp;IF(AM369=AN369,PROPER(AN369)&amp;" dalam kompetensi "&amp;VLOOKUP(AO369,$AA$532:$AC$539,3)&amp;", demikian juga dalam kompetensi "&amp;VLOOKUP(AP369,$AA$532:$AC$539,3),PROPER(AM369)&amp;" dalam kompetensi "&amp;VLOOKUP(AO369,$AA$532:$AC$539,3)&amp;" dan "&amp;AN369&amp;" pada kompetensi "&amp;VLOOKUP(AP369,$AA$532:$AC$539,3)),""))</f>
        <v/>
      </c>
      <c r="AR369" s="188"/>
    </row>
    <row r="370" spans="2:44" ht="27.9" customHeight="1" thickBot="1" x14ac:dyDescent="0.35">
      <c r="B370" s="383" t="s">
        <v>167</v>
      </c>
      <c r="C370" s="347">
        <v>1</v>
      </c>
      <c r="D370" s="348" t="str">
        <f>IF(Data!F365="","",Data!F365)</f>
        <v/>
      </c>
      <c r="E370" s="349" t="str">
        <f>IF(Data!H365="","",Data!H365)</f>
        <v/>
      </c>
      <c r="F370" s="350" t="str">
        <f>IF(Data!I365="","",Data!I365)</f>
        <v/>
      </c>
      <c r="G370" s="351"/>
      <c r="H370" s="352"/>
      <c r="I370" s="352"/>
      <c r="J370" s="352"/>
      <c r="K370" s="352"/>
      <c r="L370" s="352"/>
      <c r="M370" s="352"/>
      <c r="N370" s="353"/>
      <c r="O370" s="354" t="str">
        <f t="shared" ref="O370:O449" si="303">IF(COUNT(G370:N370)&lt;3,"",ROUND(SUM(G370:N370)/$O$6,0))</f>
        <v/>
      </c>
      <c r="P370" s="352"/>
      <c r="Q370" s="355"/>
      <c r="R370" s="354" t="str">
        <f t="shared" ref="R370:R449" si="304">IFERROR(IF(OR(P370="",Q370=""),"",ROUND(((O370*$O$8)+(P370*$P$8)+(Q370*$Q$8))/$Q$6,0)),"")</f>
        <v/>
      </c>
      <c r="S370" s="356" t="str">
        <f>IF(R370="","",IF(R370&gt;Data2!$C$12,Data2!$D$11,IF(R370&gt;Data2!$C$13,Data2!$D$12,IF(R370&gt;Data2!$C$14,Data2!$D$13,Data2!$D$14))))</f>
        <v/>
      </c>
      <c r="T370" s="357">
        <f t="shared" ref="T370:T449" si="305">MAX(G370:N370)</f>
        <v>0</v>
      </c>
      <c r="U370" s="357">
        <f t="shared" ref="U370:U449" si="306">MIN(G370:N370)</f>
        <v>0</v>
      </c>
      <c r="V370" s="357" t="str">
        <f t="shared" si="274"/>
        <v>Mulai berkembang</v>
      </c>
      <c r="W370" s="357" t="str">
        <f t="shared" si="275"/>
        <v>Mulai berkembang</v>
      </c>
      <c r="X370" s="357" t="e">
        <f t="shared" ref="X370:X449" si="307">MATCH(T370,G370:N370,0)</f>
        <v>#N/A</v>
      </c>
      <c r="Y370" s="358" t="e">
        <f t="shared" ref="Y370:Y449" si="308">MATCH(U370,G370:N370,0)</f>
        <v>#N/A</v>
      </c>
      <c r="Z370" s="359" t="str">
        <f>IF('PA-Non'!O258&lt;&gt;"",'PA-Non'!O258,IFERROR("Mempunyai kemampuan yang " &amp;IF(V370=W370,PROPER(W370)&amp;" dalam kompetensi "&amp;VLOOKUP(X370,$G$532:$I$539,3)&amp;" dan kompetensi "&amp;VLOOKUP(Y370,$G$532:$I$539,3),PROPER(V370)&amp;" dalam kompetensi "&amp;VLOOKUP(X370,$G$532:$I$539,3)&amp;" dan memiliki kemampuan yang "&amp;W370&amp;" pada kompetensi "&amp;VLOOKUP(Y370,$G$532:$I$539,3)),""))</f>
        <v/>
      </c>
      <c r="AA370" s="351"/>
      <c r="AB370" s="352"/>
      <c r="AC370" s="352"/>
      <c r="AD370" s="352"/>
      <c r="AE370" s="352"/>
      <c r="AF370" s="352"/>
      <c r="AG370" s="352"/>
      <c r="AH370" s="353"/>
      <c r="AI370" s="360" t="str">
        <f t="shared" ref="AI370:AI449" si="309">IF(COUNT(AA370:AH370)&lt;3,"",ROUND(((AA370*$AA$8)+(AB370*$AB$8)+(AC370*$AC$8)+(AD370*$AD$8)+(AE370*$AE$8)+(AF370*$AF$8)+(AG370*$AG$8)+(AH370*$AH$8))/$AI$6,0))</f>
        <v/>
      </c>
      <c r="AJ370" s="361" t="str">
        <f>IF(AI370="","",IF(AI370&gt;Data2!$C$12,Data2!$D$11,IF(AI370&gt;Data2!$C$13,Data2!$D$12,IF(AI370&gt;Data2!$C$14,Data2!$D$13,Data2!$D$14))))</f>
        <v/>
      </c>
      <c r="AK370" s="362">
        <f t="shared" ref="AK370:AK449" si="310">MAX(AA370:AH370)</f>
        <v>0</v>
      </c>
      <c r="AL370" s="362">
        <f t="shared" ref="AL370:AL449" si="311">MIN(AA370:AH370)</f>
        <v>0</v>
      </c>
      <c r="AM370" s="363" t="str">
        <f t="shared" si="276"/>
        <v>Mulai meningkat</v>
      </c>
      <c r="AN370" s="363" t="str">
        <f t="shared" si="277"/>
        <v>Mulai meningkat</v>
      </c>
      <c r="AO370" s="362" t="e">
        <f t="shared" ref="AO370:AO449" si="312">MATCH(AK370,AA370:AH370,0)</f>
        <v>#N/A</v>
      </c>
      <c r="AP370" s="364" t="e">
        <f t="shared" ref="AP370:AP449" si="313">MATCH(AL370,AA370:AH370,0)</f>
        <v>#N/A</v>
      </c>
      <c r="AQ370" s="403" t="str">
        <f>IF('PA-Non'!V258&lt;&gt;"",'PA-Non'!V258,IFERROR("Mempunyai keterampilan yang "&amp;IF(AM370=AN370,PROPER(AN370)&amp;" dalam kompetensi "&amp;VLOOKUP(AO370,$AA$532:$AC$539,3)&amp;", demikian juga dalam kompetensi "&amp;VLOOKUP(AP370,$AA$532:$AC$539,3),PROPER(AM370)&amp;" dalam kompetensi "&amp;VLOOKUP(AO370,$AA$532:$AC$539,3)&amp;" dan "&amp;AN370&amp;" pada kompetensi "&amp;VLOOKUP(AP370,$AA$532:$AC$539,3)),""))</f>
        <v/>
      </c>
      <c r="AR370" s="188"/>
    </row>
    <row r="371" spans="2:44" ht="27.9" customHeight="1" thickBot="1" x14ac:dyDescent="0.35">
      <c r="B371" s="384" t="s">
        <v>167</v>
      </c>
      <c r="C371" s="149" t="str">
        <f t="shared" ref="C371:C409" si="314">IF(E371="","",C370+1)</f>
        <v/>
      </c>
      <c r="D371" s="150" t="str">
        <f>IF(Data!F366="","",Data!F366)</f>
        <v/>
      </c>
      <c r="E371" s="151" t="str">
        <f>IF(Data!H366="","",Data!H366)</f>
        <v/>
      </c>
      <c r="F371" s="152" t="str">
        <f>IF(Data!I366="","",Data!I366)</f>
        <v/>
      </c>
      <c r="G371" s="343"/>
      <c r="H371" s="344"/>
      <c r="I371" s="344"/>
      <c r="J371" s="344"/>
      <c r="K371" s="344"/>
      <c r="L371" s="344"/>
      <c r="M371" s="344"/>
      <c r="N371" s="345"/>
      <c r="O371" s="157" t="str">
        <f t="shared" si="303"/>
        <v/>
      </c>
      <c r="P371" s="344"/>
      <c r="Q371" s="346"/>
      <c r="R371" s="157" t="str">
        <f t="shared" si="304"/>
        <v/>
      </c>
      <c r="S371" s="159" t="str">
        <f>IF(R371="","",IF(R371&gt;Data2!$C$12,Data2!$D$11,IF(R371&gt;Data2!$C$13,Data2!$D$12,IF(R371&gt;Data2!$C$14,Data2!$D$13,Data2!$D$14))))</f>
        <v/>
      </c>
      <c r="T371" s="144">
        <f t="shared" si="305"/>
        <v>0</v>
      </c>
      <c r="U371" s="144">
        <f t="shared" si="306"/>
        <v>0</v>
      </c>
      <c r="V371" s="144" t="str">
        <f t="shared" ref="V371:V434" si="315">IF(T371&gt;$I$560,$J$559,IF(T371&gt;$I$561,$J$560,IF(T371&gt;$I$562,$J$561,$J$562)))</f>
        <v>Mulai berkembang</v>
      </c>
      <c r="W371" s="144" t="str">
        <f t="shared" ref="W371:W434" si="316">IF(U371&gt;$I$560,$J$559,IF(U371&gt;$I$561,$J$560,IF(U371&gt;$I$562,$J$561,$J$562)))</f>
        <v>Mulai berkembang</v>
      </c>
      <c r="X371" s="144" t="e">
        <f t="shared" si="307"/>
        <v>#N/A</v>
      </c>
      <c r="Y371" s="145" t="e">
        <f t="shared" si="308"/>
        <v>#N/A</v>
      </c>
      <c r="Z371" s="218" t="str">
        <f>IF('PA-Non'!O259&lt;&gt;"",'PA-Non'!O259,IFERROR("Mempunyai kemampuan yang " &amp;IF(V371=W371,PROPER(W371)&amp;" dalam kompetensi "&amp;VLOOKUP(X371,$G$532:$I$539,3)&amp;" dan kompetensi "&amp;VLOOKUP(Y371,$G$532:$I$539,3),PROPER(V371)&amp;" dalam kompetensi "&amp;VLOOKUP(X371,$G$532:$I$539,3)&amp;" dan memiliki kemampuan yang "&amp;W371&amp;" pada kompetensi "&amp;VLOOKUP(Y371,$G$532:$I$539,3)),""))</f>
        <v/>
      </c>
      <c r="AA371" s="343"/>
      <c r="AB371" s="344"/>
      <c r="AC371" s="344"/>
      <c r="AD371" s="344"/>
      <c r="AE371" s="344"/>
      <c r="AF371" s="344"/>
      <c r="AG371" s="344"/>
      <c r="AH371" s="345"/>
      <c r="AI371" s="220" t="str">
        <f t="shared" si="309"/>
        <v/>
      </c>
      <c r="AJ371" s="160" t="str">
        <f>IF(AI371="","",IF(AI371&gt;Data2!$C$12,Data2!$D$11,IF(AI371&gt;Data2!$C$13,Data2!$D$12,IF(AI371&gt;Data2!$C$14,Data2!$D$13,Data2!$D$14))))</f>
        <v/>
      </c>
      <c r="AK371" s="146">
        <f t="shared" si="310"/>
        <v>0</v>
      </c>
      <c r="AL371" s="146">
        <f t="shared" si="311"/>
        <v>0</v>
      </c>
      <c r="AM371" s="147" t="str">
        <f t="shared" ref="AM371:AM434" si="317">IF(AK371&gt;$I$560,$AD$559,IF(AK371&gt;$I$561,$AD$560,IF(AK371&gt;$I$562,$AD$561,$AD$562)))</f>
        <v>Mulai meningkat</v>
      </c>
      <c r="AN371" s="147" t="str">
        <f t="shared" ref="AN371:AN434" si="318">IF(AL371&gt;$I$560,$AD$559,IF(AL371&gt;$I$561,$AD$560,IF(AL371&gt;$I$562,$AD$561,$AD$562)))</f>
        <v>Mulai meningkat</v>
      </c>
      <c r="AO371" s="146" t="e">
        <f t="shared" si="312"/>
        <v>#N/A</v>
      </c>
      <c r="AP371" s="148" t="e">
        <f t="shared" si="313"/>
        <v>#N/A</v>
      </c>
      <c r="AQ371" s="158" t="str">
        <f>IF('PA-Non'!V259&lt;&gt;"",'PA-Non'!V259,IFERROR("Mempunyai keterampilan yang "&amp;IF(AM371=AN371,PROPER(AN371)&amp;" dalam kompetensi "&amp;VLOOKUP(AO371,$AA$532:$AC$539,3)&amp;", demikian juga dalam kompetensi "&amp;VLOOKUP(AP371,$AA$532:$AC$539,3),PROPER(AM371)&amp;" dalam kompetensi "&amp;VLOOKUP(AO371,$AA$532:$AC$539,3)&amp;" dan "&amp;AN371&amp;" pada kompetensi "&amp;VLOOKUP(AP371,$AA$532:$AC$539,3)),""))</f>
        <v/>
      </c>
      <c r="AR371" s="188"/>
    </row>
    <row r="372" spans="2:44" ht="27.9" customHeight="1" thickBot="1" x14ac:dyDescent="0.35">
      <c r="B372" s="384" t="s">
        <v>167</v>
      </c>
      <c r="C372" s="149" t="str">
        <f t="shared" si="314"/>
        <v/>
      </c>
      <c r="D372" s="150" t="str">
        <f>IF(Data!F367="","",Data!F367)</f>
        <v/>
      </c>
      <c r="E372" s="151" t="str">
        <f>IF(Data!H367="","",Data!H367)</f>
        <v/>
      </c>
      <c r="F372" s="152" t="str">
        <f>IF(Data!I367="","",Data!I367)</f>
        <v/>
      </c>
      <c r="G372" s="343"/>
      <c r="H372" s="344"/>
      <c r="I372" s="344"/>
      <c r="J372" s="344"/>
      <c r="K372" s="344"/>
      <c r="L372" s="344"/>
      <c r="M372" s="344"/>
      <c r="N372" s="345"/>
      <c r="O372" s="157" t="str">
        <f t="shared" si="303"/>
        <v/>
      </c>
      <c r="P372" s="344"/>
      <c r="Q372" s="346"/>
      <c r="R372" s="157" t="str">
        <f t="shared" si="304"/>
        <v/>
      </c>
      <c r="S372" s="159" t="str">
        <f>IF(R372="","",IF(R372&gt;Data2!$C$12,Data2!$D$11,IF(R372&gt;Data2!$C$13,Data2!$D$12,IF(R372&gt;Data2!$C$14,Data2!$D$13,Data2!$D$14))))</f>
        <v/>
      </c>
      <c r="T372" s="144">
        <f t="shared" si="305"/>
        <v>0</v>
      </c>
      <c r="U372" s="144">
        <f t="shared" si="306"/>
        <v>0</v>
      </c>
      <c r="V372" s="144" t="str">
        <f t="shared" si="315"/>
        <v>Mulai berkembang</v>
      </c>
      <c r="W372" s="144" t="str">
        <f t="shared" si="316"/>
        <v>Mulai berkembang</v>
      </c>
      <c r="X372" s="144" t="e">
        <f t="shared" si="307"/>
        <v>#N/A</v>
      </c>
      <c r="Y372" s="145" t="e">
        <f t="shared" si="308"/>
        <v>#N/A</v>
      </c>
      <c r="Z372" s="218" t="str">
        <f>IF('PA-Non'!O260&lt;&gt;"",'PA-Non'!O260,IFERROR("Mempunyai kemampuan yang " &amp;IF(V372=W372,PROPER(W372)&amp;" dalam kompetensi "&amp;VLOOKUP(X372,$G$532:$I$539,3)&amp;" dan kompetensi "&amp;VLOOKUP(Y372,$G$532:$I$539,3),PROPER(V372)&amp;" dalam kompetensi "&amp;VLOOKUP(X372,$G$532:$I$539,3)&amp;" dan memiliki kemampuan yang "&amp;W372&amp;" pada kompetensi "&amp;VLOOKUP(Y372,$G$532:$I$539,3)),""))</f>
        <v/>
      </c>
      <c r="AA372" s="343"/>
      <c r="AB372" s="344"/>
      <c r="AC372" s="344"/>
      <c r="AD372" s="344"/>
      <c r="AE372" s="344"/>
      <c r="AF372" s="344"/>
      <c r="AG372" s="344"/>
      <c r="AH372" s="345"/>
      <c r="AI372" s="220" t="str">
        <f t="shared" si="309"/>
        <v/>
      </c>
      <c r="AJ372" s="160" t="str">
        <f>IF(AI372="","",IF(AI372&gt;Data2!$C$12,Data2!$D$11,IF(AI372&gt;Data2!$C$13,Data2!$D$12,IF(AI372&gt;Data2!$C$14,Data2!$D$13,Data2!$D$14))))</f>
        <v/>
      </c>
      <c r="AK372" s="146">
        <f t="shared" si="310"/>
        <v>0</v>
      </c>
      <c r="AL372" s="146">
        <f t="shared" si="311"/>
        <v>0</v>
      </c>
      <c r="AM372" s="147" t="str">
        <f t="shared" si="317"/>
        <v>Mulai meningkat</v>
      </c>
      <c r="AN372" s="147" t="str">
        <f t="shared" si="318"/>
        <v>Mulai meningkat</v>
      </c>
      <c r="AO372" s="146" t="e">
        <f t="shared" si="312"/>
        <v>#N/A</v>
      </c>
      <c r="AP372" s="148" t="e">
        <f t="shared" si="313"/>
        <v>#N/A</v>
      </c>
      <c r="AQ372" s="158" t="str">
        <f>IF('PA-Non'!V260&lt;&gt;"",'PA-Non'!V260,IFERROR("Mempunyai keterampilan yang "&amp;IF(AM372=AN372,PROPER(AN372)&amp;" dalam kompetensi "&amp;VLOOKUP(AO372,$AA$532:$AC$539,3)&amp;", demikian juga dalam kompetensi "&amp;VLOOKUP(AP372,$AA$532:$AC$539,3),PROPER(AM372)&amp;" dalam kompetensi "&amp;VLOOKUP(AO372,$AA$532:$AC$539,3)&amp;" dan "&amp;AN372&amp;" pada kompetensi "&amp;VLOOKUP(AP372,$AA$532:$AC$539,3)),""))</f>
        <v/>
      </c>
      <c r="AR372" s="188"/>
    </row>
    <row r="373" spans="2:44" ht="27.9" customHeight="1" thickBot="1" x14ac:dyDescent="0.35">
      <c r="B373" s="384" t="s">
        <v>167</v>
      </c>
      <c r="C373" s="149" t="str">
        <f t="shared" si="314"/>
        <v/>
      </c>
      <c r="D373" s="150" t="str">
        <f>IF(Data!F368="","",Data!F368)</f>
        <v/>
      </c>
      <c r="E373" s="151" t="str">
        <f>IF(Data!H368="","",Data!H368)</f>
        <v/>
      </c>
      <c r="F373" s="152" t="str">
        <f>IF(Data!I368="","",Data!I368)</f>
        <v/>
      </c>
      <c r="G373" s="343"/>
      <c r="H373" s="344"/>
      <c r="I373" s="344"/>
      <c r="J373" s="344"/>
      <c r="K373" s="344"/>
      <c r="L373" s="344"/>
      <c r="M373" s="344"/>
      <c r="N373" s="345"/>
      <c r="O373" s="157" t="str">
        <f t="shared" si="303"/>
        <v/>
      </c>
      <c r="P373" s="344"/>
      <c r="Q373" s="346"/>
      <c r="R373" s="157" t="str">
        <f t="shared" si="304"/>
        <v/>
      </c>
      <c r="S373" s="159" t="str">
        <f>IF(R373="","",IF(R373&gt;Data2!$C$12,Data2!$D$11,IF(R373&gt;Data2!$C$13,Data2!$D$12,IF(R373&gt;Data2!$C$14,Data2!$D$13,Data2!$D$14))))</f>
        <v/>
      </c>
      <c r="T373" s="144">
        <f t="shared" si="305"/>
        <v>0</v>
      </c>
      <c r="U373" s="144">
        <f t="shared" si="306"/>
        <v>0</v>
      </c>
      <c r="V373" s="144" t="str">
        <f t="shared" si="315"/>
        <v>Mulai berkembang</v>
      </c>
      <c r="W373" s="144" t="str">
        <f t="shared" si="316"/>
        <v>Mulai berkembang</v>
      </c>
      <c r="X373" s="144" t="e">
        <f t="shared" si="307"/>
        <v>#N/A</v>
      </c>
      <c r="Y373" s="145" t="e">
        <f t="shared" si="308"/>
        <v>#N/A</v>
      </c>
      <c r="Z373" s="218" t="str">
        <f>IF('PA-Non'!O261&lt;&gt;"",'PA-Non'!O261,IFERROR("Mempunyai kemampuan yang " &amp;IF(V373=W373,PROPER(W373)&amp;" dalam kompetensi "&amp;VLOOKUP(X373,$G$532:$I$539,3)&amp;" dan kompetensi "&amp;VLOOKUP(Y373,$G$532:$I$539,3),PROPER(V373)&amp;" dalam kompetensi "&amp;VLOOKUP(X373,$G$532:$I$539,3)&amp;" dan memiliki kemampuan yang "&amp;W373&amp;" pada kompetensi "&amp;VLOOKUP(Y373,$G$532:$I$539,3)),""))</f>
        <v/>
      </c>
      <c r="AA373" s="343"/>
      <c r="AB373" s="344"/>
      <c r="AC373" s="344"/>
      <c r="AD373" s="344"/>
      <c r="AE373" s="344"/>
      <c r="AF373" s="344"/>
      <c r="AG373" s="344"/>
      <c r="AH373" s="345"/>
      <c r="AI373" s="220" t="str">
        <f t="shared" si="309"/>
        <v/>
      </c>
      <c r="AJ373" s="160" t="str">
        <f>IF(AI373="","",IF(AI373&gt;Data2!$C$12,Data2!$D$11,IF(AI373&gt;Data2!$C$13,Data2!$D$12,IF(AI373&gt;Data2!$C$14,Data2!$D$13,Data2!$D$14))))</f>
        <v/>
      </c>
      <c r="AK373" s="146">
        <f t="shared" si="310"/>
        <v>0</v>
      </c>
      <c r="AL373" s="146">
        <f t="shared" si="311"/>
        <v>0</v>
      </c>
      <c r="AM373" s="147" t="str">
        <f t="shared" si="317"/>
        <v>Mulai meningkat</v>
      </c>
      <c r="AN373" s="147" t="str">
        <f t="shared" si="318"/>
        <v>Mulai meningkat</v>
      </c>
      <c r="AO373" s="146" t="e">
        <f t="shared" si="312"/>
        <v>#N/A</v>
      </c>
      <c r="AP373" s="148" t="e">
        <f t="shared" si="313"/>
        <v>#N/A</v>
      </c>
      <c r="AQ373" s="158" t="str">
        <f>IF('PA-Non'!V261&lt;&gt;"",'PA-Non'!V261,IFERROR("Mempunyai keterampilan yang "&amp;IF(AM373=AN373,PROPER(AN373)&amp;" dalam kompetensi "&amp;VLOOKUP(AO373,$AA$532:$AC$539,3)&amp;", demikian juga dalam kompetensi "&amp;VLOOKUP(AP373,$AA$532:$AC$539,3),PROPER(AM373)&amp;" dalam kompetensi "&amp;VLOOKUP(AO373,$AA$532:$AC$539,3)&amp;" dan "&amp;AN373&amp;" pada kompetensi "&amp;VLOOKUP(AP373,$AA$532:$AC$539,3)),""))</f>
        <v/>
      </c>
      <c r="AR373" s="188"/>
    </row>
    <row r="374" spans="2:44" ht="27.9" customHeight="1" thickBot="1" x14ac:dyDescent="0.35">
      <c r="B374" s="384" t="s">
        <v>167</v>
      </c>
      <c r="C374" s="149" t="str">
        <f t="shared" si="314"/>
        <v/>
      </c>
      <c r="D374" s="150" t="str">
        <f>IF(Data!F369="","",Data!F369)</f>
        <v/>
      </c>
      <c r="E374" s="151" t="str">
        <f>IF(Data!H369="","",Data!H369)</f>
        <v/>
      </c>
      <c r="F374" s="152" t="str">
        <f>IF(Data!I369="","",Data!I369)</f>
        <v/>
      </c>
      <c r="G374" s="343"/>
      <c r="H374" s="344"/>
      <c r="I374" s="344"/>
      <c r="J374" s="344"/>
      <c r="K374" s="344"/>
      <c r="L374" s="344"/>
      <c r="M374" s="344"/>
      <c r="N374" s="345"/>
      <c r="O374" s="157" t="str">
        <f t="shared" si="303"/>
        <v/>
      </c>
      <c r="P374" s="344"/>
      <c r="Q374" s="346"/>
      <c r="R374" s="157" t="str">
        <f t="shared" si="304"/>
        <v/>
      </c>
      <c r="S374" s="159" t="str">
        <f>IF(R374="","",IF(R374&gt;Data2!$C$12,Data2!$D$11,IF(R374&gt;Data2!$C$13,Data2!$D$12,IF(R374&gt;Data2!$C$14,Data2!$D$13,Data2!$D$14))))</f>
        <v/>
      </c>
      <c r="T374" s="144">
        <f t="shared" si="305"/>
        <v>0</v>
      </c>
      <c r="U374" s="144">
        <f t="shared" si="306"/>
        <v>0</v>
      </c>
      <c r="V374" s="144" t="str">
        <f t="shared" si="315"/>
        <v>Mulai berkembang</v>
      </c>
      <c r="W374" s="144" t="str">
        <f t="shared" si="316"/>
        <v>Mulai berkembang</v>
      </c>
      <c r="X374" s="144" t="e">
        <f t="shared" si="307"/>
        <v>#N/A</v>
      </c>
      <c r="Y374" s="145" t="e">
        <f t="shared" si="308"/>
        <v>#N/A</v>
      </c>
      <c r="Z374" s="218" t="str">
        <f>IF('PA-Non'!O262&lt;&gt;"",'PA-Non'!O262,IFERROR("Mempunyai kemampuan yang " &amp;IF(V374=W374,PROPER(W374)&amp;" dalam kompetensi "&amp;VLOOKUP(X374,$G$532:$I$539,3)&amp;" dan kompetensi "&amp;VLOOKUP(Y374,$G$532:$I$539,3),PROPER(V374)&amp;" dalam kompetensi "&amp;VLOOKUP(X374,$G$532:$I$539,3)&amp;" dan memiliki kemampuan yang "&amp;W374&amp;" pada kompetensi "&amp;VLOOKUP(Y374,$G$532:$I$539,3)),""))</f>
        <v/>
      </c>
      <c r="AA374" s="343"/>
      <c r="AB374" s="344"/>
      <c r="AC374" s="344"/>
      <c r="AD374" s="344"/>
      <c r="AE374" s="344"/>
      <c r="AF374" s="344"/>
      <c r="AG374" s="344"/>
      <c r="AH374" s="345"/>
      <c r="AI374" s="220" t="str">
        <f t="shared" si="309"/>
        <v/>
      </c>
      <c r="AJ374" s="160" t="str">
        <f>IF(AI374="","",IF(AI374&gt;Data2!$C$12,Data2!$D$11,IF(AI374&gt;Data2!$C$13,Data2!$D$12,IF(AI374&gt;Data2!$C$14,Data2!$D$13,Data2!$D$14))))</f>
        <v/>
      </c>
      <c r="AK374" s="146">
        <f t="shared" si="310"/>
        <v>0</v>
      </c>
      <c r="AL374" s="146">
        <f t="shared" si="311"/>
        <v>0</v>
      </c>
      <c r="AM374" s="147" t="str">
        <f t="shared" si="317"/>
        <v>Mulai meningkat</v>
      </c>
      <c r="AN374" s="147" t="str">
        <f t="shared" si="318"/>
        <v>Mulai meningkat</v>
      </c>
      <c r="AO374" s="146" t="e">
        <f t="shared" si="312"/>
        <v>#N/A</v>
      </c>
      <c r="AP374" s="148" t="e">
        <f t="shared" si="313"/>
        <v>#N/A</v>
      </c>
      <c r="AQ374" s="158" t="str">
        <f>IF('PA-Non'!V262&lt;&gt;"",'PA-Non'!V262,IFERROR("Mempunyai keterampilan yang "&amp;IF(AM374=AN374,PROPER(AN374)&amp;" dalam kompetensi "&amp;VLOOKUP(AO374,$AA$532:$AC$539,3)&amp;", demikian juga dalam kompetensi "&amp;VLOOKUP(AP374,$AA$532:$AC$539,3),PROPER(AM374)&amp;" dalam kompetensi "&amp;VLOOKUP(AO374,$AA$532:$AC$539,3)&amp;" dan "&amp;AN374&amp;" pada kompetensi "&amp;VLOOKUP(AP374,$AA$532:$AC$539,3)),""))</f>
        <v/>
      </c>
      <c r="AR374" s="188"/>
    </row>
    <row r="375" spans="2:44" ht="27.9" customHeight="1" thickBot="1" x14ac:dyDescent="0.35">
      <c r="B375" s="384" t="s">
        <v>167</v>
      </c>
      <c r="C375" s="149" t="str">
        <f t="shared" si="314"/>
        <v/>
      </c>
      <c r="D375" s="150" t="str">
        <f>IF(Data!F370="","",Data!F370)</f>
        <v/>
      </c>
      <c r="E375" s="151" t="str">
        <f>IF(Data!H370="","",Data!H370)</f>
        <v/>
      </c>
      <c r="F375" s="152" t="str">
        <f>IF(Data!I370="","",Data!I370)</f>
        <v/>
      </c>
      <c r="G375" s="343"/>
      <c r="H375" s="344"/>
      <c r="I375" s="344"/>
      <c r="J375" s="344"/>
      <c r="K375" s="344"/>
      <c r="L375" s="344"/>
      <c r="M375" s="344"/>
      <c r="N375" s="345"/>
      <c r="O375" s="157" t="str">
        <f t="shared" si="303"/>
        <v/>
      </c>
      <c r="P375" s="344"/>
      <c r="Q375" s="346"/>
      <c r="R375" s="157" t="str">
        <f t="shared" si="304"/>
        <v/>
      </c>
      <c r="S375" s="159" t="str">
        <f>IF(R375="","",IF(R375&gt;Data2!$C$12,Data2!$D$11,IF(R375&gt;Data2!$C$13,Data2!$D$12,IF(R375&gt;Data2!$C$14,Data2!$D$13,Data2!$D$14))))</f>
        <v/>
      </c>
      <c r="T375" s="144">
        <f t="shared" si="305"/>
        <v>0</v>
      </c>
      <c r="U375" s="144">
        <f t="shared" si="306"/>
        <v>0</v>
      </c>
      <c r="V375" s="144" t="str">
        <f t="shared" si="315"/>
        <v>Mulai berkembang</v>
      </c>
      <c r="W375" s="144" t="str">
        <f t="shared" si="316"/>
        <v>Mulai berkembang</v>
      </c>
      <c r="X375" s="144" t="e">
        <f t="shared" si="307"/>
        <v>#N/A</v>
      </c>
      <c r="Y375" s="145" t="e">
        <f t="shared" si="308"/>
        <v>#N/A</v>
      </c>
      <c r="Z375" s="218" t="str">
        <f>IF('PA-Non'!O263&lt;&gt;"",'PA-Non'!O263,IFERROR("Mempunyai kemampuan yang " &amp;IF(V375=W375,PROPER(W375)&amp;" dalam kompetensi "&amp;VLOOKUP(X375,$G$532:$I$539,3)&amp;" dan kompetensi "&amp;VLOOKUP(Y375,$G$532:$I$539,3),PROPER(V375)&amp;" dalam kompetensi "&amp;VLOOKUP(X375,$G$532:$I$539,3)&amp;" dan memiliki kemampuan yang "&amp;W375&amp;" pada kompetensi "&amp;VLOOKUP(Y375,$G$532:$I$539,3)),""))</f>
        <v/>
      </c>
      <c r="AA375" s="343"/>
      <c r="AB375" s="344"/>
      <c r="AC375" s="344"/>
      <c r="AD375" s="344"/>
      <c r="AE375" s="344"/>
      <c r="AF375" s="344"/>
      <c r="AG375" s="344"/>
      <c r="AH375" s="345"/>
      <c r="AI375" s="220" t="str">
        <f t="shared" si="309"/>
        <v/>
      </c>
      <c r="AJ375" s="160" t="str">
        <f>IF(AI375="","",IF(AI375&gt;Data2!$C$12,Data2!$D$11,IF(AI375&gt;Data2!$C$13,Data2!$D$12,IF(AI375&gt;Data2!$C$14,Data2!$D$13,Data2!$D$14))))</f>
        <v/>
      </c>
      <c r="AK375" s="146">
        <f t="shared" si="310"/>
        <v>0</v>
      </c>
      <c r="AL375" s="146">
        <f t="shared" si="311"/>
        <v>0</v>
      </c>
      <c r="AM375" s="147" t="str">
        <f t="shared" si="317"/>
        <v>Mulai meningkat</v>
      </c>
      <c r="AN375" s="147" t="str">
        <f t="shared" si="318"/>
        <v>Mulai meningkat</v>
      </c>
      <c r="AO375" s="146" t="e">
        <f t="shared" si="312"/>
        <v>#N/A</v>
      </c>
      <c r="AP375" s="148" t="e">
        <f t="shared" si="313"/>
        <v>#N/A</v>
      </c>
      <c r="AQ375" s="158" t="str">
        <f>IF('PA-Non'!V263&lt;&gt;"",'PA-Non'!V263,IFERROR("Mempunyai keterampilan yang "&amp;IF(AM375=AN375,PROPER(AN375)&amp;" dalam kompetensi "&amp;VLOOKUP(AO375,$AA$532:$AC$539,3)&amp;", demikian juga dalam kompetensi "&amp;VLOOKUP(AP375,$AA$532:$AC$539,3),PROPER(AM375)&amp;" dalam kompetensi "&amp;VLOOKUP(AO375,$AA$532:$AC$539,3)&amp;" dan "&amp;AN375&amp;" pada kompetensi "&amp;VLOOKUP(AP375,$AA$532:$AC$539,3)),""))</f>
        <v/>
      </c>
      <c r="AR375" s="188"/>
    </row>
    <row r="376" spans="2:44" ht="27.9" customHeight="1" thickBot="1" x14ac:dyDescent="0.35">
      <c r="B376" s="384" t="s">
        <v>167</v>
      </c>
      <c r="C376" s="149" t="str">
        <f t="shared" si="314"/>
        <v/>
      </c>
      <c r="D376" s="150" t="str">
        <f>IF(Data!F371="","",Data!F371)</f>
        <v/>
      </c>
      <c r="E376" s="151" t="str">
        <f>IF(Data!H371="","",Data!H371)</f>
        <v/>
      </c>
      <c r="F376" s="152" t="str">
        <f>IF(Data!I371="","",Data!I371)</f>
        <v/>
      </c>
      <c r="G376" s="343"/>
      <c r="H376" s="344"/>
      <c r="I376" s="344"/>
      <c r="J376" s="344"/>
      <c r="K376" s="344"/>
      <c r="L376" s="344"/>
      <c r="M376" s="344"/>
      <c r="N376" s="345"/>
      <c r="O376" s="157" t="str">
        <f t="shared" si="303"/>
        <v/>
      </c>
      <c r="P376" s="344"/>
      <c r="Q376" s="346"/>
      <c r="R376" s="157" t="str">
        <f t="shared" si="304"/>
        <v/>
      </c>
      <c r="S376" s="159" t="str">
        <f>IF(R376="","",IF(R376&gt;Data2!$C$12,Data2!$D$11,IF(R376&gt;Data2!$C$13,Data2!$D$12,IF(R376&gt;Data2!$C$14,Data2!$D$13,Data2!$D$14))))</f>
        <v/>
      </c>
      <c r="T376" s="144">
        <f t="shared" si="305"/>
        <v>0</v>
      </c>
      <c r="U376" s="144">
        <f t="shared" si="306"/>
        <v>0</v>
      </c>
      <c r="V376" s="144" t="str">
        <f t="shared" si="315"/>
        <v>Mulai berkembang</v>
      </c>
      <c r="W376" s="144" t="str">
        <f t="shared" si="316"/>
        <v>Mulai berkembang</v>
      </c>
      <c r="X376" s="144" t="e">
        <f t="shared" si="307"/>
        <v>#N/A</v>
      </c>
      <c r="Y376" s="145" t="e">
        <f t="shared" si="308"/>
        <v>#N/A</v>
      </c>
      <c r="Z376" s="218" t="str">
        <f>IF('PA-Non'!O264&lt;&gt;"",'PA-Non'!O264,IFERROR("Mempunyai kemampuan yang " &amp;IF(V376=W376,PROPER(W376)&amp;" dalam kompetensi "&amp;VLOOKUP(X376,$G$532:$I$539,3)&amp;" dan kompetensi "&amp;VLOOKUP(Y376,$G$532:$I$539,3),PROPER(V376)&amp;" dalam kompetensi "&amp;VLOOKUP(X376,$G$532:$I$539,3)&amp;" dan memiliki kemampuan yang "&amp;W376&amp;" pada kompetensi "&amp;VLOOKUP(Y376,$G$532:$I$539,3)),""))</f>
        <v/>
      </c>
      <c r="AA376" s="343"/>
      <c r="AB376" s="344"/>
      <c r="AC376" s="344"/>
      <c r="AD376" s="344"/>
      <c r="AE376" s="344"/>
      <c r="AF376" s="344"/>
      <c r="AG376" s="344"/>
      <c r="AH376" s="345"/>
      <c r="AI376" s="220" t="str">
        <f t="shared" si="309"/>
        <v/>
      </c>
      <c r="AJ376" s="160" t="str">
        <f>IF(AI376="","",IF(AI376&gt;Data2!$C$12,Data2!$D$11,IF(AI376&gt;Data2!$C$13,Data2!$D$12,IF(AI376&gt;Data2!$C$14,Data2!$D$13,Data2!$D$14))))</f>
        <v/>
      </c>
      <c r="AK376" s="146">
        <f t="shared" si="310"/>
        <v>0</v>
      </c>
      <c r="AL376" s="146">
        <f t="shared" si="311"/>
        <v>0</v>
      </c>
      <c r="AM376" s="147" t="str">
        <f t="shared" si="317"/>
        <v>Mulai meningkat</v>
      </c>
      <c r="AN376" s="147" t="str">
        <f t="shared" si="318"/>
        <v>Mulai meningkat</v>
      </c>
      <c r="AO376" s="146" t="e">
        <f t="shared" si="312"/>
        <v>#N/A</v>
      </c>
      <c r="AP376" s="148" t="e">
        <f t="shared" si="313"/>
        <v>#N/A</v>
      </c>
      <c r="AQ376" s="158" t="str">
        <f>IF('PA-Non'!V264&lt;&gt;"",'PA-Non'!V264,IFERROR("Mempunyai keterampilan yang "&amp;IF(AM376=AN376,PROPER(AN376)&amp;" dalam kompetensi "&amp;VLOOKUP(AO376,$AA$532:$AC$539,3)&amp;", demikian juga dalam kompetensi "&amp;VLOOKUP(AP376,$AA$532:$AC$539,3),PROPER(AM376)&amp;" dalam kompetensi "&amp;VLOOKUP(AO376,$AA$532:$AC$539,3)&amp;" dan "&amp;AN376&amp;" pada kompetensi "&amp;VLOOKUP(AP376,$AA$532:$AC$539,3)),""))</f>
        <v/>
      </c>
      <c r="AR376" s="188"/>
    </row>
    <row r="377" spans="2:44" ht="27.9" customHeight="1" thickBot="1" x14ac:dyDescent="0.35">
      <c r="B377" s="384" t="s">
        <v>167</v>
      </c>
      <c r="C377" s="149" t="str">
        <f t="shared" si="314"/>
        <v/>
      </c>
      <c r="D377" s="150" t="str">
        <f>IF(Data!F372="","",Data!F372)</f>
        <v/>
      </c>
      <c r="E377" s="151" t="str">
        <f>IF(Data!H372="","",Data!H372)</f>
        <v/>
      </c>
      <c r="F377" s="152" t="str">
        <f>IF(Data!I372="","",Data!I372)</f>
        <v/>
      </c>
      <c r="G377" s="343"/>
      <c r="H377" s="344"/>
      <c r="I377" s="344"/>
      <c r="J377" s="344"/>
      <c r="K377" s="344"/>
      <c r="L377" s="344"/>
      <c r="M377" s="344"/>
      <c r="N377" s="345"/>
      <c r="O377" s="157" t="str">
        <f t="shared" si="303"/>
        <v/>
      </c>
      <c r="P377" s="344"/>
      <c r="Q377" s="346"/>
      <c r="R377" s="157" t="str">
        <f t="shared" si="304"/>
        <v/>
      </c>
      <c r="S377" s="159" t="str">
        <f>IF(R377="","",IF(R377&gt;Data2!$C$12,Data2!$D$11,IF(R377&gt;Data2!$C$13,Data2!$D$12,IF(R377&gt;Data2!$C$14,Data2!$D$13,Data2!$D$14))))</f>
        <v/>
      </c>
      <c r="T377" s="144">
        <f t="shared" si="305"/>
        <v>0</v>
      </c>
      <c r="U377" s="144">
        <f t="shared" si="306"/>
        <v>0</v>
      </c>
      <c r="V377" s="144" t="str">
        <f t="shared" si="315"/>
        <v>Mulai berkembang</v>
      </c>
      <c r="W377" s="144" t="str">
        <f t="shared" si="316"/>
        <v>Mulai berkembang</v>
      </c>
      <c r="X377" s="144" t="e">
        <f t="shared" si="307"/>
        <v>#N/A</v>
      </c>
      <c r="Y377" s="145" t="e">
        <f t="shared" si="308"/>
        <v>#N/A</v>
      </c>
      <c r="Z377" s="218" t="str">
        <f>IF('PA-Non'!O265&lt;&gt;"",'PA-Non'!O265,IFERROR("Mempunyai kemampuan yang " &amp;IF(V377=W377,PROPER(W377)&amp;" dalam kompetensi "&amp;VLOOKUP(X377,$G$532:$I$539,3)&amp;" dan kompetensi "&amp;VLOOKUP(Y377,$G$532:$I$539,3),PROPER(V377)&amp;" dalam kompetensi "&amp;VLOOKUP(X377,$G$532:$I$539,3)&amp;" dan memiliki kemampuan yang "&amp;W377&amp;" pada kompetensi "&amp;VLOOKUP(Y377,$G$532:$I$539,3)),""))</f>
        <v/>
      </c>
      <c r="AA377" s="343"/>
      <c r="AB377" s="344"/>
      <c r="AC377" s="344"/>
      <c r="AD377" s="344"/>
      <c r="AE377" s="344"/>
      <c r="AF377" s="344"/>
      <c r="AG377" s="344"/>
      <c r="AH377" s="345"/>
      <c r="AI377" s="220" t="str">
        <f t="shared" si="309"/>
        <v/>
      </c>
      <c r="AJ377" s="160" t="str">
        <f>IF(AI377="","",IF(AI377&gt;Data2!$C$12,Data2!$D$11,IF(AI377&gt;Data2!$C$13,Data2!$D$12,IF(AI377&gt;Data2!$C$14,Data2!$D$13,Data2!$D$14))))</f>
        <v/>
      </c>
      <c r="AK377" s="146">
        <f t="shared" si="310"/>
        <v>0</v>
      </c>
      <c r="AL377" s="146">
        <f t="shared" si="311"/>
        <v>0</v>
      </c>
      <c r="AM377" s="147" t="str">
        <f t="shared" si="317"/>
        <v>Mulai meningkat</v>
      </c>
      <c r="AN377" s="147" t="str">
        <f t="shared" si="318"/>
        <v>Mulai meningkat</v>
      </c>
      <c r="AO377" s="146" t="e">
        <f t="shared" si="312"/>
        <v>#N/A</v>
      </c>
      <c r="AP377" s="148" t="e">
        <f t="shared" si="313"/>
        <v>#N/A</v>
      </c>
      <c r="AQ377" s="158" t="str">
        <f>IF('PA-Non'!V265&lt;&gt;"",'PA-Non'!V265,IFERROR("Mempunyai keterampilan yang "&amp;IF(AM377=AN377,PROPER(AN377)&amp;" dalam kompetensi "&amp;VLOOKUP(AO377,$AA$532:$AC$539,3)&amp;", demikian juga dalam kompetensi "&amp;VLOOKUP(AP377,$AA$532:$AC$539,3),PROPER(AM377)&amp;" dalam kompetensi "&amp;VLOOKUP(AO377,$AA$532:$AC$539,3)&amp;" dan "&amp;AN377&amp;" pada kompetensi "&amp;VLOOKUP(AP377,$AA$532:$AC$539,3)),""))</f>
        <v/>
      </c>
      <c r="AR377" s="188"/>
    </row>
    <row r="378" spans="2:44" ht="27.9" customHeight="1" thickBot="1" x14ac:dyDescent="0.35">
      <c r="B378" s="384" t="s">
        <v>167</v>
      </c>
      <c r="C378" s="149" t="str">
        <f t="shared" si="314"/>
        <v/>
      </c>
      <c r="D378" s="150" t="str">
        <f>IF(Data!F373="","",Data!F373)</f>
        <v/>
      </c>
      <c r="E378" s="151" t="str">
        <f>IF(Data!H373="","",Data!H373)</f>
        <v/>
      </c>
      <c r="F378" s="152" t="str">
        <f>IF(Data!I373="","",Data!I373)</f>
        <v/>
      </c>
      <c r="G378" s="343"/>
      <c r="H378" s="344"/>
      <c r="I378" s="344"/>
      <c r="J378" s="344"/>
      <c r="K378" s="344"/>
      <c r="L378" s="344"/>
      <c r="M378" s="344"/>
      <c r="N378" s="345"/>
      <c r="O378" s="157" t="str">
        <f t="shared" si="303"/>
        <v/>
      </c>
      <c r="P378" s="344"/>
      <c r="Q378" s="346"/>
      <c r="R378" s="157" t="str">
        <f t="shared" si="304"/>
        <v/>
      </c>
      <c r="S378" s="159" t="str">
        <f>IF(R378="","",IF(R378&gt;Data2!$C$12,Data2!$D$11,IF(R378&gt;Data2!$C$13,Data2!$D$12,IF(R378&gt;Data2!$C$14,Data2!$D$13,Data2!$D$14))))</f>
        <v/>
      </c>
      <c r="T378" s="144">
        <f t="shared" si="305"/>
        <v>0</v>
      </c>
      <c r="U378" s="144">
        <f t="shared" si="306"/>
        <v>0</v>
      </c>
      <c r="V378" s="144" t="str">
        <f t="shared" si="315"/>
        <v>Mulai berkembang</v>
      </c>
      <c r="W378" s="144" t="str">
        <f t="shared" si="316"/>
        <v>Mulai berkembang</v>
      </c>
      <c r="X378" s="144" t="e">
        <f t="shared" si="307"/>
        <v>#N/A</v>
      </c>
      <c r="Y378" s="145" t="e">
        <f t="shared" si="308"/>
        <v>#N/A</v>
      </c>
      <c r="Z378" s="218" t="str">
        <f>IF('PA-Non'!O266&lt;&gt;"",'PA-Non'!O266,IFERROR("Mempunyai kemampuan yang " &amp;IF(V378=W378,PROPER(W378)&amp;" dalam kompetensi "&amp;VLOOKUP(X378,$G$532:$I$539,3)&amp;" dan kompetensi "&amp;VLOOKUP(Y378,$G$532:$I$539,3),PROPER(V378)&amp;" dalam kompetensi "&amp;VLOOKUP(X378,$G$532:$I$539,3)&amp;" dan memiliki kemampuan yang "&amp;W378&amp;" pada kompetensi "&amp;VLOOKUP(Y378,$G$532:$I$539,3)),""))</f>
        <v/>
      </c>
      <c r="AA378" s="343"/>
      <c r="AB378" s="344"/>
      <c r="AC378" s="344"/>
      <c r="AD378" s="344"/>
      <c r="AE378" s="344"/>
      <c r="AF378" s="344"/>
      <c r="AG378" s="344"/>
      <c r="AH378" s="345"/>
      <c r="AI378" s="220" t="str">
        <f t="shared" si="309"/>
        <v/>
      </c>
      <c r="AJ378" s="160" t="str">
        <f>IF(AI378="","",IF(AI378&gt;Data2!$C$12,Data2!$D$11,IF(AI378&gt;Data2!$C$13,Data2!$D$12,IF(AI378&gt;Data2!$C$14,Data2!$D$13,Data2!$D$14))))</f>
        <v/>
      </c>
      <c r="AK378" s="146">
        <f t="shared" si="310"/>
        <v>0</v>
      </c>
      <c r="AL378" s="146">
        <f t="shared" si="311"/>
        <v>0</v>
      </c>
      <c r="AM378" s="147" t="str">
        <f t="shared" si="317"/>
        <v>Mulai meningkat</v>
      </c>
      <c r="AN378" s="147" t="str">
        <f t="shared" si="318"/>
        <v>Mulai meningkat</v>
      </c>
      <c r="AO378" s="146" t="e">
        <f t="shared" si="312"/>
        <v>#N/A</v>
      </c>
      <c r="AP378" s="148" t="e">
        <f t="shared" si="313"/>
        <v>#N/A</v>
      </c>
      <c r="AQ378" s="158" t="str">
        <f>IF('PA-Non'!V266&lt;&gt;"",'PA-Non'!V266,IFERROR("Mempunyai keterampilan yang "&amp;IF(AM378=AN378,PROPER(AN378)&amp;" dalam kompetensi "&amp;VLOOKUP(AO378,$AA$532:$AC$539,3)&amp;", demikian juga dalam kompetensi "&amp;VLOOKUP(AP378,$AA$532:$AC$539,3),PROPER(AM378)&amp;" dalam kompetensi "&amp;VLOOKUP(AO378,$AA$532:$AC$539,3)&amp;" dan "&amp;AN378&amp;" pada kompetensi "&amp;VLOOKUP(AP378,$AA$532:$AC$539,3)),""))</f>
        <v/>
      </c>
      <c r="AR378" s="188"/>
    </row>
    <row r="379" spans="2:44" ht="27.9" customHeight="1" thickBot="1" x14ac:dyDescent="0.35">
      <c r="B379" s="384" t="s">
        <v>167</v>
      </c>
      <c r="C379" s="149" t="str">
        <f t="shared" si="314"/>
        <v/>
      </c>
      <c r="D379" s="150" t="str">
        <f>IF(Data!F374="","",Data!F374)</f>
        <v/>
      </c>
      <c r="E379" s="151" t="str">
        <f>IF(Data!H374="","",Data!H374)</f>
        <v/>
      </c>
      <c r="F379" s="152" t="str">
        <f>IF(Data!I374="","",Data!I374)</f>
        <v/>
      </c>
      <c r="G379" s="343"/>
      <c r="H379" s="344"/>
      <c r="I379" s="344"/>
      <c r="J379" s="344"/>
      <c r="K379" s="344"/>
      <c r="L379" s="344"/>
      <c r="M379" s="344"/>
      <c r="N379" s="345"/>
      <c r="O379" s="157" t="str">
        <f t="shared" si="303"/>
        <v/>
      </c>
      <c r="P379" s="344"/>
      <c r="Q379" s="346"/>
      <c r="R379" s="157" t="str">
        <f t="shared" si="304"/>
        <v/>
      </c>
      <c r="S379" s="159" t="str">
        <f>IF(R379="","",IF(R379&gt;Data2!$C$12,Data2!$D$11,IF(R379&gt;Data2!$C$13,Data2!$D$12,IF(R379&gt;Data2!$C$14,Data2!$D$13,Data2!$D$14))))</f>
        <v/>
      </c>
      <c r="T379" s="144">
        <f t="shared" si="305"/>
        <v>0</v>
      </c>
      <c r="U379" s="144">
        <f t="shared" si="306"/>
        <v>0</v>
      </c>
      <c r="V379" s="144" t="str">
        <f t="shared" si="315"/>
        <v>Mulai berkembang</v>
      </c>
      <c r="W379" s="144" t="str">
        <f t="shared" si="316"/>
        <v>Mulai berkembang</v>
      </c>
      <c r="X379" s="144" t="e">
        <f t="shared" si="307"/>
        <v>#N/A</v>
      </c>
      <c r="Y379" s="145" t="e">
        <f t="shared" si="308"/>
        <v>#N/A</v>
      </c>
      <c r="Z379" s="218" t="str">
        <f>IF('PA-Non'!O267&lt;&gt;"",'PA-Non'!O267,IFERROR("Mempunyai kemampuan yang " &amp;IF(V379=W379,PROPER(W379)&amp;" dalam kompetensi "&amp;VLOOKUP(X379,$G$532:$I$539,3)&amp;" dan kompetensi "&amp;VLOOKUP(Y379,$G$532:$I$539,3),PROPER(V379)&amp;" dalam kompetensi "&amp;VLOOKUP(X379,$G$532:$I$539,3)&amp;" dan memiliki kemampuan yang "&amp;W379&amp;" pada kompetensi "&amp;VLOOKUP(Y379,$G$532:$I$539,3)),""))</f>
        <v/>
      </c>
      <c r="AA379" s="343"/>
      <c r="AB379" s="344"/>
      <c r="AC379" s="344"/>
      <c r="AD379" s="344"/>
      <c r="AE379" s="344"/>
      <c r="AF379" s="344"/>
      <c r="AG379" s="344"/>
      <c r="AH379" s="345"/>
      <c r="AI379" s="220" t="str">
        <f t="shared" si="309"/>
        <v/>
      </c>
      <c r="AJ379" s="160" t="str">
        <f>IF(AI379="","",IF(AI379&gt;Data2!$C$12,Data2!$D$11,IF(AI379&gt;Data2!$C$13,Data2!$D$12,IF(AI379&gt;Data2!$C$14,Data2!$D$13,Data2!$D$14))))</f>
        <v/>
      </c>
      <c r="AK379" s="146">
        <f t="shared" si="310"/>
        <v>0</v>
      </c>
      <c r="AL379" s="146">
        <f t="shared" si="311"/>
        <v>0</v>
      </c>
      <c r="AM379" s="147" t="str">
        <f t="shared" si="317"/>
        <v>Mulai meningkat</v>
      </c>
      <c r="AN379" s="147" t="str">
        <f t="shared" si="318"/>
        <v>Mulai meningkat</v>
      </c>
      <c r="AO379" s="146" t="e">
        <f t="shared" si="312"/>
        <v>#N/A</v>
      </c>
      <c r="AP379" s="148" t="e">
        <f t="shared" si="313"/>
        <v>#N/A</v>
      </c>
      <c r="AQ379" s="158" t="str">
        <f>IF('PA-Non'!V267&lt;&gt;"",'PA-Non'!V267,IFERROR("Mempunyai keterampilan yang "&amp;IF(AM379=AN379,PROPER(AN379)&amp;" dalam kompetensi "&amp;VLOOKUP(AO379,$AA$532:$AC$539,3)&amp;", demikian juga dalam kompetensi "&amp;VLOOKUP(AP379,$AA$532:$AC$539,3),PROPER(AM379)&amp;" dalam kompetensi "&amp;VLOOKUP(AO379,$AA$532:$AC$539,3)&amp;" dan "&amp;AN379&amp;" pada kompetensi "&amp;VLOOKUP(AP379,$AA$532:$AC$539,3)),""))</f>
        <v/>
      </c>
      <c r="AR379" s="188"/>
    </row>
    <row r="380" spans="2:44" ht="27.9" customHeight="1" thickBot="1" x14ac:dyDescent="0.35">
      <c r="B380" s="384" t="s">
        <v>167</v>
      </c>
      <c r="C380" s="149" t="str">
        <f t="shared" si="314"/>
        <v/>
      </c>
      <c r="D380" s="150" t="str">
        <f>IF(Data!F375="","",Data!F375)</f>
        <v/>
      </c>
      <c r="E380" s="151" t="str">
        <f>IF(Data!H375="","",Data!H375)</f>
        <v/>
      </c>
      <c r="F380" s="152" t="str">
        <f>IF(Data!I375="","",Data!I375)</f>
        <v/>
      </c>
      <c r="G380" s="343"/>
      <c r="H380" s="344"/>
      <c r="I380" s="344"/>
      <c r="J380" s="344"/>
      <c r="K380" s="344"/>
      <c r="L380" s="344"/>
      <c r="M380" s="344"/>
      <c r="N380" s="345"/>
      <c r="O380" s="157" t="str">
        <f t="shared" si="303"/>
        <v/>
      </c>
      <c r="P380" s="344"/>
      <c r="Q380" s="346"/>
      <c r="R380" s="157" t="str">
        <f t="shared" si="304"/>
        <v/>
      </c>
      <c r="S380" s="159" t="str">
        <f>IF(R380="","",IF(R380&gt;Data2!$C$12,Data2!$D$11,IF(R380&gt;Data2!$C$13,Data2!$D$12,IF(R380&gt;Data2!$C$14,Data2!$D$13,Data2!$D$14))))</f>
        <v/>
      </c>
      <c r="T380" s="144">
        <f t="shared" si="305"/>
        <v>0</v>
      </c>
      <c r="U380" s="144">
        <f t="shared" si="306"/>
        <v>0</v>
      </c>
      <c r="V380" s="144" t="str">
        <f t="shared" si="315"/>
        <v>Mulai berkembang</v>
      </c>
      <c r="W380" s="144" t="str">
        <f t="shared" si="316"/>
        <v>Mulai berkembang</v>
      </c>
      <c r="X380" s="144" t="e">
        <f t="shared" si="307"/>
        <v>#N/A</v>
      </c>
      <c r="Y380" s="145" t="e">
        <f t="shared" si="308"/>
        <v>#N/A</v>
      </c>
      <c r="Z380" s="218" t="str">
        <f>IF('PA-Non'!O268&lt;&gt;"",'PA-Non'!O268,IFERROR("Mempunyai kemampuan yang " &amp;IF(V380=W380,PROPER(W380)&amp;" dalam kompetensi "&amp;VLOOKUP(X380,$G$532:$I$539,3)&amp;" dan kompetensi "&amp;VLOOKUP(Y380,$G$532:$I$539,3),PROPER(V380)&amp;" dalam kompetensi "&amp;VLOOKUP(X380,$G$532:$I$539,3)&amp;" dan memiliki kemampuan yang "&amp;W380&amp;" pada kompetensi "&amp;VLOOKUP(Y380,$G$532:$I$539,3)),""))</f>
        <v/>
      </c>
      <c r="AA380" s="343"/>
      <c r="AB380" s="344"/>
      <c r="AC380" s="344"/>
      <c r="AD380" s="344"/>
      <c r="AE380" s="344"/>
      <c r="AF380" s="344"/>
      <c r="AG380" s="344"/>
      <c r="AH380" s="345"/>
      <c r="AI380" s="220" t="str">
        <f t="shared" si="309"/>
        <v/>
      </c>
      <c r="AJ380" s="160" t="str">
        <f>IF(AI380="","",IF(AI380&gt;Data2!$C$12,Data2!$D$11,IF(AI380&gt;Data2!$C$13,Data2!$D$12,IF(AI380&gt;Data2!$C$14,Data2!$D$13,Data2!$D$14))))</f>
        <v/>
      </c>
      <c r="AK380" s="146">
        <f t="shared" si="310"/>
        <v>0</v>
      </c>
      <c r="AL380" s="146">
        <f t="shared" si="311"/>
        <v>0</v>
      </c>
      <c r="AM380" s="147" t="str">
        <f t="shared" si="317"/>
        <v>Mulai meningkat</v>
      </c>
      <c r="AN380" s="147" t="str">
        <f t="shared" si="318"/>
        <v>Mulai meningkat</v>
      </c>
      <c r="AO380" s="146" t="e">
        <f t="shared" si="312"/>
        <v>#N/A</v>
      </c>
      <c r="AP380" s="148" t="e">
        <f t="shared" si="313"/>
        <v>#N/A</v>
      </c>
      <c r="AQ380" s="158" t="str">
        <f>IF('PA-Non'!V268&lt;&gt;"",'PA-Non'!V268,IFERROR("Mempunyai keterampilan yang "&amp;IF(AM380=AN380,PROPER(AN380)&amp;" dalam kompetensi "&amp;VLOOKUP(AO380,$AA$532:$AC$539,3)&amp;", demikian juga dalam kompetensi "&amp;VLOOKUP(AP380,$AA$532:$AC$539,3),PROPER(AM380)&amp;" dalam kompetensi "&amp;VLOOKUP(AO380,$AA$532:$AC$539,3)&amp;" dan "&amp;AN380&amp;" pada kompetensi "&amp;VLOOKUP(AP380,$AA$532:$AC$539,3)),""))</f>
        <v/>
      </c>
      <c r="AR380" s="188"/>
    </row>
    <row r="381" spans="2:44" ht="27.9" customHeight="1" thickBot="1" x14ac:dyDescent="0.35">
      <c r="B381" s="384" t="s">
        <v>167</v>
      </c>
      <c r="C381" s="149" t="str">
        <f t="shared" si="314"/>
        <v/>
      </c>
      <c r="D381" s="150" t="str">
        <f>IF(Data!F376="","",Data!F376)</f>
        <v/>
      </c>
      <c r="E381" s="151" t="str">
        <f>IF(Data!H376="","",Data!H376)</f>
        <v/>
      </c>
      <c r="F381" s="152" t="str">
        <f>IF(Data!I376="","",Data!I376)</f>
        <v/>
      </c>
      <c r="G381" s="343"/>
      <c r="H381" s="344"/>
      <c r="I381" s="344"/>
      <c r="J381" s="344"/>
      <c r="K381" s="344"/>
      <c r="L381" s="344"/>
      <c r="M381" s="344"/>
      <c r="N381" s="345"/>
      <c r="O381" s="157" t="str">
        <f t="shared" si="303"/>
        <v/>
      </c>
      <c r="P381" s="344"/>
      <c r="Q381" s="346"/>
      <c r="R381" s="157" t="str">
        <f t="shared" si="304"/>
        <v/>
      </c>
      <c r="S381" s="159" t="str">
        <f>IF(R381="","",IF(R381&gt;Data2!$C$12,Data2!$D$11,IF(R381&gt;Data2!$C$13,Data2!$D$12,IF(R381&gt;Data2!$C$14,Data2!$D$13,Data2!$D$14))))</f>
        <v/>
      </c>
      <c r="T381" s="144">
        <f t="shared" si="305"/>
        <v>0</v>
      </c>
      <c r="U381" s="144">
        <f t="shared" si="306"/>
        <v>0</v>
      </c>
      <c r="V381" s="144" t="str">
        <f t="shared" si="315"/>
        <v>Mulai berkembang</v>
      </c>
      <c r="W381" s="144" t="str">
        <f t="shared" si="316"/>
        <v>Mulai berkembang</v>
      </c>
      <c r="X381" s="144" t="e">
        <f t="shared" si="307"/>
        <v>#N/A</v>
      </c>
      <c r="Y381" s="145" t="e">
        <f t="shared" si="308"/>
        <v>#N/A</v>
      </c>
      <c r="Z381" s="218" t="str">
        <f>IF('PA-Non'!O269&lt;&gt;"",'PA-Non'!O269,IFERROR("Mempunyai kemampuan yang " &amp;IF(V381=W381,PROPER(W381)&amp;" dalam kompetensi "&amp;VLOOKUP(X381,$G$532:$I$539,3)&amp;" dan kompetensi "&amp;VLOOKUP(Y381,$G$532:$I$539,3),PROPER(V381)&amp;" dalam kompetensi "&amp;VLOOKUP(X381,$G$532:$I$539,3)&amp;" dan memiliki kemampuan yang "&amp;W381&amp;" pada kompetensi "&amp;VLOOKUP(Y381,$G$532:$I$539,3)),""))</f>
        <v/>
      </c>
      <c r="AA381" s="343"/>
      <c r="AB381" s="344"/>
      <c r="AC381" s="344"/>
      <c r="AD381" s="344"/>
      <c r="AE381" s="344"/>
      <c r="AF381" s="344"/>
      <c r="AG381" s="344"/>
      <c r="AH381" s="345"/>
      <c r="AI381" s="220" t="str">
        <f t="shared" si="309"/>
        <v/>
      </c>
      <c r="AJ381" s="160" t="str">
        <f>IF(AI381="","",IF(AI381&gt;Data2!$C$12,Data2!$D$11,IF(AI381&gt;Data2!$C$13,Data2!$D$12,IF(AI381&gt;Data2!$C$14,Data2!$D$13,Data2!$D$14))))</f>
        <v/>
      </c>
      <c r="AK381" s="146">
        <f t="shared" si="310"/>
        <v>0</v>
      </c>
      <c r="AL381" s="146">
        <f t="shared" si="311"/>
        <v>0</v>
      </c>
      <c r="AM381" s="147" t="str">
        <f t="shared" si="317"/>
        <v>Mulai meningkat</v>
      </c>
      <c r="AN381" s="147" t="str">
        <f t="shared" si="318"/>
        <v>Mulai meningkat</v>
      </c>
      <c r="AO381" s="146" t="e">
        <f t="shared" si="312"/>
        <v>#N/A</v>
      </c>
      <c r="AP381" s="148" t="e">
        <f t="shared" si="313"/>
        <v>#N/A</v>
      </c>
      <c r="AQ381" s="158" t="str">
        <f>IF('PA-Non'!V269&lt;&gt;"",'PA-Non'!V269,IFERROR("Mempunyai keterampilan yang "&amp;IF(AM381=AN381,PROPER(AN381)&amp;" dalam kompetensi "&amp;VLOOKUP(AO381,$AA$532:$AC$539,3)&amp;", demikian juga dalam kompetensi "&amp;VLOOKUP(AP381,$AA$532:$AC$539,3),PROPER(AM381)&amp;" dalam kompetensi "&amp;VLOOKUP(AO381,$AA$532:$AC$539,3)&amp;" dan "&amp;AN381&amp;" pada kompetensi "&amp;VLOOKUP(AP381,$AA$532:$AC$539,3)),""))</f>
        <v/>
      </c>
      <c r="AR381" s="188"/>
    </row>
    <row r="382" spans="2:44" ht="27.9" customHeight="1" thickBot="1" x14ac:dyDescent="0.35">
      <c r="B382" s="384" t="s">
        <v>167</v>
      </c>
      <c r="C382" s="149" t="str">
        <f t="shared" si="314"/>
        <v/>
      </c>
      <c r="D382" s="150" t="str">
        <f>IF(Data!F377="","",Data!F377)</f>
        <v/>
      </c>
      <c r="E382" s="151" t="str">
        <f>IF(Data!H377="","",Data!H377)</f>
        <v/>
      </c>
      <c r="F382" s="152" t="str">
        <f>IF(Data!I377="","",Data!I377)</f>
        <v/>
      </c>
      <c r="G382" s="343"/>
      <c r="H382" s="344"/>
      <c r="I382" s="344"/>
      <c r="J382" s="344"/>
      <c r="K382" s="344"/>
      <c r="L382" s="344"/>
      <c r="M382" s="344"/>
      <c r="N382" s="345"/>
      <c r="O382" s="157" t="str">
        <f t="shared" si="303"/>
        <v/>
      </c>
      <c r="P382" s="344"/>
      <c r="Q382" s="346"/>
      <c r="R382" s="157" t="str">
        <f t="shared" si="304"/>
        <v/>
      </c>
      <c r="S382" s="159" t="str">
        <f>IF(R382="","",IF(R382&gt;Data2!$C$12,Data2!$D$11,IF(R382&gt;Data2!$C$13,Data2!$D$12,IF(R382&gt;Data2!$C$14,Data2!$D$13,Data2!$D$14))))</f>
        <v/>
      </c>
      <c r="T382" s="144">
        <f t="shared" si="305"/>
        <v>0</v>
      </c>
      <c r="U382" s="144">
        <f t="shared" si="306"/>
        <v>0</v>
      </c>
      <c r="V382" s="144" t="str">
        <f t="shared" si="315"/>
        <v>Mulai berkembang</v>
      </c>
      <c r="W382" s="144" t="str">
        <f t="shared" si="316"/>
        <v>Mulai berkembang</v>
      </c>
      <c r="X382" s="144" t="e">
        <f t="shared" si="307"/>
        <v>#N/A</v>
      </c>
      <c r="Y382" s="145" t="e">
        <f t="shared" si="308"/>
        <v>#N/A</v>
      </c>
      <c r="Z382" s="218" t="str">
        <f>IF('PA-Non'!O270&lt;&gt;"",'PA-Non'!O270,IFERROR("Mempunyai kemampuan yang " &amp;IF(V382=W382,PROPER(W382)&amp;" dalam kompetensi "&amp;VLOOKUP(X382,$G$532:$I$539,3)&amp;" dan kompetensi "&amp;VLOOKUP(Y382,$G$532:$I$539,3),PROPER(V382)&amp;" dalam kompetensi "&amp;VLOOKUP(X382,$G$532:$I$539,3)&amp;" dan memiliki kemampuan yang "&amp;W382&amp;" pada kompetensi "&amp;VLOOKUP(Y382,$G$532:$I$539,3)),""))</f>
        <v/>
      </c>
      <c r="AA382" s="343"/>
      <c r="AB382" s="344"/>
      <c r="AC382" s="344"/>
      <c r="AD382" s="344"/>
      <c r="AE382" s="344"/>
      <c r="AF382" s="344"/>
      <c r="AG382" s="344"/>
      <c r="AH382" s="345"/>
      <c r="AI382" s="220" t="str">
        <f t="shared" si="309"/>
        <v/>
      </c>
      <c r="AJ382" s="160" t="str">
        <f>IF(AI382="","",IF(AI382&gt;Data2!$C$12,Data2!$D$11,IF(AI382&gt;Data2!$C$13,Data2!$D$12,IF(AI382&gt;Data2!$C$14,Data2!$D$13,Data2!$D$14))))</f>
        <v/>
      </c>
      <c r="AK382" s="146">
        <f t="shared" si="310"/>
        <v>0</v>
      </c>
      <c r="AL382" s="146">
        <f t="shared" si="311"/>
        <v>0</v>
      </c>
      <c r="AM382" s="147" t="str">
        <f t="shared" si="317"/>
        <v>Mulai meningkat</v>
      </c>
      <c r="AN382" s="147" t="str">
        <f t="shared" si="318"/>
        <v>Mulai meningkat</v>
      </c>
      <c r="AO382" s="146" t="e">
        <f t="shared" si="312"/>
        <v>#N/A</v>
      </c>
      <c r="AP382" s="148" t="e">
        <f t="shared" si="313"/>
        <v>#N/A</v>
      </c>
      <c r="AQ382" s="158" t="str">
        <f>IF('PA-Non'!V270&lt;&gt;"",'PA-Non'!V270,IFERROR("Mempunyai keterampilan yang "&amp;IF(AM382=AN382,PROPER(AN382)&amp;" dalam kompetensi "&amp;VLOOKUP(AO382,$AA$532:$AC$539,3)&amp;", demikian juga dalam kompetensi "&amp;VLOOKUP(AP382,$AA$532:$AC$539,3),PROPER(AM382)&amp;" dalam kompetensi "&amp;VLOOKUP(AO382,$AA$532:$AC$539,3)&amp;" dan "&amp;AN382&amp;" pada kompetensi "&amp;VLOOKUP(AP382,$AA$532:$AC$539,3)),""))</f>
        <v/>
      </c>
      <c r="AR382" s="188"/>
    </row>
    <row r="383" spans="2:44" ht="27.9" customHeight="1" thickBot="1" x14ac:dyDescent="0.35">
      <c r="B383" s="384" t="s">
        <v>167</v>
      </c>
      <c r="C383" s="149" t="str">
        <f t="shared" si="314"/>
        <v/>
      </c>
      <c r="D383" s="150" t="str">
        <f>IF(Data!F378="","",Data!F378)</f>
        <v/>
      </c>
      <c r="E383" s="151" t="str">
        <f>IF(Data!H378="","",Data!H378)</f>
        <v/>
      </c>
      <c r="F383" s="152" t="str">
        <f>IF(Data!I378="","",Data!I378)</f>
        <v/>
      </c>
      <c r="G383" s="343"/>
      <c r="H383" s="344"/>
      <c r="I383" s="344"/>
      <c r="J383" s="344"/>
      <c r="K383" s="344"/>
      <c r="L383" s="344"/>
      <c r="M383" s="344"/>
      <c r="N383" s="345"/>
      <c r="O383" s="157" t="str">
        <f t="shared" si="303"/>
        <v/>
      </c>
      <c r="P383" s="344"/>
      <c r="Q383" s="346"/>
      <c r="R383" s="157" t="str">
        <f t="shared" si="304"/>
        <v/>
      </c>
      <c r="S383" s="159" t="str">
        <f>IF(R383="","",IF(R383&gt;Data2!$C$12,Data2!$D$11,IF(R383&gt;Data2!$C$13,Data2!$D$12,IF(R383&gt;Data2!$C$14,Data2!$D$13,Data2!$D$14))))</f>
        <v/>
      </c>
      <c r="T383" s="144">
        <f t="shared" si="305"/>
        <v>0</v>
      </c>
      <c r="U383" s="144">
        <f t="shared" si="306"/>
        <v>0</v>
      </c>
      <c r="V383" s="144" t="str">
        <f t="shared" si="315"/>
        <v>Mulai berkembang</v>
      </c>
      <c r="W383" s="144" t="str">
        <f t="shared" si="316"/>
        <v>Mulai berkembang</v>
      </c>
      <c r="X383" s="144" t="e">
        <f t="shared" si="307"/>
        <v>#N/A</v>
      </c>
      <c r="Y383" s="145" t="e">
        <f t="shared" si="308"/>
        <v>#N/A</v>
      </c>
      <c r="Z383" s="218" t="str">
        <f>IF('PA-Non'!O271&lt;&gt;"",'PA-Non'!O271,IFERROR("Mempunyai kemampuan yang " &amp;IF(V383=W383,PROPER(W383)&amp;" dalam kompetensi "&amp;VLOOKUP(X383,$G$532:$I$539,3)&amp;" dan kompetensi "&amp;VLOOKUP(Y383,$G$532:$I$539,3),PROPER(V383)&amp;" dalam kompetensi "&amp;VLOOKUP(X383,$G$532:$I$539,3)&amp;" dan memiliki kemampuan yang "&amp;W383&amp;" pada kompetensi "&amp;VLOOKUP(Y383,$G$532:$I$539,3)),""))</f>
        <v/>
      </c>
      <c r="AA383" s="343"/>
      <c r="AB383" s="344"/>
      <c r="AC383" s="344"/>
      <c r="AD383" s="344"/>
      <c r="AE383" s="344"/>
      <c r="AF383" s="344"/>
      <c r="AG383" s="344"/>
      <c r="AH383" s="345"/>
      <c r="AI383" s="220" t="str">
        <f t="shared" si="309"/>
        <v/>
      </c>
      <c r="AJ383" s="160" t="str">
        <f>IF(AI383="","",IF(AI383&gt;Data2!$C$12,Data2!$D$11,IF(AI383&gt;Data2!$C$13,Data2!$D$12,IF(AI383&gt;Data2!$C$14,Data2!$D$13,Data2!$D$14))))</f>
        <v/>
      </c>
      <c r="AK383" s="146">
        <f t="shared" si="310"/>
        <v>0</v>
      </c>
      <c r="AL383" s="146">
        <f t="shared" si="311"/>
        <v>0</v>
      </c>
      <c r="AM383" s="147" t="str">
        <f t="shared" si="317"/>
        <v>Mulai meningkat</v>
      </c>
      <c r="AN383" s="147" t="str">
        <f t="shared" si="318"/>
        <v>Mulai meningkat</v>
      </c>
      <c r="AO383" s="146" t="e">
        <f t="shared" si="312"/>
        <v>#N/A</v>
      </c>
      <c r="AP383" s="148" t="e">
        <f t="shared" si="313"/>
        <v>#N/A</v>
      </c>
      <c r="AQ383" s="158" t="str">
        <f>IF('PA-Non'!V271&lt;&gt;"",'PA-Non'!V271,IFERROR("Mempunyai keterampilan yang "&amp;IF(AM383=AN383,PROPER(AN383)&amp;" dalam kompetensi "&amp;VLOOKUP(AO383,$AA$532:$AC$539,3)&amp;", demikian juga dalam kompetensi "&amp;VLOOKUP(AP383,$AA$532:$AC$539,3),PROPER(AM383)&amp;" dalam kompetensi "&amp;VLOOKUP(AO383,$AA$532:$AC$539,3)&amp;" dan "&amp;AN383&amp;" pada kompetensi "&amp;VLOOKUP(AP383,$AA$532:$AC$539,3)),""))</f>
        <v/>
      </c>
      <c r="AR383" s="188"/>
    </row>
    <row r="384" spans="2:44" ht="27.9" customHeight="1" thickBot="1" x14ac:dyDescent="0.35">
      <c r="B384" s="384" t="s">
        <v>167</v>
      </c>
      <c r="C384" s="149" t="str">
        <f t="shared" si="314"/>
        <v/>
      </c>
      <c r="D384" s="150" t="str">
        <f>IF(Data!F379="","",Data!F379)</f>
        <v/>
      </c>
      <c r="E384" s="151" t="str">
        <f>IF(Data!H379="","",Data!H379)</f>
        <v/>
      </c>
      <c r="F384" s="152" t="str">
        <f>IF(Data!I379="","",Data!I379)</f>
        <v/>
      </c>
      <c r="G384" s="343"/>
      <c r="H384" s="344"/>
      <c r="I384" s="344"/>
      <c r="J384" s="344"/>
      <c r="K384" s="344"/>
      <c r="L384" s="344"/>
      <c r="M384" s="344"/>
      <c r="N384" s="345"/>
      <c r="O384" s="157" t="str">
        <f t="shared" si="303"/>
        <v/>
      </c>
      <c r="P384" s="344"/>
      <c r="Q384" s="346"/>
      <c r="R384" s="157" t="str">
        <f t="shared" si="304"/>
        <v/>
      </c>
      <c r="S384" s="159" t="str">
        <f>IF(R384="","",IF(R384&gt;Data2!$C$12,Data2!$D$11,IF(R384&gt;Data2!$C$13,Data2!$D$12,IF(R384&gt;Data2!$C$14,Data2!$D$13,Data2!$D$14))))</f>
        <v/>
      </c>
      <c r="T384" s="144">
        <f t="shared" si="305"/>
        <v>0</v>
      </c>
      <c r="U384" s="144">
        <f t="shared" si="306"/>
        <v>0</v>
      </c>
      <c r="V384" s="144" t="str">
        <f t="shared" si="315"/>
        <v>Mulai berkembang</v>
      </c>
      <c r="W384" s="144" t="str">
        <f t="shared" si="316"/>
        <v>Mulai berkembang</v>
      </c>
      <c r="X384" s="144" t="e">
        <f t="shared" si="307"/>
        <v>#N/A</v>
      </c>
      <c r="Y384" s="145" t="e">
        <f t="shared" si="308"/>
        <v>#N/A</v>
      </c>
      <c r="Z384" s="218" t="str">
        <f>IF('PA-Non'!O272&lt;&gt;"",'PA-Non'!O272,IFERROR("Mempunyai kemampuan yang " &amp;IF(V384=W384,PROPER(W384)&amp;" dalam kompetensi "&amp;VLOOKUP(X384,$G$532:$I$539,3)&amp;" dan kompetensi "&amp;VLOOKUP(Y384,$G$532:$I$539,3),PROPER(V384)&amp;" dalam kompetensi "&amp;VLOOKUP(X384,$G$532:$I$539,3)&amp;" dan memiliki kemampuan yang "&amp;W384&amp;" pada kompetensi "&amp;VLOOKUP(Y384,$G$532:$I$539,3)),""))</f>
        <v/>
      </c>
      <c r="AA384" s="343"/>
      <c r="AB384" s="344"/>
      <c r="AC384" s="344"/>
      <c r="AD384" s="344"/>
      <c r="AE384" s="344"/>
      <c r="AF384" s="344"/>
      <c r="AG384" s="344"/>
      <c r="AH384" s="345"/>
      <c r="AI384" s="220" t="str">
        <f t="shared" si="309"/>
        <v/>
      </c>
      <c r="AJ384" s="160" t="str">
        <f>IF(AI384="","",IF(AI384&gt;Data2!$C$12,Data2!$D$11,IF(AI384&gt;Data2!$C$13,Data2!$D$12,IF(AI384&gt;Data2!$C$14,Data2!$D$13,Data2!$D$14))))</f>
        <v/>
      </c>
      <c r="AK384" s="146">
        <f t="shared" si="310"/>
        <v>0</v>
      </c>
      <c r="AL384" s="146">
        <f t="shared" si="311"/>
        <v>0</v>
      </c>
      <c r="AM384" s="147" t="str">
        <f t="shared" si="317"/>
        <v>Mulai meningkat</v>
      </c>
      <c r="AN384" s="147" t="str">
        <f t="shared" si="318"/>
        <v>Mulai meningkat</v>
      </c>
      <c r="AO384" s="146" t="e">
        <f t="shared" si="312"/>
        <v>#N/A</v>
      </c>
      <c r="AP384" s="148" t="e">
        <f t="shared" si="313"/>
        <v>#N/A</v>
      </c>
      <c r="AQ384" s="158" t="str">
        <f>IF('PA-Non'!V272&lt;&gt;"",'PA-Non'!V272,IFERROR("Mempunyai keterampilan yang "&amp;IF(AM384=AN384,PROPER(AN384)&amp;" dalam kompetensi "&amp;VLOOKUP(AO384,$AA$532:$AC$539,3)&amp;", demikian juga dalam kompetensi "&amp;VLOOKUP(AP384,$AA$532:$AC$539,3),PROPER(AM384)&amp;" dalam kompetensi "&amp;VLOOKUP(AO384,$AA$532:$AC$539,3)&amp;" dan "&amp;AN384&amp;" pada kompetensi "&amp;VLOOKUP(AP384,$AA$532:$AC$539,3)),""))</f>
        <v/>
      </c>
      <c r="AR384" s="188"/>
    </row>
    <row r="385" spans="2:44" ht="27.9" customHeight="1" thickBot="1" x14ac:dyDescent="0.35">
      <c r="B385" s="384" t="s">
        <v>167</v>
      </c>
      <c r="C385" s="149" t="str">
        <f t="shared" si="314"/>
        <v/>
      </c>
      <c r="D385" s="150" t="str">
        <f>IF(Data!F380="","",Data!F380)</f>
        <v/>
      </c>
      <c r="E385" s="151" t="str">
        <f>IF(Data!H380="","",Data!H380)</f>
        <v/>
      </c>
      <c r="F385" s="152" t="str">
        <f>IF(Data!I380="","",Data!I380)</f>
        <v/>
      </c>
      <c r="G385" s="343"/>
      <c r="H385" s="344"/>
      <c r="I385" s="344"/>
      <c r="J385" s="344"/>
      <c r="K385" s="344"/>
      <c r="L385" s="344"/>
      <c r="M385" s="344"/>
      <c r="N385" s="345"/>
      <c r="O385" s="157" t="str">
        <f t="shared" si="303"/>
        <v/>
      </c>
      <c r="P385" s="344"/>
      <c r="Q385" s="346"/>
      <c r="R385" s="157" t="str">
        <f t="shared" si="304"/>
        <v/>
      </c>
      <c r="S385" s="159" t="str">
        <f>IF(R385="","",IF(R385&gt;Data2!$C$12,Data2!$D$11,IF(R385&gt;Data2!$C$13,Data2!$D$12,IF(R385&gt;Data2!$C$14,Data2!$D$13,Data2!$D$14))))</f>
        <v/>
      </c>
      <c r="T385" s="144">
        <f t="shared" si="305"/>
        <v>0</v>
      </c>
      <c r="U385" s="144">
        <f t="shared" si="306"/>
        <v>0</v>
      </c>
      <c r="V385" s="144" t="str">
        <f t="shared" si="315"/>
        <v>Mulai berkembang</v>
      </c>
      <c r="W385" s="144" t="str">
        <f t="shared" si="316"/>
        <v>Mulai berkembang</v>
      </c>
      <c r="X385" s="144" t="e">
        <f t="shared" si="307"/>
        <v>#N/A</v>
      </c>
      <c r="Y385" s="145" t="e">
        <f t="shared" si="308"/>
        <v>#N/A</v>
      </c>
      <c r="Z385" s="218" t="str">
        <f>IF('PA-Non'!O273&lt;&gt;"",'PA-Non'!O273,IFERROR("Mempunyai kemampuan yang " &amp;IF(V385=W385,PROPER(W385)&amp;" dalam kompetensi "&amp;VLOOKUP(X385,$G$532:$I$539,3)&amp;" dan kompetensi "&amp;VLOOKUP(Y385,$G$532:$I$539,3),PROPER(V385)&amp;" dalam kompetensi "&amp;VLOOKUP(X385,$G$532:$I$539,3)&amp;" dan memiliki kemampuan yang "&amp;W385&amp;" pada kompetensi "&amp;VLOOKUP(Y385,$G$532:$I$539,3)),""))</f>
        <v/>
      </c>
      <c r="AA385" s="343"/>
      <c r="AB385" s="344"/>
      <c r="AC385" s="344"/>
      <c r="AD385" s="344"/>
      <c r="AE385" s="344"/>
      <c r="AF385" s="344"/>
      <c r="AG385" s="344"/>
      <c r="AH385" s="345"/>
      <c r="AI385" s="220" t="str">
        <f t="shared" si="309"/>
        <v/>
      </c>
      <c r="AJ385" s="160" t="str">
        <f>IF(AI385="","",IF(AI385&gt;Data2!$C$12,Data2!$D$11,IF(AI385&gt;Data2!$C$13,Data2!$D$12,IF(AI385&gt;Data2!$C$14,Data2!$D$13,Data2!$D$14))))</f>
        <v/>
      </c>
      <c r="AK385" s="146">
        <f t="shared" si="310"/>
        <v>0</v>
      </c>
      <c r="AL385" s="146">
        <f t="shared" si="311"/>
        <v>0</v>
      </c>
      <c r="AM385" s="147" t="str">
        <f t="shared" si="317"/>
        <v>Mulai meningkat</v>
      </c>
      <c r="AN385" s="147" t="str">
        <f t="shared" si="318"/>
        <v>Mulai meningkat</v>
      </c>
      <c r="AO385" s="146" t="e">
        <f t="shared" si="312"/>
        <v>#N/A</v>
      </c>
      <c r="AP385" s="148" t="e">
        <f t="shared" si="313"/>
        <v>#N/A</v>
      </c>
      <c r="AQ385" s="158" t="str">
        <f>IF('PA-Non'!V273&lt;&gt;"",'PA-Non'!V273,IFERROR("Mempunyai keterampilan yang "&amp;IF(AM385=AN385,PROPER(AN385)&amp;" dalam kompetensi "&amp;VLOOKUP(AO385,$AA$532:$AC$539,3)&amp;", demikian juga dalam kompetensi "&amp;VLOOKUP(AP385,$AA$532:$AC$539,3),PROPER(AM385)&amp;" dalam kompetensi "&amp;VLOOKUP(AO385,$AA$532:$AC$539,3)&amp;" dan "&amp;AN385&amp;" pada kompetensi "&amp;VLOOKUP(AP385,$AA$532:$AC$539,3)),""))</f>
        <v/>
      </c>
      <c r="AR385" s="188"/>
    </row>
    <row r="386" spans="2:44" ht="27.9" customHeight="1" thickBot="1" x14ac:dyDescent="0.35">
      <c r="B386" s="384" t="s">
        <v>167</v>
      </c>
      <c r="C386" s="149" t="str">
        <f t="shared" si="314"/>
        <v/>
      </c>
      <c r="D386" s="150" t="str">
        <f>IF(Data!F381="","",Data!F381)</f>
        <v/>
      </c>
      <c r="E386" s="151" t="str">
        <f>IF(Data!H381="","",Data!H381)</f>
        <v/>
      </c>
      <c r="F386" s="152" t="str">
        <f>IF(Data!I381="","",Data!I381)</f>
        <v/>
      </c>
      <c r="G386" s="343"/>
      <c r="H386" s="344"/>
      <c r="I386" s="344"/>
      <c r="J386" s="344"/>
      <c r="K386" s="344"/>
      <c r="L386" s="344"/>
      <c r="M386" s="344"/>
      <c r="N386" s="345"/>
      <c r="O386" s="157" t="str">
        <f t="shared" si="303"/>
        <v/>
      </c>
      <c r="P386" s="344"/>
      <c r="Q386" s="346"/>
      <c r="R386" s="157" t="str">
        <f t="shared" si="304"/>
        <v/>
      </c>
      <c r="S386" s="159" t="str">
        <f>IF(R386="","",IF(R386&gt;Data2!$C$12,Data2!$D$11,IF(R386&gt;Data2!$C$13,Data2!$D$12,IF(R386&gt;Data2!$C$14,Data2!$D$13,Data2!$D$14))))</f>
        <v/>
      </c>
      <c r="T386" s="144">
        <f t="shared" si="305"/>
        <v>0</v>
      </c>
      <c r="U386" s="144">
        <f t="shared" si="306"/>
        <v>0</v>
      </c>
      <c r="V386" s="144" t="str">
        <f t="shared" si="315"/>
        <v>Mulai berkembang</v>
      </c>
      <c r="W386" s="144" t="str">
        <f t="shared" si="316"/>
        <v>Mulai berkembang</v>
      </c>
      <c r="X386" s="144" t="e">
        <f t="shared" si="307"/>
        <v>#N/A</v>
      </c>
      <c r="Y386" s="145" t="e">
        <f t="shared" si="308"/>
        <v>#N/A</v>
      </c>
      <c r="Z386" s="218" t="str">
        <f>IF('PA-Non'!O274&lt;&gt;"",'PA-Non'!O274,IFERROR("Mempunyai kemampuan yang " &amp;IF(V386=W386,PROPER(W386)&amp;" dalam kompetensi "&amp;VLOOKUP(X386,$G$532:$I$539,3)&amp;" dan kompetensi "&amp;VLOOKUP(Y386,$G$532:$I$539,3),PROPER(V386)&amp;" dalam kompetensi "&amp;VLOOKUP(X386,$G$532:$I$539,3)&amp;" dan memiliki kemampuan yang "&amp;W386&amp;" pada kompetensi "&amp;VLOOKUP(Y386,$G$532:$I$539,3)),""))</f>
        <v/>
      </c>
      <c r="AA386" s="343"/>
      <c r="AB386" s="344"/>
      <c r="AC386" s="344"/>
      <c r="AD386" s="344"/>
      <c r="AE386" s="344"/>
      <c r="AF386" s="344"/>
      <c r="AG386" s="344"/>
      <c r="AH386" s="345"/>
      <c r="AI386" s="220" t="str">
        <f t="shared" si="309"/>
        <v/>
      </c>
      <c r="AJ386" s="160" t="str">
        <f>IF(AI386="","",IF(AI386&gt;Data2!$C$12,Data2!$D$11,IF(AI386&gt;Data2!$C$13,Data2!$D$12,IF(AI386&gt;Data2!$C$14,Data2!$D$13,Data2!$D$14))))</f>
        <v/>
      </c>
      <c r="AK386" s="146">
        <f t="shared" si="310"/>
        <v>0</v>
      </c>
      <c r="AL386" s="146">
        <f t="shared" si="311"/>
        <v>0</v>
      </c>
      <c r="AM386" s="147" t="str">
        <f t="shared" si="317"/>
        <v>Mulai meningkat</v>
      </c>
      <c r="AN386" s="147" t="str">
        <f t="shared" si="318"/>
        <v>Mulai meningkat</v>
      </c>
      <c r="AO386" s="146" t="e">
        <f t="shared" si="312"/>
        <v>#N/A</v>
      </c>
      <c r="AP386" s="148" t="e">
        <f t="shared" si="313"/>
        <v>#N/A</v>
      </c>
      <c r="AQ386" s="158" t="str">
        <f>IF('PA-Non'!V274&lt;&gt;"",'PA-Non'!V274,IFERROR("Mempunyai keterampilan yang "&amp;IF(AM386=AN386,PROPER(AN386)&amp;" dalam kompetensi "&amp;VLOOKUP(AO386,$AA$532:$AC$539,3)&amp;", demikian juga dalam kompetensi "&amp;VLOOKUP(AP386,$AA$532:$AC$539,3),PROPER(AM386)&amp;" dalam kompetensi "&amp;VLOOKUP(AO386,$AA$532:$AC$539,3)&amp;" dan "&amp;AN386&amp;" pada kompetensi "&amp;VLOOKUP(AP386,$AA$532:$AC$539,3)),""))</f>
        <v/>
      </c>
      <c r="AR386" s="188"/>
    </row>
    <row r="387" spans="2:44" ht="27.9" customHeight="1" thickBot="1" x14ac:dyDescent="0.35">
      <c r="B387" s="384" t="s">
        <v>167</v>
      </c>
      <c r="C387" s="149" t="str">
        <f t="shared" si="314"/>
        <v/>
      </c>
      <c r="D387" s="150" t="str">
        <f>IF(Data!F382="","",Data!F382)</f>
        <v/>
      </c>
      <c r="E387" s="151" t="str">
        <f>IF(Data!H382="","",Data!H382)</f>
        <v/>
      </c>
      <c r="F387" s="152" t="str">
        <f>IF(Data!I382="","",Data!I382)</f>
        <v/>
      </c>
      <c r="G387" s="343"/>
      <c r="H387" s="344"/>
      <c r="I387" s="344"/>
      <c r="J387" s="344"/>
      <c r="K387" s="344"/>
      <c r="L387" s="344"/>
      <c r="M387" s="344"/>
      <c r="N387" s="345"/>
      <c r="O387" s="157" t="str">
        <f t="shared" si="303"/>
        <v/>
      </c>
      <c r="P387" s="344"/>
      <c r="Q387" s="346"/>
      <c r="R387" s="157" t="str">
        <f t="shared" si="304"/>
        <v/>
      </c>
      <c r="S387" s="159" t="str">
        <f>IF(R387="","",IF(R387&gt;Data2!$C$12,Data2!$D$11,IF(R387&gt;Data2!$C$13,Data2!$D$12,IF(R387&gt;Data2!$C$14,Data2!$D$13,Data2!$D$14))))</f>
        <v/>
      </c>
      <c r="T387" s="144">
        <f t="shared" si="305"/>
        <v>0</v>
      </c>
      <c r="U387" s="144">
        <f t="shared" si="306"/>
        <v>0</v>
      </c>
      <c r="V387" s="144" t="str">
        <f t="shared" si="315"/>
        <v>Mulai berkembang</v>
      </c>
      <c r="W387" s="144" t="str">
        <f t="shared" si="316"/>
        <v>Mulai berkembang</v>
      </c>
      <c r="X387" s="144" t="e">
        <f t="shared" si="307"/>
        <v>#N/A</v>
      </c>
      <c r="Y387" s="145" t="e">
        <f t="shared" si="308"/>
        <v>#N/A</v>
      </c>
      <c r="Z387" s="218" t="str">
        <f>IF('PA-Non'!O275&lt;&gt;"",'PA-Non'!O275,IFERROR("Mempunyai kemampuan yang " &amp;IF(V387=W387,PROPER(W387)&amp;" dalam kompetensi "&amp;VLOOKUP(X387,$G$532:$I$539,3)&amp;" dan kompetensi "&amp;VLOOKUP(Y387,$G$532:$I$539,3),PROPER(V387)&amp;" dalam kompetensi "&amp;VLOOKUP(X387,$G$532:$I$539,3)&amp;" dan memiliki kemampuan yang "&amp;W387&amp;" pada kompetensi "&amp;VLOOKUP(Y387,$G$532:$I$539,3)),""))</f>
        <v/>
      </c>
      <c r="AA387" s="343"/>
      <c r="AB387" s="344"/>
      <c r="AC387" s="344"/>
      <c r="AD387" s="344"/>
      <c r="AE387" s="344"/>
      <c r="AF387" s="344"/>
      <c r="AG387" s="344"/>
      <c r="AH387" s="345"/>
      <c r="AI387" s="220" t="str">
        <f t="shared" si="309"/>
        <v/>
      </c>
      <c r="AJ387" s="160" t="str">
        <f>IF(AI387="","",IF(AI387&gt;Data2!$C$12,Data2!$D$11,IF(AI387&gt;Data2!$C$13,Data2!$D$12,IF(AI387&gt;Data2!$C$14,Data2!$D$13,Data2!$D$14))))</f>
        <v/>
      </c>
      <c r="AK387" s="146">
        <f t="shared" si="310"/>
        <v>0</v>
      </c>
      <c r="AL387" s="146">
        <f t="shared" si="311"/>
        <v>0</v>
      </c>
      <c r="AM387" s="147" t="str">
        <f t="shared" si="317"/>
        <v>Mulai meningkat</v>
      </c>
      <c r="AN387" s="147" t="str">
        <f t="shared" si="318"/>
        <v>Mulai meningkat</v>
      </c>
      <c r="AO387" s="146" t="e">
        <f t="shared" si="312"/>
        <v>#N/A</v>
      </c>
      <c r="AP387" s="148" t="e">
        <f t="shared" si="313"/>
        <v>#N/A</v>
      </c>
      <c r="AQ387" s="158" t="str">
        <f>IF('PA-Non'!V275&lt;&gt;"",'PA-Non'!V275,IFERROR("Mempunyai keterampilan yang "&amp;IF(AM387=AN387,PROPER(AN387)&amp;" dalam kompetensi "&amp;VLOOKUP(AO387,$AA$532:$AC$539,3)&amp;", demikian juga dalam kompetensi "&amp;VLOOKUP(AP387,$AA$532:$AC$539,3),PROPER(AM387)&amp;" dalam kompetensi "&amp;VLOOKUP(AO387,$AA$532:$AC$539,3)&amp;" dan "&amp;AN387&amp;" pada kompetensi "&amp;VLOOKUP(AP387,$AA$532:$AC$539,3)),""))</f>
        <v/>
      </c>
      <c r="AR387" s="188"/>
    </row>
    <row r="388" spans="2:44" ht="27.9" customHeight="1" thickBot="1" x14ac:dyDescent="0.35">
      <c r="B388" s="384" t="s">
        <v>167</v>
      </c>
      <c r="C388" s="149" t="str">
        <f t="shared" si="314"/>
        <v/>
      </c>
      <c r="D388" s="150" t="str">
        <f>IF(Data!F383="","",Data!F383)</f>
        <v/>
      </c>
      <c r="E388" s="151" t="str">
        <f>IF(Data!H383="","",Data!H383)</f>
        <v/>
      </c>
      <c r="F388" s="152" t="str">
        <f>IF(Data!I383="","",Data!I383)</f>
        <v/>
      </c>
      <c r="G388" s="343"/>
      <c r="H388" s="344"/>
      <c r="I388" s="344"/>
      <c r="J388" s="344"/>
      <c r="K388" s="344"/>
      <c r="L388" s="344"/>
      <c r="M388" s="344"/>
      <c r="N388" s="345"/>
      <c r="O388" s="157" t="str">
        <f t="shared" si="303"/>
        <v/>
      </c>
      <c r="P388" s="344"/>
      <c r="Q388" s="346"/>
      <c r="R388" s="157" t="str">
        <f t="shared" si="304"/>
        <v/>
      </c>
      <c r="S388" s="159" t="str">
        <f>IF(R388="","",IF(R388&gt;Data2!$C$12,Data2!$D$11,IF(R388&gt;Data2!$C$13,Data2!$D$12,IF(R388&gt;Data2!$C$14,Data2!$D$13,Data2!$D$14))))</f>
        <v/>
      </c>
      <c r="T388" s="144">
        <f t="shared" si="305"/>
        <v>0</v>
      </c>
      <c r="U388" s="144">
        <f t="shared" si="306"/>
        <v>0</v>
      </c>
      <c r="V388" s="144" t="str">
        <f t="shared" si="315"/>
        <v>Mulai berkembang</v>
      </c>
      <c r="W388" s="144" t="str">
        <f t="shared" si="316"/>
        <v>Mulai berkembang</v>
      </c>
      <c r="X388" s="144" t="e">
        <f t="shared" si="307"/>
        <v>#N/A</v>
      </c>
      <c r="Y388" s="145" t="e">
        <f t="shared" si="308"/>
        <v>#N/A</v>
      </c>
      <c r="Z388" s="218" t="str">
        <f>IF('PA-Non'!O276&lt;&gt;"",'PA-Non'!O276,IFERROR("Mempunyai kemampuan yang " &amp;IF(V388=W388,PROPER(W388)&amp;" dalam kompetensi "&amp;VLOOKUP(X388,$G$532:$I$539,3)&amp;" dan kompetensi "&amp;VLOOKUP(Y388,$G$532:$I$539,3),PROPER(V388)&amp;" dalam kompetensi "&amp;VLOOKUP(X388,$G$532:$I$539,3)&amp;" dan memiliki kemampuan yang "&amp;W388&amp;" pada kompetensi "&amp;VLOOKUP(Y388,$G$532:$I$539,3)),""))</f>
        <v/>
      </c>
      <c r="AA388" s="343"/>
      <c r="AB388" s="344"/>
      <c r="AC388" s="344"/>
      <c r="AD388" s="344"/>
      <c r="AE388" s="344"/>
      <c r="AF388" s="344"/>
      <c r="AG388" s="344"/>
      <c r="AH388" s="345"/>
      <c r="AI388" s="220" t="str">
        <f t="shared" si="309"/>
        <v/>
      </c>
      <c r="AJ388" s="160" t="str">
        <f>IF(AI388="","",IF(AI388&gt;Data2!$C$12,Data2!$D$11,IF(AI388&gt;Data2!$C$13,Data2!$D$12,IF(AI388&gt;Data2!$C$14,Data2!$D$13,Data2!$D$14))))</f>
        <v/>
      </c>
      <c r="AK388" s="146">
        <f t="shared" si="310"/>
        <v>0</v>
      </c>
      <c r="AL388" s="146">
        <f t="shared" si="311"/>
        <v>0</v>
      </c>
      <c r="AM388" s="147" t="str">
        <f t="shared" si="317"/>
        <v>Mulai meningkat</v>
      </c>
      <c r="AN388" s="147" t="str">
        <f t="shared" si="318"/>
        <v>Mulai meningkat</v>
      </c>
      <c r="AO388" s="146" t="e">
        <f t="shared" si="312"/>
        <v>#N/A</v>
      </c>
      <c r="AP388" s="148" t="e">
        <f t="shared" si="313"/>
        <v>#N/A</v>
      </c>
      <c r="AQ388" s="158" t="str">
        <f>IF('PA-Non'!V276&lt;&gt;"",'PA-Non'!V276,IFERROR("Mempunyai keterampilan yang "&amp;IF(AM388=AN388,PROPER(AN388)&amp;" dalam kompetensi "&amp;VLOOKUP(AO388,$AA$532:$AC$539,3)&amp;", demikian juga dalam kompetensi "&amp;VLOOKUP(AP388,$AA$532:$AC$539,3),PROPER(AM388)&amp;" dalam kompetensi "&amp;VLOOKUP(AO388,$AA$532:$AC$539,3)&amp;" dan "&amp;AN388&amp;" pada kompetensi "&amp;VLOOKUP(AP388,$AA$532:$AC$539,3)),""))</f>
        <v/>
      </c>
      <c r="AR388" s="188"/>
    </row>
    <row r="389" spans="2:44" ht="27.9" customHeight="1" thickBot="1" x14ac:dyDescent="0.35">
      <c r="B389" s="384" t="s">
        <v>167</v>
      </c>
      <c r="C389" s="149" t="str">
        <f t="shared" si="314"/>
        <v/>
      </c>
      <c r="D389" s="150" t="str">
        <f>IF(Data!F384="","",Data!F384)</f>
        <v/>
      </c>
      <c r="E389" s="151" t="str">
        <f>IF(Data!H384="","",Data!H384)</f>
        <v/>
      </c>
      <c r="F389" s="152" t="str">
        <f>IF(Data!I384="","",Data!I384)</f>
        <v/>
      </c>
      <c r="G389" s="343"/>
      <c r="H389" s="344"/>
      <c r="I389" s="344"/>
      <c r="J389" s="344"/>
      <c r="K389" s="344"/>
      <c r="L389" s="344"/>
      <c r="M389" s="344"/>
      <c r="N389" s="345"/>
      <c r="O389" s="157" t="str">
        <f t="shared" si="303"/>
        <v/>
      </c>
      <c r="P389" s="344"/>
      <c r="Q389" s="346"/>
      <c r="R389" s="157" t="str">
        <f t="shared" si="304"/>
        <v/>
      </c>
      <c r="S389" s="159" t="str">
        <f>IF(R389="","",IF(R389&gt;Data2!$C$12,Data2!$D$11,IF(R389&gt;Data2!$C$13,Data2!$D$12,IF(R389&gt;Data2!$C$14,Data2!$D$13,Data2!$D$14))))</f>
        <v/>
      </c>
      <c r="T389" s="144">
        <f t="shared" si="305"/>
        <v>0</v>
      </c>
      <c r="U389" s="144">
        <f t="shared" si="306"/>
        <v>0</v>
      </c>
      <c r="V389" s="144" t="str">
        <f t="shared" si="315"/>
        <v>Mulai berkembang</v>
      </c>
      <c r="W389" s="144" t="str">
        <f t="shared" si="316"/>
        <v>Mulai berkembang</v>
      </c>
      <c r="X389" s="144" t="e">
        <f t="shared" si="307"/>
        <v>#N/A</v>
      </c>
      <c r="Y389" s="145" t="e">
        <f t="shared" si="308"/>
        <v>#N/A</v>
      </c>
      <c r="Z389" s="218" t="str">
        <f>IF('PA-Non'!O277&lt;&gt;"",'PA-Non'!O277,IFERROR("Mempunyai kemampuan yang " &amp;IF(V389=W389,PROPER(W389)&amp;" dalam kompetensi "&amp;VLOOKUP(X389,$G$532:$I$539,3)&amp;" dan kompetensi "&amp;VLOOKUP(Y389,$G$532:$I$539,3),PROPER(V389)&amp;" dalam kompetensi "&amp;VLOOKUP(X389,$G$532:$I$539,3)&amp;" dan memiliki kemampuan yang "&amp;W389&amp;" pada kompetensi "&amp;VLOOKUP(Y389,$G$532:$I$539,3)),""))</f>
        <v/>
      </c>
      <c r="AA389" s="343"/>
      <c r="AB389" s="344"/>
      <c r="AC389" s="344"/>
      <c r="AD389" s="344"/>
      <c r="AE389" s="344"/>
      <c r="AF389" s="344"/>
      <c r="AG389" s="344"/>
      <c r="AH389" s="345"/>
      <c r="AI389" s="220" t="str">
        <f t="shared" si="309"/>
        <v/>
      </c>
      <c r="AJ389" s="160" t="str">
        <f>IF(AI389="","",IF(AI389&gt;Data2!$C$12,Data2!$D$11,IF(AI389&gt;Data2!$C$13,Data2!$D$12,IF(AI389&gt;Data2!$C$14,Data2!$D$13,Data2!$D$14))))</f>
        <v/>
      </c>
      <c r="AK389" s="146">
        <f t="shared" si="310"/>
        <v>0</v>
      </c>
      <c r="AL389" s="146">
        <f t="shared" si="311"/>
        <v>0</v>
      </c>
      <c r="AM389" s="147" t="str">
        <f t="shared" si="317"/>
        <v>Mulai meningkat</v>
      </c>
      <c r="AN389" s="147" t="str">
        <f t="shared" si="318"/>
        <v>Mulai meningkat</v>
      </c>
      <c r="AO389" s="146" t="e">
        <f t="shared" si="312"/>
        <v>#N/A</v>
      </c>
      <c r="AP389" s="148" t="e">
        <f t="shared" si="313"/>
        <v>#N/A</v>
      </c>
      <c r="AQ389" s="158" t="str">
        <f>IF('PA-Non'!V277&lt;&gt;"",'PA-Non'!V277,IFERROR("Mempunyai keterampilan yang "&amp;IF(AM389=AN389,PROPER(AN389)&amp;" dalam kompetensi "&amp;VLOOKUP(AO389,$AA$532:$AC$539,3)&amp;", demikian juga dalam kompetensi "&amp;VLOOKUP(AP389,$AA$532:$AC$539,3),PROPER(AM389)&amp;" dalam kompetensi "&amp;VLOOKUP(AO389,$AA$532:$AC$539,3)&amp;" dan "&amp;AN389&amp;" pada kompetensi "&amp;VLOOKUP(AP389,$AA$532:$AC$539,3)),""))</f>
        <v/>
      </c>
      <c r="AR389" s="188"/>
    </row>
    <row r="390" spans="2:44" ht="27.9" customHeight="1" thickBot="1" x14ac:dyDescent="0.35">
      <c r="B390" s="384" t="s">
        <v>167</v>
      </c>
      <c r="C390" s="149" t="str">
        <f t="shared" si="314"/>
        <v/>
      </c>
      <c r="D390" s="150" t="str">
        <f>IF(Data!F385="","",Data!F385)</f>
        <v/>
      </c>
      <c r="E390" s="151" t="str">
        <f>IF(Data!H385="","",Data!H385)</f>
        <v/>
      </c>
      <c r="F390" s="152" t="str">
        <f>IF(Data!I385="","",Data!I385)</f>
        <v/>
      </c>
      <c r="G390" s="343"/>
      <c r="H390" s="344"/>
      <c r="I390" s="344"/>
      <c r="J390" s="344"/>
      <c r="K390" s="344"/>
      <c r="L390" s="344"/>
      <c r="M390" s="344"/>
      <c r="N390" s="345"/>
      <c r="O390" s="157" t="str">
        <f t="shared" si="303"/>
        <v/>
      </c>
      <c r="P390" s="344"/>
      <c r="Q390" s="346"/>
      <c r="R390" s="157" t="str">
        <f t="shared" si="304"/>
        <v/>
      </c>
      <c r="S390" s="159" t="str">
        <f>IF(R390="","",IF(R390&gt;Data2!$C$12,Data2!$D$11,IF(R390&gt;Data2!$C$13,Data2!$D$12,IF(R390&gt;Data2!$C$14,Data2!$D$13,Data2!$D$14))))</f>
        <v/>
      </c>
      <c r="T390" s="144">
        <f t="shared" si="305"/>
        <v>0</v>
      </c>
      <c r="U390" s="144">
        <f t="shared" si="306"/>
        <v>0</v>
      </c>
      <c r="V390" s="144" t="str">
        <f t="shared" si="315"/>
        <v>Mulai berkembang</v>
      </c>
      <c r="W390" s="144" t="str">
        <f t="shared" si="316"/>
        <v>Mulai berkembang</v>
      </c>
      <c r="X390" s="144" t="e">
        <f t="shared" si="307"/>
        <v>#N/A</v>
      </c>
      <c r="Y390" s="145" t="e">
        <f t="shared" si="308"/>
        <v>#N/A</v>
      </c>
      <c r="Z390" s="218" t="str">
        <f>IF('PA-Non'!O278&lt;&gt;"",'PA-Non'!O278,IFERROR("Mempunyai kemampuan yang " &amp;IF(V390=W390,PROPER(W390)&amp;" dalam kompetensi "&amp;VLOOKUP(X390,$G$532:$I$539,3)&amp;" dan kompetensi "&amp;VLOOKUP(Y390,$G$532:$I$539,3),PROPER(V390)&amp;" dalam kompetensi "&amp;VLOOKUP(X390,$G$532:$I$539,3)&amp;" dan memiliki kemampuan yang "&amp;W390&amp;" pada kompetensi "&amp;VLOOKUP(Y390,$G$532:$I$539,3)),""))</f>
        <v/>
      </c>
      <c r="AA390" s="343"/>
      <c r="AB390" s="344"/>
      <c r="AC390" s="344"/>
      <c r="AD390" s="344"/>
      <c r="AE390" s="344"/>
      <c r="AF390" s="344"/>
      <c r="AG390" s="344"/>
      <c r="AH390" s="345"/>
      <c r="AI390" s="220" t="str">
        <f t="shared" si="309"/>
        <v/>
      </c>
      <c r="AJ390" s="160" t="str">
        <f>IF(AI390="","",IF(AI390&gt;Data2!$C$12,Data2!$D$11,IF(AI390&gt;Data2!$C$13,Data2!$D$12,IF(AI390&gt;Data2!$C$14,Data2!$D$13,Data2!$D$14))))</f>
        <v/>
      </c>
      <c r="AK390" s="146">
        <f t="shared" si="310"/>
        <v>0</v>
      </c>
      <c r="AL390" s="146">
        <f t="shared" si="311"/>
        <v>0</v>
      </c>
      <c r="AM390" s="147" t="str">
        <f t="shared" si="317"/>
        <v>Mulai meningkat</v>
      </c>
      <c r="AN390" s="147" t="str">
        <f t="shared" si="318"/>
        <v>Mulai meningkat</v>
      </c>
      <c r="AO390" s="146" t="e">
        <f t="shared" si="312"/>
        <v>#N/A</v>
      </c>
      <c r="AP390" s="148" t="e">
        <f t="shared" si="313"/>
        <v>#N/A</v>
      </c>
      <c r="AQ390" s="158" t="str">
        <f>IF('PA-Non'!V278&lt;&gt;"",'PA-Non'!V278,IFERROR("Mempunyai keterampilan yang "&amp;IF(AM390=AN390,PROPER(AN390)&amp;" dalam kompetensi "&amp;VLOOKUP(AO390,$AA$532:$AC$539,3)&amp;", demikian juga dalam kompetensi "&amp;VLOOKUP(AP390,$AA$532:$AC$539,3),PROPER(AM390)&amp;" dalam kompetensi "&amp;VLOOKUP(AO390,$AA$532:$AC$539,3)&amp;" dan "&amp;AN390&amp;" pada kompetensi "&amp;VLOOKUP(AP390,$AA$532:$AC$539,3)),""))</f>
        <v/>
      </c>
      <c r="AR390" s="188"/>
    </row>
    <row r="391" spans="2:44" ht="27.9" customHeight="1" thickBot="1" x14ac:dyDescent="0.35">
      <c r="B391" s="384" t="s">
        <v>167</v>
      </c>
      <c r="C391" s="149" t="str">
        <f t="shared" si="314"/>
        <v/>
      </c>
      <c r="D391" s="150" t="str">
        <f>IF(Data!F386="","",Data!F386)</f>
        <v/>
      </c>
      <c r="E391" s="151" t="str">
        <f>IF(Data!H386="","",Data!H386)</f>
        <v/>
      </c>
      <c r="F391" s="152" t="str">
        <f>IF(Data!I386="","",Data!I386)</f>
        <v/>
      </c>
      <c r="G391" s="343"/>
      <c r="H391" s="344"/>
      <c r="I391" s="344"/>
      <c r="J391" s="344"/>
      <c r="K391" s="344"/>
      <c r="L391" s="344"/>
      <c r="M391" s="344"/>
      <c r="N391" s="345"/>
      <c r="O391" s="157" t="str">
        <f t="shared" si="303"/>
        <v/>
      </c>
      <c r="P391" s="344"/>
      <c r="Q391" s="346"/>
      <c r="R391" s="157" t="str">
        <f t="shared" si="304"/>
        <v/>
      </c>
      <c r="S391" s="159" t="str">
        <f>IF(R391="","",IF(R391&gt;Data2!$C$12,Data2!$D$11,IF(R391&gt;Data2!$C$13,Data2!$D$12,IF(R391&gt;Data2!$C$14,Data2!$D$13,Data2!$D$14))))</f>
        <v/>
      </c>
      <c r="T391" s="144">
        <f t="shared" si="305"/>
        <v>0</v>
      </c>
      <c r="U391" s="144">
        <f t="shared" si="306"/>
        <v>0</v>
      </c>
      <c r="V391" s="144" t="str">
        <f t="shared" si="315"/>
        <v>Mulai berkembang</v>
      </c>
      <c r="W391" s="144" t="str">
        <f t="shared" si="316"/>
        <v>Mulai berkembang</v>
      </c>
      <c r="X391" s="144" t="e">
        <f t="shared" si="307"/>
        <v>#N/A</v>
      </c>
      <c r="Y391" s="145" t="e">
        <f t="shared" si="308"/>
        <v>#N/A</v>
      </c>
      <c r="Z391" s="218" t="str">
        <f>IF('PA-Non'!O279&lt;&gt;"",'PA-Non'!O279,IFERROR("Mempunyai kemampuan yang " &amp;IF(V391=W391,PROPER(W391)&amp;" dalam kompetensi "&amp;VLOOKUP(X391,$G$532:$I$539,3)&amp;" dan kompetensi "&amp;VLOOKUP(Y391,$G$532:$I$539,3),PROPER(V391)&amp;" dalam kompetensi "&amp;VLOOKUP(X391,$G$532:$I$539,3)&amp;" dan memiliki kemampuan yang "&amp;W391&amp;" pada kompetensi "&amp;VLOOKUP(Y391,$G$532:$I$539,3)),""))</f>
        <v/>
      </c>
      <c r="AA391" s="343"/>
      <c r="AB391" s="344"/>
      <c r="AC391" s="344"/>
      <c r="AD391" s="344"/>
      <c r="AE391" s="344"/>
      <c r="AF391" s="344"/>
      <c r="AG391" s="344"/>
      <c r="AH391" s="345"/>
      <c r="AI391" s="220" t="str">
        <f t="shared" si="309"/>
        <v/>
      </c>
      <c r="AJ391" s="160" t="str">
        <f>IF(AI391="","",IF(AI391&gt;Data2!$C$12,Data2!$D$11,IF(AI391&gt;Data2!$C$13,Data2!$D$12,IF(AI391&gt;Data2!$C$14,Data2!$D$13,Data2!$D$14))))</f>
        <v/>
      </c>
      <c r="AK391" s="146">
        <f t="shared" si="310"/>
        <v>0</v>
      </c>
      <c r="AL391" s="146">
        <f t="shared" si="311"/>
        <v>0</v>
      </c>
      <c r="AM391" s="147" t="str">
        <f t="shared" si="317"/>
        <v>Mulai meningkat</v>
      </c>
      <c r="AN391" s="147" t="str">
        <f t="shared" si="318"/>
        <v>Mulai meningkat</v>
      </c>
      <c r="AO391" s="146" t="e">
        <f t="shared" si="312"/>
        <v>#N/A</v>
      </c>
      <c r="AP391" s="148" t="e">
        <f t="shared" si="313"/>
        <v>#N/A</v>
      </c>
      <c r="AQ391" s="158" t="str">
        <f>IF('PA-Non'!V279&lt;&gt;"",'PA-Non'!V279,IFERROR("Mempunyai keterampilan yang "&amp;IF(AM391=AN391,PROPER(AN391)&amp;" dalam kompetensi "&amp;VLOOKUP(AO391,$AA$532:$AC$539,3)&amp;", demikian juga dalam kompetensi "&amp;VLOOKUP(AP391,$AA$532:$AC$539,3),PROPER(AM391)&amp;" dalam kompetensi "&amp;VLOOKUP(AO391,$AA$532:$AC$539,3)&amp;" dan "&amp;AN391&amp;" pada kompetensi "&amp;VLOOKUP(AP391,$AA$532:$AC$539,3)),""))</f>
        <v/>
      </c>
      <c r="AR391" s="188"/>
    </row>
    <row r="392" spans="2:44" ht="27.9" customHeight="1" thickBot="1" x14ac:dyDescent="0.35">
      <c r="B392" s="384" t="s">
        <v>167</v>
      </c>
      <c r="C392" s="149" t="str">
        <f t="shared" si="314"/>
        <v/>
      </c>
      <c r="D392" s="150" t="str">
        <f>IF(Data!F387="","",Data!F387)</f>
        <v/>
      </c>
      <c r="E392" s="151" t="str">
        <f>IF(Data!H387="","",Data!H387)</f>
        <v/>
      </c>
      <c r="F392" s="152" t="str">
        <f>IF(Data!I387="","",Data!I387)</f>
        <v/>
      </c>
      <c r="G392" s="343"/>
      <c r="H392" s="344"/>
      <c r="I392" s="344"/>
      <c r="J392" s="344"/>
      <c r="K392" s="344"/>
      <c r="L392" s="344"/>
      <c r="M392" s="344"/>
      <c r="N392" s="345"/>
      <c r="O392" s="157" t="str">
        <f t="shared" si="303"/>
        <v/>
      </c>
      <c r="P392" s="344"/>
      <c r="Q392" s="346"/>
      <c r="R392" s="157" t="str">
        <f t="shared" si="304"/>
        <v/>
      </c>
      <c r="S392" s="159" t="str">
        <f>IF(R392="","",IF(R392&gt;Data2!$C$12,Data2!$D$11,IF(R392&gt;Data2!$C$13,Data2!$D$12,IF(R392&gt;Data2!$C$14,Data2!$D$13,Data2!$D$14))))</f>
        <v/>
      </c>
      <c r="T392" s="144">
        <f t="shared" si="305"/>
        <v>0</v>
      </c>
      <c r="U392" s="144">
        <f t="shared" si="306"/>
        <v>0</v>
      </c>
      <c r="V392" s="144" t="str">
        <f t="shared" si="315"/>
        <v>Mulai berkembang</v>
      </c>
      <c r="W392" s="144" t="str">
        <f t="shared" si="316"/>
        <v>Mulai berkembang</v>
      </c>
      <c r="X392" s="144" t="e">
        <f t="shared" si="307"/>
        <v>#N/A</v>
      </c>
      <c r="Y392" s="145" t="e">
        <f t="shared" si="308"/>
        <v>#N/A</v>
      </c>
      <c r="Z392" s="218" t="str">
        <f>IF('PA-Non'!O280&lt;&gt;"",'PA-Non'!O280,IFERROR("Mempunyai kemampuan yang " &amp;IF(V392=W392,PROPER(W392)&amp;" dalam kompetensi "&amp;VLOOKUP(X392,$G$532:$I$539,3)&amp;" dan kompetensi "&amp;VLOOKUP(Y392,$G$532:$I$539,3),PROPER(V392)&amp;" dalam kompetensi "&amp;VLOOKUP(X392,$G$532:$I$539,3)&amp;" dan memiliki kemampuan yang "&amp;W392&amp;" pada kompetensi "&amp;VLOOKUP(Y392,$G$532:$I$539,3)),""))</f>
        <v/>
      </c>
      <c r="AA392" s="343"/>
      <c r="AB392" s="344"/>
      <c r="AC392" s="344"/>
      <c r="AD392" s="344"/>
      <c r="AE392" s="344"/>
      <c r="AF392" s="344"/>
      <c r="AG392" s="344"/>
      <c r="AH392" s="345"/>
      <c r="AI392" s="220" t="str">
        <f t="shared" si="309"/>
        <v/>
      </c>
      <c r="AJ392" s="160" t="str">
        <f>IF(AI392="","",IF(AI392&gt;Data2!$C$12,Data2!$D$11,IF(AI392&gt;Data2!$C$13,Data2!$D$12,IF(AI392&gt;Data2!$C$14,Data2!$D$13,Data2!$D$14))))</f>
        <v/>
      </c>
      <c r="AK392" s="146">
        <f t="shared" si="310"/>
        <v>0</v>
      </c>
      <c r="AL392" s="146">
        <f t="shared" si="311"/>
        <v>0</v>
      </c>
      <c r="AM392" s="147" t="str">
        <f t="shared" si="317"/>
        <v>Mulai meningkat</v>
      </c>
      <c r="AN392" s="147" t="str">
        <f t="shared" si="318"/>
        <v>Mulai meningkat</v>
      </c>
      <c r="AO392" s="146" t="e">
        <f t="shared" si="312"/>
        <v>#N/A</v>
      </c>
      <c r="AP392" s="148" t="e">
        <f t="shared" si="313"/>
        <v>#N/A</v>
      </c>
      <c r="AQ392" s="158" t="str">
        <f>IF('PA-Non'!V280&lt;&gt;"",'PA-Non'!V280,IFERROR("Mempunyai keterampilan yang "&amp;IF(AM392=AN392,PROPER(AN392)&amp;" dalam kompetensi "&amp;VLOOKUP(AO392,$AA$532:$AC$539,3)&amp;", demikian juga dalam kompetensi "&amp;VLOOKUP(AP392,$AA$532:$AC$539,3),PROPER(AM392)&amp;" dalam kompetensi "&amp;VLOOKUP(AO392,$AA$532:$AC$539,3)&amp;" dan "&amp;AN392&amp;" pada kompetensi "&amp;VLOOKUP(AP392,$AA$532:$AC$539,3)),""))</f>
        <v/>
      </c>
      <c r="AR392" s="188"/>
    </row>
    <row r="393" spans="2:44" ht="27.9" customHeight="1" thickBot="1" x14ac:dyDescent="0.35">
      <c r="B393" s="384" t="s">
        <v>167</v>
      </c>
      <c r="C393" s="149" t="str">
        <f t="shared" si="314"/>
        <v/>
      </c>
      <c r="D393" s="150" t="str">
        <f>IF(Data!F388="","",Data!F388)</f>
        <v/>
      </c>
      <c r="E393" s="151" t="str">
        <f>IF(Data!H388="","",Data!H388)</f>
        <v/>
      </c>
      <c r="F393" s="152" t="str">
        <f>IF(Data!I388="","",Data!I388)</f>
        <v/>
      </c>
      <c r="G393" s="343"/>
      <c r="H393" s="344"/>
      <c r="I393" s="344"/>
      <c r="J393" s="344"/>
      <c r="K393" s="344"/>
      <c r="L393" s="344"/>
      <c r="M393" s="344"/>
      <c r="N393" s="345"/>
      <c r="O393" s="157" t="str">
        <f t="shared" si="303"/>
        <v/>
      </c>
      <c r="P393" s="344"/>
      <c r="Q393" s="346"/>
      <c r="R393" s="157" t="str">
        <f t="shared" si="304"/>
        <v/>
      </c>
      <c r="S393" s="159" t="str">
        <f>IF(R393="","",IF(R393&gt;Data2!$C$12,Data2!$D$11,IF(R393&gt;Data2!$C$13,Data2!$D$12,IF(R393&gt;Data2!$C$14,Data2!$D$13,Data2!$D$14))))</f>
        <v/>
      </c>
      <c r="T393" s="144">
        <f t="shared" si="305"/>
        <v>0</v>
      </c>
      <c r="U393" s="144">
        <f t="shared" si="306"/>
        <v>0</v>
      </c>
      <c r="V393" s="144" t="str">
        <f t="shared" si="315"/>
        <v>Mulai berkembang</v>
      </c>
      <c r="W393" s="144" t="str">
        <f t="shared" si="316"/>
        <v>Mulai berkembang</v>
      </c>
      <c r="X393" s="144" t="e">
        <f t="shared" si="307"/>
        <v>#N/A</v>
      </c>
      <c r="Y393" s="145" t="e">
        <f t="shared" si="308"/>
        <v>#N/A</v>
      </c>
      <c r="Z393" s="218" t="str">
        <f>IF('PA-Non'!O281&lt;&gt;"",'PA-Non'!O281,IFERROR("Mempunyai kemampuan yang " &amp;IF(V393=W393,PROPER(W393)&amp;" dalam kompetensi "&amp;VLOOKUP(X393,$G$532:$I$539,3)&amp;" dan kompetensi "&amp;VLOOKUP(Y393,$G$532:$I$539,3),PROPER(V393)&amp;" dalam kompetensi "&amp;VLOOKUP(X393,$G$532:$I$539,3)&amp;" dan memiliki kemampuan yang "&amp;W393&amp;" pada kompetensi "&amp;VLOOKUP(Y393,$G$532:$I$539,3)),""))</f>
        <v/>
      </c>
      <c r="AA393" s="343"/>
      <c r="AB393" s="344"/>
      <c r="AC393" s="344"/>
      <c r="AD393" s="344"/>
      <c r="AE393" s="344"/>
      <c r="AF393" s="344"/>
      <c r="AG393" s="344"/>
      <c r="AH393" s="345"/>
      <c r="AI393" s="220" t="str">
        <f t="shared" si="309"/>
        <v/>
      </c>
      <c r="AJ393" s="160" t="str">
        <f>IF(AI393="","",IF(AI393&gt;Data2!$C$12,Data2!$D$11,IF(AI393&gt;Data2!$C$13,Data2!$D$12,IF(AI393&gt;Data2!$C$14,Data2!$D$13,Data2!$D$14))))</f>
        <v/>
      </c>
      <c r="AK393" s="146">
        <f t="shared" si="310"/>
        <v>0</v>
      </c>
      <c r="AL393" s="146">
        <f t="shared" si="311"/>
        <v>0</v>
      </c>
      <c r="AM393" s="147" t="str">
        <f t="shared" si="317"/>
        <v>Mulai meningkat</v>
      </c>
      <c r="AN393" s="147" t="str">
        <f t="shared" si="318"/>
        <v>Mulai meningkat</v>
      </c>
      <c r="AO393" s="146" t="e">
        <f t="shared" si="312"/>
        <v>#N/A</v>
      </c>
      <c r="AP393" s="148" t="e">
        <f t="shared" si="313"/>
        <v>#N/A</v>
      </c>
      <c r="AQ393" s="158" t="str">
        <f>IF('PA-Non'!V281&lt;&gt;"",'PA-Non'!V281,IFERROR("Mempunyai keterampilan yang "&amp;IF(AM393=AN393,PROPER(AN393)&amp;" dalam kompetensi "&amp;VLOOKUP(AO393,$AA$532:$AC$539,3)&amp;", demikian juga dalam kompetensi "&amp;VLOOKUP(AP393,$AA$532:$AC$539,3),PROPER(AM393)&amp;" dalam kompetensi "&amp;VLOOKUP(AO393,$AA$532:$AC$539,3)&amp;" dan "&amp;AN393&amp;" pada kompetensi "&amp;VLOOKUP(AP393,$AA$532:$AC$539,3)),""))</f>
        <v/>
      </c>
      <c r="AR393" s="188"/>
    </row>
    <row r="394" spans="2:44" ht="27.9" customHeight="1" thickBot="1" x14ac:dyDescent="0.35">
      <c r="B394" s="384" t="s">
        <v>167</v>
      </c>
      <c r="C394" s="149" t="str">
        <f t="shared" si="314"/>
        <v/>
      </c>
      <c r="D394" s="150" t="str">
        <f>IF(Data!F389="","",Data!F389)</f>
        <v/>
      </c>
      <c r="E394" s="151" t="str">
        <f>IF(Data!H389="","",Data!H389)</f>
        <v/>
      </c>
      <c r="F394" s="152" t="str">
        <f>IF(Data!I389="","",Data!I389)</f>
        <v/>
      </c>
      <c r="G394" s="343"/>
      <c r="H394" s="344"/>
      <c r="I394" s="344"/>
      <c r="J394" s="344"/>
      <c r="K394" s="344"/>
      <c r="L394" s="344"/>
      <c r="M394" s="344"/>
      <c r="N394" s="345"/>
      <c r="O394" s="157" t="str">
        <f t="shared" si="303"/>
        <v/>
      </c>
      <c r="P394" s="344"/>
      <c r="Q394" s="346"/>
      <c r="R394" s="157" t="str">
        <f t="shared" si="304"/>
        <v/>
      </c>
      <c r="S394" s="159" t="str">
        <f>IF(R394="","",IF(R394&gt;Data2!$C$12,Data2!$D$11,IF(R394&gt;Data2!$C$13,Data2!$D$12,IF(R394&gt;Data2!$C$14,Data2!$D$13,Data2!$D$14))))</f>
        <v/>
      </c>
      <c r="T394" s="144">
        <f t="shared" si="305"/>
        <v>0</v>
      </c>
      <c r="U394" s="144">
        <f t="shared" si="306"/>
        <v>0</v>
      </c>
      <c r="V394" s="144" t="str">
        <f t="shared" si="315"/>
        <v>Mulai berkembang</v>
      </c>
      <c r="W394" s="144" t="str">
        <f t="shared" si="316"/>
        <v>Mulai berkembang</v>
      </c>
      <c r="X394" s="144" t="e">
        <f t="shared" si="307"/>
        <v>#N/A</v>
      </c>
      <c r="Y394" s="145" t="e">
        <f t="shared" si="308"/>
        <v>#N/A</v>
      </c>
      <c r="Z394" s="218" t="str">
        <f>IF('PA-Non'!O282&lt;&gt;"",'PA-Non'!O282,IFERROR("Mempunyai kemampuan yang " &amp;IF(V394=W394,PROPER(W394)&amp;" dalam kompetensi "&amp;VLOOKUP(X394,$G$532:$I$539,3)&amp;" dan kompetensi "&amp;VLOOKUP(Y394,$G$532:$I$539,3),PROPER(V394)&amp;" dalam kompetensi "&amp;VLOOKUP(X394,$G$532:$I$539,3)&amp;" dan memiliki kemampuan yang "&amp;W394&amp;" pada kompetensi "&amp;VLOOKUP(Y394,$G$532:$I$539,3)),""))</f>
        <v/>
      </c>
      <c r="AA394" s="343"/>
      <c r="AB394" s="344"/>
      <c r="AC394" s="344"/>
      <c r="AD394" s="344"/>
      <c r="AE394" s="344"/>
      <c r="AF394" s="344"/>
      <c r="AG394" s="344"/>
      <c r="AH394" s="345"/>
      <c r="AI394" s="220" t="str">
        <f t="shared" si="309"/>
        <v/>
      </c>
      <c r="AJ394" s="160" t="str">
        <f>IF(AI394="","",IF(AI394&gt;Data2!$C$12,Data2!$D$11,IF(AI394&gt;Data2!$C$13,Data2!$D$12,IF(AI394&gt;Data2!$C$14,Data2!$D$13,Data2!$D$14))))</f>
        <v/>
      </c>
      <c r="AK394" s="146">
        <f t="shared" si="310"/>
        <v>0</v>
      </c>
      <c r="AL394" s="146">
        <f t="shared" si="311"/>
        <v>0</v>
      </c>
      <c r="AM394" s="147" t="str">
        <f t="shared" si="317"/>
        <v>Mulai meningkat</v>
      </c>
      <c r="AN394" s="147" t="str">
        <f t="shared" si="318"/>
        <v>Mulai meningkat</v>
      </c>
      <c r="AO394" s="146" t="e">
        <f t="shared" si="312"/>
        <v>#N/A</v>
      </c>
      <c r="AP394" s="148" t="e">
        <f t="shared" si="313"/>
        <v>#N/A</v>
      </c>
      <c r="AQ394" s="158" t="str">
        <f>IF('PA-Non'!V282&lt;&gt;"",'PA-Non'!V282,IFERROR("Mempunyai keterampilan yang "&amp;IF(AM394=AN394,PROPER(AN394)&amp;" dalam kompetensi "&amp;VLOOKUP(AO394,$AA$532:$AC$539,3)&amp;", demikian juga dalam kompetensi "&amp;VLOOKUP(AP394,$AA$532:$AC$539,3),PROPER(AM394)&amp;" dalam kompetensi "&amp;VLOOKUP(AO394,$AA$532:$AC$539,3)&amp;" dan "&amp;AN394&amp;" pada kompetensi "&amp;VLOOKUP(AP394,$AA$532:$AC$539,3)),""))</f>
        <v/>
      </c>
      <c r="AR394" s="188"/>
    </row>
    <row r="395" spans="2:44" ht="27.9" customHeight="1" thickBot="1" x14ac:dyDescent="0.35">
      <c r="B395" s="384" t="s">
        <v>167</v>
      </c>
      <c r="C395" s="149" t="str">
        <f t="shared" si="314"/>
        <v/>
      </c>
      <c r="D395" s="150" t="str">
        <f>IF(Data!F390="","",Data!F390)</f>
        <v/>
      </c>
      <c r="E395" s="151" t="str">
        <f>IF(Data!H390="","",Data!H390)</f>
        <v/>
      </c>
      <c r="F395" s="152" t="str">
        <f>IF(Data!I390="","",Data!I390)</f>
        <v/>
      </c>
      <c r="G395" s="343"/>
      <c r="H395" s="344"/>
      <c r="I395" s="344"/>
      <c r="J395" s="344"/>
      <c r="K395" s="344"/>
      <c r="L395" s="344"/>
      <c r="M395" s="344"/>
      <c r="N395" s="345"/>
      <c r="O395" s="157" t="str">
        <f t="shared" si="303"/>
        <v/>
      </c>
      <c r="P395" s="344"/>
      <c r="Q395" s="346"/>
      <c r="R395" s="157" t="str">
        <f t="shared" si="304"/>
        <v/>
      </c>
      <c r="S395" s="159" t="str">
        <f>IF(R395="","",IF(R395&gt;Data2!$C$12,Data2!$D$11,IF(R395&gt;Data2!$C$13,Data2!$D$12,IF(R395&gt;Data2!$C$14,Data2!$D$13,Data2!$D$14))))</f>
        <v/>
      </c>
      <c r="T395" s="144">
        <f t="shared" si="305"/>
        <v>0</v>
      </c>
      <c r="U395" s="144">
        <f t="shared" si="306"/>
        <v>0</v>
      </c>
      <c r="V395" s="144" t="str">
        <f t="shared" si="315"/>
        <v>Mulai berkembang</v>
      </c>
      <c r="W395" s="144" t="str">
        <f t="shared" si="316"/>
        <v>Mulai berkembang</v>
      </c>
      <c r="X395" s="144" t="e">
        <f t="shared" si="307"/>
        <v>#N/A</v>
      </c>
      <c r="Y395" s="145" t="e">
        <f t="shared" si="308"/>
        <v>#N/A</v>
      </c>
      <c r="Z395" s="218" t="str">
        <f>IF('PA-Non'!O283&lt;&gt;"",'PA-Non'!O283,IFERROR("Mempunyai kemampuan yang " &amp;IF(V395=W395,PROPER(W395)&amp;" dalam kompetensi "&amp;VLOOKUP(X395,$G$532:$I$539,3)&amp;" dan kompetensi "&amp;VLOOKUP(Y395,$G$532:$I$539,3),PROPER(V395)&amp;" dalam kompetensi "&amp;VLOOKUP(X395,$G$532:$I$539,3)&amp;" dan memiliki kemampuan yang "&amp;W395&amp;" pada kompetensi "&amp;VLOOKUP(Y395,$G$532:$I$539,3)),""))</f>
        <v/>
      </c>
      <c r="AA395" s="343"/>
      <c r="AB395" s="344"/>
      <c r="AC395" s="344"/>
      <c r="AD395" s="344"/>
      <c r="AE395" s="344"/>
      <c r="AF395" s="344"/>
      <c r="AG395" s="344"/>
      <c r="AH395" s="345"/>
      <c r="AI395" s="220" t="str">
        <f t="shared" si="309"/>
        <v/>
      </c>
      <c r="AJ395" s="160" t="str">
        <f>IF(AI395="","",IF(AI395&gt;Data2!$C$12,Data2!$D$11,IF(AI395&gt;Data2!$C$13,Data2!$D$12,IF(AI395&gt;Data2!$C$14,Data2!$D$13,Data2!$D$14))))</f>
        <v/>
      </c>
      <c r="AK395" s="146">
        <f t="shared" si="310"/>
        <v>0</v>
      </c>
      <c r="AL395" s="146">
        <f t="shared" si="311"/>
        <v>0</v>
      </c>
      <c r="AM395" s="147" t="str">
        <f t="shared" si="317"/>
        <v>Mulai meningkat</v>
      </c>
      <c r="AN395" s="147" t="str">
        <f t="shared" si="318"/>
        <v>Mulai meningkat</v>
      </c>
      <c r="AO395" s="146" t="e">
        <f t="shared" si="312"/>
        <v>#N/A</v>
      </c>
      <c r="AP395" s="148" t="e">
        <f t="shared" si="313"/>
        <v>#N/A</v>
      </c>
      <c r="AQ395" s="158" t="str">
        <f>IF('PA-Non'!V283&lt;&gt;"",'PA-Non'!V283,IFERROR("Mempunyai keterampilan yang "&amp;IF(AM395=AN395,PROPER(AN395)&amp;" dalam kompetensi "&amp;VLOOKUP(AO395,$AA$532:$AC$539,3)&amp;", demikian juga dalam kompetensi "&amp;VLOOKUP(AP395,$AA$532:$AC$539,3),PROPER(AM395)&amp;" dalam kompetensi "&amp;VLOOKUP(AO395,$AA$532:$AC$539,3)&amp;" dan "&amp;AN395&amp;" pada kompetensi "&amp;VLOOKUP(AP395,$AA$532:$AC$539,3)),""))</f>
        <v/>
      </c>
      <c r="AR395" s="188"/>
    </row>
    <row r="396" spans="2:44" ht="27.9" customHeight="1" thickBot="1" x14ac:dyDescent="0.35">
      <c r="B396" s="384" t="s">
        <v>167</v>
      </c>
      <c r="C396" s="149" t="str">
        <f t="shared" si="314"/>
        <v/>
      </c>
      <c r="D396" s="150" t="str">
        <f>IF(Data!F391="","",Data!F391)</f>
        <v/>
      </c>
      <c r="E396" s="151" t="str">
        <f>IF(Data!H391="","",Data!H391)</f>
        <v/>
      </c>
      <c r="F396" s="152" t="str">
        <f>IF(Data!I391="","",Data!I391)</f>
        <v/>
      </c>
      <c r="G396" s="343"/>
      <c r="H396" s="344"/>
      <c r="I396" s="344"/>
      <c r="J396" s="344"/>
      <c r="K396" s="344"/>
      <c r="L396" s="344"/>
      <c r="M396" s="344"/>
      <c r="N396" s="345"/>
      <c r="O396" s="157" t="str">
        <f t="shared" si="303"/>
        <v/>
      </c>
      <c r="P396" s="344"/>
      <c r="Q396" s="346"/>
      <c r="R396" s="157" t="str">
        <f t="shared" si="304"/>
        <v/>
      </c>
      <c r="S396" s="159" t="str">
        <f>IF(R396="","",IF(R396&gt;Data2!$C$12,Data2!$D$11,IF(R396&gt;Data2!$C$13,Data2!$D$12,IF(R396&gt;Data2!$C$14,Data2!$D$13,Data2!$D$14))))</f>
        <v/>
      </c>
      <c r="T396" s="144">
        <f t="shared" si="305"/>
        <v>0</v>
      </c>
      <c r="U396" s="144">
        <f t="shared" si="306"/>
        <v>0</v>
      </c>
      <c r="V396" s="144" t="str">
        <f t="shared" si="315"/>
        <v>Mulai berkembang</v>
      </c>
      <c r="W396" s="144" t="str">
        <f t="shared" si="316"/>
        <v>Mulai berkembang</v>
      </c>
      <c r="X396" s="144" t="e">
        <f t="shared" si="307"/>
        <v>#N/A</v>
      </c>
      <c r="Y396" s="145" t="e">
        <f t="shared" si="308"/>
        <v>#N/A</v>
      </c>
      <c r="Z396" s="218" t="str">
        <f>IF('PA-Non'!O284&lt;&gt;"",'PA-Non'!O284,IFERROR("Mempunyai kemampuan yang " &amp;IF(V396=W396,PROPER(W396)&amp;" dalam kompetensi "&amp;VLOOKUP(X396,$G$532:$I$539,3)&amp;" dan kompetensi "&amp;VLOOKUP(Y396,$G$532:$I$539,3),PROPER(V396)&amp;" dalam kompetensi "&amp;VLOOKUP(X396,$G$532:$I$539,3)&amp;" dan memiliki kemampuan yang "&amp;W396&amp;" pada kompetensi "&amp;VLOOKUP(Y396,$G$532:$I$539,3)),""))</f>
        <v/>
      </c>
      <c r="AA396" s="343"/>
      <c r="AB396" s="344"/>
      <c r="AC396" s="344"/>
      <c r="AD396" s="344"/>
      <c r="AE396" s="344"/>
      <c r="AF396" s="344"/>
      <c r="AG396" s="344"/>
      <c r="AH396" s="345"/>
      <c r="AI396" s="220" t="str">
        <f t="shared" si="309"/>
        <v/>
      </c>
      <c r="AJ396" s="160" t="str">
        <f>IF(AI396="","",IF(AI396&gt;Data2!$C$12,Data2!$D$11,IF(AI396&gt;Data2!$C$13,Data2!$D$12,IF(AI396&gt;Data2!$C$14,Data2!$D$13,Data2!$D$14))))</f>
        <v/>
      </c>
      <c r="AK396" s="146">
        <f t="shared" si="310"/>
        <v>0</v>
      </c>
      <c r="AL396" s="146">
        <f t="shared" si="311"/>
        <v>0</v>
      </c>
      <c r="AM396" s="147" t="str">
        <f t="shared" si="317"/>
        <v>Mulai meningkat</v>
      </c>
      <c r="AN396" s="147" t="str">
        <f t="shared" si="318"/>
        <v>Mulai meningkat</v>
      </c>
      <c r="AO396" s="146" t="e">
        <f t="shared" si="312"/>
        <v>#N/A</v>
      </c>
      <c r="AP396" s="148" t="e">
        <f t="shared" si="313"/>
        <v>#N/A</v>
      </c>
      <c r="AQ396" s="158" t="str">
        <f>IF('PA-Non'!V284&lt;&gt;"",'PA-Non'!V284,IFERROR("Mempunyai keterampilan yang "&amp;IF(AM396=AN396,PROPER(AN396)&amp;" dalam kompetensi "&amp;VLOOKUP(AO396,$AA$532:$AC$539,3)&amp;", demikian juga dalam kompetensi "&amp;VLOOKUP(AP396,$AA$532:$AC$539,3),PROPER(AM396)&amp;" dalam kompetensi "&amp;VLOOKUP(AO396,$AA$532:$AC$539,3)&amp;" dan "&amp;AN396&amp;" pada kompetensi "&amp;VLOOKUP(AP396,$AA$532:$AC$539,3)),""))</f>
        <v/>
      </c>
      <c r="AR396" s="188"/>
    </row>
    <row r="397" spans="2:44" ht="27.9" customHeight="1" thickBot="1" x14ac:dyDescent="0.35">
      <c r="B397" s="384" t="s">
        <v>167</v>
      </c>
      <c r="C397" s="149" t="str">
        <f t="shared" si="314"/>
        <v/>
      </c>
      <c r="D397" s="150" t="str">
        <f>IF(Data!F392="","",Data!F392)</f>
        <v/>
      </c>
      <c r="E397" s="151" t="str">
        <f>IF(Data!H392="","",Data!H392)</f>
        <v/>
      </c>
      <c r="F397" s="152" t="str">
        <f>IF(Data!I392="","",Data!I392)</f>
        <v/>
      </c>
      <c r="G397" s="343"/>
      <c r="H397" s="344"/>
      <c r="I397" s="344"/>
      <c r="J397" s="344"/>
      <c r="K397" s="344"/>
      <c r="L397" s="344"/>
      <c r="M397" s="344"/>
      <c r="N397" s="345"/>
      <c r="O397" s="157" t="str">
        <f t="shared" si="303"/>
        <v/>
      </c>
      <c r="P397" s="344"/>
      <c r="Q397" s="346"/>
      <c r="R397" s="157" t="str">
        <f t="shared" si="304"/>
        <v/>
      </c>
      <c r="S397" s="159" t="str">
        <f>IF(R397="","",IF(R397&gt;Data2!$C$12,Data2!$D$11,IF(R397&gt;Data2!$C$13,Data2!$D$12,IF(R397&gt;Data2!$C$14,Data2!$D$13,Data2!$D$14))))</f>
        <v/>
      </c>
      <c r="T397" s="144">
        <f t="shared" si="305"/>
        <v>0</v>
      </c>
      <c r="U397" s="144">
        <f t="shared" si="306"/>
        <v>0</v>
      </c>
      <c r="V397" s="144" t="str">
        <f t="shared" si="315"/>
        <v>Mulai berkembang</v>
      </c>
      <c r="W397" s="144" t="str">
        <f t="shared" si="316"/>
        <v>Mulai berkembang</v>
      </c>
      <c r="X397" s="144" t="e">
        <f t="shared" si="307"/>
        <v>#N/A</v>
      </c>
      <c r="Y397" s="145" t="e">
        <f t="shared" si="308"/>
        <v>#N/A</v>
      </c>
      <c r="Z397" s="218" t="str">
        <f>IF('PA-Non'!O285&lt;&gt;"",'PA-Non'!O285,IFERROR("Mempunyai kemampuan yang " &amp;IF(V397=W397,PROPER(W397)&amp;" dalam kompetensi "&amp;VLOOKUP(X397,$G$532:$I$539,3)&amp;" dan kompetensi "&amp;VLOOKUP(Y397,$G$532:$I$539,3),PROPER(V397)&amp;" dalam kompetensi "&amp;VLOOKUP(X397,$G$532:$I$539,3)&amp;" dan memiliki kemampuan yang "&amp;W397&amp;" pada kompetensi "&amp;VLOOKUP(Y397,$G$532:$I$539,3)),""))</f>
        <v/>
      </c>
      <c r="AA397" s="343"/>
      <c r="AB397" s="344"/>
      <c r="AC397" s="344"/>
      <c r="AD397" s="344"/>
      <c r="AE397" s="344"/>
      <c r="AF397" s="344"/>
      <c r="AG397" s="344"/>
      <c r="AH397" s="345"/>
      <c r="AI397" s="220" t="str">
        <f t="shared" si="309"/>
        <v/>
      </c>
      <c r="AJ397" s="160" t="str">
        <f>IF(AI397="","",IF(AI397&gt;Data2!$C$12,Data2!$D$11,IF(AI397&gt;Data2!$C$13,Data2!$D$12,IF(AI397&gt;Data2!$C$14,Data2!$D$13,Data2!$D$14))))</f>
        <v/>
      </c>
      <c r="AK397" s="146">
        <f t="shared" si="310"/>
        <v>0</v>
      </c>
      <c r="AL397" s="146">
        <f t="shared" si="311"/>
        <v>0</v>
      </c>
      <c r="AM397" s="147" t="str">
        <f t="shared" si="317"/>
        <v>Mulai meningkat</v>
      </c>
      <c r="AN397" s="147" t="str">
        <f t="shared" si="318"/>
        <v>Mulai meningkat</v>
      </c>
      <c r="AO397" s="146" t="e">
        <f t="shared" si="312"/>
        <v>#N/A</v>
      </c>
      <c r="AP397" s="148" t="e">
        <f t="shared" si="313"/>
        <v>#N/A</v>
      </c>
      <c r="AQ397" s="158" t="str">
        <f>IF('PA-Non'!V285&lt;&gt;"",'PA-Non'!V285,IFERROR("Mempunyai keterampilan yang "&amp;IF(AM397=AN397,PROPER(AN397)&amp;" dalam kompetensi "&amp;VLOOKUP(AO397,$AA$532:$AC$539,3)&amp;", demikian juga dalam kompetensi "&amp;VLOOKUP(AP397,$AA$532:$AC$539,3),PROPER(AM397)&amp;" dalam kompetensi "&amp;VLOOKUP(AO397,$AA$532:$AC$539,3)&amp;" dan "&amp;AN397&amp;" pada kompetensi "&amp;VLOOKUP(AP397,$AA$532:$AC$539,3)),""))</f>
        <v/>
      </c>
      <c r="AR397" s="188"/>
    </row>
    <row r="398" spans="2:44" ht="27.9" customHeight="1" thickBot="1" x14ac:dyDescent="0.35">
      <c r="B398" s="384" t="s">
        <v>167</v>
      </c>
      <c r="C398" s="149" t="str">
        <f t="shared" si="314"/>
        <v/>
      </c>
      <c r="D398" s="150" t="str">
        <f>IF(Data!F393="","",Data!F393)</f>
        <v/>
      </c>
      <c r="E398" s="151" t="str">
        <f>IF(Data!H393="","",Data!H393)</f>
        <v/>
      </c>
      <c r="F398" s="152" t="str">
        <f>IF(Data!I393="","",Data!I393)</f>
        <v/>
      </c>
      <c r="G398" s="343"/>
      <c r="H398" s="344"/>
      <c r="I398" s="344"/>
      <c r="J398" s="344"/>
      <c r="K398" s="344"/>
      <c r="L398" s="344"/>
      <c r="M398" s="344"/>
      <c r="N398" s="345"/>
      <c r="O398" s="157" t="str">
        <f t="shared" si="303"/>
        <v/>
      </c>
      <c r="P398" s="344"/>
      <c r="Q398" s="346"/>
      <c r="R398" s="157" t="str">
        <f t="shared" si="304"/>
        <v/>
      </c>
      <c r="S398" s="159" t="str">
        <f>IF(R398="","",IF(R398&gt;Data2!$C$12,Data2!$D$11,IF(R398&gt;Data2!$C$13,Data2!$D$12,IF(R398&gt;Data2!$C$14,Data2!$D$13,Data2!$D$14))))</f>
        <v/>
      </c>
      <c r="T398" s="144">
        <f t="shared" si="305"/>
        <v>0</v>
      </c>
      <c r="U398" s="144">
        <f t="shared" si="306"/>
        <v>0</v>
      </c>
      <c r="V398" s="144" t="str">
        <f t="shared" si="315"/>
        <v>Mulai berkembang</v>
      </c>
      <c r="W398" s="144" t="str">
        <f t="shared" si="316"/>
        <v>Mulai berkembang</v>
      </c>
      <c r="X398" s="144" t="e">
        <f t="shared" si="307"/>
        <v>#N/A</v>
      </c>
      <c r="Y398" s="145" t="e">
        <f t="shared" si="308"/>
        <v>#N/A</v>
      </c>
      <c r="Z398" s="218" t="str">
        <f>IF('PA-Non'!O286&lt;&gt;"",'PA-Non'!O286,IFERROR("Mempunyai kemampuan yang " &amp;IF(V398=W398,PROPER(W398)&amp;" dalam kompetensi "&amp;VLOOKUP(X398,$G$532:$I$539,3)&amp;" dan kompetensi "&amp;VLOOKUP(Y398,$G$532:$I$539,3),PROPER(V398)&amp;" dalam kompetensi "&amp;VLOOKUP(X398,$G$532:$I$539,3)&amp;" dan memiliki kemampuan yang "&amp;W398&amp;" pada kompetensi "&amp;VLOOKUP(Y398,$G$532:$I$539,3)),""))</f>
        <v/>
      </c>
      <c r="AA398" s="343"/>
      <c r="AB398" s="344"/>
      <c r="AC398" s="344"/>
      <c r="AD398" s="344"/>
      <c r="AE398" s="344"/>
      <c r="AF398" s="344"/>
      <c r="AG398" s="344"/>
      <c r="AH398" s="345"/>
      <c r="AI398" s="220" t="str">
        <f t="shared" si="309"/>
        <v/>
      </c>
      <c r="AJ398" s="160" t="str">
        <f>IF(AI398="","",IF(AI398&gt;Data2!$C$12,Data2!$D$11,IF(AI398&gt;Data2!$C$13,Data2!$D$12,IF(AI398&gt;Data2!$C$14,Data2!$D$13,Data2!$D$14))))</f>
        <v/>
      </c>
      <c r="AK398" s="146">
        <f t="shared" si="310"/>
        <v>0</v>
      </c>
      <c r="AL398" s="146">
        <f t="shared" si="311"/>
        <v>0</v>
      </c>
      <c r="AM398" s="147" t="str">
        <f t="shared" si="317"/>
        <v>Mulai meningkat</v>
      </c>
      <c r="AN398" s="147" t="str">
        <f t="shared" si="318"/>
        <v>Mulai meningkat</v>
      </c>
      <c r="AO398" s="146" t="e">
        <f t="shared" si="312"/>
        <v>#N/A</v>
      </c>
      <c r="AP398" s="148" t="e">
        <f t="shared" si="313"/>
        <v>#N/A</v>
      </c>
      <c r="AQ398" s="158" t="str">
        <f>IF('PA-Non'!V286&lt;&gt;"",'PA-Non'!V286,IFERROR("Mempunyai keterampilan yang "&amp;IF(AM398=AN398,PROPER(AN398)&amp;" dalam kompetensi "&amp;VLOOKUP(AO398,$AA$532:$AC$539,3)&amp;", demikian juga dalam kompetensi "&amp;VLOOKUP(AP398,$AA$532:$AC$539,3),PROPER(AM398)&amp;" dalam kompetensi "&amp;VLOOKUP(AO398,$AA$532:$AC$539,3)&amp;" dan "&amp;AN398&amp;" pada kompetensi "&amp;VLOOKUP(AP398,$AA$532:$AC$539,3)),""))</f>
        <v/>
      </c>
      <c r="AR398" s="188"/>
    </row>
    <row r="399" spans="2:44" ht="27.9" customHeight="1" thickBot="1" x14ac:dyDescent="0.35">
      <c r="B399" s="384" t="s">
        <v>167</v>
      </c>
      <c r="C399" s="149" t="str">
        <f t="shared" si="314"/>
        <v/>
      </c>
      <c r="D399" s="150" t="str">
        <f>IF(Data!F394="","",Data!F394)</f>
        <v/>
      </c>
      <c r="E399" s="151" t="str">
        <f>IF(Data!H394="","",Data!H394)</f>
        <v/>
      </c>
      <c r="F399" s="152" t="str">
        <f>IF(Data!I394="","",Data!I394)</f>
        <v/>
      </c>
      <c r="G399" s="343"/>
      <c r="H399" s="344"/>
      <c r="I399" s="344"/>
      <c r="J399" s="344"/>
      <c r="K399" s="344"/>
      <c r="L399" s="344"/>
      <c r="M399" s="344"/>
      <c r="N399" s="345"/>
      <c r="O399" s="157" t="str">
        <f t="shared" si="303"/>
        <v/>
      </c>
      <c r="P399" s="344"/>
      <c r="Q399" s="346"/>
      <c r="R399" s="157" t="str">
        <f t="shared" si="304"/>
        <v/>
      </c>
      <c r="S399" s="159" t="str">
        <f>IF(R399="","",IF(R399&gt;Data2!$C$12,Data2!$D$11,IF(R399&gt;Data2!$C$13,Data2!$D$12,IF(R399&gt;Data2!$C$14,Data2!$D$13,Data2!$D$14))))</f>
        <v/>
      </c>
      <c r="T399" s="144">
        <f t="shared" si="305"/>
        <v>0</v>
      </c>
      <c r="U399" s="144">
        <f t="shared" si="306"/>
        <v>0</v>
      </c>
      <c r="V399" s="144" t="str">
        <f t="shared" si="315"/>
        <v>Mulai berkembang</v>
      </c>
      <c r="W399" s="144" t="str">
        <f t="shared" si="316"/>
        <v>Mulai berkembang</v>
      </c>
      <c r="X399" s="144" t="e">
        <f t="shared" si="307"/>
        <v>#N/A</v>
      </c>
      <c r="Y399" s="145" t="e">
        <f t="shared" si="308"/>
        <v>#N/A</v>
      </c>
      <c r="Z399" s="218" t="str">
        <f>IF('PA-Non'!O287&lt;&gt;"",'PA-Non'!O287,IFERROR("Mempunyai kemampuan yang " &amp;IF(V399=W399,PROPER(W399)&amp;" dalam kompetensi "&amp;VLOOKUP(X399,$G$532:$I$539,3)&amp;" dan kompetensi "&amp;VLOOKUP(Y399,$G$532:$I$539,3),PROPER(V399)&amp;" dalam kompetensi "&amp;VLOOKUP(X399,$G$532:$I$539,3)&amp;" dan memiliki kemampuan yang "&amp;W399&amp;" pada kompetensi "&amp;VLOOKUP(Y399,$G$532:$I$539,3)),""))</f>
        <v/>
      </c>
      <c r="AA399" s="343"/>
      <c r="AB399" s="344"/>
      <c r="AC399" s="344"/>
      <c r="AD399" s="344"/>
      <c r="AE399" s="344"/>
      <c r="AF399" s="344"/>
      <c r="AG399" s="344"/>
      <c r="AH399" s="345"/>
      <c r="AI399" s="220" t="str">
        <f t="shared" si="309"/>
        <v/>
      </c>
      <c r="AJ399" s="160" t="str">
        <f>IF(AI399="","",IF(AI399&gt;Data2!$C$12,Data2!$D$11,IF(AI399&gt;Data2!$C$13,Data2!$D$12,IF(AI399&gt;Data2!$C$14,Data2!$D$13,Data2!$D$14))))</f>
        <v/>
      </c>
      <c r="AK399" s="146">
        <f t="shared" si="310"/>
        <v>0</v>
      </c>
      <c r="AL399" s="146">
        <f t="shared" si="311"/>
        <v>0</v>
      </c>
      <c r="AM399" s="147" t="str">
        <f t="shared" si="317"/>
        <v>Mulai meningkat</v>
      </c>
      <c r="AN399" s="147" t="str">
        <f t="shared" si="318"/>
        <v>Mulai meningkat</v>
      </c>
      <c r="AO399" s="146" t="e">
        <f t="shared" si="312"/>
        <v>#N/A</v>
      </c>
      <c r="AP399" s="148" t="e">
        <f t="shared" si="313"/>
        <v>#N/A</v>
      </c>
      <c r="AQ399" s="158" t="str">
        <f>IF('PA-Non'!V287&lt;&gt;"",'PA-Non'!V287,IFERROR("Mempunyai keterampilan yang "&amp;IF(AM399=AN399,PROPER(AN399)&amp;" dalam kompetensi "&amp;VLOOKUP(AO399,$AA$532:$AC$539,3)&amp;", demikian juga dalam kompetensi "&amp;VLOOKUP(AP399,$AA$532:$AC$539,3),PROPER(AM399)&amp;" dalam kompetensi "&amp;VLOOKUP(AO399,$AA$532:$AC$539,3)&amp;" dan "&amp;AN399&amp;" pada kompetensi "&amp;VLOOKUP(AP399,$AA$532:$AC$539,3)),""))</f>
        <v/>
      </c>
      <c r="AR399" s="188"/>
    </row>
    <row r="400" spans="2:44" ht="27.9" customHeight="1" thickBot="1" x14ac:dyDescent="0.35">
      <c r="B400" s="384" t="s">
        <v>167</v>
      </c>
      <c r="C400" s="149" t="str">
        <f t="shared" si="314"/>
        <v/>
      </c>
      <c r="D400" s="150" t="str">
        <f>IF(Data!F395="","",Data!F395)</f>
        <v/>
      </c>
      <c r="E400" s="151" t="str">
        <f>IF(Data!H395="","",Data!H395)</f>
        <v/>
      </c>
      <c r="F400" s="152" t="str">
        <f>IF(Data!I395="","",Data!I395)</f>
        <v/>
      </c>
      <c r="G400" s="343"/>
      <c r="H400" s="344"/>
      <c r="I400" s="344"/>
      <c r="J400" s="344"/>
      <c r="K400" s="344"/>
      <c r="L400" s="344"/>
      <c r="M400" s="344"/>
      <c r="N400" s="345"/>
      <c r="O400" s="157" t="str">
        <f t="shared" si="303"/>
        <v/>
      </c>
      <c r="P400" s="344"/>
      <c r="Q400" s="346"/>
      <c r="R400" s="157" t="str">
        <f t="shared" si="304"/>
        <v/>
      </c>
      <c r="S400" s="159" t="str">
        <f>IF(R400="","",IF(R400&gt;Data2!$C$12,Data2!$D$11,IF(R400&gt;Data2!$C$13,Data2!$D$12,IF(R400&gt;Data2!$C$14,Data2!$D$13,Data2!$D$14))))</f>
        <v/>
      </c>
      <c r="T400" s="144">
        <f t="shared" si="305"/>
        <v>0</v>
      </c>
      <c r="U400" s="144">
        <f t="shared" si="306"/>
        <v>0</v>
      </c>
      <c r="V400" s="144" t="str">
        <f t="shared" si="315"/>
        <v>Mulai berkembang</v>
      </c>
      <c r="W400" s="144" t="str">
        <f t="shared" si="316"/>
        <v>Mulai berkembang</v>
      </c>
      <c r="X400" s="144" t="e">
        <f t="shared" si="307"/>
        <v>#N/A</v>
      </c>
      <c r="Y400" s="145" t="e">
        <f t="shared" si="308"/>
        <v>#N/A</v>
      </c>
      <c r="Z400" s="218" t="str">
        <f>IF('PA-Non'!O288&lt;&gt;"",'PA-Non'!O288,IFERROR("Mempunyai kemampuan yang " &amp;IF(V400=W400,PROPER(W400)&amp;" dalam kompetensi "&amp;VLOOKUP(X400,$G$532:$I$539,3)&amp;" dan kompetensi "&amp;VLOOKUP(Y400,$G$532:$I$539,3),PROPER(V400)&amp;" dalam kompetensi "&amp;VLOOKUP(X400,$G$532:$I$539,3)&amp;" dan memiliki kemampuan yang "&amp;W400&amp;" pada kompetensi "&amp;VLOOKUP(Y400,$G$532:$I$539,3)),""))</f>
        <v/>
      </c>
      <c r="AA400" s="343"/>
      <c r="AB400" s="344"/>
      <c r="AC400" s="344"/>
      <c r="AD400" s="344"/>
      <c r="AE400" s="344"/>
      <c r="AF400" s="344"/>
      <c r="AG400" s="344"/>
      <c r="AH400" s="345"/>
      <c r="AI400" s="220" t="str">
        <f t="shared" si="309"/>
        <v/>
      </c>
      <c r="AJ400" s="160" t="str">
        <f>IF(AI400="","",IF(AI400&gt;Data2!$C$12,Data2!$D$11,IF(AI400&gt;Data2!$C$13,Data2!$D$12,IF(AI400&gt;Data2!$C$14,Data2!$D$13,Data2!$D$14))))</f>
        <v/>
      </c>
      <c r="AK400" s="146">
        <f t="shared" si="310"/>
        <v>0</v>
      </c>
      <c r="AL400" s="146">
        <f t="shared" si="311"/>
        <v>0</v>
      </c>
      <c r="AM400" s="147" t="str">
        <f t="shared" si="317"/>
        <v>Mulai meningkat</v>
      </c>
      <c r="AN400" s="147" t="str">
        <f t="shared" si="318"/>
        <v>Mulai meningkat</v>
      </c>
      <c r="AO400" s="146" t="e">
        <f t="shared" si="312"/>
        <v>#N/A</v>
      </c>
      <c r="AP400" s="148" t="e">
        <f t="shared" si="313"/>
        <v>#N/A</v>
      </c>
      <c r="AQ400" s="158" t="str">
        <f>IF('PA-Non'!V288&lt;&gt;"",'PA-Non'!V288,IFERROR("Mempunyai keterampilan yang "&amp;IF(AM400=AN400,PROPER(AN400)&amp;" dalam kompetensi "&amp;VLOOKUP(AO400,$AA$532:$AC$539,3)&amp;", demikian juga dalam kompetensi "&amp;VLOOKUP(AP400,$AA$532:$AC$539,3),PROPER(AM400)&amp;" dalam kompetensi "&amp;VLOOKUP(AO400,$AA$532:$AC$539,3)&amp;" dan "&amp;AN400&amp;" pada kompetensi "&amp;VLOOKUP(AP400,$AA$532:$AC$539,3)),""))</f>
        <v/>
      </c>
      <c r="AR400" s="188"/>
    </row>
    <row r="401" spans="2:44" ht="27.9" customHeight="1" thickBot="1" x14ac:dyDescent="0.35">
      <c r="B401" s="384" t="s">
        <v>167</v>
      </c>
      <c r="C401" s="149" t="str">
        <f t="shared" si="314"/>
        <v/>
      </c>
      <c r="D401" s="150" t="str">
        <f>IF(Data!F396="","",Data!F396)</f>
        <v/>
      </c>
      <c r="E401" s="151" t="str">
        <f>IF(Data!H396="","",Data!H396)</f>
        <v/>
      </c>
      <c r="F401" s="152" t="str">
        <f>IF(Data!I396="","",Data!I396)</f>
        <v/>
      </c>
      <c r="G401" s="343"/>
      <c r="H401" s="344"/>
      <c r="I401" s="344"/>
      <c r="J401" s="344"/>
      <c r="K401" s="344"/>
      <c r="L401" s="344"/>
      <c r="M401" s="344"/>
      <c r="N401" s="345"/>
      <c r="O401" s="157" t="str">
        <f t="shared" si="303"/>
        <v/>
      </c>
      <c r="P401" s="344"/>
      <c r="Q401" s="346"/>
      <c r="R401" s="157" t="str">
        <f t="shared" si="304"/>
        <v/>
      </c>
      <c r="S401" s="159" t="str">
        <f>IF(R401="","",IF(R401&gt;Data2!$C$12,Data2!$D$11,IF(R401&gt;Data2!$C$13,Data2!$D$12,IF(R401&gt;Data2!$C$14,Data2!$D$13,Data2!$D$14))))</f>
        <v/>
      </c>
      <c r="T401" s="144">
        <f t="shared" si="305"/>
        <v>0</v>
      </c>
      <c r="U401" s="144">
        <f t="shared" si="306"/>
        <v>0</v>
      </c>
      <c r="V401" s="144" t="str">
        <f t="shared" si="315"/>
        <v>Mulai berkembang</v>
      </c>
      <c r="W401" s="144" t="str">
        <f t="shared" si="316"/>
        <v>Mulai berkembang</v>
      </c>
      <c r="X401" s="144" t="e">
        <f t="shared" si="307"/>
        <v>#N/A</v>
      </c>
      <c r="Y401" s="145" t="e">
        <f t="shared" si="308"/>
        <v>#N/A</v>
      </c>
      <c r="Z401" s="218" t="str">
        <f>IF('PA-Non'!O289&lt;&gt;"",'PA-Non'!O289,IFERROR("Mempunyai kemampuan yang " &amp;IF(V401=W401,PROPER(W401)&amp;" dalam kompetensi "&amp;VLOOKUP(X401,$G$532:$I$539,3)&amp;" dan kompetensi "&amp;VLOOKUP(Y401,$G$532:$I$539,3),PROPER(V401)&amp;" dalam kompetensi "&amp;VLOOKUP(X401,$G$532:$I$539,3)&amp;" dan memiliki kemampuan yang "&amp;W401&amp;" pada kompetensi "&amp;VLOOKUP(Y401,$G$532:$I$539,3)),""))</f>
        <v/>
      </c>
      <c r="AA401" s="343"/>
      <c r="AB401" s="344"/>
      <c r="AC401" s="344"/>
      <c r="AD401" s="344"/>
      <c r="AE401" s="344"/>
      <c r="AF401" s="344"/>
      <c r="AG401" s="344"/>
      <c r="AH401" s="345"/>
      <c r="AI401" s="220" t="str">
        <f t="shared" si="309"/>
        <v/>
      </c>
      <c r="AJ401" s="160" t="str">
        <f>IF(AI401="","",IF(AI401&gt;Data2!$C$12,Data2!$D$11,IF(AI401&gt;Data2!$C$13,Data2!$D$12,IF(AI401&gt;Data2!$C$14,Data2!$D$13,Data2!$D$14))))</f>
        <v/>
      </c>
      <c r="AK401" s="146">
        <f t="shared" si="310"/>
        <v>0</v>
      </c>
      <c r="AL401" s="146">
        <f t="shared" si="311"/>
        <v>0</v>
      </c>
      <c r="AM401" s="147" t="str">
        <f t="shared" si="317"/>
        <v>Mulai meningkat</v>
      </c>
      <c r="AN401" s="147" t="str">
        <f t="shared" si="318"/>
        <v>Mulai meningkat</v>
      </c>
      <c r="AO401" s="146" t="e">
        <f t="shared" si="312"/>
        <v>#N/A</v>
      </c>
      <c r="AP401" s="148" t="e">
        <f t="shared" si="313"/>
        <v>#N/A</v>
      </c>
      <c r="AQ401" s="158" t="str">
        <f>IF('PA-Non'!V289&lt;&gt;"",'PA-Non'!V289,IFERROR("Mempunyai keterampilan yang "&amp;IF(AM401=AN401,PROPER(AN401)&amp;" dalam kompetensi "&amp;VLOOKUP(AO401,$AA$532:$AC$539,3)&amp;", demikian juga dalam kompetensi "&amp;VLOOKUP(AP401,$AA$532:$AC$539,3),PROPER(AM401)&amp;" dalam kompetensi "&amp;VLOOKUP(AO401,$AA$532:$AC$539,3)&amp;" dan "&amp;AN401&amp;" pada kompetensi "&amp;VLOOKUP(AP401,$AA$532:$AC$539,3)),""))</f>
        <v/>
      </c>
      <c r="AR401" s="188"/>
    </row>
    <row r="402" spans="2:44" ht="27.9" customHeight="1" thickBot="1" x14ac:dyDescent="0.35">
      <c r="B402" s="384" t="s">
        <v>167</v>
      </c>
      <c r="C402" s="149" t="str">
        <f t="shared" si="314"/>
        <v/>
      </c>
      <c r="D402" s="150" t="str">
        <f>IF(Data!F397="","",Data!F397)</f>
        <v/>
      </c>
      <c r="E402" s="151" t="str">
        <f>IF(Data!H397="","",Data!H397)</f>
        <v/>
      </c>
      <c r="F402" s="152" t="str">
        <f>IF(Data!I397="","",Data!I397)</f>
        <v/>
      </c>
      <c r="G402" s="343"/>
      <c r="H402" s="344"/>
      <c r="I402" s="344"/>
      <c r="J402" s="344"/>
      <c r="K402" s="344"/>
      <c r="L402" s="344"/>
      <c r="M402" s="344"/>
      <c r="N402" s="345"/>
      <c r="O402" s="157" t="str">
        <f t="shared" si="303"/>
        <v/>
      </c>
      <c r="P402" s="344"/>
      <c r="Q402" s="346"/>
      <c r="R402" s="157" t="str">
        <f t="shared" si="304"/>
        <v/>
      </c>
      <c r="S402" s="159" t="str">
        <f>IF(R402="","",IF(R402&gt;Data2!$C$12,Data2!$D$11,IF(R402&gt;Data2!$C$13,Data2!$D$12,IF(R402&gt;Data2!$C$14,Data2!$D$13,Data2!$D$14))))</f>
        <v/>
      </c>
      <c r="T402" s="144">
        <f t="shared" si="305"/>
        <v>0</v>
      </c>
      <c r="U402" s="144">
        <f t="shared" si="306"/>
        <v>0</v>
      </c>
      <c r="V402" s="144" t="str">
        <f t="shared" si="315"/>
        <v>Mulai berkembang</v>
      </c>
      <c r="W402" s="144" t="str">
        <f t="shared" si="316"/>
        <v>Mulai berkembang</v>
      </c>
      <c r="X402" s="144" t="e">
        <f t="shared" si="307"/>
        <v>#N/A</v>
      </c>
      <c r="Y402" s="145" t="e">
        <f t="shared" si="308"/>
        <v>#N/A</v>
      </c>
      <c r="Z402" s="218" t="str">
        <f>IF('PA-Non'!O290&lt;&gt;"",'PA-Non'!O290,IFERROR("Mempunyai kemampuan yang " &amp;IF(V402=W402,PROPER(W402)&amp;" dalam kompetensi "&amp;VLOOKUP(X402,$G$532:$I$539,3)&amp;" dan kompetensi "&amp;VLOOKUP(Y402,$G$532:$I$539,3),PROPER(V402)&amp;" dalam kompetensi "&amp;VLOOKUP(X402,$G$532:$I$539,3)&amp;" dan memiliki kemampuan yang "&amp;W402&amp;" pada kompetensi "&amp;VLOOKUP(Y402,$G$532:$I$539,3)),""))</f>
        <v/>
      </c>
      <c r="AA402" s="343"/>
      <c r="AB402" s="344"/>
      <c r="AC402" s="344"/>
      <c r="AD402" s="344"/>
      <c r="AE402" s="344"/>
      <c r="AF402" s="344"/>
      <c r="AG402" s="344"/>
      <c r="AH402" s="345"/>
      <c r="AI402" s="220" t="str">
        <f t="shared" si="309"/>
        <v/>
      </c>
      <c r="AJ402" s="160" t="str">
        <f>IF(AI402="","",IF(AI402&gt;Data2!$C$12,Data2!$D$11,IF(AI402&gt;Data2!$C$13,Data2!$D$12,IF(AI402&gt;Data2!$C$14,Data2!$D$13,Data2!$D$14))))</f>
        <v/>
      </c>
      <c r="AK402" s="146">
        <f t="shared" si="310"/>
        <v>0</v>
      </c>
      <c r="AL402" s="146">
        <f t="shared" si="311"/>
        <v>0</v>
      </c>
      <c r="AM402" s="147" t="str">
        <f t="shared" si="317"/>
        <v>Mulai meningkat</v>
      </c>
      <c r="AN402" s="147" t="str">
        <f t="shared" si="318"/>
        <v>Mulai meningkat</v>
      </c>
      <c r="AO402" s="146" t="e">
        <f t="shared" si="312"/>
        <v>#N/A</v>
      </c>
      <c r="AP402" s="148" t="e">
        <f t="shared" si="313"/>
        <v>#N/A</v>
      </c>
      <c r="AQ402" s="158" t="str">
        <f>IF('PA-Non'!V290&lt;&gt;"",'PA-Non'!V290,IFERROR("Mempunyai keterampilan yang "&amp;IF(AM402=AN402,PROPER(AN402)&amp;" dalam kompetensi "&amp;VLOOKUP(AO402,$AA$532:$AC$539,3)&amp;", demikian juga dalam kompetensi "&amp;VLOOKUP(AP402,$AA$532:$AC$539,3),PROPER(AM402)&amp;" dalam kompetensi "&amp;VLOOKUP(AO402,$AA$532:$AC$539,3)&amp;" dan "&amp;AN402&amp;" pada kompetensi "&amp;VLOOKUP(AP402,$AA$532:$AC$539,3)),""))</f>
        <v/>
      </c>
      <c r="AR402" s="188"/>
    </row>
    <row r="403" spans="2:44" ht="27.9" customHeight="1" thickBot="1" x14ac:dyDescent="0.35">
      <c r="B403" s="384" t="s">
        <v>167</v>
      </c>
      <c r="C403" s="149" t="str">
        <f t="shared" si="314"/>
        <v/>
      </c>
      <c r="D403" s="150" t="str">
        <f>IF(Data!F398="","",Data!F398)</f>
        <v/>
      </c>
      <c r="E403" s="151" t="str">
        <f>IF(Data!H398="","",Data!H398)</f>
        <v/>
      </c>
      <c r="F403" s="152" t="str">
        <f>IF(Data!I398="","",Data!I398)</f>
        <v/>
      </c>
      <c r="G403" s="343"/>
      <c r="H403" s="344"/>
      <c r="I403" s="344"/>
      <c r="J403" s="344"/>
      <c r="K403" s="344"/>
      <c r="L403" s="344"/>
      <c r="M403" s="344"/>
      <c r="N403" s="345"/>
      <c r="O403" s="157" t="str">
        <f t="shared" si="303"/>
        <v/>
      </c>
      <c r="P403" s="344"/>
      <c r="Q403" s="346"/>
      <c r="R403" s="157" t="str">
        <f t="shared" si="304"/>
        <v/>
      </c>
      <c r="S403" s="159" t="str">
        <f>IF(R403="","",IF(R403&gt;Data2!$C$12,Data2!$D$11,IF(R403&gt;Data2!$C$13,Data2!$D$12,IF(R403&gt;Data2!$C$14,Data2!$D$13,Data2!$D$14))))</f>
        <v/>
      </c>
      <c r="T403" s="144">
        <f t="shared" si="305"/>
        <v>0</v>
      </c>
      <c r="U403" s="144">
        <f t="shared" si="306"/>
        <v>0</v>
      </c>
      <c r="V403" s="144" t="str">
        <f t="shared" si="315"/>
        <v>Mulai berkembang</v>
      </c>
      <c r="W403" s="144" t="str">
        <f t="shared" si="316"/>
        <v>Mulai berkembang</v>
      </c>
      <c r="X403" s="144" t="e">
        <f t="shared" si="307"/>
        <v>#N/A</v>
      </c>
      <c r="Y403" s="145" t="e">
        <f t="shared" si="308"/>
        <v>#N/A</v>
      </c>
      <c r="Z403" s="218" t="str">
        <f>IF('PA-Non'!O291&lt;&gt;"",'PA-Non'!O291,IFERROR("Mempunyai kemampuan yang " &amp;IF(V403=W403,PROPER(W403)&amp;" dalam kompetensi "&amp;VLOOKUP(X403,$G$532:$I$539,3)&amp;" dan kompetensi "&amp;VLOOKUP(Y403,$G$532:$I$539,3),PROPER(V403)&amp;" dalam kompetensi "&amp;VLOOKUP(X403,$G$532:$I$539,3)&amp;" dan memiliki kemampuan yang "&amp;W403&amp;" pada kompetensi "&amp;VLOOKUP(Y403,$G$532:$I$539,3)),""))</f>
        <v/>
      </c>
      <c r="AA403" s="343"/>
      <c r="AB403" s="344"/>
      <c r="AC403" s="344"/>
      <c r="AD403" s="344"/>
      <c r="AE403" s="344"/>
      <c r="AF403" s="344"/>
      <c r="AG403" s="344"/>
      <c r="AH403" s="345"/>
      <c r="AI403" s="220" t="str">
        <f t="shared" si="309"/>
        <v/>
      </c>
      <c r="AJ403" s="160" t="str">
        <f>IF(AI403="","",IF(AI403&gt;Data2!$C$12,Data2!$D$11,IF(AI403&gt;Data2!$C$13,Data2!$D$12,IF(AI403&gt;Data2!$C$14,Data2!$D$13,Data2!$D$14))))</f>
        <v/>
      </c>
      <c r="AK403" s="146">
        <f t="shared" si="310"/>
        <v>0</v>
      </c>
      <c r="AL403" s="146">
        <f t="shared" si="311"/>
        <v>0</v>
      </c>
      <c r="AM403" s="147" t="str">
        <f t="shared" si="317"/>
        <v>Mulai meningkat</v>
      </c>
      <c r="AN403" s="147" t="str">
        <f t="shared" si="318"/>
        <v>Mulai meningkat</v>
      </c>
      <c r="AO403" s="146" t="e">
        <f t="shared" si="312"/>
        <v>#N/A</v>
      </c>
      <c r="AP403" s="148" t="e">
        <f t="shared" si="313"/>
        <v>#N/A</v>
      </c>
      <c r="AQ403" s="158" t="str">
        <f>IF('PA-Non'!V291&lt;&gt;"",'PA-Non'!V291,IFERROR("Mempunyai keterampilan yang "&amp;IF(AM403=AN403,PROPER(AN403)&amp;" dalam kompetensi "&amp;VLOOKUP(AO403,$AA$532:$AC$539,3)&amp;", demikian juga dalam kompetensi "&amp;VLOOKUP(AP403,$AA$532:$AC$539,3),PROPER(AM403)&amp;" dalam kompetensi "&amp;VLOOKUP(AO403,$AA$532:$AC$539,3)&amp;" dan "&amp;AN403&amp;" pada kompetensi "&amp;VLOOKUP(AP403,$AA$532:$AC$539,3)),""))</f>
        <v/>
      </c>
      <c r="AR403" s="188"/>
    </row>
    <row r="404" spans="2:44" ht="27.9" customHeight="1" thickBot="1" x14ac:dyDescent="0.35">
      <c r="B404" s="384" t="s">
        <v>167</v>
      </c>
      <c r="C404" s="149" t="str">
        <f t="shared" si="314"/>
        <v/>
      </c>
      <c r="D404" s="150" t="str">
        <f>IF(Data!F399="","",Data!F399)</f>
        <v/>
      </c>
      <c r="E404" s="151" t="str">
        <f>IF(Data!H399="","",Data!H399)</f>
        <v/>
      </c>
      <c r="F404" s="152" t="str">
        <f>IF(Data!I399="","",Data!I399)</f>
        <v/>
      </c>
      <c r="G404" s="343"/>
      <c r="H404" s="344"/>
      <c r="I404" s="344"/>
      <c r="J404" s="344"/>
      <c r="K404" s="344"/>
      <c r="L404" s="344"/>
      <c r="M404" s="344"/>
      <c r="N404" s="345"/>
      <c r="O404" s="157" t="str">
        <f t="shared" si="303"/>
        <v/>
      </c>
      <c r="P404" s="344"/>
      <c r="Q404" s="346"/>
      <c r="R404" s="157" t="str">
        <f t="shared" si="304"/>
        <v/>
      </c>
      <c r="S404" s="159" t="str">
        <f>IF(R404="","",IF(R404&gt;Data2!$C$12,Data2!$D$11,IF(R404&gt;Data2!$C$13,Data2!$D$12,IF(R404&gt;Data2!$C$14,Data2!$D$13,Data2!$D$14))))</f>
        <v/>
      </c>
      <c r="T404" s="144">
        <f t="shared" si="305"/>
        <v>0</v>
      </c>
      <c r="U404" s="144">
        <f t="shared" si="306"/>
        <v>0</v>
      </c>
      <c r="V404" s="144" t="str">
        <f t="shared" si="315"/>
        <v>Mulai berkembang</v>
      </c>
      <c r="W404" s="144" t="str">
        <f t="shared" si="316"/>
        <v>Mulai berkembang</v>
      </c>
      <c r="X404" s="144" t="e">
        <f t="shared" si="307"/>
        <v>#N/A</v>
      </c>
      <c r="Y404" s="145" t="e">
        <f t="shared" si="308"/>
        <v>#N/A</v>
      </c>
      <c r="Z404" s="218" t="str">
        <f>IF('PA-Non'!O292&lt;&gt;"",'PA-Non'!O292,IFERROR("Mempunyai kemampuan yang " &amp;IF(V404=W404,PROPER(W404)&amp;" dalam kompetensi "&amp;VLOOKUP(X404,$G$532:$I$539,3)&amp;" dan kompetensi "&amp;VLOOKUP(Y404,$G$532:$I$539,3),PROPER(V404)&amp;" dalam kompetensi "&amp;VLOOKUP(X404,$G$532:$I$539,3)&amp;" dan memiliki kemampuan yang "&amp;W404&amp;" pada kompetensi "&amp;VLOOKUP(Y404,$G$532:$I$539,3)),""))</f>
        <v/>
      </c>
      <c r="AA404" s="343"/>
      <c r="AB404" s="344"/>
      <c r="AC404" s="344"/>
      <c r="AD404" s="344"/>
      <c r="AE404" s="344"/>
      <c r="AF404" s="344"/>
      <c r="AG404" s="344"/>
      <c r="AH404" s="345"/>
      <c r="AI404" s="220" t="str">
        <f t="shared" si="309"/>
        <v/>
      </c>
      <c r="AJ404" s="160" t="str">
        <f>IF(AI404="","",IF(AI404&gt;Data2!$C$12,Data2!$D$11,IF(AI404&gt;Data2!$C$13,Data2!$D$12,IF(AI404&gt;Data2!$C$14,Data2!$D$13,Data2!$D$14))))</f>
        <v/>
      </c>
      <c r="AK404" s="146">
        <f t="shared" si="310"/>
        <v>0</v>
      </c>
      <c r="AL404" s="146">
        <f t="shared" si="311"/>
        <v>0</v>
      </c>
      <c r="AM404" s="147" t="str">
        <f t="shared" si="317"/>
        <v>Mulai meningkat</v>
      </c>
      <c r="AN404" s="147" t="str">
        <f t="shared" si="318"/>
        <v>Mulai meningkat</v>
      </c>
      <c r="AO404" s="146" t="e">
        <f t="shared" si="312"/>
        <v>#N/A</v>
      </c>
      <c r="AP404" s="148" t="e">
        <f t="shared" si="313"/>
        <v>#N/A</v>
      </c>
      <c r="AQ404" s="158" t="str">
        <f>IF('PA-Non'!V292&lt;&gt;"",'PA-Non'!V292,IFERROR("Mempunyai keterampilan yang "&amp;IF(AM404=AN404,PROPER(AN404)&amp;" dalam kompetensi "&amp;VLOOKUP(AO404,$AA$532:$AC$539,3)&amp;", demikian juga dalam kompetensi "&amp;VLOOKUP(AP404,$AA$532:$AC$539,3),PROPER(AM404)&amp;" dalam kompetensi "&amp;VLOOKUP(AO404,$AA$532:$AC$539,3)&amp;" dan "&amp;AN404&amp;" pada kompetensi "&amp;VLOOKUP(AP404,$AA$532:$AC$539,3)),""))</f>
        <v/>
      </c>
      <c r="AR404" s="188"/>
    </row>
    <row r="405" spans="2:44" ht="27.9" customHeight="1" thickBot="1" x14ac:dyDescent="0.35">
      <c r="B405" s="384" t="s">
        <v>167</v>
      </c>
      <c r="C405" s="149" t="str">
        <f t="shared" si="314"/>
        <v/>
      </c>
      <c r="D405" s="150" t="str">
        <f>IF(Data!F400="","",Data!F400)</f>
        <v/>
      </c>
      <c r="E405" s="151" t="str">
        <f>IF(Data!H400="","",Data!H400)</f>
        <v/>
      </c>
      <c r="F405" s="152" t="str">
        <f>IF(Data!I400="","",Data!I400)</f>
        <v/>
      </c>
      <c r="G405" s="343"/>
      <c r="H405" s="344"/>
      <c r="I405" s="344"/>
      <c r="J405" s="344"/>
      <c r="K405" s="344"/>
      <c r="L405" s="344"/>
      <c r="M405" s="344"/>
      <c r="N405" s="345"/>
      <c r="O405" s="157" t="str">
        <f t="shared" si="303"/>
        <v/>
      </c>
      <c r="P405" s="344"/>
      <c r="Q405" s="346"/>
      <c r="R405" s="157" t="str">
        <f t="shared" si="304"/>
        <v/>
      </c>
      <c r="S405" s="159" t="str">
        <f>IF(R405="","",IF(R405&gt;Data2!$C$12,Data2!$D$11,IF(R405&gt;Data2!$C$13,Data2!$D$12,IF(R405&gt;Data2!$C$14,Data2!$D$13,Data2!$D$14))))</f>
        <v/>
      </c>
      <c r="T405" s="144">
        <f t="shared" si="305"/>
        <v>0</v>
      </c>
      <c r="U405" s="144">
        <f t="shared" si="306"/>
        <v>0</v>
      </c>
      <c r="V405" s="144" t="str">
        <f t="shared" si="315"/>
        <v>Mulai berkembang</v>
      </c>
      <c r="W405" s="144" t="str">
        <f t="shared" si="316"/>
        <v>Mulai berkembang</v>
      </c>
      <c r="X405" s="144" t="e">
        <f t="shared" si="307"/>
        <v>#N/A</v>
      </c>
      <c r="Y405" s="145" t="e">
        <f t="shared" si="308"/>
        <v>#N/A</v>
      </c>
      <c r="Z405" s="218" t="str">
        <f>IF('PA-Non'!O293&lt;&gt;"",'PA-Non'!O293,IFERROR("Mempunyai kemampuan yang " &amp;IF(V405=W405,PROPER(W405)&amp;" dalam kompetensi "&amp;VLOOKUP(X405,$G$532:$I$539,3)&amp;" dan kompetensi "&amp;VLOOKUP(Y405,$G$532:$I$539,3),PROPER(V405)&amp;" dalam kompetensi "&amp;VLOOKUP(X405,$G$532:$I$539,3)&amp;" dan memiliki kemampuan yang "&amp;W405&amp;" pada kompetensi "&amp;VLOOKUP(Y405,$G$532:$I$539,3)),""))</f>
        <v/>
      </c>
      <c r="AA405" s="343"/>
      <c r="AB405" s="344"/>
      <c r="AC405" s="344"/>
      <c r="AD405" s="344"/>
      <c r="AE405" s="344"/>
      <c r="AF405" s="344"/>
      <c r="AG405" s="344"/>
      <c r="AH405" s="345"/>
      <c r="AI405" s="220" t="str">
        <f t="shared" si="309"/>
        <v/>
      </c>
      <c r="AJ405" s="160" t="str">
        <f>IF(AI405="","",IF(AI405&gt;Data2!$C$12,Data2!$D$11,IF(AI405&gt;Data2!$C$13,Data2!$D$12,IF(AI405&gt;Data2!$C$14,Data2!$D$13,Data2!$D$14))))</f>
        <v/>
      </c>
      <c r="AK405" s="146">
        <f t="shared" si="310"/>
        <v>0</v>
      </c>
      <c r="AL405" s="146">
        <f t="shared" si="311"/>
        <v>0</v>
      </c>
      <c r="AM405" s="147" t="str">
        <f t="shared" si="317"/>
        <v>Mulai meningkat</v>
      </c>
      <c r="AN405" s="147" t="str">
        <f t="shared" si="318"/>
        <v>Mulai meningkat</v>
      </c>
      <c r="AO405" s="146" t="e">
        <f t="shared" si="312"/>
        <v>#N/A</v>
      </c>
      <c r="AP405" s="148" t="e">
        <f t="shared" si="313"/>
        <v>#N/A</v>
      </c>
      <c r="AQ405" s="158" t="str">
        <f>IF('PA-Non'!V293&lt;&gt;"",'PA-Non'!V293,IFERROR("Mempunyai keterampilan yang "&amp;IF(AM405=AN405,PROPER(AN405)&amp;" dalam kompetensi "&amp;VLOOKUP(AO405,$AA$532:$AC$539,3)&amp;", demikian juga dalam kompetensi "&amp;VLOOKUP(AP405,$AA$532:$AC$539,3),PROPER(AM405)&amp;" dalam kompetensi "&amp;VLOOKUP(AO405,$AA$532:$AC$539,3)&amp;" dan "&amp;AN405&amp;" pada kompetensi "&amp;VLOOKUP(AP405,$AA$532:$AC$539,3)),""))</f>
        <v/>
      </c>
      <c r="AR405" s="188"/>
    </row>
    <row r="406" spans="2:44" ht="27.9" customHeight="1" thickBot="1" x14ac:dyDescent="0.35">
      <c r="B406" s="384" t="s">
        <v>167</v>
      </c>
      <c r="C406" s="149" t="str">
        <f t="shared" si="314"/>
        <v/>
      </c>
      <c r="D406" s="150" t="str">
        <f>IF(Data!F401="","",Data!F401)</f>
        <v/>
      </c>
      <c r="E406" s="151" t="str">
        <f>IF(Data!H401="","",Data!H401)</f>
        <v/>
      </c>
      <c r="F406" s="152" t="str">
        <f>IF(Data!I401="","",Data!I401)</f>
        <v/>
      </c>
      <c r="G406" s="343"/>
      <c r="H406" s="344"/>
      <c r="I406" s="344"/>
      <c r="J406" s="344"/>
      <c r="K406" s="344"/>
      <c r="L406" s="344"/>
      <c r="M406" s="344"/>
      <c r="N406" s="345"/>
      <c r="O406" s="157" t="str">
        <f t="shared" si="303"/>
        <v/>
      </c>
      <c r="P406" s="344"/>
      <c r="Q406" s="346"/>
      <c r="R406" s="157" t="str">
        <f t="shared" si="304"/>
        <v/>
      </c>
      <c r="S406" s="159" t="str">
        <f>IF(R406="","",IF(R406&gt;Data2!$C$12,Data2!$D$11,IF(R406&gt;Data2!$C$13,Data2!$D$12,IF(R406&gt;Data2!$C$14,Data2!$D$13,Data2!$D$14))))</f>
        <v/>
      </c>
      <c r="T406" s="144">
        <f t="shared" si="305"/>
        <v>0</v>
      </c>
      <c r="U406" s="144">
        <f t="shared" si="306"/>
        <v>0</v>
      </c>
      <c r="V406" s="144" t="str">
        <f t="shared" si="315"/>
        <v>Mulai berkembang</v>
      </c>
      <c r="W406" s="144" t="str">
        <f t="shared" si="316"/>
        <v>Mulai berkembang</v>
      </c>
      <c r="X406" s="144" t="e">
        <f t="shared" si="307"/>
        <v>#N/A</v>
      </c>
      <c r="Y406" s="145" t="e">
        <f t="shared" si="308"/>
        <v>#N/A</v>
      </c>
      <c r="Z406" s="218" t="str">
        <f>IF('PA-Non'!O294&lt;&gt;"",'PA-Non'!O294,IFERROR("Mempunyai kemampuan yang " &amp;IF(V406=W406,PROPER(W406)&amp;" dalam kompetensi "&amp;VLOOKUP(X406,$G$532:$I$539,3)&amp;" dan kompetensi "&amp;VLOOKUP(Y406,$G$532:$I$539,3),PROPER(V406)&amp;" dalam kompetensi "&amp;VLOOKUP(X406,$G$532:$I$539,3)&amp;" dan memiliki kemampuan yang "&amp;W406&amp;" pada kompetensi "&amp;VLOOKUP(Y406,$G$532:$I$539,3)),""))</f>
        <v/>
      </c>
      <c r="AA406" s="343"/>
      <c r="AB406" s="344"/>
      <c r="AC406" s="344"/>
      <c r="AD406" s="344"/>
      <c r="AE406" s="344"/>
      <c r="AF406" s="344"/>
      <c r="AG406" s="344"/>
      <c r="AH406" s="345"/>
      <c r="AI406" s="220" t="str">
        <f t="shared" si="309"/>
        <v/>
      </c>
      <c r="AJ406" s="160" t="str">
        <f>IF(AI406="","",IF(AI406&gt;Data2!$C$12,Data2!$D$11,IF(AI406&gt;Data2!$C$13,Data2!$D$12,IF(AI406&gt;Data2!$C$14,Data2!$D$13,Data2!$D$14))))</f>
        <v/>
      </c>
      <c r="AK406" s="146">
        <f t="shared" si="310"/>
        <v>0</v>
      </c>
      <c r="AL406" s="146">
        <f t="shared" si="311"/>
        <v>0</v>
      </c>
      <c r="AM406" s="147" t="str">
        <f t="shared" si="317"/>
        <v>Mulai meningkat</v>
      </c>
      <c r="AN406" s="147" t="str">
        <f t="shared" si="318"/>
        <v>Mulai meningkat</v>
      </c>
      <c r="AO406" s="146" t="e">
        <f t="shared" si="312"/>
        <v>#N/A</v>
      </c>
      <c r="AP406" s="148" t="e">
        <f t="shared" si="313"/>
        <v>#N/A</v>
      </c>
      <c r="AQ406" s="158" t="str">
        <f>IF('PA-Non'!V294&lt;&gt;"",'PA-Non'!V294,IFERROR("Mempunyai keterampilan yang "&amp;IF(AM406=AN406,PROPER(AN406)&amp;" dalam kompetensi "&amp;VLOOKUP(AO406,$AA$532:$AC$539,3)&amp;", demikian juga dalam kompetensi "&amp;VLOOKUP(AP406,$AA$532:$AC$539,3),PROPER(AM406)&amp;" dalam kompetensi "&amp;VLOOKUP(AO406,$AA$532:$AC$539,3)&amp;" dan "&amp;AN406&amp;" pada kompetensi "&amp;VLOOKUP(AP406,$AA$532:$AC$539,3)),""))</f>
        <v/>
      </c>
      <c r="AR406" s="188"/>
    </row>
    <row r="407" spans="2:44" ht="27.9" customHeight="1" thickBot="1" x14ac:dyDescent="0.35">
      <c r="B407" s="384" t="s">
        <v>167</v>
      </c>
      <c r="C407" s="149" t="str">
        <f t="shared" si="314"/>
        <v/>
      </c>
      <c r="D407" s="150" t="str">
        <f>IF(Data!F402="","",Data!F402)</f>
        <v/>
      </c>
      <c r="E407" s="151" t="str">
        <f>IF(Data!H402="","",Data!H402)</f>
        <v/>
      </c>
      <c r="F407" s="152" t="str">
        <f>IF(Data!I402="","",Data!I402)</f>
        <v/>
      </c>
      <c r="G407" s="343"/>
      <c r="H407" s="344"/>
      <c r="I407" s="344"/>
      <c r="J407" s="344"/>
      <c r="K407" s="344"/>
      <c r="L407" s="344"/>
      <c r="M407" s="344"/>
      <c r="N407" s="345"/>
      <c r="O407" s="157" t="str">
        <f t="shared" si="303"/>
        <v/>
      </c>
      <c r="P407" s="344"/>
      <c r="Q407" s="346"/>
      <c r="R407" s="157" t="str">
        <f t="shared" si="304"/>
        <v/>
      </c>
      <c r="S407" s="159" t="str">
        <f>IF(R407="","",IF(R407&gt;Data2!$C$12,Data2!$D$11,IF(R407&gt;Data2!$C$13,Data2!$D$12,IF(R407&gt;Data2!$C$14,Data2!$D$13,Data2!$D$14))))</f>
        <v/>
      </c>
      <c r="T407" s="144">
        <f t="shared" si="305"/>
        <v>0</v>
      </c>
      <c r="U407" s="144">
        <f t="shared" si="306"/>
        <v>0</v>
      </c>
      <c r="V407" s="144" t="str">
        <f t="shared" si="315"/>
        <v>Mulai berkembang</v>
      </c>
      <c r="W407" s="144" t="str">
        <f t="shared" si="316"/>
        <v>Mulai berkembang</v>
      </c>
      <c r="X407" s="144" t="e">
        <f t="shared" si="307"/>
        <v>#N/A</v>
      </c>
      <c r="Y407" s="145" t="e">
        <f t="shared" si="308"/>
        <v>#N/A</v>
      </c>
      <c r="Z407" s="218" t="str">
        <f>IF('PA-Non'!O295&lt;&gt;"",'PA-Non'!O295,IFERROR("Mempunyai kemampuan yang " &amp;IF(V407=W407,PROPER(W407)&amp;" dalam kompetensi "&amp;VLOOKUP(X407,$G$532:$I$539,3)&amp;" dan kompetensi "&amp;VLOOKUP(Y407,$G$532:$I$539,3),PROPER(V407)&amp;" dalam kompetensi "&amp;VLOOKUP(X407,$G$532:$I$539,3)&amp;" dan memiliki kemampuan yang "&amp;W407&amp;" pada kompetensi "&amp;VLOOKUP(Y407,$G$532:$I$539,3)),""))</f>
        <v/>
      </c>
      <c r="AA407" s="343"/>
      <c r="AB407" s="344"/>
      <c r="AC407" s="344"/>
      <c r="AD407" s="344"/>
      <c r="AE407" s="344"/>
      <c r="AF407" s="344"/>
      <c r="AG407" s="344"/>
      <c r="AH407" s="345"/>
      <c r="AI407" s="220" t="str">
        <f t="shared" si="309"/>
        <v/>
      </c>
      <c r="AJ407" s="160" t="str">
        <f>IF(AI407="","",IF(AI407&gt;Data2!$C$12,Data2!$D$11,IF(AI407&gt;Data2!$C$13,Data2!$D$12,IF(AI407&gt;Data2!$C$14,Data2!$D$13,Data2!$D$14))))</f>
        <v/>
      </c>
      <c r="AK407" s="146">
        <f t="shared" si="310"/>
        <v>0</v>
      </c>
      <c r="AL407" s="146">
        <f t="shared" si="311"/>
        <v>0</v>
      </c>
      <c r="AM407" s="147" t="str">
        <f t="shared" si="317"/>
        <v>Mulai meningkat</v>
      </c>
      <c r="AN407" s="147" t="str">
        <f t="shared" si="318"/>
        <v>Mulai meningkat</v>
      </c>
      <c r="AO407" s="146" t="e">
        <f t="shared" si="312"/>
        <v>#N/A</v>
      </c>
      <c r="AP407" s="148" t="e">
        <f t="shared" si="313"/>
        <v>#N/A</v>
      </c>
      <c r="AQ407" s="158" t="str">
        <f>IF('PA-Non'!V295&lt;&gt;"",'PA-Non'!V295,IFERROR("Mempunyai keterampilan yang "&amp;IF(AM407=AN407,PROPER(AN407)&amp;" dalam kompetensi "&amp;VLOOKUP(AO407,$AA$532:$AC$539,3)&amp;", demikian juga dalam kompetensi "&amp;VLOOKUP(AP407,$AA$532:$AC$539,3),PROPER(AM407)&amp;" dalam kompetensi "&amp;VLOOKUP(AO407,$AA$532:$AC$539,3)&amp;" dan "&amp;AN407&amp;" pada kompetensi "&amp;VLOOKUP(AP407,$AA$532:$AC$539,3)),""))</f>
        <v/>
      </c>
      <c r="AR407" s="188"/>
    </row>
    <row r="408" spans="2:44" ht="27.9" customHeight="1" x14ac:dyDescent="0.3">
      <c r="B408" s="410" t="s">
        <v>167</v>
      </c>
      <c r="C408" s="149" t="str">
        <f t="shared" si="314"/>
        <v/>
      </c>
      <c r="D408" s="51" t="str">
        <f>IF(Data!F403="","",Data!F403)</f>
        <v/>
      </c>
      <c r="E408" s="91" t="str">
        <f>IF(Data!H403="","",Data!H403)</f>
        <v/>
      </c>
      <c r="F408" s="52" t="str">
        <f>IF(Data!I403="","",Data!I403)</f>
        <v/>
      </c>
      <c r="G408" s="411"/>
      <c r="H408" s="412"/>
      <c r="I408" s="412"/>
      <c r="J408" s="412"/>
      <c r="K408" s="412"/>
      <c r="L408" s="412"/>
      <c r="M408" s="412"/>
      <c r="N408" s="413"/>
      <c r="O408" s="391" t="str">
        <f t="shared" si="303"/>
        <v/>
      </c>
      <c r="P408" s="412"/>
      <c r="Q408" s="414"/>
      <c r="R408" s="391" t="str">
        <f t="shared" si="304"/>
        <v/>
      </c>
      <c r="S408" s="393" t="str">
        <f>IF(R408="","",IF(R408&gt;Data2!$C$12,Data2!$D$11,IF(R408&gt;Data2!$C$13,Data2!$D$12,IF(R408&gt;Data2!$C$14,Data2!$D$13,Data2!$D$14))))</f>
        <v/>
      </c>
      <c r="T408" s="394">
        <f t="shared" si="305"/>
        <v>0</v>
      </c>
      <c r="U408" s="394">
        <f t="shared" si="306"/>
        <v>0</v>
      </c>
      <c r="V408" s="394" t="str">
        <f t="shared" si="315"/>
        <v>Mulai berkembang</v>
      </c>
      <c r="W408" s="394" t="str">
        <f t="shared" si="316"/>
        <v>Mulai berkembang</v>
      </c>
      <c r="X408" s="394" t="e">
        <f t="shared" si="307"/>
        <v>#N/A</v>
      </c>
      <c r="Y408" s="395" t="e">
        <f t="shared" si="308"/>
        <v>#N/A</v>
      </c>
      <c r="Z408" s="396" t="str">
        <f>IF('PA-Non'!O296&lt;&gt;"",'PA-Non'!O296,IFERROR("Mempunyai kemampuan yang " &amp;IF(V408=W408,PROPER(W408)&amp;" dalam kompetensi "&amp;VLOOKUP(X408,$G$532:$I$539,3)&amp;" dan kompetensi "&amp;VLOOKUP(Y408,$G$532:$I$539,3),PROPER(V408)&amp;" dalam kompetensi "&amp;VLOOKUP(X408,$G$532:$I$539,3)&amp;" dan memiliki kemampuan yang "&amp;W408&amp;" pada kompetensi "&amp;VLOOKUP(Y408,$G$532:$I$539,3)),""))</f>
        <v/>
      </c>
      <c r="AA408" s="411"/>
      <c r="AB408" s="412"/>
      <c r="AC408" s="412"/>
      <c r="AD408" s="412"/>
      <c r="AE408" s="412"/>
      <c r="AF408" s="412"/>
      <c r="AG408" s="412"/>
      <c r="AH408" s="413"/>
      <c r="AI408" s="397" t="str">
        <f t="shared" si="309"/>
        <v/>
      </c>
      <c r="AJ408" s="398" t="str">
        <f>IF(AI408="","",IF(AI408&gt;Data2!$C$12,Data2!$D$11,IF(AI408&gt;Data2!$C$13,Data2!$D$12,IF(AI408&gt;Data2!$C$14,Data2!$D$13,Data2!$D$14))))</f>
        <v/>
      </c>
      <c r="AK408" s="399">
        <f t="shared" si="310"/>
        <v>0</v>
      </c>
      <c r="AL408" s="399">
        <f t="shared" si="311"/>
        <v>0</v>
      </c>
      <c r="AM408" s="400" t="str">
        <f t="shared" si="317"/>
        <v>Mulai meningkat</v>
      </c>
      <c r="AN408" s="400" t="str">
        <f t="shared" si="318"/>
        <v>Mulai meningkat</v>
      </c>
      <c r="AO408" s="399" t="e">
        <f t="shared" si="312"/>
        <v>#N/A</v>
      </c>
      <c r="AP408" s="401" t="e">
        <f t="shared" si="313"/>
        <v>#N/A</v>
      </c>
      <c r="AQ408" s="402" t="str">
        <f>IF('PA-Non'!V296&lt;&gt;"",'PA-Non'!V296,IFERROR("Mempunyai keterampilan yang "&amp;IF(AM408=AN408,PROPER(AN408)&amp;" dalam kompetensi "&amp;VLOOKUP(AO408,$AA$532:$AC$539,3)&amp;", demikian juga dalam kompetensi "&amp;VLOOKUP(AP408,$AA$532:$AC$539,3),PROPER(AM408)&amp;" dalam kompetensi "&amp;VLOOKUP(AO408,$AA$532:$AC$539,3)&amp;" dan "&amp;AN408&amp;" pada kompetensi "&amp;VLOOKUP(AP408,$AA$532:$AC$539,3)),""))</f>
        <v/>
      </c>
      <c r="AR408" s="188"/>
    </row>
    <row r="409" spans="2:44" ht="27.9" customHeight="1" thickBot="1" x14ac:dyDescent="0.35">
      <c r="B409" s="385" t="s">
        <v>167</v>
      </c>
      <c r="C409" s="149" t="str">
        <f t="shared" si="314"/>
        <v/>
      </c>
      <c r="D409" s="367" t="str">
        <f>IF(Data!F404="","",Data!F404)</f>
        <v/>
      </c>
      <c r="E409" s="368" t="str">
        <f>IF(Data!H404="","",Data!H404)</f>
        <v/>
      </c>
      <c r="F409" s="369" t="str">
        <f>IF(Data!I404="","",Data!I404)</f>
        <v/>
      </c>
      <c r="G409" s="379"/>
      <c r="H409" s="380"/>
      <c r="I409" s="380"/>
      <c r="J409" s="380"/>
      <c r="K409" s="380"/>
      <c r="L409" s="380"/>
      <c r="M409" s="380"/>
      <c r="N409" s="381"/>
      <c r="O409" s="373" t="str">
        <f t="shared" si="303"/>
        <v/>
      </c>
      <c r="P409" s="380"/>
      <c r="Q409" s="382"/>
      <c r="R409" s="373" t="str">
        <f t="shared" si="304"/>
        <v/>
      </c>
      <c r="S409" s="375" t="str">
        <f>IF(R409="","",IF(R409&gt;Data2!$C$12,Data2!$D$11,IF(R409&gt;Data2!$C$13,Data2!$D$12,IF(R409&gt;Data2!$C$14,Data2!$D$13,Data2!$D$14))))</f>
        <v/>
      </c>
      <c r="T409" s="404">
        <f t="shared" si="305"/>
        <v>0</v>
      </c>
      <c r="U409" s="404">
        <f t="shared" si="306"/>
        <v>0</v>
      </c>
      <c r="V409" s="404" t="str">
        <f t="shared" si="315"/>
        <v>Mulai berkembang</v>
      </c>
      <c r="W409" s="404" t="str">
        <f t="shared" si="316"/>
        <v>Mulai berkembang</v>
      </c>
      <c r="X409" s="404" t="e">
        <f t="shared" si="307"/>
        <v>#N/A</v>
      </c>
      <c r="Y409" s="405" t="e">
        <f t="shared" si="308"/>
        <v>#N/A</v>
      </c>
      <c r="Z409" s="376" t="str">
        <f>IF('PA-Non'!O297&lt;&gt;"",'PA-Non'!O297,IFERROR("Mempunyai kemampuan yang " &amp;IF(V409=W409,PROPER(W409)&amp;" dalam kompetensi "&amp;VLOOKUP(X409,$G$532:$I$539,3)&amp;" dan kompetensi "&amp;VLOOKUP(Y409,$G$532:$I$539,3),PROPER(V409)&amp;" dalam kompetensi "&amp;VLOOKUP(X409,$G$532:$I$539,3)&amp;" dan memiliki kemampuan yang "&amp;W409&amp;" pada kompetensi "&amp;VLOOKUP(Y409,$G$532:$I$539,3)),""))</f>
        <v/>
      </c>
      <c r="AA409" s="379"/>
      <c r="AB409" s="380"/>
      <c r="AC409" s="380"/>
      <c r="AD409" s="380"/>
      <c r="AE409" s="380"/>
      <c r="AF409" s="380"/>
      <c r="AG409" s="380"/>
      <c r="AH409" s="381"/>
      <c r="AI409" s="377" t="str">
        <f t="shared" si="309"/>
        <v/>
      </c>
      <c r="AJ409" s="378" t="str">
        <f>IF(AI409="","",IF(AI409&gt;Data2!$C$12,Data2!$D$11,IF(AI409&gt;Data2!$C$13,Data2!$D$12,IF(AI409&gt;Data2!$C$14,Data2!$D$13,Data2!$D$14))))</f>
        <v/>
      </c>
      <c r="AK409" s="406">
        <f t="shared" si="310"/>
        <v>0</v>
      </c>
      <c r="AL409" s="406">
        <f t="shared" si="311"/>
        <v>0</v>
      </c>
      <c r="AM409" s="407" t="str">
        <f t="shared" si="317"/>
        <v>Mulai meningkat</v>
      </c>
      <c r="AN409" s="407" t="str">
        <f t="shared" si="318"/>
        <v>Mulai meningkat</v>
      </c>
      <c r="AO409" s="406" t="e">
        <f t="shared" si="312"/>
        <v>#N/A</v>
      </c>
      <c r="AP409" s="408" t="e">
        <f t="shared" si="313"/>
        <v>#N/A</v>
      </c>
      <c r="AQ409" s="409" t="str">
        <f>IF('PA-Non'!V297&lt;&gt;"",'PA-Non'!V297,IFERROR("Mempunyai keterampilan yang "&amp;IF(AM409=AN409,PROPER(AN409)&amp;" dalam kompetensi "&amp;VLOOKUP(AO409,$AA$532:$AC$539,3)&amp;", demikian juga dalam kompetensi "&amp;VLOOKUP(AP409,$AA$532:$AC$539,3),PROPER(AM409)&amp;" dalam kompetensi "&amp;VLOOKUP(AO409,$AA$532:$AC$539,3)&amp;" dan "&amp;AN409&amp;" pada kompetensi "&amp;VLOOKUP(AP409,$AA$532:$AC$539,3)),""))</f>
        <v/>
      </c>
      <c r="AR409" s="188"/>
    </row>
    <row r="410" spans="2:44" ht="27.75" customHeight="1" thickBot="1" x14ac:dyDescent="0.35">
      <c r="B410" s="226" t="s">
        <v>188</v>
      </c>
      <c r="C410" s="137">
        <v>1</v>
      </c>
      <c r="D410" s="138" t="str">
        <f>IF(Data!F405="","",Data!F405)</f>
        <v/>
      </c>
      <c r="E410" s="139" t="str">
        <f>IF(Data!H405="","",Data!H405)</f>
        <v/>
      </c>
      <c r="F410" s="140" t="str">
        <f>IF(Data!I405="","",Data!I405)</f>
        <v/>
      </c>
      <c r="G410" s="153"/>
      <c r="H410" s="154"/>
      <c r="I410" s="154"/>
      <c r="J410" s="154"/>
      <c r="K410" s="154"/>
      <c r="L410" s="154"/>
      <c r="M410" s="154"/>
      <c r="N410" s="155"/>
      <c r="O410" s="143" t="str">
        <f t="shared" si="303"/>
        <v/>
      </c>
      <c r="P410" s="141"/>
      <c r="Q410" s="142"/>
      <c r="R410" s="143" t="str">
        <f t="shared" si="304"/>
        <v/>
      </c>
      <c r="S410" s="159" t="str">
        <f>IF(R410="","",IF(R410&gt;Data2!$C$12,Data2!$D$11,IF(R410&gt;Data2!$C$13,Data2!$D$12,IF(R410&gt;Data2!$C$14,Data2!$D$13,Data2!$D$14))))</f>
        <v/>
      </c>
      <c r="T410" s="144">
        <f t="shared" si="305"/>
        <v>0</v>
      </c>
      <c r="U410" s="144">
        <f t="shared" si="306"/>
        <v>0</v>
      </c>
      <c r="V410" s="144" t="str">
        <f t="shared" si="315"/>
        <v>Mulai berkembang</v>
      </c>
      <c r="W410" s="144" t="str">
        <f t="shared" si="316"/>
        <v>Mulai berkembang</v>
      </c>
      <c r="X410" s="144" t="e">
        <f t="shared" si="307"/>
        <v>#N/A</v>
      </c>
      <c r="Y410" s="145" t="e">
        <f t="shared" si="308"/>
        <v>#N/A</v>
      </c>
      <c r="Z410" s="218" t="str">
        <f>IF('PA-Non'!O298&lt;&gt;"",'PA-Non'!O298,IFERROR("Mempunyai kemampuan yang " &amp;IF(V410=W410,PROPER(W410)&amp;" dalam kompetensi "&amp;VLOOKUP(X410,$G$532:$I$539,3)&amp;" dan kompetensi "&amp;VLOOKUP(Y410,$G$532:$I$539,3),PROPER(V410)&amp;" dalam kompetensi "&amp;VLOOKUP(X410,$G$532:$I$539,3)&amp;" dan memiliki kemampuan yang "&amp;W410&amp;" pada kompetensi "&amp;VLOOKUP(Y410,$G$532:$I$539,3)),""))</f>
        <v/>
      </c>
      <c r="AA410" s="153"/>
      <c r="AB410" s="154"/>
      <c r="AC410" s="154"/>
      <c r="AD410" s="154"/>
      <c r="AE410" s="154"/>
      <c r="AF410" s="154"/>
      <c r="AG410" s="154"/>
      <c r="AH410" s="155"/>
      <c r="AI410" s="219" t="str">
        <f t="shared" si="309"/>
        <v/>
      </c>
      <c r="AJ410" s="160" t="str">
        <f>IF(AI410="","",IF(AI410&gt;Data2!$C$12,Data2!$D$11,IF(AI410&gt;Data2!$C$13,Data2!$D$12,IF(AI410&gt;Data2!$C$14,Data2!$D$13,Data2!$D$14))))</f>
        <v/>
      </c>
      <c r="AK410" s="146">
        <f t="shared" si="310"/>
        <v>0</v>
      </c>
      <c r="AL410" s="146">
        <f t="shared" si="311"/>
        <v>0</v>
      </c>
      <c r="AM410" s="147" t="str">
        <f t="shared" si="317"/>
        <v>Mulai meningkat</v>
      </c>
      <c r="AN410" s="147" t="str">
        <f t="shared" si="318"/>
        <v>Mulai meningkat</v>
      </c>
      <c r="AO410" s="146" t="e">
        <f t="shared" si="312"/>
        <v>#N/A</v>
      </c>
      <c r="AP410" s="148" t="e">
        <f t="shared" si="313"/>
        <v>#N/A</v>
      </c>
      <c r="AQ410" s="158" t="str">
        <f>IF('PA-Non'!V298&lt;&gt;"",'PA-Non'!V298,IFERROR("Mempunyai keterampilan yang "&amp;IF(AM410=AN410,PROPER(AN410)&amp;" dalam kompetensi "&amp;VLOOKUP(AO410,$AA$532:$AC$539,3)&amp;", demikian juga dalam kompetensi "&amp;VLOOKUP(AP410,$AA$532:$AC$539,3),PROPER(AM410)&amp;" dalam kompetensi "&amp;VLOOKUP(AO410,$AA$532:$AC$539,3)&amp;" dan "&amp;AN410&amp;" pada kompetensi "&amp;VLOOKUP(AP410,$AA$532:$AC$539,3)),""))</f>
        <v/>
      </c>
      <c r="AR410" s="188"/>
    </row>
    <row r="411" spans="2:44" ht="27.75" customHeight="1" thickBot="1" x14ac:dyDescent="0.35">
      <c r="B411" s="226" t="s">
        <v>188</v>
      </c>
      <c r="C411" s="149" t="str">
        <f t="shared" ref="C411:C449" si="319">IF(E411="","",C410+1)</f>
        <v/>
      </c>
      <c r="D411" s="150" t="str">
        <f>IF(Data!F406="","",Data!F406)</f>
        <v/>
      </c>
      <c r="E411" s="151" t="str">
        <f>IF(Data!H406="","",Data!H406)</f>
        <v/>
      </c>
      <c r="F411" s="152" t="str">
        <f>IF(Data!I406="","",Data!I406)</f>
        <v/>
      </c>
      <c r="G411" s="153"/>
      <c r="H411" s="154"/>
      <c r="I411" s="154"/>
      <c r="J411" s="154"/>
      <c r="K411" s="154"/>
      <c r="L411" s="154"/>
      <c r="M411" s="154"/>
      <c r="N411" s="155"/>
      <c r="O411" s="157" t="str">
        <f t="shared" si="303"/>
        <v/>
      </c>
      <c r="P411" s="154"/>
      <c r="Q411" s="156"/>
      <c r="R411" s="157" t="str">
        <f t="shared" si="304"/>
        <v/>
      </c>
      <c r="S411" s="159" t="str">
        <f>IF(R411="","",IF(R411&gt;Data2!$C$12,Data2!$D$11,IF(R411&gt;Data2!$C$13,Data2!$D$12,IF(R411&gt;Data2!$C$14,Data2!$D$13,Data2!$D$14))))</f>
        <v/>
      </c>
      <c r="T411" s="144">
        <f t="shared" si="305"/>
        <v>0</v>
      </c>
      <c r="U411" s="144">
        <f t="shared" si="306"/>
        <v>0</v>
      </c>
      <c r="V411" s="144" t="str">
        <f t="shared" si="315"/>
        <v>Mulai berkembang</v>
      </c>
      <c r="W411" s="144" t="str">
        <f t="shared" si="316"/>
        <v>Mulai berkembang</v>
      </c>
      <c r="X411" s="144" t="e">
        <f t="shared" si="307"/>
        <v>#N/A</v>
      </c>
      <c r="Y411" s="145" t="e">
        <f t="shared" si="308"/>
        <v>#N/A</v>
      </c>
      <c r="Z411" s="218" t="str">
        <f>IF('PA-Non'!O299&lt;&gt;"",'PA-Non'!O299,IFERROR("Mempunyai kemampuan yang " &amp;IF(V411=W411,PROPER(W411)&amp;" dalam kompetensi "&amp;VLOOKUP(X411,$G$532:$I$539,3)&amp;" dan kompetensi "&amp;VLOOKUP(Y411,$G$532:$I$539,3),PROPER(V411)&amp;" dalam kompetensi "&amp;VLOOKUP(X411,$G$532:$I$539,3)&amp;" dan memiliki kemampuan yang "&amp;W411&amp;" pada kompetensi "&amp;VLOOKUP(Y411,$G$532:$I$539,3)),""))</f>
        <v/>
      </c>
      <c r="AA411" s="153"/>
      <c r="AB411" s="154"/>
      <c r="AC411" s="154"/>
      <c r="AD411" s="154"/>
      <c r="AE411" s="154"/>
      <c r="AF411" s="154"/>
      <c r="AG411" s="154"/>
      <c r="AH411" s="155"/>
      <c r="AI411" s="220" t="str">
        <f t="shared" si="309"/>
        <v/>
      </c>
      <c r="AJ411" s="160" t="str">
        <f>IF(AI411="","",IF(AI411&gt;Data2!$C$12,Data2!$D$11,IF(AI411&gt;Data2!$C$13,Data2!$D$12,IF(AI411&gt;Data2!$C$14,Data2!$D$13,Data2!$D$14))))</f>
        <v/>
      </c>
      <c r="AK411" s="146">
        <f t="shared" si="310"/>
        <v>0</v>
      </c>
      <c r="AL411" s="146">
        <f t="shared" si="311"/>
        <v>0</v>
      </c>
      <c r="AM411" s="147" t="str">
        <f t="shared" si="317"/>
        <v>Mulai meningkat</v>
      </c>
      <c r="AN411" s="147" t="str">
        <f t="shared" si="318"/>
        <v>Mulai meningkat</v>
      </c>
      <c r="AO411" s="146" t="e">
        <f t="shared" si="312"/>
        <v>#N/A</v>
      </c>
      <c r="AP411" s="148" t="e">
        <f t="shared" si="313"/>
        <v>#N/A</v>
      </c>
      <c r="AQ411" s="158" t="str">
        <f>IF('PA-Non'!V299&lt;&gt;"",'PA-Non'!V299,IFERROR("Mempunyai keterampilan yang "&amp;IF(AM411=AN411,PROPER(AN411)&amp;" dalam kompetensi "&amp;VLOOKUP(AO411,$AA$532:$AC$539,3)&amp;", demikian juga dalam kompetensi "&amp;VLOOKUP(AP411,$AA$532:$AC$539,3),PROPER(AM411)&amp;" dalam kompetensi "&amp;VLOOKUP(AO411,$AA$532:$AC$539,3)&amp;" dan "&amp;AN411&amp;" pada kompetensi "&amp;VLOOKUP(AP411,$AA$532:$AC$539,3)),""))</f>
        <v/>
      </c>
      <c r="AR411" s="188"/>
    </row>
    <row r="412" spans="2:44" ht="27.75" customHeight="1" thickBot="1" x14ac:dyDescent="0.35">
      <c r="B412" s="226" t="s">
        <v>188</v>
      </c>
      <c r="C412" s="149" t="str">
        <f t="shared" si="319"/>
        <v/>
      </c>
      <c r="D412" s="150" t="str">
        <f>IF(Data!F407="","",Data!F407)</f>
        <v/>
      </c>
      <c r="E412" s="151" t="str">
        <f>IF(Data!H407="","",Data!H407)</f>
        <v/>
      </c>
      <c r="F412" s="152" t="str">
        <f>IF(Data!I407="","",Data!I407)</f>
        <v/>
      </c>
      <c r="G412" s="153"/>
      <c r="H412" s="154"/>
      <c r="I412" s="154"/>
      <c r="J412" s="154"/>
      <c r="K412" s="154"/>
      <c r="L412" s="154"/>
      <c r="M412" s="154"/>
      <c r="N412" s="155"/>
      <c r="O412" s="157" t="str">
        <f t="shared" si="303"/>
        <v/>
      </c>
      <c r="P412" s="154"/>
      <c r="Q412" s="156"/>
      <c r="R412" s="157" t="str">
        <f t="shared" si="304"/>
        <v/>
      </c>
      <c r="S412" s="159" t="str">
        <f>IF(R412="","",IF(R412&gt;Data2!$C$12,Data2!$D$11,IF(R412&gt;Data2!$C$13,Data2!$D$12,IF(R412&gt;Data2!$C$14,Data2!$D$13,Data2!$D$14))))</f>
        <v/>
      </c>
      <c r="T412" s="144">
        <f t="shared" si="305"/>
        <v>0</v>
      </c>
      <c r="U412" s="144">
        <f t="shared" si="306"/>
        <v>0</v>
      </c>
      <c r="V412" s="144" t="str">
        <f t="shared" si="315"/>
        <v>Mulai berkembang</v>
      </c>
      <c r="W412" s="144" t="str">
        <f t="shared" si="316"/>
        <v>Mulai berkembang</v>
      </c>
      <c r="X412" s="144" t="e">
        <f t="shared" si="307"/>
        <v>#N/A</v>
      </c>
      <c r="Y412" s="145" t="e">
        <f t="shared" si="308"/>
        <v>#N/A</v>
      </c>
      <c r="Z412" s="218" t="str">
        <f>IF('PA-Non'!O300&lt;&gt;"",'PA-Non'!O300,IFERROR("Mempunyai kemampuan yang " &amp;IF(V412=W412,PROPER(W412)&amp;" dalam kompetensi "&amp;VLOOKUP(X412,$G$532:$I$539,3)&amp;" dan kompetensi "&amp;VLOOKUP(Y412,$G$532:$I$539,3),PROPER(V412)&amp;" dalam kompetensi "&amp;VLOOKUP(X412,$G$532:$I$539,3)&amp;" dan memiliki kemampuan yang "&amp;W412&amp;" pada kompetensi "&amp;VLOOKUP(Y412,$G$532:$I$539,3)),""))</f>
        <v/>
      </c>
      <c r="AA412" s="153"/>
      <c r="AB412" s="154"/>
      <c r="AC412" s="154"/>
      <c r="AD412" s="154"/>
      <c r="AE412" s="154"/>
      <c r="AF412" s="154"/>
      <c r="AG412" s="154"/>
      <c r="AH412" s="155"/>
      <c r="AI412" s="220" t="str">
        <f t="shared" si="309"/>
        <v/>
      </c>
      <c r="AJ412" s="160" t="str">
        <f>IF(AI412="","",IF(AI412&gt;Data2!$C$12,Data2!$D$11,IF(AI412&gt;Data2!$C$13,Data2!$D$12,IF(AI412&gt;Data2!$C$14,Data2!$D$13,Data2!$D$14))))</f>
        <v/>
      </c>
      <c r="AK412" s="146">
        <f t="shared" si="310"/>
        <v>0</v>
      </c>
      <c r="AL412" s="146">
        <f t="shared" si="311"/>
        <v>0</v>
      </c>
      <c r="AM412" s="147" t="str">
        <f t="shared" si="317"/>
        <v>Mulai meningkat</v>
      </c>
      <c r="AN412" s="147" t="str">
        <f t="shared" si="318"/>
        <v>Mulai meningkat</v>
      </c>
      <c r="AO412" s="146" t="e">
        <f t="shared" si="312"/>
        <v>#N/A</v>
      </c>
      <c r="AP412" s="148" t="e">
        <f t="shared" si="313"/>
        <v>#N/A</v>
      </c>
      <c r="AQ412" s="158" t="str">
        <f>IF('PA-Non'!V300&lt;&gt;"",'PA-Non'!V300,IFERROR("Mempunyai keterampilan yang "&amp;IF(AM412=AN412,PROPER(AN412)&amp;" dalam kompetensi "&amp;VLOOKUP(AO412,$AA$532:$AC$539,3)&amp;", demikian juga dalam kompetensi "&amp;VLOOKUP(AP412,$AA$532:$AC$539,3),PROPER(AM412)&amp;" dalam kompetensi "&amp;VLOOKUP(AO412,$AA$532:$AC$539,3)&amp;" dan "&amp;AN412&amp;" pada kompetensi "&amp;VLOOKUP(AP412,$AA$532:$AC$539,3)),""))</f>
        <v/>
      </c>
      <c r="AR412" s="188"/>
    </row>
    <row r="413" spans="2:44" ht="27.9" customHeight="1" thickBot="1" x14ac:dyDescent="0.35">
      <c r="B413" s="226" t="s">
        <v>188</v>
      </c>
      <c r="C413" s="149" t="str">
        <f t="shared" si="319"/>
        <v/>
      </c>
      <c r="D413" s="150" t="str">
        <f>IF(Data!F408="","",Data!F408)</f>
        <v/>
      </c>
      <c r="E413" s="151" t="str">
        <f>IF(Data!H408="","",Data!H408)</f>
        <v/>
      </c>
      <c r="F413" s="152" t="str">
        <f>IF(Data!I408="","",Data!I408)</f>
        <v/>
      </c>
      <c r="G413" s="153"/>
      <c r="H413" s="154"/>
      <c r="I413" s="154"/>
      <c r="J413" s="154"/>
      <c r="K413" s="154"/>
      <c r="L413" s="154"/>
      <c r="M413" s="154"/>
      <c r="N413" s="155"/>
      <c r="O413" s="157" t="str">
        <f t="shared" si="303"/>
        <v/>
      </c>
      <c r="P413" s="154"/>
      <c r="Q413" s="156"/>
      <c r="R413" s="157" t="str">
        <f t="shared" si="304"/>
        <v/>
      </c>
      <c r="S413" s="159" t="str">
        <f>IF(R413="","",IF(R413&gt;Data2!$C$12,Data2!$D$11,IF(R413&gt;Data2!$C$13,Data2!$D$12,IF(R413&gt;Data2!$C$14,Data2!$D$13,Data2!$D$14))))</f>
        <v/>
      </c>
      <c r="T413" s="144">
        <f t="shared" si="305"/>
        <v>0</v>
      </c>
      <c r="U413" s="144">
        <f t="shared" si="306"/>
        <v>0</v>
      </c>
      <c r="V413" s="144" t="str">
        <f t="shared" si="315"/>
        <v>Mulai berkembang</v>
      </c>
      <c r="W413" s="144" t="str">
        <f t="shared" si="316"/>
        <v>Mulai berkembang</v>
      </c>
      <c r="X413" s="144" t="e">
        <f t="shared" si="307"/>
        <v>#N/A</v>
      </c>
      <c r="Y413" s="145" t="e">
        <f t="shared" si="308"/>
        <v>#N/A</v>
      </c>
      <c r="Z413" s="218" t="str">
        <f>IF('PA-Non'!O301&lt;&gt;"",'PA-Non'!O301,IFERROR("Mempunyai kemampuan yang " &amp;IF(V413=W413,PROPER(W413)&amp;" dalam kompetensi "&amp;VLOOKUP(X413,$G$532:$I$539,3)&amp;" dan kompetensi "&amp;VLOOKUP(Y413,$G$532:$I$539,3),PROPER(V413)&amp;" dalam kompetensi "&amp;VLOOKUP(X413,$G$532:$I$539,3)&amp;" dan memiliki kemampuan yang "&amp;W413&amp;" pada kompetensi "&amp;VLOOKUP(Y413,$G$532:$I$539,3)),""))</f>
        <v/>
      </c>
      <c r="AA413" s="153"/>
      <c r="AB413" s="154"/>
      <c r="AC413" s="154"/>
      <c r="AD413" s="154"/>
      <c r="AE413" s="154"/>
      <c r="AF413" s="154"/>
      <c r="AG413" s="154"/>
      <c r="AH413" s="155"/>
      <c r="AI413" s="220" t="str">
        <f t="shared" si="309"/>
        <v/>
      </c>
      <c r="AJ413" s="160" t="str">
        <f>IF(AI413="","",IF(AI413&gt;Data2!$C$12,Data2!$D$11,IF(AI413&gt;Data2!$C$13,Data2!$D$12,IF(AI413&gt;Data2!$C$14,Data2!$D$13,Data2!$D$14))))</f>
        <v/>
      </c>
      <c r="AK413" s="146">
        <f t="shared" si="310"/>
        <v>0</v>
      </c>
      <c r="AL413" s="146">
        <f t="shared" si="311"/>
        <v>0</v>
      </c>
      <c r="AM413" s="147" t="str">
        <f t="shared" si="317"/>
        <v>Mulai meningkat</v>
      </c>
      <c r="AN413" s="147" t="str">
        <f t="shared" si="318"/>
        <v>Mulai meningkat</v>
      </c>
      <c r="AO413" s="146" t="e">
        <f t="shared" si="312"/>
        <v>#N/A</v>
      </c>
      <c r="AP413" s="148" t="e">
        <f t="shared" si="313"/>
        <v>#N/A</v>
      </c>
      <c r="AQ413" s="158" t="str">
        <f>IF('PA-Non'!V301&lt;&gt;"",'PA-Non'!V301,IFERROR("Mempunyai keterampilan yang "&amp;IF(AM413=AN413,PROPER(AN413)&amp;" dalam kompetensi "&amp;VLOOKUP(AO413,$AA$532:$AC$539,3)&amp;", demikian juga dalam kompetensi "&amp;VLOOKUP(AP413,$AA$532:$AC$539,3),PROPER(AM413)&amp;" dalam kompetensi "&amp;VLOOKUP(AO413,$AA$532:$AC$539,3)&amp;" dan "&amp;AN413&amp;" pada kompetensi "&amp;VLOOKUP(AP413,$AA$532:$AC$539,3)),""))</f>
        <v/>
      </c>
      <c r="AR413" s="188"/>
    </row>
    <row r="414" spans="2:44" ht="27.9" customHeight="1" thickBot="1" x14ac:dyDescent="0.35">
      <c r="B414" s="226" t="s">
        <v>188</v>
      </c>
      <c r="C414" s="149" t="str">
        <f t="shared" si="319"/>
        <v/>
      </c>
      <c r="D414" s="150" t="str">
        <f>IF(Data!F409="","",Data!F409)</f>
        <v/>
      </c>
      <c r="E414" s="151" t="str">
        <f>IF(Data!H409="","",Data!H409)</f>
        <v/>
      </c>
      <c r="F414" s="152" t="str">
        <f>IF(Data!I409="","",Data!I409)</f>
        <v/>
      </c>
      <c r="G414" s="153"/>
      <c r="H414" s="154"/>
      <c r="I414" s="154"/>
      <c r="J414" s="154"/>
      <c r="K414" s="154"/>
      <c r="L414" s="154"/>
      <c r="M414" s="154"/>
      <c r="N414" s="155"/>
      <c r="O414" s="157" t="str">
        <f t="shared" si="303"/>
        <v/>
      </c>
      <c r="P414" s="154"/>
      <c r="Q414" s="156"/>
      <c r="R414" s="157" t="str">
        <f t="shared" si="304"/>
        <v/>
      </c>
      <c r="S414" s="159" t="str">
        <f>IF(R414="","",IF(R414&gt;Data2!$C$12,Data2!$D$11,IF(R414&gt;Data2!$C$13,Data2!$D$12,IF(R414&gt;Data2!$C$14,Data2!$D$13,Data2!$D$14))))</f>
        <v/>
      </c>
      <c r="T414" s="144">
        <f t="shared" si="305"/>
        <v>0</v>
      </c>
      <c r="U414" s="144">
        <f t="shared" si="306"/>
        <v>0</v>
      </c>
      <c r="V414" s="144" t="str">
        <f t="shared" si="315"/>
        <v>Mulai berkembang</v>
      </c>
      <c r="W414" s="144" t="str">
        <f t="shared" si="316"/>
        <v>Mulai berkembang</v>
      </c>
      <c r="X414" s="144" t="e">
        <f t="shared" si="307"/>
        <v>#N/A</v>
      </c>
      <c r="Y414" s="145" t="e">
        <f t="shared" si="308"/>
        <v>#N/A</v>
      </c>
      <c r="Z414" s="218" t="str">
        <f>IF('PA-Non'!O302&lt;&gt;"",'PA-Non'!O302,IFERROR("Mempunyai kemampuan yang " &amp;IF(V414=W414,PROPER(W414)&amp;" dalam kompetensi "&amp;VLOOKUP(X414,$G$532:$I$539,3)&amp;" dan kompetensi "&amp;VLOOKUP(Y414,$G$532:$I$539,3),PROPER(V414)&amp;" dalam kompetensi "&amp;VLOOKUP(X414,$G$532:$I$539,3)&amp;" dan memiliki kemampuan yang "&amp;W414&amp;" pada kompetensi "&amp;VLOOKUP(Y414,$G$532:$I$539,3)),""))</f>
        <v/>
      </c>
      <c r="AA414" s="153"/>
      <c r="AB414" s="154"/>
      <c r="AC414" s="154"/>
      <c r="AD414" s="154"/>
      <c r="AE414" s="154"/>
      <c r="AF414" s="154"/>
      <c r="AG414" s="154"/>
      <c r="AH414" s="155"/>
      <c r="AI414" s="220" t="str">
        <f t="shared" si="309"/>
        <v/>
      </c>
      <c r="AJ414" s="160" t="str">
        <f>IF(AI414="","",IF(AI414&gt;Data2!$C$12,Data2!$D$11,IF(AI414&gt;Data2!$C$13,Data2!$D$12,IF(AI414&gt;Data2!$C$14,Data2!$D$13,Data2!$D$14))))</f>
        <v/>
      </c>
      <c r="AK414" s="146">
        <f t="shared" si="310"/>
        <v>0</v>
      </c>
      <c r="AL414" s="146">
        <f t="shared" si="311"/>
        <v>0</v>
      </c>
      <c r="AM414" s="147" t="str">
        <f t="shared" si="317"/>
        <v>Mulai meningkat</v>
      </c>
      <c r="AN414" s="147" t="str">
        <f t="shared" si="318"/>
        <v>Mulai meningkat</v>
      </c>
      <c r="AO414" s="146" t="e">
        <f t="shared" si="312"/>
        <v>#N/A</v>
      </c>
      <c r="AP414" s="148" t="e">
        <f t="shared" si="313"/>
        <v>#N/A</v>
      </c>
      <c r="AQ414" s="158" t="str">
        <f>IF('PA-Non'!V302&lt;&gt;"",'PA-Non'!V302,IFERROR("Mempunyai keterampilan yang "&amp;IF(AM414=AN414,PROPER(AN414)&amp;" dalam kompetensi "&amp;VLOOKUP(AO414,$AA$532:$AC$539,3)&amp;", demikian juga dalam kompetensi "&amp;VLOOKUP(AP414,$AA$532:$AC$539,3),PROPER(AM414)&amp;" dalam kompetensi "&amp;VLOOKUP(AO414,$AA$532:$AC$539,3)&amp;" dan "&amp;AN414&amp;" pada kompetensi "&amp;VLOOKUP(AP414,$AA$532:$AC$539,3)),""))</f>
        <v/>
      </c>
      <c r="AR414" s="188"/>
    </row>
    <row r="415" spans="2:44" ht="27.9" customHeight="1" thickBot="1" x14ac:dyDescent="0.35">
      <c r="B415" s="226" t="s">
        <v>188</v>
      </c>
      <c r="C415" s="149" t="str">
        <f t="shared" si="319"/>
        <v/>
      </c>
      <c r="D415" s="150" t="str">
        <f>IF(Data!F410="","",Data!F410)</f>
        <v/>
      </c>
      <c r="E415" s="151" t="str">
        <f>IF(Data!H410="","",Data!H410)</f>
        <v/>
      </c>
      <c r="F415" s="152" t="str">
        <f>IF(Data!I410="","",Data!I410)</f>
        <v/>
      </c>
      <c r="G415" s="153"/>
      <c r="H415" s="154"/>
      <c r="I415" s="154"/>
      <c r="J415" s="154"/>
      <c r="K415" s="154"/>
      <c r="L415" s="154"/>
      <c r="M415" s="154"/>
      <c r="N415" s="155"/>
      <c r="O415" s="157" t="str">
        <f t="shared" si="303"/>
        <v/>
      </c>
      <c r="P415" s="154"/>
      <c r="Q415" s="156"/>
      <c r="R415" s="157" t="str">
        <f t="shared" si="304"/>
        <v/>
      </c>
      <c r="S415" s="159" t="str">
        <f>IF(R415="","",IF(R415&gt;Data2!$C$12,Data2!$D$11,IF(R415&gt;Data2!$C$13,Data2!$D$12,IF(R415&gt;Data2!$C$14,Data2!$D$13,Data2!$D$14))))</f>
        <v/>
      </c>
      <c r="T415" s="144">
        <f t="shared" si="305"/>
        <v>0</v>
      </c>
      <c r="U415" s="144">
        <f t="shared" si="306"/>
        <v>0</v>
      </c>
      <c r="V415" s="144" t="str">
        <f t="shared" si="315"/>
        <v>Mulai berkembang</v>
      </c>
      <c r="W415" s="144" t="str">
        <f t="shared" si="316"/>
        <v>Mulai berkembang</v>
      </c>
      <c r="X415" s="144" t="e">
        <f t="shared" si="307"/>
        <v>#N/A</v>
      </c>
      <c r="Y415" s="145" t="e">
        <f t="shared" si="308"/>
        <v>#N/A</v>
      </c>
      <c r="Z415" s="218" t="str">
        <f>IF('PA-Non'!O303&lt;&gt;"",'PA-Non'!O303,IFERROR("Mempunyai kemampuan yang " &amp;IF(V415=W415,PROPER(W415)&amp;" dalam kompetensi "&amp;VLOOKUP(X415,$G$532:$I$539,3)&amp;" dan kompetensi "&amp;VLOOKUP(Y415,$G$532:$I$539,3),PROPER(V415)&amp;" dalam kompetensi "&amp;VLOOKUP(X415,$G$532:$I$539,3)&amp;" dan memiliki kemampuan yang "&amp;W415&amp;" pada kompetensi "&amp;VLOOKUP(Y415,$G$532:$I$539,3)),""))</f>
        <v/>
      </c>
      <c r="AA415" s="153"/>
      <c r="AB415" s="154"/>
      <c r="AC415" s="154"/>
      <c r="AD415" s="154"/>
      <c r="AE415" s="154"/>
      <c r="AF415" s="154"/>
      <c r="AG415" s="154"/>
      <c r="AH415" s="155"/>
      <c r="AI415" s="220" t="str">
        <f t="shared" si="309"/>
        <v/>
      </c>
      <c r="AJ415" s="160" t="str">
        <f>IF(AI415="","",IF(AI415&gt;Data2!$C$12,Data2!$D$11,IF(AI415&gt;Data2!$C$13,Data2!$D$12,IF(AI415&gt;Data2!$C$14,Data2!$D$13,Data2!$D$14))))</f>
        <v/>
      </c>
      <c r="AK415" s="146">
        <f t="shared" si="310"/>
        <v>0</v>
      </c>
      <c r="AL415" s="146">
        <f t="shared" si="311"/>
        <v>0</v>
      </c>
      <c r="AM415" s="147" t="str">
        <f t="shared" si="317"/>
        <v>Mulai meningkat</v>
      </c>
      <c r="AN415" s="147" t="str">
        <f t="shared" si="318"/>
        <v>Mulai meningkat</v>
      </c>
      <c r="AO415" s="146" t="e">
        <f t="shared" si="312"/>
        <v>#N/A</v>
      </c>
      <c r="AP415" s="148" t="e">
        <f t="shared" si="313"/>
        <v>#N/A</v>
      </c>
      <c r="AQ415" s="158" t="str">
        <f>IF('PA-Non'!V303&lt;&gt;"",'PA-Non'!V303,IFERROR("Mempunyai keterampilan yang "&amp;IF(AM415=AN415,PROPER(AN415)&amp;" dalam kompetensi "&amp;VLOOKUP(AO415,$AA$532:$AC$539,3)&amp;", demikian juga dalam kompetensi "&amp;VLOOKUP(AP415,$AA$532:$AC$539,3),PROPER(AM415)&amp;" dalam kompetensi "&amp;VLOOKUP(AO415,$AA$532:$AC$539,3)&amp;" dan "&amp;AN415&amp;" pada kompetensi "&amp;VLOOKUP(AP415,$AA$532:$AC$539,3)),""))</f>
        <v/>
      </c>
      <c r="AR415" s="188"/>
    </row>
    <row r="416" spans="2:44" ht="27.9" customHeight="1" thickBot="1" x14ac:dyDescent="0.35">
      <c r="B416" s="226" t="s">
        <v>188</v>
      </c>
      <c r="C416" s="149" t="str">
        <f t="shared" si="319"/>
        <v/>
      </c>
      <c r="D416" s="150" t="str">
        <f>IF(Data!F411="","",Data!F411)</f>
        <v/>
      </c>
      <c r="E416" s="151" t="str">
        <f>IF(Data!H411="","",Data!H411)</f>
        <v/>
      </c>
      <c r="F416" s="152" t="str">
        <f>IF(Data!I411="","",Data!I411)</f>
        <v/>
      </c>
      <c r="G416" s="153"/>
      <c r="H416" s="154"/>
      <c r="I416" s="154"/>
      <c r="J416" s="154"/>
      <c r="K416" s="154"/>
      <c r="L416" s="154"/>
      <c r="M416" s="154"/>
      <c r="N416" s="155"/>
      <c r="O416" s="157" t="str">
        <f t="shared" si="303"/>
        <v/>
      </c>
      <c r="P416" s="154"/>
      <c r="Q416" s="156"/>
      <c r="R416" s="157" t="str">
        <f t="shared" si="304"/>
        <v/>
      </c>
      <c r="S416" s="159" t="str">
        <f>IF(R416="","",IF(R416&gt;Data2!$C$12,Data2!$D$11,IF(R416&gt;Data2!$C$13,Data2!$D$12,IF(R416&gt;Data2!$C$14,Data2!$D$13,Data2!$D$14))))</f>
        <v/>
      </c>
      <c r="T416" s="144">
        <f t="shared" si="305"/>
        <v>0</v>
      </c>
      <c r="U416" s="144">
        <f t="shared" si="306"/>
        <v>0</v>
      </c>
      <c r="V416" s="144" t="str">
        <f t="shared" si="315"/>
        <v>Mulai berkembang</v>
      </c>
      <c r="W416" s="144" t="str">
        <f t="shared" si="316"/>
        <v>Mulai berkembang</v>
      </c>
      <c r="X416" s="144" t="e">
        <f t="shared" si="307"/>
        <v>#N/A</v>
      </c>
      <c r="Y416" s="145" t="e">
        <f t="shared" si="308"/>
        <v>#N/A</v>
      </c>
      <c r="Z416" s="218" t="str">
        <f>IF('PA-Non'!O304&lt;&gt;"",'PA-Non'!O304,IFERROR("Mempunyai kemampuan yang " &amp;IF(V416=W416,PROPER(W416)&amp;" dalam kompetensi "&amp;VLOOKUP(X416,$G$532:$I$539,3)&amp;" dan kompetensi "&amp;VLOOKUP(Y416,$G$532:$I$539,3),PROPER(V416)&amp;" dalam kompetensi "&amp;VLOOKUP(X416,$G$532:$I$539,3)&amp;" dan memiliki kemampuan yang "&amp;W416&amp;" pada kompetensi "&amp;VLOOKUP(Y416,$G$532:$I$539,3)),""))</f>
        <v/>
      </c>
      <c r="AA416" s="153"/>
      <c r="AB416" s="154"/>
      <c r="AC416" s="154"/>
      <c r="AD416" s="154"/>
      <c r="AE416" s="154"/>
      <c r="AF416" s="154"/>
      <c r="AG416" s="154"/>
      <c r="AH416" s="155"/>
      <c r="AI416" s="220" t="str">
        <f t="shared" si="309"/>
        <v/>
      </c>
      <c r="AJ416" s="160" t="str">
        <f>IF(AI416="","",IF(AI416&gt;Data2!$C$12,Data2!$D$11,IF(AI416&gt;Data2!$C$13,Data2!$D$12,IF(AI416&gt;Data2!$C$14,Data2!$D$13,Data2!$D$14))))</f>
        <v/>
      </c>
      <c r="AK416" s="146">
        <f t="shared" si="310"/>
        <v>0</v>
      </c>
      <c r="AL416" s="146">
        <f t="shared" si="311"/>
        <v>0</v>
      </c>
      <c r="AM416" s="147" t="str">
        <f t="shared" si="317"/>
        <v>Mulai meningkat</v>
      </c>
      <c r="AN416" s="147" t="str">
        <f t="shared" si="318"/>
        <v>Mulai meningkat</v>
      </c>
      <c r="AO416" s="146" t="e">
        <f t="shared" si="312"/>
        <v>#N/A</v>
      </c>
      <c r="AP416" s="148" t="e">
        <f t="shared" si="313"/>
        <v>#N/A</v>
      </c>
      <c r="AQ416" s="158" t="str">
        <f>IF('PA-Non'!V304&lt;&gt;"",'PA-Non'!V304,IFERROR("Mempunyai keterampilan yang "&amp;IF(AM416=AN416,PROPER(AN416)&amp;" dalam kompetensi "&amp;VLOOKUP(AO416,$AA$532:$AC$539,3)&amp;", demikian juga dalam kompetensi "&amp;VLOOKUP(AP416,$AA$532:$AC$539,3),PROPER(AM416)&amp;" dalam kompetensi "&amp;VLOOKUP(AO416,$AA$532:$AC$539,3)&amp;" dan "&amp;AN416&amp;" pada kompetensi "&amp;VLOOKUP(AP416,$AA$532:$AC$539,3)),""))</f>
        <v/>
      </c>
      <c r="AR416" s="188"/>
    </row>
    <row r="417" spans="2:44" ht="27.9" customHeight="1" thickBot="1" x14ac:dyDescent="0.35">
      <c r="B417" s="226" t="s">
        <v>188</v>
      </c>
      <c r="C417" s="149" t="str">
        <f t="shared" si="319"/>
        <v/>
      </c>
      <c r="D417" s="150" t="str">
        <f>IF(Data!F412="","",Data!F412)</f>
        <v/>
      </c>
      <c r="E417" s="151" t="str">
        <f>IF(Data!H412="","",Data!H412)</f>
        <v/>
      </c>
      <c r="F417" s="152" t="str">
        <f>IF(Data!I412="","",Data!I412)</f>
        <v/>
      </c>
      <c r="G417" s="153"/>
      <c r="H417" s="154"/>
      <c r="I417" s="154"/>
      <c r="J417" s="154"/>
      <c r="K417" s="154"/>
      <c r="L417" s="154"/>
      <c r="M417" s="154"/>
      <c r="N417" s="155"/>
      <c r="O417" s="157" t="str">
        <f t="shared" si="303"/>
        <v/>
      </c>
      <c r="P417" s="154"/>
      <c r="Q417" s="156"/>
      <c r="R417" s="157" t="str">
        <f t="shared" si="304"/>
        <v/>
      </c>
      <c r="S417" s="159" t="str">
        <f>IF(R417="","",IF(R417&gt;Data2!$C$12,Data2!$D$11,IF(R417&gt;Data2!$C$13,Data2!$D$12,IF(R417&gt;Data2!$C$14,Data2!$D$13,Data2!$D$14))))</f>
        <v/>
      </c>
      <c r="T417" s="144">
        <f t="shared" si="305"/>
        <v>0</v>
      </c>
      <c r="U417" s="144">
        <f t="shared" si="306"/>
        <v>0</v>
      </c>
      <c r="V417" s="144" t="str">
        <f t="shared" si="315"/>
        <v>Mulai berkembang</v>
      </c>
      <c r="W417" s="144" t="str">
        <f t="shared" si="316"/>
        <v>Mulai berkembang</v>
      </c>
      <c r="X417" s="144" t="e">
        <f t="shared" si="307"/>
        <v>#N/A</v>
      </c>
      <c r="Y417" s="145" t="e">
        <f t="shared" si="308"/>
        <v>#N/A</v>
      </c>
      <c r="Z417" s="218" t="str">
        <f>IF('PA-Non'!O305&lt;&gt;"",'PA-Non'!O305,IFERROR("Mempunyai kemampuan yang " &amp;IF(V417=W417,PROPER(W417)&amp;" dalam kompetensi "&amp;VLOOKUP(X417,$G$532:$I$539,3)&amp;" dan kompetensi "&amp;VLOOKUP(Y417,$G$532:$I$539,3),PROPER(V417)&amp;" dalam kompetensi "&amp;VLOOKUP(X417,$G$532:$I$539,3)&amp;" dan memiliki kemampuan yang "&amp;W417&amp;" pada kompetensi "&amp;VLOOKUP(Y417,$G$532:$I$539,3)),""))</f>
        <v/>
      </c>
      <c r="AA417" s="153"/>
      <c r="AB417" s="154"/>
      <c r="AC417" s="154"/>
      <c r="AD417" s="154"/>
      <c r="AE417" s="154"/>
      <c r="AF417" s="154"/>
      <c r="AG417" s="154"/>
      <c r="AH417" s="155"/>
      <c r="AI417" s="220" t="str">
        <f t="shared" si="309"/>
        <v/>
      </c>
      <c r="AJ417" s="160" t="str">
        <f>IF(AI417="","",IF(AI417&gt;Data2!$C$12,Data2!$D$11,IF(AI417&gt;Data2!$C$13,Data2!$D$12,IF(AI417&gt;Data2!$C$14,Data2!$D$13,Data2!$D$14))))</f>
        <v/>
      </c>
      <c r="AK417" s="146">
        <f t="shared" si="310"/>
        <v>0</v>
      </c>
      <c r="AL417" s="146">
        <f t="shared" si="311"/>
        <v>0</v>
      </c>
      <c r="AM417" s="147" t="str">
        <f t="shared" si="317"/>
        <v>Mulai meningkat</v>
      </c>
      <c r="AN417" s="147" t="str">
        <f t="shared" si="318"/>
        <v>Mulai meningkat</v>
      </c>
      <c r="AO417" s="146" t="e">
        <f t="shared" si="312"/>
        <v>#N/A</v>
      </c>
      <c r="AP417" s="148" t="e">
        <f t="shared" si="313"/>
        <v>#N/A</v>
      </c>
      <c r="AQ417" s="158" t="str">
        <f>IF('PA-Non'!V305&lt;&gt;"",'PA-Non'!V305,IFERROR("Mempunyai keterampilan yang "&amp;IF(AM417=AN417,PROPER(AN417)&amp;" dalam kompetensi "&amp;VLOOKUP(AO417,$AA$532:$AC$539,3)&amp;", demikian juga dalam kompetensi "&amp;VLOOKUP(AP417,$AA$532:$AC$539,3),PROPER(AM417)&amp;" dalam kompetensi "&amp;VLOOKUP(AO417,$AA$532:$AC$539,3)&amp;" dan "&amp;AN417&amp;" pada kompetensi "&amp;VLOOKUP(AP417,$AA$532:$AC$539,3)),""))</f>
        <v/>
      </c>
      <c r="AR417" s="188"/>
    </row>
    <row r="418" spans="2:44" ht="27.9" customHeight="1" thickBot="1" x14ac:dyDescent="0.35">
      <c r="B418" s="226" t="s">
        <v>188</v>
      </c>
      <c r="C418" s="149" t="str">
        <f t="shared" si="319"/>
        <v/>
      </c>
      <c r="D418" s="150" t="str">
        <f>IF(Data!F413="","",Data!F413)</f>
        <v/>
      </c>
      <c r="E418" s="151" t="str">
        <f>IF(Data!H413="","",Data!H413)</f>
        <v/>
      </c>
      <c r="F418" s="152" t="str">
        <f>IF(Data!I413="","",Data!I413)</f>
        <v/>
      </c>
      <c r="G418" s="153"/>
      <c r="H418" s="154"/>
      <c r="I418" s="154"/>
      <c r="J418" s="154"/>
      <c r="K418" s="154"/>
      <c r="L418" s="154"/>
      <c r="M418" s="154"/>
      <c r="N418" s="155"/>
      <c r="O418" s="157" t="str">
        <f t="shared" si="303"/>
        <v/>
      </c>
      <c r="P418" s="154"/>
      <c r="Q418" s="156"/>
      <c r="R418" s="157" t="str">
        <f t="shared" si="304"/>
        <v/>
      </c>
      <c r="S418" s="159" t="str">
        <f>IF(R418="","",IF(R418&gt;Data2!$C$12,Data2!$D$11,IF(R418&gt;Data2!$C$13,Data2!$D$12,IF(R418&gt;Data2!$C$14,Data2!$D$13,Data2!$D$14))))</f>
        <v/>
      </c>
      <c r="T418" s="144">
        <f t="shared" si="305"/>
        <v>0</v>
      </c>
      <c r="U418" s="144">
        <f t="shared" si="306"/>
        <v>0</v>
      </c>
      <c r="V418" s="144" t="str">
        <f t="shared" si="315"/>
        <v>Mulai berkembang</v>
      </c>
      <c r="W418" s="144" t="str">
        <f t="shared" si="316"/>
        <v>Mulai berkembang</v>
      </c>
      <c r="X418" s="144" t="e">
        <f t="shared" si="307"/>
        <v>#N/A</v>
      </c>
      <c r="Y418" s="145" t="e">
        <f t="shared" si="308"/>
        <v>#N/A</v>
      </c>
      <c r="Z418" s="218" t="str">
        <f>IF('PA-Non'!O306&lt;&gt;"",'PA-Non'!O306,IFERROR("Mempunyai kemampuan yang " &amp;IF(V418=W418,PROPER(W418)&amp;" dalam kompetensi "&amp;VLOOKUP(X418,$G$532:$I$539,3)&amp;" dan kompetensi "&amp;VLOOKUP(Y418,$G$532:$I$539,3),PROPER(V418)&amp;" dalam kompetensi "&amp;VLOOKUP(X418,$G$532:$I$539,3)&amp;" dan memiliki kemampuan yang "&amp;W418&amp;" pada kompetensi "&amp;VLOOKUP(Y418,$G$532:$I$539,3)),""))</f>
        <v/>
      </c>
      <c r="AA418" s="153"/>
      <c r="AB418" s="154"/>
      <c r="AC418" s="154"/>
      <c r="AD418" s="154"/>
      <c r="AE418" s="154"/>
      <c r="AF418" s="154"/>
      <c r="AG418" s="154"/>
      <c r="AH418" s="155"/>
      <c r="AI418" s="220" t="str">
        <f t="shared" si="309"/>
        <v/>
      </c>
      <c r="AJ418" s="160" t="str">
        <f>IF(AI418="","",IF(AI418&gt;Data2!$C$12,Data2!$D$11,IF(AI418&gt;Data2!$C$13,Data2!$D$12,IF(AI418&gt;Data2!$C$14,Data2!$D$13,Data2!$D$14))))</f>
        <v/>
      </c>
      <c r="AK418" s="146">
        <f t="shared" si="310"/>
        <v>0</v>
      </c>
      <c r="AL418" s="146">
        <f t="shared" si="311"/>
        <v>0</v>
      </c>
      <c r="AM418" s="147" t="str">
        <f t="shared" si="317"/>
        <v>Mulai meningkat</v>
      </c>
      <c r="AN418" s="147" t="str">
        <f t="shared" si="318"/>
        <v>Mulai meningkat</v>
      </c>
      <c r="AO418" s="146" t="e">
        <f t="shared" si="312"/>
        <v>#N/A</v>
      </c>
      <c r="AP418" s="148" t="e">
        <f t="shared" si="313"/>
        <v>#N/A</v>
      </c>
      <c r="AQ418" s="158" t="str">
        <f>IF('PA-Non'!V306&lt;&gt;"",'PA-Non'!V306,IFERROR("Mempunyai keterampilan yang "&amp;IF(AM418=AN418,PROPER(AN418)&amp;" dalam kompetensi "&amp;VLOOKUP(AO418,$AA$532:$AC$539,3)&amp;", demikian juga dalam kompetensi "&amp;VLOOKUP(AP418,$AA$532:$AC$539,3),PROPER(AM418)&amp;" dalam kompetensi "&amp;VLOOKUP(AO418,$AA$532:$AC$539,3)&amp;" dan "&amp;AN418&amp;" pada kompetensi "&amp;VLOOKUP(AP418,$AA$532:$AC$539,3)),""))</f>
        <v/>
      </c>
      <c r="AR418" s="188"/>
    </row>
    <row r="419" spans="2:44" ht="27.9" customHeight="1" thickBot="1" x14ac:dyDescent="0.35">
      <c r="B419" s="226" t="s">
        <v>188</v>
      </c>
      <c r="C419" s="149" t="str">
        <f t="shared" si="319"/>
        <v/>
      </c>
      <c r="D419" s="150" t="str">
        <f>IF(Data!F414="","",Data!F414)</f>
        <v/>
      </c>
      <c r="E419" s="151" t="str">
        <f>IF(Data!H414="","",Data!H414)</f>
        <v/>
      </c>
      <c r="F419" s="152" t="str">
        <f>IF(Data!I414="","",Data!I414)</f>
        <v/>
      </c>
      <c r="G419" s="153"/>
      <c r="H419" s="154"/>
      <c r="I419" s="154"/>
      <c r="J419" s="154"/>
      <c r="K419" s="154"/>
      <c r="L419" s="154"/>
      <c r="M419" s="154"/>
      <c r="N419" s="155"/>
      <c r="O419" s="157" t="str">
        <f t="shared" si="303"/>
        <v/>
      </c>
      <c r="P419" s="154"/>
      <c r="Q419" s="156"/>
      <c r="R419" s="157" t="str">
        <f t="shared" si="304"/>
        <v/>
      </c>
      <c r="S419" s="159" t="str">
        <f>IF(R419="","",IF(R419&gt;Data2!$C$12,Data2!$D$11,IF(R419&gt;Data2!$C$13,Data2!$D$12,IF(R419&gt;Data2!$C$14,Data2!$D$13,Data2!$D$14))))</f>
        <v/>
      </c>
      <c r="T419" s="144">
        <f t="shared" si="305"/>
        <v>0</v>
      </c>
      <c r="U419" s="144">
        <f t="shared" si="306"/>
        <v>0</v>
      </c>
      <c r="V419" s="144" t="str">
        <f t="shared" si="315"/>
        <v>Mulai berkembang</v>
      </c>
      <c r="W419" s="144" t="str">
        <f t="shared" si="316"/>
        <v>Mulai berkembang</v>
      </c>
      <c r="X419" s="144" t="e">
        <f t="shared" si="307"/>
        <v>#N/A</v>
      </c>
      <c r="Y419" s="145" t="e">
        <f t="shared" si="308"/>
        <v>#N/A</v>
      </c>
      <c r="Z419" s="218" t="str">
        <f>IF('PA-Non'!O307&lt;&gt;"",'PA-Non'!O307,IFERROR("Mempunyai kemampuan yang " &amp;IF(V419=W419,PROPER(W419)&amp;" dalam kompetensi "&amp;VLOOKUP(X419,$G$532:$I$539,3)&amp;" dan kompetensi "&amp;VLOOKUP(Y419,$G$532:$I$539,3),PROPER(V419)&amp;" dalam kompetensi "&amp;VLOOKUP(X419,$G$532:$I$539,3)&amp;" dan memiliki kemampuan yang "&amp;W419&amp;" pada kompetensi "&amp;VLOOKUP(Y419,$G$532:$I$539,3)),""))</f>
        <v/>
      </c>
      <c r="AA419" s="153"/>
      <c r="AB419" s="154"/>
      <c r="AC419" s="154"/>
      <c r="AD419" s="154"/>
      <c r="AE419" s="154"/>
      <c r="AF419" s="154"/>
      <c r="AG419" s="154"/>
      <c r="AH419" s="155"/>
      <c r="AI419" s="220" t="str">
        <f t="shared" si="309"/>
        <v/>
      </c>
      <c r="AJ419" s="160" t="str">
        <f>IF(AI419="","",IF(AI419&gt;Data2!$C$12,Data2!$D$11,IF(AI419&gt;Data2!$C$13,Data2!$D$12,IF(AI419&gt;Data2!$C$14,Data2!$D$13,Data2!$D$14))))</f>
        <v/>
      </c>
      <c r="AK419" s="146">
        <f t="shared" si="310"/>
        <v>0</v>
      </c>
      <c r="AL419" s="146">
        <f t="shared" si="311"/>
        <v>0</v>
      </c>
      <c r="AM419" s="147" t="str">
        <f t="shared" si="317"/>
        <v>Mulai meningkat</v>
      </c>
      <c r="AN419" s="147" t="str">
        <f t="shared" si="318"/>
        <v>Mulai meningkat</v>
      </c>
      <c r="AO419" s="146" t="e">
        <f t="shared" si="312"/>
        <v>#N/A</v>
      </c>
      <c r="AP419" s="148" t="e">
        <f t="shared" si="313"/>
        <v>#N/A</v>
      </c>
      <c r="AQ419" s="158" t="str">
        <f>IF('PA-Non'!V307&lt;&gt;"",'PA-Non'!V307,IFERROR("Mempunyai keterampilan yang "&amp;IF(AM419=AN419,PROPER(AN419)&amp;" dalam kompetensi "&amp;VLOOKUP(AO419,$AA$532:$AC$539,3)&amp;", demikian juga dalam kompetensi "&amp;VLOOKUP(AP419,$AA$532:$AC$539,3),PROPER(AM419)&amp;" dalam kompetensi "&amp;VLOOKUP(AO419,$AA$532:$AC$539,3)&amp;" dan "&amp;AN419&amp;" pada kompetensi "&amp;VLOOKUP(AP419,$AA$532:$AC$539,3)),""))</f>
        <v/>
      </c>
      <c r="AR419" s="188"/>
    </row>
    <row r="420" spans="2:44" ht="27.9" customHeight="1" thickBot="1" x14ac:dyDescent="0.35">
      <c r="B420" s="226" t="s">
        <v>188</v>
      </c>
      <c r="C420" s="149" t="str">
        <f t="shared" si="319"/>
        <v/>
      </c>
      <c r="D420" s="150" t="str">
        <f>IF(Data!F415="","",Data!F415)</f>
        <v/>
      </c>
      <c r="E420" s="151" t="str">
        <f>IF(Data!H415="","",Data!H415)</f>
        <v/>
      </c>
      <c r="F420" s="152" t="str">
        <f>IF(Data!I415="","",Data!I415)</f>
        <v/>
      </c>
      <c r="G420" s="153"/>
      <c r="H420" s="154"/>
      <c r="I420" s="154"/>
      <c r="J420" s="154"/>
      <c r="K420" s="154"/>
      <c r="L420" s="154"/>
      <c r="M420" s="154"/>
      <c r="N420" s="155"/>
      <c r="O420" s="157" t="str">
        <f t="shared" si="303"/>
        <v/>
      </c>
      <c r="P420" s="154"/>
      <c r="Q420" s="156"/>
      <c r="R420" s="157" t="str">
        <f t="shared" si="304"/>
        <v/>
      </c>
      <c r="S420" s="159" t="str">
        <f>IF(R420="","",IF(R420&gt;Data2!$C$12,Data2!$D$11,IF(R420&gt;Data2!$C$13,Data2!$D$12,IF(R420&gt;Data2!$C$14,Data2!$D$13,Data2!$D$14))))</f>
        <v/>
      </c>
      <c r="T420" s="144">
        <f t="shared" si="305"/>
        <v>0</v>
      </c>
      <c r="U420" s="144">
        <f t="shared" si="306"/>
        <v>0</v>
      </c>
      <c r="V420" s="144" t="str">
        <f t="shared" si="315"/>
        <v>Mulai berkembang</v>
      </c>
      <c r="W420" s="144" t="str">
        <f t="shared" si="316"/>
        <v>Mulai berkembang</v>
      </c>
      <c r="X420" s="144" t="e">
        <f t="shared" si="307"/>
        <v>#N/A</v>
      </c>
      <c r="Y420" s="145" t="e">
        <f t="shared" si="308"/>
        <v>#N/A</v>
      </c>
      <c r="Z420" s="218" t="str">
        <f>IF('PA-Non'!O308&lt;&gt;"",'PA-Non'!O308,IFERROR("Mempunyai kemampuan yang " &amp;IF(V420=W420,PROPER(W420)&amp;" dalam kompetensi "&amp;VLOOKUP(X420,$G$532:$I$539,3)&amp;" dan kompetensi "&amp;VLOOKUP(Y420,$G$532:$I$539,3),PROPER(V420)&amp;" dalam kompetensi "&amp;VLOOKUP(X420,$G$532:$I$539,3)&amp;" dan memiliki kemampuan yang "&amp;W420&amp;" pada kompetensi "&amp;VLOOKUP(Y420,$G$532:$I$539,3)),""))</f>
        <v/>
      </c>
      <c r="AA420" s="153"/>
      <c r="AB420" s="154"/>
      <c r="AC420" s="154"/>
      <c r="AD420" s="154"/>
      <c r="AE420" s="154"/>
      <c r="AF420" s="154"/>
      <c r="AG420" s="154"/>
      <c r="AH420" s="155"/>
      <c r="AI420" s="220" t="str">
        <f t="shared" si="309"/>
        <v/>
      </c>
      <c r="AJ420" s="160" t="str">
        <f>IF(AI420="","",IF(AI420&gt;Data2!$C$12,Data2!$D$11,IF(AI420&gt;Data2!$C$13,Data2!$D$12,IF(AI420&gt;Data2!$C$14,Data2!$D$13,Data2!$D$14))))</f>
        <v/>
      </c>
      <c r="AK420" s="146">
        <f t="shared" si="310"/>
        <v>0</v>
      </c>
      <c r="AL420" s="146">
        <f t="shared" si="311"/>
        <v>0</v>
      </c>
      <c r="AM420" s="147" t="str">
        <f t="shared" si="317"/>
        <v>Mulai meningkat</v>
      </c>
      <c r="AN420" s="147" t="str">
        <f t="shared" si="318"/>
        <v>Mulai meningkat</v>
      </c>
      <c r="AO420" s="146" t="e">
        <f t="shared" si="312"/>
        <v>#N/A</v>
      </c>
      <c r="AP420" s="148" t="e">
        <f t="shared" si="313"/>
        <v>#N/A</v>
      </c>
      <c r="AQ420" s="158" t="str">
        <f>IF('PA-Non'!V308&lt;&gt;"",'PA-Non'!V308,IFERROR("Mempunyai keterampilan yang "&amp;IF(AM420=AN420,PROPER(AN420)&amp;" dalam kompetensi "&amp;VLOOKUP(AO420,$AA$532:$AC$539,3)&amp;", demikian juga dalam kompetensi "&amp;VLOOKUP(AP420,$AA$532:$AC$539,3),PROPER(AM420)&amp;" dalam kompetensi "&amp;VLOOKUP(AO420,$AA$532:$AC$539,3)&amp;" dan "&amp;AN420&amp;" pada kompetensi "&amp;VLOOKUP(AP420,$AA$532:$AC$539,3)),""))</f>
        <v/>
      </c>
      <c r="AR420" s="188"/>
    </row>
    <row r="421" spans="2:44" ht="27.9" customHeight="1" thickBot="1" x14ac:dyDescent="0.35">
      <c r="B421" s="226" t="s">
        <v>188</v>
      </c>
      <c r="C421" s="149" t="str">
        <f t="shared" si="319"/>
        <v/>
      </c>
      <c r="D421" s="150" t="str">
        <f>IF(Data!F416="","",Data!F416)</f>
        <v/>
      </c>
      <c r="E421" s="151" t="str">
        <f>IF(Data!H416="","",Data!H416)</f>
        <v/>
      </c>
      <c r="F421" s="152" t="str">
        <f>IF(Data!I416="","",Data!I416)</f>
        <v/>
      </c>
      <c r="G421" s="153"/>
      <c r="H421" s="154"/>
      <c r="I421" s="154"/>
      <c r="J421" s="154"/>
      <c r="K421" s="154"/>
      <c r="L421" s="154"/>
      <c r="M421" s="154"/>
      <c r="N421" s="155"/>
      <c r="O421" s="157" t="str">
        <f t="shared" si="303"/>
        <v/>
      </c>
      <c r="P421" s="154"/>
      <c r="Q421" s="156"/>
      <c r="R421" s="157" t="str">
        <f t="shared" si="304"/>
        <v/>
      </c>
      <c r="S421" s="159" t="str">
        <f>IF(R421="","",IF(R421&gt;Data2!$C$12,Data2!$D$11,IF(R421&gt;Data2!$C$13,Data2!$D$12,IF(R421&gt;Data2!$C$14,Data2!$D$13,Data2!$D$14))))</f>
        <v/>
      </c>
      <c r="T421" s="144">
        <f t="shared" si="305"/>
        <v>0</v>
      </c>
      <c r="U421" s="144">
        <f t="shared" si="306"/>
        <v>0</v>
      </c>
      <c r="V421" s="144" t="str">
        <f t="shared" si="315"/>
        <v>Mulai berkembang</v>
      </c>
      <c r="W421" s="144" t="str">
        <f t="shared" si="316"/>
        <v>Mulai berkembang</v>
      </c>
      <c r="X421" s="144" t="e">
        <f t="shared" si="307"/>
        <v>#N/A</v>
      </c>
      <c r="Y421" s="145" t="e">
        <f t="shared" si="308"/>
        <v>#N/A</v>
      </c>
      <c r="Z421" s="218" t="str">
        <f>IF('PA-Non'!O309&lt;&gt;"",'PA-Non'!O309,IFERROR("Mempunyai kemampuan yang " &amp;IF(V421=W421,PROPER(W421)&amp;" dalam kompetensi "&amp;VLOOKUP(X421,$G$532:$I$539,3)&amp;" dan kompetensi "&amp;VLOOKUP(Y421,$G$532:$I$539,3),PROPER(V421)&amp;" dalam kompetensi "&amp;VLOOKUP(X421,$G$532:$I$539,3)&amp;" dan memiliki kemampuan yang "&amp;W421&amp;" pada kompetensi "&amp;VLOOKUP(Y421,$G$532:$I$539,3)),""))</f>
        <v/>
      </c>
      <c r="AA421" s="153"/>
      <c r="AB421" s="154"/>
      <c r="AC421" s="154"/>
      <c r="AD421" s="154"/>
      <c r="AE421" s="154"/>
      <c r="AF421" s="154"/>
      <c r="AG421" s="154"/>
      <c r="AH421" s="155"/>
      <c r="AI421" s="220" t="str">
        <f t="shared" si="309"/>
        <v/>
      </c>
      <c r="AJ421" s="160" t="str">
        <f>IF(AI421="","",IF(AI421&gt;Data2!$C$12,Data2!$D$11,IF(AI421&gt;Data2!$C$13,Data2!$D$12,IF(AI421&gt;Data2!$C$14,Data2!$D$13,Data2!$D$14))))</f>
        <v/>
      </c>
      <c r="AK421" s="146">
        <f t="shared" si="310"/>
        <v>0</v>
      </c>
      <c r="AL421" s="146">
        <f t="shared" si="311"/>
        <v>0</v>
      </c>
      <c r="AM421" s="147" t="str">
        <f t="shared" si="317"/>
        <v>Mulai meningkat</v>
      </c>
      <c r="AN421" s="147" t="str">
        <f t="shared" si="318"/>
        <v>Mulai meningkat</v>
      </c>
      <c r="AO421" s="146" t="e">
        <f t="shared" si="312"/>
        <v>#N/A</v>
      </c>
      <c r="AP421" s="148" t="e">
        <f t="shared" si="313"/>
        <v>#N/A</v>
      </c>
      <c r="AQ421" s="158" t="str">
        <f>IF('PA-Non'!V309&lt;&gt;"",'PA-Non'!V309,IFERROR("Mempunyai keterampilan yang "&amp;IF(AM421=AN421,PROPER(AN421)&amp;" dalam kompetensi "&amp;VLOOKUP(AO421,$AA$532:$AC$539,3)&amp;", demikian juga dalam kompetensi "&amp;VLOOKUP(AP421,$AA$532:$AC$539,3),PROPER(AM421)&amp;" dalam kompetensi "&amp;VLOOKUP(AO421,$AA$532:$AC$539,3)&amp;" dan "&amp;AN421&amp;" pada kompetensi "&amp;VLOOKUP(AP421,$AA$532:$AC$539,3)),""))</f>
        <v/>
      </c>
      <c r="AR421" s="188"/>
    </row>
    <row r="422" spans="2:44" ht="27.9" customHeight="1" thickBot="1" x14ac:dyDescent="0.35">
      <c r="B422" s="226" t="s">
        <v>188</v>
      </c>
      <c r="C422" s="149" t="str">
        <f t="shared" si="319"/>
        <v/>
      </c>
      <c r="D422" s="150" t="str">
        <f>IF(Data!F417="","",Data!F417)</f>
        <v/>
      </c>
      <c r="E422" s="151" t="str">
        <f>IF(Data!H417="","",Data!H417)</f>
        <v/>
      </c>
      <c r="F422" s="152" t="str">
        <f>IF(Data!I417="","",Data!I417)</f>
        <v/>
      </c>
      <c r="G422" s="153"/>
      <c r="H422" s="154"/>
      <c r="I422" s="154"/>
      <c r="J422" s="154"/>
      <c r="K422" s="154"/>
      <c r="L422" s="154"/>
      <c r="M422" s="154"/>
      <c r="N422" s="155"/>
      <c r="O422" s="157" t="str">
        <f t="shared" si="303"/>
        <v/>
      </c>
      <c r="P422" s="154"/>
      <c r="Q422" s="156"/>
      <c r="R422" s="157" t="str">
        <f t="shared" si="304"/>
        <v/>
      </c>
      <c r="S422" s="159" t="str">
        <f>IF(R422="","",IF(R422&gt;Data2!$C$12,Data2!$D$11,IF(R422&gt;Data2!$C$13,Data2!$D$12,IF(R422&gt;Data2!$C$14,Data2!$D$13,Data2!$D$14))))</f>
        <v/>
      </c>
      <c r="T422" s="144">
        <f t="shared" si="305"/>
        <v>0</v>
      </c>
      <c r="U422" s="144">
        <f t="shared" si="306"/>
        <v>0</v>
      </c>
      <c r="V422" s="144" t="str">
        <f t="shared" si="315"/>
        <v>Mulai berkembang</v>
      </c>
      <c r="W422" s="144" t="str">
        <f t="shared" si="316"/>
        <v>Mulai berkembang</v>
      </c>
      <c r="X422" s="144" t="e">
        <f t="shared" si="307"/>
        <v>#N/A</v>
      </c>
      <c r="Y422" s="145" t="e">
        <f t="shared" si="308"/>
        <v>#N/A</v>
      </c>
      <c r="Z422" s="218" t="str">
        <f>IF('PA-Non'!O310&lt;&gt;"",'PA-Non'!O310,IFERROR("Mempunyai kemampuan yang " &amp;IF(V422=W422,PROPER(W422)&amp;" dalam kompetensi "&amp;VLOOKUP(X422,$G$532:$I$539,3)&amp;" dan kompetensi "&amp;VLOOKUP(Y422,$G$532:$I$539,3),PROPER(V422)&amp;" dalam kompetensi "&amp;VLOOKUP(X422,$G$532:$I$539,3)&amp;" dan memiliki kemampuan yang "&amp;W422&amp;" pada kompetensi "&amp;VLOOKUP(Y422,$G$532:$I$539,3)),""))</f>
        <v/>
      </c>
      <c r="AA422" s="153"/>
      <c r="AB422" s="154"/>
      <c r="AC422" s="154"/>
      <c r="AD422" s="154"/>
      <c r="AE422" s="154"/>
      <c r="AF422" s="154"/>
      <c r="AG422" s="154"/>
      <c r="AH422" s="155"/>
      <c r="AI422" s="220" t="str">
        <f t="shared" si="309"/>
        <v/>
      </c>
      <c r="AJ422" s="160" t="str">
        <f>IF(AI422="","",IF(AI422&gt;Data2!$C$12,Data2!$D$11,IF(AI422&gt;Data2!$C$13,Data2!$D$12,IF(AI422&gt;Data2!$C$14,Data2!$D$13,Data2!$D$14))))</f>
        <v/>
      </c>
      <c r="AK422" s="146">
        <f t="shared" si="310"/>
        <v>0</v>
      </c>
      <c r="AL422" s="146">
        <f t="shared" si="311"/>
        <v>0</v>
      </c>
      <c r="AM422" s="147" t="str">
        <f t="shared" si="317"/>
        <v>Mulai meningkat</v>
      </c>
      <c r="AN422" s="147" t="str">
        <f t="shared" si="318"/>
        <v>Mulai meningkat</v>
      </c>
      <c r="AO422" s="146" t="e">
        <f t="shared" si="312"/>
        <v>#N/A</v>
      </c>
      <c r="AP422" s="148" t="e">
        <f t="shared" si="313"/>
        <v>#N/A</v>
      </c>
      <c r="AQ422" s="158" t="str">
        <f>IF('PA-Non'!V310&lt;&gt;"",'PA-Non'!V310,IFERROR("Mempunyai keterampilan yang "&amp;IF(AM422=AN422,PROPER(AN422)&amp;" dalam kompetensi "&amp;VLOOKUP(AO422,$AA$532:$AC$539,3)&amp;", demikian juga dalam kompetensi "&amp;VLOOKUP(AP422,$AA$532:$AC$539,3),PROPER(AM422)&amp;" dalam kompetensi "&amp;VLOOKUP(AO422,$AA$532:$AC$539,3)&amp;" dan "&amp;AN422&amp;" pada kompetensi "&amp;VLOOKUP(AP422,$AA$532:$AC$539,3)),""))</f>
        <v/>
      </c>
      <c r="AR422" s="188"/>
    </row>
    <row r="423" spans="2:44" ht="27.9" customHeight="1" thickBot="1" x14ac:dyDescent="0.35">
      <c r="B423" s="226" t="s">
        <v>188</v>
      </c>
      <c r="C423" s="149" t="str">
        <f t="shared" si="319"/>
        <v/>
      </c>
      <c r="D423" s="150" t="str">
        <f>IF(Data!F418="","",Data!F418)</f>
        <v/>
      </c>
      <c r="E423" s="151" t="str">
        <f>IF(Data!H418="","",Data!H418)</f>
        <v/>
      </c>
      <c r="F423" s="152" t="str">
        <f>IF(Data!I418="","",Data!I418)</f>
        <v/>
      </c>
      <c r="G423" s="153"/>
      <c r="H423" s="154"/>
      <c r="I423" s="154"/>
      <c r="J423" s="154"/>
      <c r="K423" s="154"/>
      <c r="L423" s="154"/>
      <c r="M423" s="154"/>
      <c r="N423" s="155"/>
      <c r="O423" s="157" t="str">
        <f t="shared" si="303"/>
        <v/>
      </c>
      <c r="P423" s="154"/>
      <c r="Q423" s="156"/>
      <c r="R423" s="157" t="str">
        <f t="shared" si="304"/>
        <v/>
      </c>
      <c r="S423" s="159" t="str">
        <f>IF(R423="","",IF(R423&gt;Data2!$C$12,Data2!$D$11,IF(R423&gt;Data2!$C$13,Data2!$D$12,IF(R423&gt;Data2!$C$14,Data2!$D$13,Data2!$D$14))))</f>
        <v/>
      </c>
      <c r="T423" s="144">
        <f t="shared" si="305"/>
        <v>0</v>
      </c>
      <c r="U423" s="144">
        <f t="shared" si="306"/>
        <v>0</v>
      </c>
      <c r="V423" s="144" t="str">
        <f t="shared" si="315"/>
        <v>Mulai berkembang</v>
      </c>
      <c r="W423" s="144" t="str">
        <f t="shared" si="316"/>
        <v>Mulai berkembang</v>
      </c>
      <c r="X423" s="144" t="e">
        <f t="shared" si="307"/>
        <v>#N/A</v>
      </c>
      <c r="Y423" s="145" t="e">
        <f t="shared" si="308"/>
        <v>#N/A</v>
      </c>
      <c r="Z423" s="218" t="str">
        <f>IF('PA-Non'!O311&lt;&gt;"",'PA-Non'!O311,IFERROR("Mempunyai kemampuan yang " &amp;IF(V423=W423,PROPER(W423)&amp;" dalam kompetensi "&amp;VLOOKUP(X423,$G$532:$I$539,3)&amp;" dan kompetensi "&amp;VLOOKUP(Y423,$G$532:$I$539,3),PROPER(V423)&amp;" dalam kompetensi "&amp;VLOOKUP(X423,$G$532:$I$539,3)&amp;" dan memiliki kemampuan yang "&amp;W423&amp;" pada kompetensi "&amp;VLOOKUP(Y423,$G$532:$I$539,3)),""))</f>
        <v/>
      </c>
      <c r="AA423" s="153"/>
      <c r="AB423" s="154"/>
      <c r="AC423" s="154"/>
      <c r="AD423" s="154"/>
      <c r="AE423" s="154"/>
      <c r="AF423" s="154"/>
      <c r="AG423" s="154"/>
      <c r="AH423" s="155"/>
      <c r="AI423" s="220" t="str">
        <f t="shared" si="309"/>
        <v/>
      </c>
      <c r="AJ423" s="160" t="str">
        <f>IF(AI423="","",IF(AI423&gt;Data2!$C$12,Data2!$D$11,IF(AI423&gt;Data2!$C$13,Data2!$D$12,IF(AI423&gt;Data2!$C$14,Data2!$D$13,Data2!$D$14))))</f>
        <v/>
      </c>
      <c r="AK423" s="146">
        <f t="shared" si="310"/>
        <v>0</v>
      </c>
      <c r="AL423" s="146">
        <f t="shared" si="311"/>
        <v>0</v>
      </c>
      <c r="AM423" s="147" t="str">
        <f t="shared" si="317"/>
        <v>Mulai meningkat</v>
      </c>
      <c r="AN423" s="147" t="str">
        <f t="shared" si="318"/>
        <v>Mulai meningkat</v>
      </c>
      <c r="AO423" s="146" t="e">
        <f t="shared" si="312"/>
        <v>#N/A</v>
      </c>
      <c r="AP423" s="148" t="e">
        <f t="shared" si="313"/>
        <v>#N/A</v>
      </c>
      <c r="AQ423" s="158" t="str">
        <f>IF('PA-Non'!V311&lt;&gt;"",'PA-Non'!V311,IFERROR("Mempunyai keterampilan yang "&amp;IF(AM423=AN423,PROPER(AN423)&amp;" dalam kompetensi "&amp;VLOOKUP(AO423,$AA$532:$AC$539,3)&amp;", demikian juga dalam kompetensi "&amp;VLOOKUP(AP423,$AA$532:$AC$539,3),PROPER(AM423)&amp;" dalam kompetensi "&amp;VLOOKUP(AO423,$AA$532:$AC$539,3)&amp;" dan "&amp;AN423&amp;" pada kompetensi "&amp;VLOOKUP(AP423,$AA$532:$AC$539,3)),""))</f>
        <v/>
      </c>
      <c r="AR423" s="188"/>
    </row>
    <row r="424" spans="2:44" ht="27.9" customHeight="1" thickBot="1" x14ac:dyDescent="0.35">
      <c r="B424" s="226" t="s">
        <v>188</v>
      </c>
      <c r="C424" s="149" t="str">
        <f t="shared" si="319"/>
        <v/>
      </c>
      <c r="D424" s="150" t="str">
        <f>IF(Data!F419="","",Data!F419)</f>
        <v/>
      </c>
      <c r="E424" s="151" t="str">
        <f>IF(Data!H419="","",Data!H419)</f>
        <v/>
      </c>
      <c r="F424" s="152" t="str">
        <f>IF(Data!I419="","",Data!I419)</f>
        <v/>
      </c>
      <c r="G424" s="153"/>
      <c r="H424" s="154"/>
      <c r="I424" s="154"/>
      <c r="J424" s="154"/>
      <c r="K424" s="154"/>
      <c r="L424" s="154"/>
      <c r="M424" s="154"/>
      <c r="N424" s="155"/>
      <c r="O424" s="157" t="str">
        <f t="shared" si="303"/>
        <v/>
      </c>
      <c r="P424" s="154"/>
      <c r="Q424" s="156"/>
      <c r="R424" s="157" t="str">
        <f t="shared" si="304"/>
        <v/>
      </c>
      <c r="S424" s="159" t="str">
        <f>IF(R424="","",IF(R424&gt;Data2!$C$12,Data2!$D$11,IF(R424&gt;Data2!$C$13,Data2!$D$12,IF(R424&gt;Data2!$C$14,Data2!$D$13,Data2!$D$14))))</f>
        <v/>
      </c>
      <c r="T424" s="144">
        <f t="shared" si="305"/>
        <v>0</v>
      </c>
      <c r="U424" s="144">
        <f t="shared" si="306"/>
        <v>0</v>
      </c>
      <c r="V424" s="144" t="str">
        <f t="shared" si="315"/>
        <v>Mulai berkembang</v>
      </c>
      <c r="W424" s="144" t="str">
        <f t="shared" si="316"/>
        <v>Mulai berkembang</v>
      </c>
      <c r="X424" s="144" t="e">
        <f t="shared" si="307"/>
        <v>#N/A</v>
      </c>
      <c r="Y424" s="145" t="e">
        <f t="shared" si="308"/>
        <v>#N/A</v>
      </c>
      <c r="Z424" s="218" t="str">
        <f>IF('PA-Non'!O312&lt;&gt;"",'PA-Non'!O312,IFERROR("Mempunyai kemampuan yang " &amp;IF(V424=W424,PROPER(W424)&amp;" dalam kompetensi "&amp;VLOOKUP(X424,$G$532:$I$539,3)&amp;" dan kompetensi "&amp;VLOOKUP(Y424,$G$532:$I$539,3),PROPER(V424)&amp;" dalam kompetensi "&amp;VLOOKUP(X424,$G$532:$I$539,3)&amp;" dan memiliki kemampuan yang "&amp;W424&amp;" pada kompetensi "&amp;VLOOKUP(Y424,$G$532:$I$539,3)),""))</f>
        <v/>
      </c>
      <c r="AA424" s="153"/>
      <c r="AB424" s="154"/>
      <c r="AC424" s="154"/>
      <c r="AD424" s="154"/>
      <c r="AE424" s="154"/>
      <c r="AF424" s="154"/>
      <c r="AG424" s="154"/>
      <c r="AH424" s="155"/>
      <c r="AI424" s="220" t="str">
        <f t="shared" si="309"/>
        <v/>
      </c>
      <c r="AJ424" s="160" t="str">
        <f>IF(AI424="","",IF(AI424&gt;Data2!$C$12,Data2!$D$11,IF(AI424&gt;Data2!$C$13,Data2!$D$12,IF(AI424&gt;Data2!$C$14,Data2!$D$13,Data2!$D$14))))</f>
        <v/>
      </c>
      <c r="AK424" s="146">
        <f t="shared" si="310"/>
        <v>0</v>
      </c>
      <c r="AL424" s="146">
        <f t="shared" si="311"/>
        <v>0</v>
      </c>
      <c r="AM424" s="147" t="str">
        <f t="shared" si="317"/>
        <v>Mulai meningkat</v>
      </c>
      <c r="AN424" s="147" t="str">
        <f t="shared" si="318"/>
        <v>Mulai meningkat</v>
      </c>
      <c r="AO424" s="146" t="e">
        <f t="shared" si="312"/>
        <v>#N/A</v>
      </c>
      <c r="AP424" s="148" t="e">
        <f t="shared" si="313"/>
        <v>#N/A</v>
      </c>
      <c r="AQ424" s="158" t="str">
        <f>IF('PA-Non'!V312&lt;&gt;"",'PA-Non'!V312,IFERROR("Mempunyai keterampilan yang "&amp;IF(AM424=AN424,PROPER(AN424)&amp;" dalam kompetensi "&amp;VLOOKUP(AO424,$AA$532:$AC$539,3)&amp;", demikian juga dalam kompetensi "&amp;VLOOKUP(AP424,$AA$532:$AC$539,3),PROPER(AM424)&amp;" dalam kompetensi "&amp;VLOOKUP(AO424,$AA$532:$AC$539,3)&amp;" dan "&amp;AN424&amp;" pada kompetensi "&amp;VLOOKUP(AP424,$AA$532:$AC$539,3)),""))</f>
        <v/>
      </c>
      <c r="AR424" s="188"/>
    </row>
    <row r="425" spans="2:44" ht="27.9" customHeight="1" thickBot="1" x14ac:dyDescent="0.35">
      <c r="B425" s="226" t="s">
        <v>188</v>
      </c>
      <c r="C425" s="149" t="str">
        <f t="shared" si="319"/>
        <v/>
      </c>
      <c r="D425" s="150" t="str">
        <f>IF(Data!F420="","",Data!F420)</f>
        <v/>
      </c>
      <c r="E425" s="151" t="str">
        <f>IF(Data!H420="","",Data!H420)</f>
        <v/>
      </c>
      <c r="F425" s="152" t="str">
        <f>IF(Data!I420="","",Data!I420)</f>
        <v/>
      </c>
      <c r="G425" s="153"/>
      <c r="H425" s="154"/>
      <c r="I425" s="154"/>
      <c r="J425" s="154"/>
      <c r="K425" s="154"/>
      <c r="L425" s="154"/>
      <c r="M425" s="154"/>
      <c r="N425" s="155"/>
      <c r="O425" s="157" t="str">
        <f t="shared" si="303"/>
        <v/>
      </c>
      <c r="P425" s="154"/>
      <c r="Q425" s="156"/>
      <c r="R425" s="157" t="str">
        <f t="shared" si="304"/>
        <v/>
      </c>
      <c r="S425" s="159" t="str">
        <f>IF(R425="","",IF(R425&gt;Data2!$C$12,Data2!$D$11,IF(R425&gt;Data2!$C$13,Data2!$D$12,IF(R425&gt;Data2!$C$14,Data2!$D$13,Data2!$D$14))))</f>
        <v/>
      </c>
      <c r="T425" s="144">
        <f t="shared" si="305"/>
        <v>0</v>
      </c>
      <c r="U425" s="144">
        <f t="shared" si="306"/>
        <v>0</v>
      </c>
      <c r="V425" s="144" t="str">
        <f t="shared" si="315"/>
        <v>Mulai berkembang</v>
      </c>
      <c r="W425" s="144" t="str">
        <f t="shared" si="316"/>
        <v>Mulai berkembang</v>
      </c>
      <c r="X425" s="144" t="e">
        <f t="shared" si="307"/>
        <v>#N/A</v>
      </c>
      <c r="Y425" s="145" t="e">
        <f t="shared" si="308"/>
        <v>#N/A</v>
      </c>
      <c r="Z425" s="218" t="str">
        <f>IF('PA-Non'!O313&lt;&gt;"",'PA-Non'!O313,IFERROR("Mempunyai kemampuan yang " &amp;IF(V425=W425,PROPER(W425)&amp;" dalam kompetensi "&amp;VLOOKUP(X425,$G$532:$I$539,3)&amp;" dan kompetensi "&amp;VLOOKUP(Y425,$G$532:$I$539,3),PROPER(V425)&amp;" dalam kompetensi "&amp;VLOOKUP(X425,$G$532:$I$539,3)&amp;" dan memiliki kemampuan yang "&amp;W425&amp;" pada kompetensi "&amp;VLOOKUP(Y425,$G$532:$I$539,3)),""))</f>
        <v/>
      </c>
      <c r="AA425" s="153"/>
      <c r="AB425" s="154"/>
      <c r="AC425" s="154"/>
      <c r="AD425" s="154"/>
      <c r="AE425" s="154"/>
      <c r="AF425" s="154"/>
      <c r="AG425" s="154"/>
      <c r="AH425" s="155"/>
      <c r="AI425" s="220" t="str">
        <f t="shared" si="309"/>
        <v/>
      </c>
      <c r="AJ425" s="160" t="str">
        <f>IF(AI425="","",IF(AI425&gt;Data2!$C$12,Data2!$D$11,IF(AI425&gt;Data2!$C$13,Data2!$D$12,IF(AI425&gt;Data2!$C$14,Data2!$D$13,Data2!$D$14))))</f>
        <v/>
      </c>
      <c r="AK425" s="146">
        <f t="shared" si="310"/>
        <v>0</v>
      </c>
      <c r="AL425" s="146">
        <f t="shared" si="311"/>
        <v>0</v>
      </c>
      <c r="AM425" s="147" t="str">
        <f t="shared" si="317"/>
        <v>Mulai meningkat</v>
      </c>
      <c r="AN425" s="147" t="str">
        <f t="shared" si="318"/>
        <v>Mulai meningkat</v>
      </c>
      <c r="AO425" s="146" t="e">
        <f t="shared" si="312"/>
        <v>#N/A</v>
      </c>
      <c r="AP425" s="148" t="e">
        <f t="shared" si="313"/>
        <v>#N/A</v>
      </c>
      <c r="AQ425" s="158" t="str">
        <f>IF('PA-Non'!V313&lt;&gt;"",'PA-Non'!V313,IFERROR("Mempunyai keterampilan yang "&amp;IF(AM425=AN425,PROPER(AN425)&amp;" dalam kompetensi "&amp;VLOOKUP(AO425,$AA$532:$AC$539,3)&amp;", demikian juga dalam kompetensi "&amp;VLOOKUP(AP425,$AA$532:$AC$539,3),PROPER(AM425)&amp;" dalam kompetensi "&amp;VLOOKUP(AO425,$AA$532:$AC$539,3)&amp;" dan "&amp;AN425&amp;" pada kompetensi "&amp;VLOOKUP(AP425,$AA$532:$AC$539,3)),""))</f>
        <v/>
      </c>
      <c r="AR425" s="188"/>
    </row>
    <row r="426" spans="2:44" ht="27.9" customHeight="1" thickBot="1" x14ac:dyDescent="0.35">
      <c r="B426" s="226" t="s">
        <v>188</v>
      </c>
      <c r="C426" s="149" t="str">
        <f t="shared" si="319"/>
        <v/>
      </c>
      <c r="D426" s="150" t="str">
        <f>IF(Data!F421="","",Data!F421)</f>
        <v/>
      </c>
      <c r="E426" s="151" t="str">
        <f>IF(Data!H421="","",Data!H421)</f>
        <v/>
      </c>
      <c r="F426" s="152" t="str">
        <f>IF(Data!I421="","",Data!I421)</f>
        <v/>
      </c>
      <c r="G426" s="153"/>
      <c r="H426" s="154"/>
      <c r="I426" s="154"/>
      <c r="J426" s="154"/>
      <c r="K426" s="154"/>
      <c r="L426" s="154"/>
      <c r="M426" s="154"/>
      <c r="N426" s="155"/>
      <c r="O426" s="157" t="str">
        <f t="shared" si="303"/>
        <v/>
      </c>
      <c r="P426" s="154"/>
      <c r="Q426" s="156"/>
      <c r="R426" s="157" t="str">
        <f t="shared" si="304"/>
        <v/>
      </c>
      <c r="S426" s="159" t="str">
        <f>IF(R426="","",IF(R426&gt;Data2!$C$12,Data2!$D$11,IF(R426&gt;Data2!$C$13,Data2!$D$12,IF(R426&gt;Data2!$C$14,Data2!$D$13,Data2!$D$14))))</f>
        <v/>
      </c>
      <c r="T426" s="144">
        <f t="shared" si="305"/>
        <v>0</v>
      </c>
      <c r="U426" s="144">
        <f t="shared" si="306"/>
        <v>0</v>
      </c>
      <c r="V426" s="144" t="str">
        <f t="shared" si="315"/>
        <v>Mulai berkembang</v>
      </c>
      <c r="W426" s="144" t="str">
        <f t="shared" si="316"/>
        <v>Mulai berkembang</v>
      </c>
      <c r="X426" s="144" t="e">
        <f t="shared" si="307"/>
        <v>#N/A</v>
      </c>
      <c r="Y426" s="145" t="e">
        <f t="shared" si="308"/>
        <v>#N/A</v>
      </c>
      <c r="Z426" s="218" t="str">
        <f>IF('PA-Non'!O314&lt;&gt;"",'PA-Non'!O314,IFERROR("Mempunyai kemampuan yang " &amp;IF(V426=W426,PROPER(W426)&amp;" dalam kompetensi "&amp;VLOOKUP(X426,$G$532:$I$539,3)&amp;" dan kompetensi "&amp;VLOOKUP(Y426,$G$532:$I$539,3),PROPER(V426)&amp;" dalam kompetensi "&amp;VLOOKUP(X426,$G$532:$I$539,3)&amp;" dan memiliki kemampuan yang "&amp;W426&amp;" pada kompetensi "&amp;VLOOKUP(Y426,$G$532:$I$539,3)),""))</f>
        <v/>
      </c>
      <c r="AA426" s="153"/>
      <c r="AB426" s="154"/>
      <c r="AC426" s="154"/>
      <c r="AD426" s="154"/>
      <c r="AE426" s="154"/>
      <c r="AF426" s="154"/>
      <c r="AG426" s="154"/>
      <c r="AH426" s="155"/>
      <c r="AI426" s="220" t="str">
        <f t="shared" si="309"/>
        <v/>
      </c>
      <c r="AJ426" s="160" t="str">
        <f>IF(AI426="","",IF(AI426&gt;Data2!$C$12,Data2!$D$11,IF(AI426&gt;Data2!$C$13,Data2!$D$12,IF(AI426&gt;Data2!$C$14,Data2!$D$13,Data2!$D$14))))</f>
        <v/>
      </c>
      <c r="AK426" s="146">
        <f t="shared" si="310"/>
        <v>0</v>
      </c>
      <c r="AL426" s="146">
        <f t="shared" si="311"/>
        <v>0</v>
      </c>
      <c r="AM426" s="147" t="str">
        <f t="shared" si="317"/>
        <v>Mulai meningkat</v>
      </c>
      <c r="AN426" s="147" t="str">
        <f t="shared" si="318"/>
        <v>Mulai meningkat</v>
      </c>
      <c r="AO426" s="146" t="e">
        <f t="shared" si="312"/>
        <v>#N/A</v>
      </c>
      <c r="AP426" s="148" t="e">
        <f t="shared" si="313"/>
        <v>#N/A</v>
      </c>
      <c r="AQ426" s="158" t="str">
        <f>IF('PA-Non'!V314&lt;&gt;"",'PA-Non'!V314,IFERROR("Mempunyai keterampilan yang "&amp;IF(AM426=AN426,PROPER(AN426)&amp;" dalam kompetensi "&amp;VLOOKUP(AO426,$AA$532:$AC$539,3)&amp;", demikian juga dalam kompetensi "&amp;VLOOKUP(AP426,$AA$532:$AC$539,3),PROPER(AM426)&amp;" dalam kompetensi "&amp;VLOOKUP(AO426,$AA$532:$AC$539,3)&amp;" dan "&amp;AN426&amp;" pada kompetensi "&amp;VLOOKUP(AP426,$AA$532:$AC$539,3)),""))</f>
        <v/>
      </c>
      <c r="AR426" s="188"/>
    </row>
    <row r="427" spans="2:44" ht="27.9" customHeight="1" thickBot="1" x14ac:dyDescent="0.35">
      <c r="B427" s="226" t="s">
        <v>188</v>
      </c>
      <c r="C427" s="149" t="str">
        <f t="shared" si="319"/>
        <v/>
      </c>
      <c r="D427" s="150" t="str">
        <f>IF(Data!F422="","",Data!F422)</f>
        <v/>
      </c>
      <c r="E427" s="151" t="str">
        <f>IF(Data!H422="","",Data!H422)</f>
        <v/>
      </c>
      <c r="F427" s="152" t="str">
        <f>IF(Data!I422="","",Data!I422)</f>
        <v/>
      </c>
      <c r="G427" s="153"/>
      <c r="H427" s="154"/>
      <c r="I427" s="154"/>
      <c r="J427" s="154"/>
      <c r="K427" s="154"/>
      <c r="L427" s="154"/>
      <c r="M427" s="154"/>
      <c r="N427" s="155"/>
      <c r="O427" s="157" t="str">
        <f t="shared" si="303"/>
        <v/>
      </c>
      <c r="P427" s="154"/>
      <c r="Q427" s="156"/>
      <c r="R427" s="157" t="str">
        <f t="shared" si="304"/>
        <v/>
      </c>
      <c r="S427" s="159" t="str">
        <f>IF(R427="","",IF(R427&gt;Data2!$C$12,Data2!$D$11,IF(R427&gt;Data2!$C$13,Data2!$D$12,IF(R427&gt;Data2!$C$14,Data2!$D$13,Data2!$D$14))))</f>
        <v/>
      </c>
      <c r="T427" s="144">
        <f t="shared" si="305"/>
        <v>0</v>
      </c>
      <c r="U427" s="144">
        <f t="shared" si="306"/>
        <v>0</v>
      </c>
      <c r="V427" s="144" t="str">
        <f t="shared" si="315"/>
        <v>Mulai berkembang</v>
      </c>
      <c r="W427" s="144" t="str">
        <f t="shared" si="316"/>
        <v>Mulai berkembang</v>
      </c>
      <c r="X427" s="144" t="e">
        <f t="shared" si="307"/>
        <v>#N/A</v>
      </c>
      <c r="Y427" s="145" t="e">
        <f t="shared" si="308"/>
        <v>#N/A</v>
      </c>
      <c r="Z427" s="218" t="str">
        <f>IF('PA-Non'!O315&lt;&gt;"",'PA-Non'!O315,IFERROR("Mempunyai kemampuan yang " &amp;IF(V427=W427,PROPER(W427)&amp;" dalam kompetensi "&amp;VLOOKUP(X427,$G$532:$I$539,3)&amp;" dan kompetensi "&amp;VLOOKUP(Y427,$G$532:$I$539,3),PROPER(V427)&amp;" dalam kompetensi "&amp;VLOOKUP(X427,$G$532:$I$539,3)&amp;" dan memiliki kemampuan yang "&amp;W427&amp;" pada kompetensi "&amp;VLOOKUP(Y427,$G$532:$I$539,3)),""))</f>
        <v/>
      </c>
      <c r="AA427" s="153"/>
      <c r="AB427" s="154"/>
      <c r="AC427" s="154"/>
      <c r="AD427" s="154"/>
      <c r="AE427" s="154"/>
      <c r="AF427" s="154"/>
      <c r="AG427" s="154"/>
      <c r="AH427" s="155"/>
      <c r="AI427" s="220" t="str">
        <f t="shared" si="309"/>
        <v/>
      </c>
      <c r="AJ427" s="160" t="str">
        <f>IF(AI427="","",IF(AI427&gt;Data2!$C$12,Data2!$D$11,IF(AI427&gt;Data2!$C$13,Data2!$D$12,IF(AI427&gt;Data2!$C$14,Data2!$D$13,Data2!$D$14))))</f>
        <v/>
      </c>
      <c r="AK427" s="146">
        <f t="shared" si="310"/>
        <v>0</v>
      </c>
      <c r="AL427" s="146">
        <f t="shared" si="311"/>
        <v>0</v>
      </c>
      <c r="AM427" s="147" t="str">
        <f t="shared" si="317"/>
        <v>Mulai meningkat</v>
      </c>
      <c r="AN427" s="147" t="str">
        <f t="shared" si="318"/>
        <v>Mulai meningkat</v>
      </c>
      <c r="AO427" s="146" t="e">
        <f t="shared" si="312"/>
        <v>#N/A</v>
      </c>
      <c r="AP427" s="148" t="e">
        <f t="shared" si="313"/>
        <v>#N/A</v>
      </c>
      <c r="AQ427" s="158" t="str">
        <f>IF('PA-Non'!V315&lt;&gt;"",'PA-Non'!V315,IFERROR("Mempunyai keterampilan yang "&amp;IF(AM427=AN427,PROPER(AN427)&amp;" dalam kompetensi "&amp;VLOOKUP(AO427,$AA$532:$AC$539,3)&amp;", demikian juga dalam kompetensi "&amp;VLOOKUP(AP427,$AA$532:$AC$539,3),PROPER(AM427)&amp;" dalam kompetensi "&amp;VLOOKUP(AO427,$AA$532:$AC$539,3)&amp;" dan "&amp;AN427&amp;" pada kompetensi "&amp;VLOOKUP(AP427,$AA$532:$AC$539,3)),""))</f>
        <v/>
      </c>
      <c r="AR427" s="188"/>
    </row>
    <row r="428" spans="2:44" ht="27.9" customHeight="1" thickBot="1" x14ac:dyDescent="0.35">
      <c r="B428" s="226" t="s">
        <v>188</v>
      </c>
      <c r="C428" s="149" t="str">
        <f t="shared" si="319"/>
        <v/>
      </c>
      <c r="D428" s="150" t="str">
        <f>IF(Data!F423="","",Data!F423)</f>
        <v/>
      </c>
      <c r="E428" s="151" t="str">
        <f>IF(Data!H423="","",Data!H423)</f>
        <v/>
      </c>
      <c r="F428" s="152" t="str">
        <f>IF(Data!I423="","",Data!I423)</f>
        <v/>
      </c>
      <c r="G428" s="153"/>
      <c r="H428" s="154"/>
      <c r="I428" s="154"/>
      <c r="J428" s="154"/>
      <c r="K428" s="154"/>
      <c r="L428" s="154"/>
      <c r="M428" s="154"/>
      <c r="N428" s="155"/>
      <c r="O428" s="157" t="str">
        <f t="shared" si="303"/>
        <v/>
      </c>
      <c r="P428" s="154"/>
      <c r="Q428" s="156"/>
      <c r="R428" s="157" t="str">
        <f t="shared" si="304"/>
        <v/>
      </c>
      <c r="S428" s="159" t="str">
        <f>IF(R428="","",IF(R428&gt;Data2!$C$12,Data2!$D$11,IF(R428&gt;Data2!$C$13,Data2!$D$12,IF(R428&gt;Data2!$C$14,Data2!$D$13,Data2!$D$14))))</f>
        <v/>
      </c>
      <c r="T428" s="144">
        <f t="shared" si="305"/>
        <v>0</v>
      </c>
      <c r="U428" s="144">
        <f t="shared" si="306"/>
        <v>0</v>
      </c>
      <c r="V428" s="144" t="str">
        <f t="shared" si="315"/>
        <v>Mulai berkembang</v>
      </c>
      <c r="W428" s="144" t="str">
        <f t="shared" si="316"/>
        <v>Mulai berkembang</v>
      </c>
      <c r="X428" s="144" t="e">
        <f t="shared" si="307"/>
        <v>#N/A</v>
      </c>
      <c r="Y428" s="145" t="e">
        <f t="shared" si="308"/>
        <v>#N/A</v>
      </c>
      <c r="Z428" s="218" t="str">
        <f>IF('PA-Non'!O316&lt;&gt;"",'PA-Non'!O316,IFERROR("Mempunyai kemampuan yang " &amp;IF(V428=W428,PROPER(W428)&amp;" dalam kompetensi "&amp;VLOOKUP(X428,$G$532:$I$539,3)&amp;" dan kompetensi "&amp;VLOOKUP(Y428,$G$532:$I$539,3),PROPER(V428)&amp;" dalam kompetensi "&amp;VLOOKUP(X428,$G$532:$I$539,3)&amp;" dan memiliki kemampuan yang "&amp;W428&amp;" pada kompetensi "&amp;VLOOKUP(Y428,$G$532:$I$539,3)),""))</f>
        <v/>
      </c>
      <c r="AA428" s="153"/>
      <c r="AB428" s="154"/>
      <c r="AC428" s="154"/>
      <c r="AD428" s="154"/>
      <c r="AE428" s="154"/>
      <c r="AF428" s="154"/>
      <c r="AG428" s="154"/>
      <c r="AH428" s="155"/>
      <c r="AI428" s="220" t="str">
        <f t="shared" si="309"/>
        <v/>
      </c>
      <c r="AJ428" s="160" t="str">
        <f>IF(AI428="","",IF(AI428&gt;Data2!$C$12,Data2!$D$11,IF(AI428&gt;Data2!$C$13,Data2!$D$12,IF(AI428&gt;Data2!$C$14,Data2!$D$13,Data2!$D$14))))</f>
        <v/>
      </c>
      <c r="AK428" s="146">
        <f t="shared" si="310"/>
        <v>0</v>
      </c>
      <c r="AL428" s="146">
        <f t="shared" si="311"/>
        <v>0</v>
      </c>
      <c r="AM428" s="147" t="str">
        <f t="shared" si="317"/>
        <v>Mulai meningkat</v>
      </c>
      <c r="AN428" s="147" t="str">
        <f t="shared" si="318"/>
        <v>Mulai meningkat</v>
      </c>
      <c r="AO428" s="146" t="e">
        <f t="shared" si="312"/>
        <v>#N/A</v>
      </c>
      <c r="AP428" s="148" t="e">
        <f t="shared" si="313"/>
        <v>#N/A</v>
      </c>
      <c r="AQ428" s="158" t="str">
        <f>IF('PA-Non'!V316&lt;&gt;"",'PA-Non'!V316,IFERROR("Mempunyai keterampilan yang "&amp;IF(AM428=AN428,PROPER(AN428)&amp;" dalam kompetensi "&amp;VLOOKUP(AO428,$AA$532:$AC$539,3)&amp;", demikian juga dalam kompetensi "&amp;VLOOKUP(AP428,$AA$532:$AC$539,3),PROPER(AM428)&amp;" dalam kompetensi "&amp;VLOOKUP(AO428,$AA$532:$AC$539,3)&amp;" dan "&amp;AN428&amp;" pada kompetensi "&amp;VLOOKUP(AP428,$AA$532:$AC$539,3)),""))</f>
        <v/>
      </c>
      <c r="AR428" s="188"/>
    </row>
    <row r="429" spans="2:44" ht="27.9" customHeight="1" thickBot="1" x14ac:dyDescent="0.35">
      <c r="B429" s="226" t="s">
        <v>188</v>
      </c>
      <c r="C429" s="149" t="str">
        <f t="shared" si="319"/>
        <v/>
      </c>
      <c r="D429" s="150" t="str">
        <f>IF(Data!F424="","",Data!F424)</f>
        <v/>
      </c>
      <c r="E429" s="151" t="str">
        <f>IF(Data!H424="","",Data!H424)</f>
        <v/>
      </c>
      <c r="F429" s="152" t="str">
        <f>IF(Data!I424="","",Data!I424)</f>
        <v/>
      </c>
      <c r="G429" s="153"/>
      <c r="H429" s="154"/>
      <c r="I429" s="154"/>
      <c r="J429" s="154"/>
      <c r="K429" s="154"/>
      <c r="L429" s="154"/>
      <c r="M429" s="154"/>
      <c r="N429" s="155"/>
      <c r="O429" s="157" t="str">
        <f t="shared" si="303"/>
        <v/>
      </c>
      <c r="P429" s="154"/>
      <c r="Q429" s="156"/>
      <c r="R429" s="157" t="str">
        <f t="shared" si="304"/>
        <v/>
      </c>
      <c r="S429" s="159" t="str">
        <f>IF(R429="","",IF(R429&gt;Data2!$C$12,Data2!$D$11,IF(R429&gt;Data2!$C$13,Data2!$D$12,IF(R429&gt;Data2!$C$14,Data2!$D$13,Data2!$D$14))))</f>
        <v/>
      </c>
      <c r="T429" s="144">
        <f t="shared" si="305"/>
        <v>0</v>
      </c>
      <c r="U429" s="144">
        <f t="shared" si="306"/>
        <v>0</v>
      </c>
      <c r="V429" s="144" t="str">
        <f t="shared" si="315"/>
        <v>Mulai berkembang</v>
      </c>
      <c r="W429" s="144" t="str">
        <f t="shared" si="316"/>
        <v>Mulai berkembang</v>
      </c>
      <c r="X429" s="144" t="e">
        <f t="shared" si="307"/>
        <v>#N/A</v>
      </c>
      <c r="Y429" s="145" t="e">
        <f t="shared" si="308"/>
        <v>#N/A</v>
      </c>
      <c r="Z429" s="218" t="str">
        <f>IF('PA-Non'!O317&lt;&gt;"",'PA-Non'!O317,IFERROR("Mempunyai kemampuan yang " &amp;IF(V429=W429,PROPER(W429)&amp;" dalam kompetensi "&amp;VLOOKUP(X429,$G$532:$I$539,3)&amp;" dan kompetensi "&amp;VLOOKUP(Y429,$G$532:$I$539,3),PROPER(V429)&amp;" dalam kompetensi "&amp;VLOOKUP(X429,$G$532:$I$539,3)&amp;" dan memiliki kemampuan yang "&amp;W429&amp;" pada kompetensi "&amp;VLOOKUP(Y429,$G$532:$I$539,3)),""))</f>
        <v/>
      </c>
      <c r="AA429" s="153"/>
      <c r="AB429" s="154"/>
      <c r="AC429" s="154"/>
      <c r="AD429" s="154"/>
      <c r="AE429" s="154"/>
      <c r="AF429" s="154"/>
      <c r="AG429" s="154"/>
      <c r="AH429" s="155"/>
      <c r="AI429" s="220" t="str">
        <f t="shared" si="309"/>
        <v/>
      </c>
      <c r="AJ429" s="160" t="str">
        <f>IF(AI429="","",IF(AI429&gt;Data2!$C$12,Data2!$D$11,IF(AI429&gt;Data2!$C$13,Data2!$D$12,IF(AI429&gt;Data2!$C$14,Data2!$D$13,Data2!$D$14))))</f>
        <v/>
      </c>
      <c r="AK429" s="146">
        <f t="shared" si="310"/>
        <v>0</v>
      </c>
      <c r="AL429" s="146">
        <f t="shared" si="311"/>
        <v>0</v>
      </c>
      <c r="AM429" s="147" t="str">
        <f t="shared" si="317"/>
        <v>Mulai meningkat</v>
      </c>
      <c r="AN429" s="147" t="str">
        <f t="shared" si="318"/>
        <v>Mulai meningkat</v>
      </c>
      <c r="AO429" s="146" t="e">
        <f t="shared" si="312"/>
        <v>#N/A</v>
      </c>
      <c r="AP429" s="148" t="e">
        <f t="shared" si="313"/>
        <v>#N/A</v>
      </c>
      <c r="AQ429" s="158" t="str">
        <f>IF('PA-Non'!V317&lt;&gt;"",'PA-Non'!V317,IFERROR("Mempunyai keterampilan yang "&amp;IF(AM429=AN429,PROPER(AN429)&amp;" dalam kompetensi "&amp;VLOOKUP(AO429,$AA$532:$AC$539,3)&amp;", demikian juga dalam kompetensi "&amp;VLOOKUP(AP429,$AA$532:$AC$539,3),PROPER(AM429)&amp;" dalam kompetensi "&amp;VLOOKUP(AO429,$AA$532:$AC$539,3)&amp;" dan "&amp;AN429&amp;" pada kompetensi "&amp;VLOOKUP(AP429,$AA$532:$AC$539,3)),""))</f>
        <v/>
      </c>
      <c r="AR429" s="188"/>
    </row>
    <row r="430" spans="2:44" ht="27.9" customHeight="1" thickBot="1" x14ac:dyDescent="0.35">
      <c r="B430" s="226" t="s">
        <v>188</v>
      </c>
      <c r="C430" s="149" t="str">
        <f t="shared" si="319"/>
        <v/>
      </c>
      <c r="D430" s="150" t="str">
        <f>IF(Data!F425="","",Data!F425)</f>
        <v/>
      </c>
      <c r="E430" s="151" t="str">
        <f>IF(Data!H425="","",Data!H425)</f>
        <v/>
      </c>
      <c r="F430" s="152" t="str">
        <f>IF(Data!I425="","",Data!I425)</f>
        <v/>
      </c>
      <c r="G430" s="153"/>
      <c r="H430" s="154"/>
      <c r="I430" s="154"/>
      <c r="J430" s="154"/>
      <c r="K430" s="154"/>
      <c r="L430" s="154"/>
      <c r="M430" s="154"/>
      <c r="N430" s="155"/>
      <c r="O430" s="157" t="str">
        <f t="shared" si="303"/>
        <v/>
      </c>
      <c r="P430" s="154"/>
      <c r="Q430" s="156"/>
      <c r="R430" s="157" t="str">
        <f t="shared" si="304"/>
        <v/>
      </c>
      <c r="S430" s="159" t="str">
        <f>IF(R430="","",IF(R430&gt;Data2!$C$12,Data2!$D$11,IF(R430&gt;Data2!$C$13,Data2!$D$12,IF(R430&gt;Data2!$C$14,Data2!$D$13,Data2!$D$14))))</f>
        <v/>
      </c>
      <c r="T430" s="144">
        <f t="shared" si="305"/>
        <v>0</v>
      </c>
      <c r="U430" s="144">
        <f t="shared" si="306"/>
        <v>0</v>
      </c>
      <c r="V430" s="144" t="str">
        <f t="shared" si="315"/>
        <v>Mulai berkembang</v>
      </c>
      <c r="W430" s="144" t="str">
        <f t="shared" si="316"/>
        <v>Mulai berkembang</v>
      </c>
      <c r="X430" s="144" t="e">
        <f t="shared" si="307"/>
        <v>#N/A</v>
      </c>
      <c r="Y430" s="145" t="e">
        <f t="shared" si="308"/>
        <v>#N/A</v>
      </c>
      <c r="Z430" s="218" t="str">
        <f>IF('PA-Non'!O318&lt;&gt;"",'PA-Non'!O318,IFERROR("Mempunyai kemampuan yang " &amp;IF(V430=W430,PROPER(W430)&amp;" dalam kompetensi "&amp;VLOOKUP(X430,$G$532:$I$539,3)&amp;" dan kompetensi "&amp;VLOOKUP(Y430,$G$532:$I$539,3),PROPER(V430)&amp;" dalam kompetensi "&amp;VLOOKUP(X430,$G$532:$I$539,3)&amp;" dan memiliki kemampuan yang "&amp;W430&amp;" pada kompetensi "&amp;VLOOKUP(Y430,$G$532:$I$539,3)),""))</f>
        <v/>
      </c>
      <c r="AA430" s="153"/>
      <c r="AB430" s="154"/>
      <c r="AC430" s="154"/>
      <c r="AD430" s="154"/>
      <c r="AE430" s="154"/>
      <c r="AF430" s="154"/>
      <c r="AG430" s="154"/>
      <c r="AH430" s="155"/>
      <c r="AI430" s="220" t="str">
        <f t="shared" si="309"/>
        <v/>
      </c>
      <c r="AJ430" s="160" t="str">
        <f>IF(AI430="","",IF(AI430&gt;Data2!$C$12,Data2!$D$11,IF(AI430&gt;Data2!$C$13,Data2!$D$12,IF(AI430&gt;Data2!$C$14,Data2!$D$13,Data2!$D$14))))</f>
        <v/>
      </c>
      <c r="AK430" s="146">
        <f t="shared" si="310"/>
        <v>0</v>
      </c>
      <c r="AL430" s="146">
        <f t="shared" si="311"/>
        <v>0</v>
      </c>
      <c r="AM430" s="147" t="str">
        <f t="shared" si="317"/>
        <v>Mulai meningkat</v>
      </c>
      <c r="AN430" s="147" t="str">
        <f t="shared" si="318"/>
        <v>Mulai meningkat</v>
      </c>
      <c r="AO430" s="146" t="e">
        <f t="shared" si="312"/>
        <v>#N/A</v>
      </c>
      <c r="AP430" s="148" t="e">
        <f t="shared" si="313"/>
        <v>#N/A</v>
      </c>
      <c r="AQ430" s="158" t="str">
        <f>IF('PA-Non'!V318&lt;&gt;"",'PA-Non'!V318,IFERROR("Mempunyai keterampilan yang "&amp;IF(AM430=AN430,PROPER(AN430)&amp;" dalam kompetensi "&amp;VLOOKUP(AO430,$AA$532:$AC$539,3)&amp;", demikian juga dalam kompetensi "&amp;VLOOKUP(AP430,$AA$532:$AC$539,3),PROPER(AM430)&amp;" dalam kompetensi "&amp;VLOOKUP(AO430,$AA$532:$AC$539,3)&amp;" dan "&amp;AN430&amp;" pada kompetensi "&amp;VLOOKUP(AP430,$AA$532:$AC$539,3)),""))</f>
        <v/>
      </c>
      <c r="AR430" s="188"/>
    </row>
    <row r="431" spans="2:44" ht="27.9" customHeight="1" thickBot="1" x14ac:dyDescent="0.35">
      <c r="B431" s="226" t="s">
        <v>188</v>
      </c>
      <c r="C431" s="149" t="str">
        <f t="shared" si="319"/>
        <v/>
      </c>
      <c r="D431" s="150" t="str">
        <f>IF(Data!F426="","",Data!F426)</f>
        <v/>
      </c>
      <c r="E431" s="151" t="str">
        <f>IF(Data!H426="","",Data!H426)</f>
        <v/>
      </c>
      <c r="F431" s="152" t="str">
        <f>IF(Data!I426="","",Data!I426)</f>
        <v/>
      </c>
      <c r="G431" s="153"/>
      <c r="H431" s="154"/>
      <c r="I431" s="154"/>
      <c r="J431" s="154"/>
      <c r="K431" s="154"/>
      <c r="L431" s="154"/>
      <c r="M431" s="154"/>
      <c r="N431" s="155"/>
      <c r="O431" s="157" t="str">
        <f t="shared" si="303"/>
        <v/>
      </c>
      <c r="P431" s="154"/>
      <c r="Q431" s="156"/>
      <c r="R431" s="157" t="str">
        <f t="shared" si="304"/>
        <v/>
      </c>
      <c r="S431" s="159" t="str">
        <f>IF(R431="","",IF(R431&gt;Data2!$C$12,Data2!$D$11,IF(R431&gt;Data2!$C$13,Data2!$D$12,IF(R431&gt;Data2!$C$14,Data2!$D$13,Data2!$D$14))))</f>
        <v/>
      </c>
      <c r="T431" s="144">
        <f t="shared" si="305"/>
        <v>0</v>
      </c>
      <c r="U431" s="144">
        <f t="shared" si="306"/>
        <v>0</v>
      </c>
      <c r="V431" s="144" t="str">
        <f t="shared" si="315"/>
        <v>Mulai berkembang</v>
      </c>
      <c r="W431" s="144" t="str">
        <f t="shared" si="316"/>
        <v>Mulai berkembang</v>
      </c>
      <c r="X431" s="144" t="e">
        <f t="shared" si="307"/>
        <v>#N/A</v>
      </c>
      <c r="Y431" s="145" t="e">
        <f t="shared" si="308"/>
        <v>#N/A</v>
      </c>
      <c r="Z431" s="218" t="str">
        <f>IF('PA-Non'!O319&lt;&gt;"",'PA-Non'!O319,IFERROR("Mempunyai kemampuan yang " &amp;IF(V431=W431,PROPER(W431)&amp;" dalam kompetensi "&amp;VLOOKUP(X431,$G$532:$I$539,3)&amp;" dan kompetensi "&amp;VLOOKUP(Y431,$G$532:$I$539,3),PROPER(V431)&amp;" dalam kompetensi "&amp;VLOOKUP(X431,$G$532:$I$539,3)&amp;" dan memiliki kemampuan yang "&amp;W431&amp;" pada kompetensi "&amp;VLOOKUP(Y431,$G$532:$I$539,3)),""))</f>
        <v/>
      </c>
      <c r="AA431" s="153"/>
      <c r="AB431" s="154"/>
      <c r="AC431" s="154"/>
      <c r="AD431" s="154"/>
      <c r="AE431" s="154"/>
      <c r="AF431" s="154"/>
      <c r="AG431" s="154"/>
      <c r="AH431" s="155"/>
      <c r="AI431" s="220" t="str">
        <f t="shared" si="309"/>
        <v/>
      </c>
      <c r="AJ431" s="160" t="str">
        <f>IF(AI431="","",IF(AI431&gt;Data2!$C$12,Data2!$D$11,IF(AI431&gt;Data2!$C$13,Data2!$D$12,IF(AI431&gt;Data2!$C$14,Data2!$D$13,Data2!$D$14))))</f>
        <v/>
      </c>
      <c r="AK431" s="146">
        <f t="shared" si="310"/>
        <v>0</v>
      </c>
      <c r="AL431" s="146">
        <f t="shared" si="311"/>
        <v>0</v>
      </c>
      <c r="AM431" s="147" t="str">
        <f t="shared" si="317"/>
        <v>Mulai meningkat</v>
      </c>
      <c r="AN431" s="147" t="str">
        <f t="shared" si="318"/>
        <v>Mulai meningkat</v>
      </c>
      <c r="AO431" s="146" t="e">
        <f t="shared" si="312"/>
        <v>#N/A</v>
      </c>
      <c r="AP431" s="148" t="e">
        <f t="shared" si="313"/>
        <v>#N/A</v>
      </c>
      <c r="AQ431" s="158" t="str">
        <f>IF('PA-Non'!V319&lt;&gt;"",'PA-Non'!V319,IFERROR("Mempunyai keterampilan yang "&amp;IF(AM431=AN431,PROPER(AN431)&amp;" dalam kompetensi "&amp;VLOOKUP(AO431,$AA$532:$AC$539,3)&amp;", demikian juga dalam kompetensi "&amp;VLOOKUP(AP431,$AA$532:$AC$539,3),PROPER(AM431)&amp;" dalam kompetensi "&amp;VLOOKUP(AO431,$AA$532:$AC$539,3)&amp;" dan "&amp;AN431&amp;" pada kompetensi "&amp;VLOOKUP(AP431,$AA$532:$AC$539,3)),""))</f>
        <v/>
      </c>
      <c r="AR431" s="188"/>
    </row>
    <row r="432" spans="2:44" ht="27.9" customHeight="1" thickBot="1" x14ac:dyDescent="0.35">
      <c r="B432" s="226" t="s">
        <v>188</v>
      </c>
      <c r="C432" s="149" t="str">
        <f t="shared" si="319"/>
        <v/>
      </c>
      <c r="D432" s="150" t="str">
        <f>IF(Data!F427="","",Data!F427)</f>
        <v/>
      </c>
      <c r="E432" s="151" t="str">
        <f>IF(Data!H427="","",Data!H427)</f>
        <v/>
      </c>
      <c r="F432" s="152" t="str">
        <f>IF(Data!I427="","",Data!I427)</f>
        <v/>
      </c>
      <c r="G432" s="153"/>
      <c r="H432" s="154"/>
      <c r="I432" s="154"/>
      <c r="J432" s="154"/>
      <c r="K432" s="154"/>
      <c r="L432" s="154"/>
      <c r="M432" s="154"/>
      <c r="N432" s="155"/>
      <c r="O432" s="157" t="str">
        <f t="shared" si="303"/>
        <v/>
      </c>
      <c r="P432" s="154"/>
      <c r="Q432" s="156"/>
      <c r="R432" s="157" t="str">
        <f t="shared" si="304"/>
        <v/>
      </c>
      <c r="S432" s="159" t="str">
        <f>IF(R432="","",IF(R432&gt;Data2!$C$12,Data2!$D$11,IF(R432&gt;Data2!$C$13,Data2!$D$12,IF(R432&gt;Data2!$C$14,Data2!$D$13,Data2!$D$14))))</f>
        <v/>
      </c>
      <c r="T432" s="144">
        <f t="shared" si="305"/>
        <v>0</v>
      </c>
      <c r="U432" s="144">
        <f t="shared" si="306"/>
        <v>0</v>
      </c>
      <c r="V432" s="144" t="str">
        <f t="shared" si="315"/>
        <v>Mulai berkembang</v>
      </c>
      <c r="W432" s="144" t="str">
        <f t="shared" si="316"/>
        <v>Mulai berkembang</v>
      </c>
      <c r="X432" s="144" t="e">
        <f t="shared" si="307"/>
        <v>#N/A</v>
      </c>
      <c r="Y432" s="145" t="e">
        <f t="shared" si="308"/>
        <v>#N/A</v>
      </c>
      <c r="Z432" s="218" t="str">
        <f>IF('PA-Non'!O320&lt;&gt;"",'PA-Non'!O320,IFERROR("Mempunyai kemampuan yang " &amp;IF(V432=W432,PROPER(W432)&amp;" dalam kompetensi "&amp;VLOOKUP(X432,$G$532:$I$539,3)&amp;" dan kompetensi "&amp;VLOOKUP(Y432,$G$532:$I$539,3),PROPER(V432)&amp;" dalam kompetensi "&amp;VLOOKUP(X432,$G$532:$I$539,3)&amp;" dan memiliki kemampuan yang "&amp;W432&amp;" pada kompetensi "&amp;VLOOKUP(Y432,$G$532:$I$539,3)),""))</f>
        <v/>
      </c>
      <c r="AA432" s="153"/>
      <c r="AB432" s="154"/>
      <c r="AC432" s="154"/>
      <c r="AD432" s="154"/>
      <c r="AE432" s="154"/>
      <c r="AF432" s="154"/>
      <c r="AG432" s="154"/>
      <c r="AH432" s="155"/>
      <c r="AI432" s="220" t="str">
        <f t="shared" si="309"/>
        <v/>
      </c>
      <c r="AJ432" s="160" t="str">
        <f>IF(AI432="","",IF(AI432&gt;Data2!$C$12,Data2!$D$11,IF(AI432&gt;Data2!$C$13,Data2!$D$12,IF(AI432&gt;Data2!$C$14,Data2!$D$13,Data2!$D$14))))</f>
        <v/>
      </c>
      <c r="AK432" s="146">
        <f t="shared" si="310"/>
        <v>0</v>
      </c>
      <c r="AL432" s="146">
        <f t="shared" si="311"/>
        <v>0</v>
      </c>
      <c r="AM432" s="147" t="str">
        <f t="shared" si="317"/>
        <v>Mulai meningkat</v>
      </c>
      <c r="AN432" s="147" t="str">
        <f t="shared" si="318"/>
        <v>Mulai meningkat</v>
      </c>
      <c r="AO432" s="146" t="e">
        <f t="shared" si="312"/>
        <v>#N/A</v>
      </c>
      <c r="AP432" s="148" t="e">
        <f t="shared" si="313"/>
        <v>#N/A</v>
      </c>
      <c r="AQ432" s="158" t="str">
        <f>IF('PA-Non'!V320&lt;&gt;"",'PA-Non'!V320,IFERROR("Mempunyai keterampilan yang "&amp;IF(AM432=AN432,PROPER(AN432)&amp;" dalam kompetensi "&amp;VLOOKUP(AO432,$AA$532:$AC$539,3)&amp;", demikian juga dalam kompetensi "&amp;VLOOKUP(AP432,$AA$532:$AC$539,3),PROPER(AM432)&amp;" dalam kompetensi "&amp;VLOOKUP(AO432,$AA$532:$AC$539,3)&amp;" dan "&amp;AN432&amp;" pada kompetensi "&amp;VLOOKUP(AP432,$AA$532:$AC$539,3)),""))</f>
        <v/>
      </c>
      <c r="AR432" s="188"/>
    </row>
    <row r="433" spans="2:44" ht="27.9" customHeight="1" thickBot="1" x14ac:dyDescent="0.35">
      <c r="B433" s="226" t="s">
        <v>188</v>
      </c>
      <c r="C433" s="149" t="str">
        <f t="shared" si="319"/>
        <v/>
      </c>
      <c r="D433" s="150" t="str">
        <f>IF(Data!F428="","",Data!F428)</f>
        <v/>
      </c>
      <c r="E433" s="151" t="str">
        <f>IF(Data!H428="","",Data!H428)</f>
        <v/>
      </c>
      <c r="F433" s="152" t="str">
        <f>IF(Data!I428="","",Data!I428)</f>
        <v/>
      </c>
      <c r="G433" s="153"/>
      <c r="H433" s="154"/>
      <c r="I433" s="154"/>
      <c r="J433" s="154"/>
      <c r="K433" s="154"/>
      <c r="L433" s="154"/>
      <c r="M433" s="154"/>
      <c r="N433" s="155"/>
      <c r="O433" s="157" t="str">
        <f t="shared" si="303"/>
        <v/>
      </c>
      <c r="P433" s="154"/>
      <c r="Q433" s="156"/>
      <c r="R433" s="157" t="str">
        <f t="shared" si="304"/>
        <v/>
      </c>
      <c r="S433" s="159" t="str">
        <f>IF(R433="","",IF(R433&gt;Data2!$C$12,Data2!$D$11,IF(R433&gt;Data2!$C$13,Data2!$D$12,IF(R433&gt;Data2!$C$14,Data2!$D$13,Data2!$D$14))))</f>
        <v/>
      </c>
      <c r="T433" s="144">
        <f t="shared" si="305"/>
        <v>0</v>
      </c>
      <c r="U433" s="144">
        <f t="shared" si="306"/>
        <v>0</v>
      </c>
      <c r="V433" s="144" t="str">
        <f t="shared" si="315"/>
        <v>Mulai berkembang</v>
      </c>
      <c r="W433" s="144" t="str">
        <f t="shared" si="316"/>
        <v>Mulai berkembang</v>
      </c>
      <c r="X433" s="144" t="e">
        <f t="shared" si="307"/>
        <v>#N/A</v>
      </c>
      <c r="Y433" s="145" t="e">
        <f t="shared" si="308"/>
        <v>#N/A</v>
      </c>
      <c r="Z433" s="218" t="str">
        <f>IF('PA-Non'!O321&lt;&gt;"",'PA-Non'!O321,IFERROR("Mempunyai kemampuan yang " &amp;IF(V433=W433,PROPER(W433)&amp;" dalam kompetensi "&amp;VLOOKUP(X433,$G$532:$I$539,3)&amp;" dan kompetensi "&amp;VLOOKUP(Y433,$G$532:$I$539,3),PROPER(V433)&amp;" dalam kompetensi "&amp;VLOOKUP(X433,$G$532:$I$539,3)&amp;" dan memiliki kemampuan yang "&amp;W433&amp;" pada kompetensi "&amp;VLOOKUP(Y433,$G$532:$I$539,3)),""))</f>
        <v/>
      </c>
      <c r="AA433" s="153"/>
      <c r="AB433" s="154"/>
      <c r="AC433" s="154"/>
      <c r="AD433" s="154"/>
      <c r="AE433" s="154"/>
      <c r="AF433" s="154"/>
      <c r="AG433" s="154"/>
      <c r="AH433" s="155"/>
      <c r="AI433" s="220" t="str">
        <f t="shared" si="309"/>
        <v/>
      </c>
      <c r="AJ433" s="160" t="str">
        <f>IF(AI433="","",IF(AI433&gt;Data2!$C$12,Data2!$D$11,IF(AI433&gt;Data2!$C$13,Data2!$D$12,IF(AI433&gt;Data2!$C$14,Data2!$D$13,Data2!$D$14))))</f>
        <v/>
      </c>
      <c r="AK433" s="146">
        <f t="shared" si="310"/>
        <v>0</v>
      </c>
      <c r="AL433" s="146">
        <f t="shared" si="311"/>
        <v>0</v>
      </c>
      <c r="AM433" s="147" t="str">
        <f t="shared" si="317"/>
        <v>Mulai meningkat</v>
      </c>
      <c r="AN433" s="147" t="str">
        <f t="shared" si="318"/>
        <v>Mulai meningkat</v>
      </c>
      <c r="AO433" s="146" t="e">
        <f t="shared" si="312"/>
        <v>#N/A</v>
      </c>
      <c r="AP433" s="148" t="e">
        <f t="shared" si="313"/>
        <v>#N/A</v>
      </c>
      <c r="AQ433" s="158" t="str">
        <f>IF('PA-Non'!V321&lt;&gt;"",'PA-Non'!V321,IFERROR("Mempunyai keterampilan yang "&amp;IF(AM433=AN433,PROPER(AN433)&amp;" dalam kompetensi "&amp;VLOOKUP(AO433,$AA$532:$AC$539,3)&amp;", demikian juga dalam kompetensi "&amp;VLOOKUP(AP433,$AA$532:$AC$539,3),PROPER(AM433)&amp;" dalam kompetensi "&amp;VLOOKUP(AO433,$AA$532:$AC$539,3)&amp;" dan "&amp;AN433&amp;" pada kompetensi "&amp;VLOOKUP(AP433,$AA$532:$AC$539,3)),""))</f>
        <v/>
      </c>
      <c r="AR433" s="188"/>
    </row>
    <row r="434" spans="2:44" ht="27.9" customHeight="1" thickBot="1" x14ac:dyDescent="0.35">
      <c r="B434" s="226" t="s">
        <v>188</v>
      </c>
      <c r="C434" s="149" t="str">
        <f t="shared" si="319"/>
        <v/>
      </c>
      <c r="D434" s="150" t="str">
        <f>IF(Data!F429="","",Data!F429)</f>
        <v/>
      </c>
      <c r="E434" s="151" t="str">
        <f>IF(Data!H429="","",Data!H429)</f>
        <v/>
      </c>
      <c r="F434" s="152" t="str">
        <f>IF(Data!I429="","",Data!I429)</f>
        <v/>
      </c>
      <c r="G434" s="153"/>
      <c r="H434" s="154"/>
      <c r="I434" s="154"/>
      <c r="J434" s="154"/>
      <c r="K434" s="154"/>
      <c r="L434" s="154"/>
      <c r="M434" s="154"/>
      <c r="N434" s="155"/>
      <c r="O434" s="157" t="str">
        <f t="shared" si="303"/>
        <v/>
      </c>
      <c r="P434" s="154"/>
      <c r="Q434" s="156"/>
      <c r="R434" s="157" t="str">
        <f t="shared" si="304"/>
        <v/>
      </c>
      <c r="S434" s="159" t="str">
        <f>IF(R434="","",IF(R434&gt;Data2!$C$12,Data2!$D$11,IF(R434&gt;Data2!$C$13,Data2!$D$12,IF(R434&gt;Data2!$C$14,Data2!$D$13,Data2!$D$14))))</f>
        <v/>
      </c>
      <c r="T434" s="144">
        <f t="shared" si="305"/>
        <v>0</v>
      </c>
      <c r="U434" s="144">
        <f t="shared" si="306"/>
        <v>0</v>
      </c>
      <c r="V434" s="144" t="str">
        <f t="shared" si="315"/>
        <v>Mulai berkembang</v>
      </c>
      <c r="W434" s="144" t="str">
        <f t="shared" si="316"/>
        <v>Mulai berkembang</v>
      </c>
      <c r="X434" s="144" t="e">
        <f t="shared" si="307"/>
        <v>#N/A</v>
      </c>
      <c r="Y434" s="145" t="e">
        <f t="shared" si="308"/>
        <v>#N/A</v>
      </c>
      <c r="Z434" s="218" t="str">
        <f>IF('PA-Non'!O322&lt;&gt;"",'PA-Non'!O322,IFERROR("Mempunyai kemampuan yang " &amp;IF(V434=W434,PROPER(W434)&amp;" dalam kompetensi "&amp;VLOOKUP(X434,$G$532:$I$539,3)&amp;" dan kompetensi "&amp;VLOOKUP(Y434,$G$532:$I$539,3),PROPER(V434)&amp;" dalam kompetensi "&amp;VLOOKUP(X434,$G$532:$I$539,3)&amp;" dan memiliki kemampuan yang "&amp;W434&amp;" pada kompetensi "&amp;VLOOKUP(Y434,$G$532:$I$539,3)),""))</f>
        <v/>
      </c>
      <c r="AA434" s="153"/>
      <c r="AB434" s="154"/>
      <c r="AC434" s="154"/>
      <c r="AD434" s="154"/>
      <c r="AE434" s="154"/>
      <c r="AF434" s="154"/>
      <c r="AG434" s="154"/>
      <c r="AH434" s="155"/>
      <c r="AI434" s="220" t="str">
        <f t="shared" si="309"/>
        <v/>
      </c>
      <c r="AJ434" s="160" t="str">
        <f>IF(AI434="","",IF(AI434&gt;Data2!$C$12,Data2!$D$11,IF(AI434&gt;Data2!$C$13,Data2!$D$12,IF(AI434&gt;Data2!$C$14,Data2!$D$13,Data2!$D$14))))</f>
        <v/>
      </c>
      <c r="AK434" s="146">
        <f t="shared" si="310"/>
        <v>0</v>
      </c>
      <c r="AL434" s="146">
        <f t="shared" si="311"/>
        <v>0</v>
      </c>
      <c r="AM434" s="147" t="str">
        <f t="shared" si="317"/>
        <v>Mulai meningkat</v>
      </c>
      <c r="AN434" s="147" t="str">
        <f t="shared" si="318"/>
        <v>Mulai meningkat</v>
      </c>
      <c r="AO434" s="146" t="e">
        <f t="shared" si="312"/>
        <v>#N/A</v>
      </c>
      <c r="AP434" s="148" t="e">
        <f t="shared" si="313"/>
        <v>#N/A</v>
      </c>
      <c r="AQ434" s="158" t="str">
        <f>IF('PA-Non'!V322&lt;&gt;"",'PA-Non'!V322,IFERROR("Mempunyai keterampilan yang "&amp;IF(AM434=AN434,PROPER(AN434)&amp;" dalam kompetensi "&amp;VLOOKUP(AO434,$AA$532:$AC$539,3)&amp;", demikian juga dalam kompetensi "&amp;VLOOKUP(AP434,$AA$532:$AC$539,3),PROPER(AM434)&amp;" dalam kompetensi "&amp;VLOOKUP(AO434,$AA$532:$AC$539,3)&amp;" dan "&amp;AN434&amp;" pada kompetensi "&amp;VLOOKUP(AP434,$AA$532:$AC$539,3)),""))</f>
        <v/>
      </c>
      <c r="AR434" s="188"/>
    </row>
    <row r="435" spans="2:44" ht="27.9" customHeight="1" thickBot="1" x14ac:dyDescent="0.35">
      <c r="B435" s="226" t="s">
        <v>188</v>
      </c>
      <c r="C435" s="149" t="str">
        <f t="shared" si="319"/>
        <v/>
      </c>
      <c r="D435" s="150" t="str">
        <f>IF(Data!F430="","",Data!F430)</f>
        <v/>
      </c>
      <c r="E435" s="151" t="str">
        <f>IF(Data!H430="","",Data!H430)</f>
        <v/>
      </c>
      <c r="F435" s="152" t="str">
        <f>IF(Data!I430="","",Data!I430)</f>
        <v/>
      </c>
      <c r="G435" s="153"/>
      <c r="H435" s="154"/>
      <c r="I435" s="154"/>
      <c r="J435" s="154"/>
      <c r="K435" s="154"/>
      <c r="L435" s="154"/>
      <c r="M435" s="154"/>
      <c r="N435" s="155"/>
      <c r="O435" s="157" t="str">
        <f t="shared" si="303"/>
        <v/>
      </c>
      <c r="P435" s="154"/>
      <c r="Q435" s="156"/>
      <c r="R435" s="157" t="str">
        <f t="shared" si="304"/>
        <v/>
      </c>
      <c r="S435" s="159" t="str">
        <f>IF(R435="","",IF(R435&gt;Data2!$C$12,Data2!$D$11,IF(R435&gt;Data2!$C$13,Data2!$D$12,IF(R435&gt;Data2!$C$14,Data2!$D$13,Data2!$D$14))))</f>
        <v/>
      </c>
      <c r="T435" s="144">
        <f t="shared" si="305"/>
        <v>0</v>
      </c>
      <c r="U435" s="144">
        <f t="shared" si="306"/>
        <v>0</v>
      </c>
      <c r="V435" s="144" t="str">
        <f t="shared" ref="V435:V449" si="320">IF(T435&gt;$I$560,$J$559,IF(T435&gt;$I$561,$J$560,IF(T435&gt;$I$562,$J$561,$J$562)))</f>
        <v>Mulai berkembang</v>
      </c>
      <c r="W435" s="144" t="str">
        <f t="shared" ref="W435:W449" si="321">IF(U435&gt;$I$560,$J$559,IF(U435&gt;$I$561,$J$560,IF(U435&gt;$I$562,$J$561,$J$562)))</f>
        <v>Mulai berkembang</v>
      </c>
      <c r="X435" s="144" t="e">
        <f t="shared" si="307"/>
        <v>#N/A</v>
      </c>
      <c r="Y435" s="145" t="e">
        <f t="shared" si="308"/>
        <v>#N/A</v>
      </c>
      <c r="Z435" s="218" t="str">
        <f>IF('PA-Non'!O323&lt;&gt;"",'PA-Non'!O323,IFERROR("Mempunyai kemampuan yang " &amp;IF(V435=W435,PROPER(W435)&amp;" dalam kompetensi "&amp;VLOOKUP(X435,$G$532:$I$539,3)&amp;" dan kompetensi "&amp;VLOOKUP(Y435,$G$532:$I$539,3),PROPER(V435)&amp;" dalam kompetensi "&amp;VLOOKUP(X435,$G$532:$I$539,3)&amp;" dan memiliki kemampuan yang "&amp;W435&amp;" pada kompetensi "&amp;VLOOKUP(Y435,$G$532:$I$539,3)),""))</f>
        <v/>
      </c>
      <c r="AA435" s="153"/>
      <c r="AB435" s="154"/>
      <c r="AC435" s="154"/>
      <c r="AD435" s="154"/>
      <c r="AE435" s="154"/>
      <c r="AF435" s="154"/>
      <c r="AG435" s="154"/>
      <c r="AH435" s="155"/>
      <c r="AI435" s="220" t="str">
        <f t="shared" si="309"/>
        <v/>
      </c>
      <c r="AJ435" s="160" t="str">
        <f>IF(AI435="","",IF(AI435&gt;Data2!$C$12,Data2!$D$11,IF(AI435&gt;Data2!$C$13,Data2!$D$12,IF(AI435&gt;Data2!$C$14,Data2!$D$13,Data2!$D$14))))</f>
        <v/>
      </c>
      <c r="AK435" s="146">
        <f t="shared" si="310"/>
        <v>0</v>
      </c>
      <c r="AL435" s="146">
        <f t="shared" si="311"/>
        <v>0</v>
      </c>
      <c r="AM435" s="147" t="str">
        <f t="shared" ref="AM435:AM449" si="322">IF(AK435&gt;$I$560,$AD$559,IF(AK435&gt;$I$561,$AD$560,IF(AK435&gt;$I$562,$AD$561,$AD$562)))</f>
        <v>Mulai meningkat</v>
      </c>
      <c r="AN435" s="147" t="str">
        <f t="shared" ref="AN435:AN449" si="323">IF(AL435&gt;$I$560,$AD$559,IF(AL435&gt;$I$561,$AD$560,IF(AL435&gt;$I$562,$AD$561,$AD$562)))</f>
        <v>Mulai meningkat</v>
      </c>
      <c r="AO435" s="146" t="e">
        <f t="shared" si="312"/>
        <v>#N/A</v>
      </c>
      <c r="AP435" s="148" t="e">
        <f t="shared" si="313"/>
        <v>#N/A</v>
      </c>
      <c r="AQ435" s="158" t="str">
        <f>IF('PA-Non'!V323&lt;&gt;"",'PA-Non'!V323,IFERROR("Mempunyai keterampilan yang "&amp;IF(AM435=AN435,PROPER(AN435)&amp;" dalam kompetensi "&amp;VLOOKUP(AO435,$AA$532:$AC$539,3)&amp;", demikian juga dalam kompetensi "&amp;VLOOKUP(AP435,$AA$532:$AC$539,3),PROPER(AM435)&amp;" dalam kompetensi "&amp;VLOOKUP(AO435,$AA$532:$AC$539,3)&amp;" dan "&amp;AN435&amp;" pada kompetensi "&amp;VLOOKUP(AP435,$AA$532:$AC$539,3)),""))</f>
        <v/>
      </c>
      <c r="AR435" s="188"/>
    </row>
    <row r="436" spans="2:44" ht="27.9" customHeight="1" thickBot="1" x14ac:dyDescent="0.35">
      <c r="B436" s="226" t="s">
        <v>188</v>
      </c>
      <c r="C436" s="149" t="str">
        <f t="shared" si="319"/>
        <v/>
      </c>
      <c r="D436" s="150" t="str">
        <f>IF(Data!F431="","",Data!F431)</f>
        <v/>
      </c>
      <c r="E436" s="151" t="str">
        <f>IF(Data!H431="","",Data!H431)</f>
        <v/>
      </c>
      <c r="F436" s="152" t="str">
        <f>IF(Data!I431="","",Data!I431)</f>
        <v/>
      </c>
      <c r="G436" s="153"/>
      <c r="H436" s="154"/>
      <c r="I436" s="154"/>
      <c r="J436" s="154"/>
      <c r="K436" s="154"/>
      <c r="L436" s="154"/>
      <c r="M436" s="154"/>
      <c r="N436" s="155"/>
      <c r="O436" s="157" t="str">
        <f t="shared" si="303"/>
        <v/>
      </c>
      <c r="P436" s="154"/>
      <c r="Q436" s="156"/>
      <c r="R436" s="157" t="str">
        <f t="shared" si="304"/>
        <v/>
      </c>
      <c r="S436" s="159" t="str">
        <f>IF(R436="","",IF(R436&gt;Data2!$C$12,Data2!$D$11,IF(R436&gt;Data2!$C$13,Data2!$D$12,IF(R436&gt;Data2!$C$14,Data2!$D$13,Data2!$D$14))))</f>
        <v/>
      </c>
      <c r="T436" s="144">
        <f t="shared" si="305"/>
        <v>0</v>
      </c>
      <c r="U436" s="144">
        <f t="shared" si="306"/>
        <v>0</v>
      </c>
      <c r="V436" s="144" t="str">
        <f t="shared" si="320"/>
        <v>Mulai berkembang</v>
      </c>
      <c r="W436" s="144" t="str">
        <f t="shared" si="321"/>
        <v>Mulai berkembang</v>
      </c>
      <c r="X436" s="144" t="e">
        <f t="shared" si="307"/>
        <v>#N/A</v>
      </c>
      <c r="Y436" s="145" t="e">
        <f t="shared" si="308"/>
        <v>#N/A</v>
      </c>
      <c r="Z436" s="218" t="str">
        <f>IF('PA-Non'!O324&lt;&gt;"",'PA-Non'!O324,IFERROR("Mempunyai kemampuan yang " &amp;IF(V436=W436,PROPER(W436)&amp;" dalam kompetensi "&amp;VLOOKUP(X436,$G$532:$I$539,3)&amp;" dan kompetensi "&amp;VLOOKUP(Y436,$G$532:$I$539,3),PROPER(V436)&amp;" dalam kompetensi "&amp;VLOOKUP(X436,$G$532:$I$539,3)&amp;" dan memiliki kemampuan yang "&amp;W436&amp;" pada kompetensi "&amp;VLOOKUP(Y436,$G$532:$I$539,3)),""))</f>
        <v/>
      </c>
      <c r="AA436" s="153"/>
      <c r="AB436" s="154"/>
      <c r="AC436" s="154"/>
      <c r="AD436" s="154"/>
      <c r="AE436" s="154"/>
      <c r="AF436" s="154"/>
      <c r="AG436" s="154"/>
      <c r="AH436" s="155"/>
      <c r="AI436" s="220" t="str">
        <f t="shared" si="309"/>
        <v/>
      </c>
      <c r="AJ436" s="160" t="str">
        <f>IF(AI436="","",IF(AI436&gt;Data2!$C$12,Data2!$D$11,IF(AI436&gt;Data2!$C$13,Data2!$D$12,IF(AI436&gt;Data2!$C$14,Data2!$D$13,Data2!$D$14))))</f>
        <v/>
      </c>
      <c r="AK436" s="146">
        <f t="shared" si="310"/>
        <v>0</v>
      </c>
      <c r="AL436" s="146">
        <f t="shared" si="311"/>
        <v>0</v>
      </c>
      <c r="AM436" s="147" t="str">
        <f t="shared" si="322"/>
        <v>Mulai meningkat</v>
      </c>
      <c r="AN436" s="147" t="str">
        <f t="shared" si="323"/>
        <v>Mulai meningkat</v>
      </c>
      <c r="AO436" s="146" t="e">
        <f t="shared" si="312"/>
        <v>#N/A</v>
      </c>
      <c r="AP436" s="148" t="e">
        <f t="shared" si="313"/>
        <v>#N/A</v>
      </c>
      <c r="AQ436" s="158" t="str">
        <f>IF('PA-Non'!V324&lt;&gt;"",'PA-Non'!V324,IFERROR("Mempunyai keterampilan yang "&amp;IF(AM436=AN436,PROPER(AN436)&amp;" dalam kompetensi "&amp;VLOOKUP(AO436,$AA$532:$AC$539,3)&amp;", demikian juga dalam kompetensi "&amp;VLOOKUP(AP436,$AA$532:$AC$539,3),PROPER(AM436)&amp;" dalam kompetensi "&amp;VLOOKUP(AO436,$AA$532:$AC$539,3)&amp;" dan "&amp;AN436&amp;" pada kompetensi "&amp;VLOOKUP(AP436,$AA$532:$AC$539,3)),""))</f>
        <v/>
      </c>
      <c r="AR436" s="188"/>
    </row>
    <row r="437" spans="2:44" ht="27.9" customHeight="1" thickBot="1" x14ac:dyDescent="0.35">
      <c r="B437" s="226" t="s">
        <v>188</v>
      </c>
      <c r="C437" s="149" t="str">
        <f t="shared" si="319"/>
        <v/>
      </c>
      <c r="D437" s="150" t="str">
        <f>IF(Data!F432="","",Data!F432)</f>
        <v/>
      </c>
      <c r="E437" s="151" t="str">
        <f>IF(Data!H432="","",Data!H432)</f>
        <v/>
      </c>
      <c r="F437" s="152" t="str">
        <f>IF(Data!I432="","",Data!I432)</f>
        <v/>
      </c>
      <c r="G437" s="153"/>
      <c r="H437" s="154"/>
      <c r="I437" s="154"/>
      <c r="J437" s="154"/>
      <c r="K437" s="154"/>
      <c r="L437" s="154"/>
      <c r="M437" s="154"/>
      <c r="N437" s="155"/>
      <c r="O437" s="157" t="str">
        <f t="shared" si="303"/>
        <v/>
      </c>
      <c r="P437" s="154"/>
      <c r="Q437" s="156"/>
      <c r="R437" s="157" t="str">
        <f t="shared" si="304"/>
        <v/>
      </c>
      <c r="S437" s="159" t="str">
        <f>IF(R437="","",IF(R437&gt;Data2!$C$12,Data2!$D$11,IF(R437&gt;Data2!$C$13,Data2!$D$12,IF(R437&gt;Data2!$C$14,Data2!$D$13,Data2!$D$14))))</f>
        <v/>
      </c>
      <c r="T437" s="144">
        <f t="shared" si="305"/>
        <v>0</v>
      </c>
      <c r="U437" s="144">
        <f t="shared" si="306"/>
        <v>0</v>
      </c>
      <c r="V437" s="144" t="str">
        <f t="shared" si="320"/>
        <v>Mulai berkembang</v>
      </c>
      <c r="W437" s="144" t="str">
        <f t="shared" si="321"/>
        <v>Mulai berkembang</v>
      </c>
      <c r="X437" s="144" t="e">
        <f t="shared" si="307"/>
        <v>#N/A</v>
      </c>
      <c r="Y437" s="145" t="e">
        <f t="shared" si="308"/>
        <v>#N/A</v>
      </c>
      <c r="Z437" s="218" t="str">
        <f>IF('PA-Non'!O325&lt;&gt;"",'PA-Non'!O325,IFERROR("Mempunyai kemampuan yang " &amp;IF(V437=W437,PROPER(W437)&amp;" dalam kompetensi "&amp;VLOOKUP(X437,$G$532:$I$539,3)&amp;" dan kompetensi "&amp;VLOOKUP(Y437,$G$532:$I$539,3),PROPER(V437)&amp;" dalam kompetensi "&amp;VLOOKUP(X437,$G$532:$I$539,3)&amp;" dan memiliki kemampuan yang "&amp;W437&amp;" pada kompetensi "&amp;VLOOKUP(Y437,$G$532:$I$539,3)),""))</f>
        <v/>
      </c>
      <c r="AA437" s="153"/>
      <c r="AB437" s="154"/>
      <c r="AC437" s="154"/>
      <c r="AD437" s="154"/>
      <c r="AE437" s="154"/>
      <c r="AF437" s="154"/>
      <c r="AG437" s="154"/>
      <c r="AH437" s="155"/>
      <c r="AI437" s="220" t="str">
        <f t="shared" si="309"/>
        <v/>
      </c>
      <c r="AJ437" s="160" t="str">
        <f>IF(AI437="","",IF(AI437&gt;Data2!$C$12,Data2!$D$11,IF(AI437&gt;Data2!$C$13,Data2!$D$12,IF(AI437&gt;Data2!$C$14,Data2!$D$13,Data2!$D$14))))</f>
        <v/>
      </c>
      <c r="AK437" s="146">
        <f t="shared" si="310"/>
        <v>0</v>
      </c>
      <c r="AL437" s="146">
        <f t="shared" si="311"/>
        <v>0</v>
      </c>
      <c r="AM437" s="147" t="str">
        <f t="shared" si="322"/>
        <v>Mulai meningkat</v>
      </c>
      <c r="AN437" s="147" t="str">
        <f t="shared" si="323"/>
        <v>Mulai meningkat</v>
      </c>
      <c r="AO437" s="146" t="e">
        <f t="shared" si="312"/>
        <v>#N/A</v>
      </c>
      <c r="AP437" s="148" t="e">
        <f t="shared" si="313"/>
        <v>#N/A</v>
      </c>
      <c r="AQ437" s="158" t="str">
        <f>IF('PA-Non'!V325&lt;&gt;"",'PA-Non'!V325,IFERROR("Mempunyai keterampilan yang "&amp;IF(AM437=AN437,PROPER(AN437)&amp;" dalam kompetensi "&amp;VLOOKUP(AO437,$AA$532:$AC$539,3)&amp;", demikian juga dalam kompetensi "&amp;VLOOKUP(AP437,$AA$532:$AC$539,3),PROPER(AM437)&amp;" dalam kompetensi "&amp;VLOOKUP(AO437,$AA$532:$AC$539,3)&amp;" dan "&amp;AN437&amp;" pada kompetensi "&amp;VLOOKUP(AP437,$AA$532:$AC$539,3)),""))</f>
        <v/>
      </c>
      <c r="AR437" s="188"/>
    </row>
    <row r="438" spans="2:44" ht="27.9" customHeight="1" thickBot="1" x14ac:dyDescent="0.35">
      <c r="B438" s="226" t="s">
        <v>188</v>
      </c>
      <c r="C438" s="149" t="str">
        <f t="shared" si="319"/>
        <v/>
      </c>
      <c r="D438" s="150" t="str">
        <f>IF(Data!F433="","",Data!F433)</f>
        <v/>
      </c>
      <c r="E438" s="151" t="str">
        <f>IF(Data!H433="","",Data!H433)</f>
        <v/>
      </c>
      <c r="F438" s="152" t="str">
        <f>IF(Data!I433="","",Data!I433)</f>
        <v/>
      </c>
      <c r="G438" s="153"/>
      <c r="H438" s="154"/>
      <c r="I438" s="154"/>
      <c r="J438" s="154"/>
      <c r="K438" s="154"/>
      <c r="L438" s="154"/>
      <c r="M438" s="154"/>
      <c r="N438" s="155"/>
      <c r="O438" s="157" t="str">
        <f t="shared" si="303"/>
        <v/>
      </c>
      <c r="P438" s="154"/>
      <c r="Q438" s="156"/>
      <c r="R438" s="157" t="str">
        <f t="shared" si="304"/>
        <v/>
      </c>
      <c r="S438" s="159" t="str">
        <f>IF(R438="","",IF(R438&gt;Data2!$C$12,Data2!$D$11,IF(R438&gt;Data2!$C$13,Data2!$D$12,IF(R438&gt;Data2!$C$14,Data2!$D$13,Data2!$D$14))))</f>
        <v/>
      </c>
      <c r="T438" s="144">
        <f t="shared" si="305"/>
        <v>0</v>
      </c>
      <c r="U438" s="144">
        <f t="shared" si="306"/>
        <v>0</v>
      </c>
      <c r="V438" s="144" t="str">
        <f t="shared" si="320"/>
        <v>Mulai berkembang</v>
      </c>
      <c r="W438" s="144" t="str">
        <f t="shared" si="321"/>
        <v>Mulai berkembang</v>
      </c>
      <c r="X438" s="144" t="e">
        <f t="shared" si="307"/>
        <v>#N/A</v>
      </c>
      <c r="Y438" s="145" t="e">
        <f t="shared" si="308"/>
        <v>#N/A</v>
      </c>
      <c r="Z438" s="218" t="str">
        <f>IF('PA-Non'!O326&lt;&gt;"",'PA-Non'!O326,IFERROR("Mempunyai kemampuan yang " &amp;IF(V438=W438,PROPER(W438)&amp;" dalam kompetensi "&amp;VLOOKUP(X438,$G$532:$I$539,3)&amp;" dan kompetensi "&amp;VLOOKUP(Y438,$G$532:$I$539,3),PROPER(V438)&amp;" dalam kompetensi "&amp;VLOOKUP(X438,$G$532:$I$539,3)&amp;" dan memiliki kemampuan yang "&amp;W438&amp;" pada kompetensi "&amp;VLOOKUP(Y438,$G$532:$I$539,3)),""))</f>
        <v/>
      </c>
      <c r="AA438" s="153"/>
      <c r="AB438" s="154"/>
      <c r="AC438" s="154"/>
      <c r="AD438" s="154"/>
      <c r="AE438" s="154"/>
      <c r="AF438" s="154"/>
      <c r="AG438" s="154"/>
      <c r="AH438" s="155"/>
      <c r="AI438" s="220" t="str">
        <f t="shared" si="309"/>
        <v/>
      </c>
      <c r="AJ438" s="160" t="str">
        <f>IF(AI438="","",IF(AI438&gt;Data2!$C$12,Data2!$D$11,IF(AI438&gt;Data2!$C$13,Data2!$D$12,IF(AI438&gt;Data2!$C$14,Data2!$D$13,Data2!$D$14))))</f>
        <v/>
      </c>
      <c r="AK438" s="146">
        <f t="shared" si="310"/>
        <v>0</v>
      </c>
      <c r="AL438" s="146">
        <f t="shared" si="311"/>
        <v>0</v>
      </c>
      <c r="AM438" s="147" t="str">
        <f t="shared" si="322"/>
        <v>Mulai meningkat</v>
      </c>
      <c r="AN438" s="147" t="str">
        <f t="shared" si="323"/>
        <v>Mulai meningkat</v>
      </c>
      <c r="AO438" s="146" t="e">
        <f t="shared" si="312"/>
        <v>#N/A</v>
      </c>
      <c r="AP438" s="148" t="e">
        <f t="shared" si="313"/>
        <v>#N/A</v>
      </c>
      <c r="AQ438" s="158" t="str">
        <f>IF('PA-Non'!V326&lt;&gt;"",'PA-Non'!V326,IFERROR("Mempunyai keterampilan yang "&amp;IF(AM438=AN438,PROPER(AN438)&amp;" dalam kompetensi "&amp;VLOOKUP(AO438,$AA$532:$AC$539,3)&amp;", demikian juga dalam kompetensi "&amp;VLOOKUP(AP438,$AA$532:$AC$539,3),PROPER(AM438)&amp;" dalam kompetensi "&amp;VLOOKUP(AO438,$AA$532:$AC$539,3)&amp;" dan "&amp;AN438&amp;" pada kompetensi "&amp;VLOOKUP(AP438,$AA$532:$AC$539,3)),""))</f>
        <v/>
      </c>
      <c r="AR438" s="188"/>
    </row>
    <row r="439" spans="2:44" ht="27.9" customHeight="1" thickBot="1" x14ac:dyDescent="0.35">
      <c r="B439" s="226" t="s">
        <v>188</v>
      </c>
      <c r="C439" s="149" t="str">
        <f t="shared" si="319"/>
        <v/>
      </c>
      <c r="D439" s="150" t="str">
        <f>IF(Data!F434="","",Data!F434)</f>
        <v/>
      </c>
      <c r="E439" s="151" t="str">
        <f>IF(Data!H434="","",Data!H434)</f>
        <v/>
      </c>
      <c r="F439" s="152" t="str">
        <f>IF(Data!I434="","",Data!I434)</f>
        <v/>
      </c>
      <c r="G439" s="153"/>
      <c r="H439" s="154"/>
      <c r="I439" s="154"/>
      <c r="J439" s="154"/>
      <c r="K439" s="154"/>
      <c r="L439" s="154"/>
      <c r="M439" s="154"/>
      <c r="N439" s="155"/>
      <c r="O439" s="157" t="str">
        <f t="shared" si="303"/>
        <v/>
      </c>
      <c r="P439" s="154"/>
      <c r="Q439" s="156"/>
      <c r="R439" s="157" t="str">
        <f t="shared" si="304"/>
        <v/>
      </c>
      <c r="S439" s="159" t="str">
        <f>IF(R439="","",IF(R439&gt;Data2!$C$12,Data2!$D$11,IF(R439&gt;Data2!$C$13,Data2!$D$12,IF(R439&gt;Data2!$C$14,Data2!$D$13,Data2!$D$14))))</f>
        <v/>
      </c>
      <c r="T439" s="144">
        <f t="shared" si="305"/>
        <v>0</v>
      </c>
      <c r="U439" s="144">
        <f t="shared" si="306"/>
        <v>0</v>
      </c>
      <c r="V439" s="144" t="str">
        <f t="shared" si="320"/>
        <v>Mulai berkembang</v>
      </c>
      <c r="W439" s="144" t="str">
        <f t="shared" si="321"/>
        <v>Mulai berkembang</v>
      </c>
      <c r="X439" s="144" t="e">
        <f t="shared" si="307"/>
        <v>#N/A</v>
      </c>
      <c r="Y439" s="145" t="e">
        <f t="shared" si="308"/>
        <v>#N/A</v>
      </c>
      <c r="Z439" s="218" t="str">
        <f>IF('PA-Non'!O327&lt;&gt;"",'PA-Non'!O327,IFERROR("Mempunyai kemampuan yang " &amp;IF(V439=W439,PROPER(W439)&amp;" dalam kompetensi "&amp;VLOOKUP(X439,$G$532:$I$539,3)&amp;" dan kompetensi "&amp;VLOOKUP(Y439,$G$532:$I$539,3),PROPER(V439)&amp;" dalam kompetensi "&amp;VLOOKUP(X439,$G$532:$I$539,3)&amp;" dan memiliki kemampuan yang "&amp;W439&amp;" pada kompetensi "&amp;VLOOKUP(Y439,$G$532:$I$539,3)),""))</f>
        <v/>
      </c>
      <c r="AA439" s="153"/>
      <c r="AB439" s="154"/>
      <c r="AC439" s="154"/>
      <c r="AD439" s="154"/>
      <c r="AE439" s="154"/>
      <c r="AF439" s="154"/>
      <c r="AG439" s="154"/>
      <c r="AH439" s="155"/>
      <c r="AI439" s="220" t="str">
        <f t="shared" si="309"/>
        <v/>
      </c>
      <c r="AJ439" s="160" t="str">
        <f>IF(AI439="","",IF(AI439&gt;Data2!$C$12,Data2!$D$11,IF(AI439&gt;Data2!$C$13,Data2!$D$12,IF(AI439&gt;Data2!$C$14,Data2!$D$13,Data2!$D$14))))</f>
        <v/>
      </c>
      <c r="AK439" s="146">
        <f t="shared" si="310"/>
        <v>0</v>
      </c>
      <c r="AL439" s="146">
        <f t="shared" si="311"/>
        <v>0</v>
      </c>
      <c r="AM439" s="147" t="str">
        <f t="shared" si="322"/>
        <v>Mulai meningkat</v>
      </c>
      <c r="AN439" s="147" t="str">
        <f t="shared" si="323"/>
        <v>Mulai meningkat</v>
      </c>
      <c r="AO439" s="146" t="e">
        <f t="shared" si="312"/>
        <v>#N/A</v>
      </c>
      <c r="AP439" s="148" t="e">
        <f t="shared" si="313"/>
        <v>#N/A</v>
      </c>
      <c r="AQ439" s="158" t="str">
        <f>IF('PA-Non'!V327&lt;&gt;"",'PA-Non'!V327,IFERROR("Mempunyai keterampilan yang "&amp;IF(AM439=AN439,PROPER(AN439)&amp;" dalam kompetensi "&amp;VLOOKUP(AO439,$AA$532:$AC$539,3)&amp;", demikian juga dalam kompetensi "&amp;VLOOKUP(AP439,$AA$532:$AC$539,3),PROPER(AM439)&amp;" dalam kompetensi "&amp;VLOOKUP(AO439,$AA$532:$AC$539,3)&amp;" dan "&amp;AN439&amp;" pada kompetensi "&amp;VLOOKUP(AP439,$AA$532:$AC$539,3)),""))</f>
        <v/>
      </c>
      <c r="AR439" s="188"/>
    </row>
    <row r="440" spans="2:44" ht="27.9" customHeight="1" thickBot="1" x14ac:dyDescent="0.35">
      <c r="B440" s="226" t="s">
        <v>188</v>
      </c>
      <c r="C440" s="149" t="str">
        <f t="shared" si="319"/>
        <v/>
      </c>
      <c r="D440" s="150" t="str">
        <f>IF(Data!F435="","",Data!F435)</f>
        <v/>
      </c>
      <c r="E440" s="151" t="str">
        <f>IF(Data!H435="","",Data!H435)</f>
        <v/>
      </c>
      <c r="F440" s="152" t="str">
        <f>IF(Data!I435="","",Data!I435)</f>
        <v/>
      </c>
      <c r="G440" s="153"/>
      <c r="H440" s="154"/>
      <c r="I440" s="154"/>
      <c r="J440" s="154"/>
      <c r="K440" s="154"/>
      <c r="L440" s="154"/>
      <c r="M440" s="154"/>
      <c r="N440" s="155"/>
      <c r="O440" s="157" t="str">
        <f t="shared" si="303"/>
        <v/>
      </c>
      <c r="P440" s="154"/>
      <c r="Q440" s="156"/>
      <c r="R440" s="157" t="str">
        <f t="shared" si="304"/>
        <v/>
      </c>
      <c r="S440" s="159" t="str">
        <f>IF(R440="","",IF(R440&gt;Data2!$C$12,Data2!$D$11,IF(R440&gt;Data2!$C$13,Data2!$D$12,IF(R440&gt;Data2!$C$14,Data2!$D$13,Data2!$D$14))))</f>
        <v/>
      </c>
      <c r="T440" s="144">
        <f t="shared" si="305"/>
        <v>0</v>
      </c>
      <c r="U440" s="144">
        <f t="shared" si="306"/>
        <v>0</v>
      </c>
      <c r="V440" s="144" t="str">
        <f t="shared" si="320"/>
        <v>Mulai berkembang</v>
      </c>
      <c r="W440" s="144" t="str">
        <f t="shared" si="321"/>
        <v>Mulai berkembang</v>
      </c>
      <c r="X440" s="144" t="e">
        <f t="shared" si="307"/>
        <v>#N/A</v>
      </c>
      <c r="Y440" s="145" t="e">
        <f t="shared" si="308"/>
        <v>#N/A</v>
      </c>
      <c r="Z440" s="218" t="str">
        <f>IF('PA-Non'!O328&lt;&gt;"",'PA-Non'!O328,IFERROR("Mempunyai kemampuan yang " &amp;IF(V440=W440,PROPER(W440)&amp;" dalam kompetensi "&amp;VLOOKUP(X440,$G$532:$I$539,3)&amp;" dan kompetensi "&amp;VLOOKUP(Y440,$G$532:$I$539,3),PROPER(V440)&amp;" dalam kompetensi "&amp;VLOOKUP(X440,$G$532:$I$539,3)&amp;" dan memiliki kemampuan yang "&amp;W440&amp;" pada kompetensi "&amp;VLOOKUP(Y440,$G$532:$I$539,3)),""))</f>
        <v/>
      </c>
      <c r="AA440" s="153"/>
      <c r="AB440" s="154"/>
      <c r="AC440" s="154"/>
      <c r="AD440" s="154"/>
      <c r="AE440" s="154"/>
      <c r="AF440" s="154"/>
      <c r="AG440" s="154"/>
      <c r="AH440" s="155"/>
      <c r="AI440" s="220" t="str">
        <f t="shared" si="309"/>
        <v/>
      </c>
      <c r="AJ440" s="160" t="str">
        <f>IF(AI440="","",IF(AI440&gt;Data2!$C$12,Data2!$D$11,IF(AI440&gt;Data2!$C$13,Data2!$D$12,IF(AI440&gt;Data2!$C$14,Data2!$D$13,Data2!$D$14))))</f>
        <v/>
      </c>
      <c r="AK440" s="146">
        <f t="shared" si="310"/>
        <v>0</v>
      </c>
      <c r="AL440" s="146">
        <f t="shared" si="311"/>
        <v>0</v>
      </c>
      <c r="AM440" s="147" t="str">
        <f t="shared" si="322"/>
        <v>Mulai meningkat</v>
      </c>
      <c r="AN440" s="147" t="str">
        <f t="shared" si="323"/>
        <v>Mulai meningkat</v>
      </c>
      <c r="AO440" s="146" t="e">
        <f t="shared" si="312"/>
        <v>#N/A</v>
      </c>
      <c r="AP440" s="148" t="e">
        <f t="shared" si="313"/>
        <v>#N/A</v>
      </c>
      <c r="AQ440" s="158" t="str">
        <f>IF('PA-Non'!V328&lt;&gt;"",'PA-Non'!V328,IFERROR("Mempunyai keterampilan yang "&amp;IF(AM440=AN440,PROPER(AN440)&amp;" dalam kompetensi "&amp;VLOOKUP(AO440,$AA$532:$AC$539,3)&amp;", demikian juga dalam kompetensi "&amp;VLOOKUP(AP440,$AA$532:$AC$539,3),PROPER(AM440)&amp;" dalam kompetensi "&amp;VLOOKUP(AO440,$AA$532:$AC$539,3)&amp;" dan "&amp;AN440&amp;" pada kompetensi "&amp;VLOOKUP(AP440,$AA$532:$AC$539,3)),""))</f>
        <v/>
      </c>
      <c r="AR440" s="188"/>
    </row>
    <row r="441" spans="2:44" ht="27.9" customHeight="1" thickBot="1" x14ac:dyDescent="0.35">
      <c r="B441" s="226" t="s">
        <v>188</v>
      </c>
      <c r="C441" s="149" t="str">
        <f t="shared" si="319"/>
        <v/>
      </c>
      <c r="D441" s="150" t="str">
        <f>IF(Data!F436="","",Data!F436)</f>
        <v/>
      </c>
      <c r="E441" s="151" t="str">
        <f>IF(Data!H436="","",Data!H436)</f>
        <v/>
      </c>
      <c r="F441" s="152" t="str">
        <f>IF(Data!I436="","",Data!I436)</f>
        <v/>
      </c>
      <c r="G441" s="153"/>
      <c r="H441" s="154"/>
      <c r="I441" s="154"/>
      <c r="J441" s="154"/>
      <c r="K441" s="154"/>
      <c r="L441" s="154"/>
      <c r="M441" s="154"/>
      <c r="N441" s="155"/>
      <c r="O441" s="157" t="str">
        <f t="shared" si="303"/>
        <v/>
      </c>
      <c r="P441" s="154"/>
      <c r="Q441" s="156"/>
      <c r="R441" s="157" t="str">
        <f t="shared" si="304"/>
        <v/>
      </c>
      <c r="S441" s="159" t="str">
        <f>IF(R441="","",IF(R441&gt;Data2!$C$12,Data2!$D$11,IF(R441&gt;Data2!$C$13,Data2!$D$12,IF(R441&gt;Data2!$C$14,Data2!$D$13,Data2!$D$14))))</f>
        <v/>
      </c>
      <c r="T441" s="144">
        <f t="shared" si="305"/>
        <v>0</v>
      </c>
      <c r="U441" s="144">
        <f t="shared" si="306"/>
        <v>0</v>
      </c>
      <c r="V441" s="144" t="str">
        <f t="shared" si="320"/>
        <v>Mulai berkembang</v>
      </c>
      <c r="W441" s="144" t="str">
        <f t="shared" si="321"/>
        <v>Mulai berkembang</v>
      </c>
      <c r="X441" s="144" t="e">
        <f t="shared" si="307"/>
        <v>#N/A</v>
      </c>
      <c r="Y441" s="145" t="e">
        <f t="shared" si="308"/>
        <v>#N/A</v>
      </c>
      <c r="Z441" s="218" t="str">
        <f>IF('PA-Non'!O329&lt;&gt;"",'PA-Non'!O329,IFERROR("Mempunyai kemampuan yang " &amp;IF(V441=W441,PROPER(W441)&amp;" dalam kompetensi "&amp;VLOOKUP(X441,$G$532:$I$539,3)&amp;" dan kompetensi "&amp;VLOOKUP(Y441,$G$532:$I$539,3),PROPER(V441)&amp;" dalam kompetensi "&amp;VLOOKUP(X441,$G$532:$I$539,3)&amp;" dan memiliki kemampuan yang "&amp;W441&amp;" pada kompetensi "&amp;VLOOKUP(Y441,$G$532:$I$539,3)),""))</f>
        <v/>
      </c>
      <c r="AA441" s="153"/>
      <c r="AB441" s="154"/>
      <c r="AC441" s="154"/>
      <c r="AD441" s="154"/>
      <c r="AE441" s="154"/>
      <c r="AF441" s="154"/>
      <c r="AG441" s="154"/>
      <c r="AH441" s="155"/>
      <c r="AI441" s="220" t="str">
        <f t="shared" si="309"/>
        <v/>
      </c>
      <c r="AJ441" s="160" t="str">
        <f>IF(AI441="","",IF(AI441&gt;Data2!$C$12,Data2!$D$11,IF(AI441&gt;Data2!$C$13,Data2!$D$12,IF(AI441&gt;Data2!$C$14,Data2!$D$13,Data2!$D$14))))</f>
        <v/>
      </c>
      <c r="AK441" s="146">
        <f t="shared" si="310"/>
        <v>0</v>
      </c>
      <c r="AL441" s="146">
        <f t="shared" si="311"/>
        <v>0</v>
      </c>
      <c r="AM441" s="147" t="str">
        <f t="shared" si="322"/>
        <v>Mulai meningkat</v>
      </c>
      <c r="AN441" s="147" t="str">
        <f t="shared" si="323"/>
        <v>Mulai meningkat</v>
      </c>
      <c r="AO441" s="146" t="e">
        <f t="shared" si="312"/>
        <v>#N/A</v>
      </c>
      <c r="AP441" s="148" t="e">
        <f t="shared" si="313"/>
        <v>#N/A</v>
      </c>
      <c r="AQ441" s="158" t="str">
        <f>IF('PA-Non'!V329&lt;&gt;"",'PA-Non'!V329,IFERROR("Mempunyai keterampilan yang "&amp;IF(AM441=AN441,PROPER(AN441)&amp;" dalam kompetensi "&amp;VLOOKUP(AO441,$AA$532:$AC$539,3)&amp;", demikian juga dalam kompetensi "&amp;VLOOKUP(AP441,$AA$532:$AC$539,3),PROPER(AM441)&amp;" dalam kompetensi "&amp;VLOOKUP(AO441,$AA$532:$AC$539,3)&amp;" dan "&amp;AN441&amp;" pada kompetensi "&amp;VLOOKUP(AP441,$AA$532:$AC$539,3)),""))</f>
        <v/>
      </c>
      <c r="AR441" s="188"/>
    </row>
    <row r="442" spans="2:44" ht="27.9" customHeight="1" thickBot="1" x14ac:dyDescent="0.35">
      <c r="B442" s="226" t="s">
        <v>188</v>
      </c>
      <c r="C442" s="149" t="str">
        <f t="shared" si="319"/>
        <v/>
      </c>
      <c r="D442" s="150" t="str">
        <f>IF(Data!F437="","",Data!F437)</f>
        <v/>
      </c>
      <c r="E442" s="151" t="str">
        <f>IF(Data!H437="","",Data!H437)</f>
        <v/>
      </c>
      <c r="F442" s="152" t="str">
        <f>IF(Data!I437="","",Data!I437)</f>
        <v/>
      </c>
      <c r="G442" s="153"/>
      <c r="H442" s="154"/>
      <c r="I442" s="154"/>
      <c r="J442" s="154"/>
      <c r="K442" s="154"/>
      <c r="L442" s="154"/>
      <c r="M442" s="154"/>
      <c r="N442" s="155"/>
      <c r="O442" s="157" t="str">
        <f t="shared" si="303"/>
        <v/>
      </c>
      <c r="P442" s="154"/>
      <c r="Q442" s="156"/>
      <c r="R442" s="157" t="str">
        <f t="shared" si="304"/>
        <v/>
      </c>
      <c r="S442" s="159" t="str">
        <f>IF(R442="","",IF(R442&gt;Data2!$C$12,Data2!$D$11,IF(R442&gt;Data2!$C$13,Data2!$D$12,IF(R442&gt;Data2!$C$14,Data2!$D$13,Data2!$D$14))))</f>
        <v/>
      </c>
      <c r="T442" s="144">
        <f t="shared" si="305"/>
        <v>0</v>
      </c>
      <c r="U442" s="144">
        <f t="shared" si="306"/>
        <v>0</v>
      </c>
      <c r="V442" s="144" t="str">
        <f t="shared" si="320"/>
        <v>Mulai berkembang</v>
      </c>
      <c r="W442" s="144" t="str">
        <f t="shared" si="321"/>
        <v>Mulai berkembang</v>
      </c>
      <c r="X442" s="144" t="e">
        <f t="shared" si="307"/>
        <v>#N/A</v>
      </c>
      <c r="Y442" s="145" t="e">
        <f t="shared" si="308"/>
        <v>#N/A</v>
      </c>
      <c r="Z442" s="218" t="str">
        <f>IF('PA-Non'!O330&lt;&gt;"",'PA-Non'!O330,IFERROR("Mempunyai kemampuan yang " &amp;IF(V442=W442,PROPER(W442)&amp;" dalam kompetensi "&amp;VLOOKUP(X442,$G$532:$I$539,3)&amp;" dan kompetensi "&amp;VLOOKUP(Y442,$G$532:$I$539,3),PROPER(V442)&amp;" dalam kompetensi "&amp;VLOOKUP(X442,$G$532:$I$539,3)&amp;" dan memiliki kemampuan yang "&amp;W442&amp;" pada kompetensi "&amp;VLOOKUP(Y442,$G$532:$I$539,3)),""))</f>
        <v/>
      </c>
      <c r="AA442" s="153"/>
      <c r="AB442" s="154"/>
      <c r="AC442" s="154"/>
      <c r="AD442" s="154"/>
      <c r="AE442" s="154"/>
      <c r="AF442" s="154"/>
      <c r="AG442" s="154"/>
      <c r="AH442" s="155"/>
      <c r="AI442" s="220" t="str">
        <f t="shared" si="309"/>
        <v/>
      </c>
      <c r="AJ442" s="160" t="str">
        <f>IF(AI442="","",IF(AI442&gt;Data2!$C$12,Data2!$D$11,IF(AI442&gt;Data2!$C$13,Data2!$D$12,IF(AI442&gt;Data2!$C$14,Data2!$D$13,Data2!$D$14))))</f>
        <v/>
      </c>
      <c r="AK442" s="146">
        <f t="shared" si="310"/>
        <v>0</v>
      </c>
      <c r="AL442" s="146">
        <f t="shared" si="311"/>
        <v>0</v>
      </c>
      <c r="AM442" s="147" t="str">
        <f t="shared" si="322"/>
        <v>Mulai meningkat</v>
      </c>
      <c r="AN442" s="147" t="str">
        <f t="shared" si="323"/>
        <v>Mulai meningkat</v>
      </c>
      <c r="AO442" s="146" t="e">
        <f t="shared" si="312"/>
        <v>#N/A</v>
      </c>
      <c r="AP442" s="148" t="e">
        <f t="shared" si="313"/>
        <v>#N/A</v>
      </c>
      <c r="AQ442" s="158" t="str">
        <f>IF('PA-Non'!V330&lt;&gt;"",'PA-Non'!V330,IFERROR("Mempunyai keterampilan yang "&amp;IF(AM442=AN442,PROPER(AN442)&amp;" dalam kompetensi "&amp;VLOOKUP(AO442,$AA$532:$AC$539,3)&amp;", demikian juga dalam kompetensi "&amp;VLOOKUP(AP442,$AA$532:$AC$539,3),PROPER(AM442)&amp;" dalam kompetensi "&amp;VLOOKUP(AO442,$AA$532:$AC$539,3)&amp;" dan "&amp;AN442&amp;" pada kompetensi "&amp;VLOOKUP(AP442,$AA$532:$AC$539,3)),""))</f>
        <v/>
      </c>
      <c r="AR442" s="188"/>
    </row>
    <row r="443" spans="2:44" ht="27.9" customHeight="1" thickBot="1" x14ac:dyDescent="0.35">
      <c r="B443" s="226" t="s">
        <v>188</v>
      </c>
      <c r="C443" s="149" t="str">
        <f t="shared" si="319"/>
        <v/>
      </c>
      <c r="D443" s="150" t="str">
        <f>IF(Data!F438="","",Data!F438)</f>
        <v/>
      </c>
      <c r="E443" s="151" t="str">
        <f>IF(Data!H438="","",Data!H438)</f>
        <v/>
      </c>
      <c r="F443" s="152" t="str">
        <f>IF(Data!I438="","",Data!I438)</f>
        <v/>
      </c>
      <c r="G443" s="153"/>
      <c r="H443" s="154"/>
      <c r="I443" s="154"/>
      <c r="J443" s="154"/>
      <c r="K443" s="154"/>
      <c r="L443" s="154"/>
      <c r="M443" s="154"/>
      <c r="N443" s="155"/>
      <c r="O443" s="157" t="str">
        <f t="shared" si="303"/>
        <v/>
      </c>
      <c r="P443" s="154"/>
      <c r="Q443" s="156"/>
      <c r="R443" s="157" t="str">
        <f t="shared" si="304"/>
        <v/>
      </c>
      <c r="S443" s="159" t="str">
        <f>IF(R443="","",IF(R443&gt;Data2!$C$12,Data2!$D$11,IF(R443&gt;Data2!$C$13,Data2!$D$12,IF(R443&gt;Data2!$C$14,Data2!$D$13,Data2!$D$14))))</f>
        <v/>
      </c>
      <c r="T443" s="144">
        <f t="shared" si="305"/>
        <v>0</v>
      </c>
      <c r="U443" s="144">
        <f t="shared" si="306"/>
        <v>0</v>
      </c>
      <c r="V443" s="144" t="str">
        <f t="shared" si="320"/>
        <v>Mulai berkembang</v>
      </c>
      <c r="W443" s="144" t="str">
        <f t="shared" si="321"/>
        <v>Mulai berkembang</v>
      </c>
      <c r="X443" s="144" t="e">
        <f t="shared" si="307"/>
        <v>#N/A</v>
      </c>
      <c r="Y443" s="145" t="e">
        <f t="shared" si="308"/>
        <v>#N/A</v>
      </c>
      <c r="Z443" s="218" t="str">
        <f>IF('PA-Non'!O331&lt;&gt;"",'PA-Non'!O331,IFERROR("Mempunyai kemampuan yang " &amp;IF(V443=W443,PROPER(W443)&amp;" dalam kompetensi "&amp;VLOOKUP(X443,$G$532:$I$539,3)&amp;" dan kompetensi "&amp;VLOOKUP(Y443,$G$532:$I$539,3),PROPER(V443)&amp;" dalam kompetensi "&amp;VLOOKUP(X443,$G$532:$I$539,3)&amp;" dan memiliki kemampuan yang "&amp;W443&amp;" pada kompetensi "&amp;VLOOKUP(Y443,$G$532:$I$539,3)),""))</f>
        <v/>
      </c>
      <c r="AA443" s="153"/>
      <c r="AB443" s="154"/>
      <c r="AC443" s="154"/>
      <c r="AD443" s="154"/>
      <c r="AE443" s="154"/>
      <c r="AF443" s="154"/>
      <c r="AG443" s="154"/>
      <c r="AH443" s="155"/>
      <c r="AI443" s="220" t="str">
        <f t="shared" si="309"/>
        <v/>
      </c>
      <c r="AJ443" s="160" t="str">
        <f>IF(AI443="","",IF(AI443&gt;Data2!$C$12,Data2!$D$11,IF(AI443&gt;Data2!$C$13,Data2!$D$12,IF(AI443&gt;Data2!$C$14,Data2!$D$13,Data2!$D$14))))</f>
        <v/>
      </c>
      <c r="AK443" s="146">
        <f t="shared" si="310"/>
        <v>0</v>
      </c>
      <c r="AL443" s="146">
        <f t="shared" si="311"/>
        <v>0</v>
      </c>
      <c r="AM443" s="147" t="str">
        <f t="shared" si="322"/>
        <v>Mulai meningkat</v>
      </c>
      <c r="AN443" s="147" t="str">
        <f t="shared" si="323"/>
        <v>Mulai meningkat</v>
      </c>
      <c r="AO443" s="146" t="e">
        <f t="shared" si="312"/>
        <v>#N/A</v>
      </c>
      <c r="AP443" s="148" t="e">
        <f t="shared" si="313"/>
        <v>#N/A</v>
      </c>
      <c r="AQ443" s="158" t="str">
        <f>IF('PA-Non'!V331&lt;&gt;"",'PA-Non'!V331,IFERROR("Mempunyai keterampilan yang "&amp;IF(AM443=AN443,PROPER(AN443)&amp;" dalam kompetensi "&amp;VLOOKUP(AO443,$AA$532:$AC$539,3)&amp;", demikian juga dalam kompetensi "&amp;VLOOKUP(AP443,$AA$532:$AC$539,3),PROPER(AM443)&amp;" dalam kompetensi "&amp;VLOOKUP(AO443,$AA$532:$AC$539,3)&amp;" dan "&amp;AN443&amp;" pada kompetensi "&amp;VLOOKUP(AP443,$AA$532:$AC$539,3)),""))</f>
        <v/>
      </c>
      <c r="AR443" s="188"/>
    </row>
    <row r="444" spans="2:44" ht="27.9" customHeight="1" thickBot="1" x14ac:dyDescent="0.35">
      <c r="B444" s="226" t="s">
        <v>188</v>
      </c>
      <c r="C444" s="149" t="str">
        <f t="shared" si="319"/>
        <v/>
      </c>
      <c r="D444" s="150" t="str">
        <f>IF(Data!F439="","",Data!F439)</f>
        <v/>
      </c>
      <c r="E444" s="151" t="str">
        <f>IF(Data!H439="","",Data!H439)</f>
        <v/>
      </c>
      <c r="F444" s="152" t="str">
        <f>IF(Data!I439="","",Data!I439)</f>
        <v/>
      </c>
      <c r="G444" s="153"/>
      <c r="H444" s="154"/>
      <c r="I444" s="154"/>
      <c r="J444" s="154"/>
      <c r="K444" s="154"/>
      <c r="L444" s="154"/>
      <c r="M444" s="154"/>
      <c r="N444" s="155"/>
      <c r="O444" s="157" t="str">
        <f t="shared" si="303"/>
        <v/>
      </c>
      <c r="P444" s="154"/>
      <c r="Q444" s="156"/>
      <c r="R444" s="157" t="str">
        <f t="shared" si="304"/>
        <v/>
      </c>
      <c r="S444" s="159" t="str">
        <f>IF(R444="","",IF(R444&gt;Data2!$C$12,Data2!$D$11,IF(R444&gt;Data2!$C$13,Data2!$D$12,IF(R444&gt;Data2!$C$14,Data2!$D$13,Data2!$D$14))))</f>
        <v/>
      </c>
      <c r="T444" s="144">
        <f t="shared" si="305"/>
        <v>0</v>
      </c>
      <c r="U444" s="144">
        <f t="shared" si="306"/>
        <v>0</v>
      </c>
      <c r="V444" s="144" t="str">
        <f t="shared" si="320"/>
        <v>Mulai berkembang</v>
      </c>
      <c r="W444" s="144" t="str">
        <f t="shared" si="321"/>
        <v>Mulai berkembang</v>
      </c>
      <c r="X444" s="144" t="e">
        <f t="shared" si="307"/>
        <v>#N/A</v>
      </c>
      <c r="Y444" s="145" t="e">
        <f t="shared" si="308"/>
        <v>#N/A</v>
      </c>
      <c r="Z444" s="218" t="str">
        <f>IF('PA-Non'!O332&lt;&gt;"",'PA-Non'!O332,IFERROR("Mempunyai kemampuan yang " &amp;IF(V444=W444,PROPER(W444)&amp;" dalam kompetensi "&amp;VLOOKUP(X444,$G$532:$I$539,3)&amp;" dan kompetensi "&amp;VLOOKUP(Y444,$G$532:$I$539,3),PROPER(V444)&amp;" dalam kompetensi "&amp;VLOOKUP(X444,$G$532:$I$539,3)&amp;" dan memiliki kemampuan yang "&amp;W444&amp;" pada kompetensi "&amp;VLOOKUP(Y444,$G$532:$I$539,3)),""))</f>
        <v/>
      </c>
      <c r="AA444" s="153"/>
      <c r="AB444" s="154"/>
      <c r="AC444" s="154"/>
      <c r="AD444" s="154"/>
      <c r="AE444" s="154"/>
      <c r="AF444" s="154"/>
      <c r="AG444" s="154"/>
      <c r="AH444" s="155"/>
      <c r="AI444" s="220" t="str">
        <f t="shared" si="309"/>
        <v/>
      </c>
      <c r="AJ444" s="160" t="str">
        <f>IF(AI444="","",IF(AI444&gt;Data2!$C$12,Data2!$D$11,IF(AI444&gt;Data2!$C$13,Data2!$D$12,IF(AI444&gt;Data2!$C$14,Data2!$D$13,Data2!$D$14))))</f>
        <v/>
      </c>
      <c r="AK444" s="146">
        <f t="shared" si="310"/>
        <v>0</v>
      </c>
      <c r="AL444" s="146">
        <f t="shared" si="311"/>
        <v>0</v>
      </c>
      <c r="AM444" s="147" t="str">
        <f t="shared" si="322"/>
        <v>Mulai meningkat</v>
      </c>
      <c r="AN444" s="147" t="str">
        <f t="shared" si="323"/>
        <v>Mulai meningkat</v>
      </c>
      <c r="AO444" s="146" t="e">
        <f t="shared" si="312"/>
        <v>#N/A</v>
      </c>
      <c r="AP444" s="148" t="e">
        <f t="shared" si="313"/>
        <v>#N/A</v>
      </c>
      <c r="AQ444" s="158" t="str">
        <f>IF('PA-Non'!V332&lt;&gt;"",'PA-Non'!V332,IFERROR("Mempunyai keterampilan yang "&amp;IF(AM444=AN444,PROPER(AN444)&amp;" dalam kompetensi "&amp;VLOOKUP(AO444,$AA$532:$AC$539,3)&amp;", demikian juga dalam kompetensi "&amp;VLOOKUP(AP444,$AA$532:$AC$539,3),PROPER(AM444)&amp;" dalam kompetensi "&amp;VLOOKUP(AO444,$AA$532:$AC$539,3)&amp;" dan "&amp;AN444&amp;" pada kompetensi "&amp;VLOOKUP(AP444,$AA$532:$AC$539,3)),""))</f>
        <v/>
      </c>
      <c r="AR444" s="188"/>
    </row>
    <row r="445" spans="2:44" ht="27.9" customHeight="1" thickBot="1" x14ac:dyDescent="0.35">
      <c r="B445" s="226" t="s">
        <v>188</v>
      </c>
      <c r="C445" s="149" t="str">
        <f t="shared" si="319"/>
        <v/>
      </c>
      <c r="D445" s="150" t="str">
        <f>IF(Data!F440="","",Data!F440)</f>
        <v/>
      </c>
      <c r="E445" s="151" t="str">
        <f>IF(Data!H440="","",Data!H440)</f>
        <v/>
      </c>
      <c r="F445" s="152" t="str">
        <f>IF(Data!I440="","",Data!I440)</f>
        <v/>
      </c>
      <c r="G445" s="153"/>
      <c r="H445" s="154"/>
      <c r="I445" s="154"/>
      <c r="J445" s="154"/>
      <c r="K445" s="154"/>
      <c r="L445" s="154"/>
      <c r="M445" s="154"/>
      <c r="N445" s="155"/>
      <c r="O445" s="157" t="str">
        <f t="shared" si="303"/>
        <v/>
      </c>
      <c r="P445" s="154"/>
      <c r="Q445" s="156"/>
      <c r="R445" s="157" t="str">
        <f t="shared" si="304"/>
        <v/>
      </c>
      <c r="S445" s="159" t="str">
        <f>IF(R445="","",IF(R445&gt;Data2!$C$12,Data2!$D$11,IF(R445&gt;Data2!$C$13,Data2!$D$12,IF(R445&gt;Data2!$C$14,Data2!$D$13,Data2!$D$14))))</f>
        <v/>
      </c>
      <c r="T445" s="144">
        <f t="shared" si="305"/>
        <v>0</v>
      </c>
      <c r="U445" s="144">
        <f t="shared" si="306"/>
        <v>0</v>
      </c>
      <c r="V445" s="144" t="str">
        <f t="shared" si="320"/>
        <v>Mulai berkembang</v>
      </c>
      <c r="W445" s="144" t="str">
        <f t="shared" si="321"/>
        <v>Mulai berkembang</v>
      </c>
      <c r="X445" s="144" t="e">
        <f t="shared" si="307"/>
        <v>#N/A</v>
      </c>
      <c r="Y445" s="145" t="e">
        <f t="shared" si="308"/>
        <v>#N/A</v>
      </c>
      <c r="Z445" s="218" t="str">
        <f>IF('PA-Non'!O333&lt;&gt;"",'PA-Non'!O333,IFERROR("Mempunyai kemampuan yang " &amp;IF(V445=W445,PROPER(W445)&amp;" dalam kompetensi "&amp;VLOOKUP(X445,$G$532:$I$539,3)&amp;" dan kompetensi "&amp;VLOOKUP(Y445,$G$532:$I$539,3),PROPER(V445)&amp;" dalam kompetensi "&amp;VLOOKUP(X445,$G$532:$I$539,3)&amp;" dan memiliki kemampuan yang "&amp;W445&amp;" pada kompetensi "&amp;VLOOKUP(Y445,$G$532:$I$539,3)),""))</f>
        <v/>
      </c>
      <c r="AA445" s="153"/>
      <c r="AB445" s="154"/>
      <c r="AC445" s="154"/>
      <c r="AD445" s="154"/>
      <c r="AE445" s="154"/>
      <c r="AF445" s="154"/>
      <c r="AG445" s="154"/>
      <c r="AH445" s="155"/>
      <c r="AI445" s="220" t="str">
        <f t="shared" si="309"/>
        <v/>
      </c>
      <c r="AJ445" s="160" t="str">
        <f>IF(AI445="","",IF(AI445&gt;Data2!$C$12,Data2!$D$11,IF(AI445&gt;Data2!$C$13,Data2!$D$12,IF(AI445&gt;Data2!$C$14,Data2!$D$13,Data2!$D$14))))</f>
        <v/>
      </c>
      <c r="AK445" s="146">
        <f t="shared" si="310"/>
        <v>0</v>
      </c>
      <c r="AL445" s="146">
        <f t="shared" si="311"/>
        <v>0</v>
      </c>
      <c r="AM445" s="147" t="str">
        <f t="shared" si="322"/>
        <v>Mulai meningkat</v>
      </c>
      <c r="AN445" s="147" t="str">
        <f t="shared" si="323"/>
        <v>Mulai meningkat</v>
      </c>
      <c r="AO445" s="146" t="e">
        <f t="shared" si="312"/>
        <v>#N/A</v>
      </c>
      <c r="AP445" s="148" t="e">
        <f t="shared" si="313"/>
        <v>#N/A</v>
      </c>
      <c r="AQ445" s="158" t="str">
        <f>IF('PA-Non'!V333&lt;&gt;"",'PA-Non'!V333,IFERROR("Mempunyai keterampilan yang "&amp;IF(AM445=AN445,PROPER(AN445)&amp;" dalam kompetensi "&amp;VLOOKUP(AO445,$AA$532:$AC$539,3)&amp;", demikian juga dalam kompetensi "&amp;VLOOKUP(AP445,$AA$532:$AC$539,3),PROPER(AM445)&amp;" dalam kompetensi "&amp;VLOOKUP(AO445,$AA$532:$AC$539,3)&amp;" dan "&amp;AN445&amp;" pada kompetensi "&amp;VLOOKUP(AP445,$AA$532:$AC$539,3)),""))</f>
        <v/>
      </c>
      <c r="AR445" s="188"/>
    </row>
    <row r="446" spans="2:44" ht="27.9" customHeight="1" thickBot="1" x14ac:dyDescent="0.35">
      <c r="B446" s="226" t="s">
        <v>188</v>
      </c>
      <c r="C446" s="149" t="str">
        <f t="shared" si="319"/>
        <v/>
      </c>
      <c r="D446" s="150" t="str">
        <f>IF(Data!F441="","",Data!F441)</f>
        <v/>
      </c>
      <c r="E446" s="151" t="str">
        <f>IF(Data!H441="","",Data!H441)</f>
        <v/>
      </c>
      <c r="F446" s="152" t="str">
        <f>IF(Data!I441="","",Data!I441)</f>
        <v/>
      </c>
      <c r="G446" s="153"/>
      <c r="H446" s="154"/>
      <c r="I446" s="154"/>
      <c r="J446" s="154"/>
      <c r="K446" s="154"/>
      <c r="L446" s="154"/>
      <c r="M446" s="154"/>
      <c r="N446" s="155"/>
      <c r="O446" s="157" t="str">
        <f t="shared" si="303"/>
        <v/>
      </c>
      <c r="P446" s="154"/>
      <c r="Q446" s="156"/>
      <c r="R446" s="157" t="str">
        <f t="shared" si="304"/>
        <v/>
      </c>
      <c r="S446" s="159" t="str">
        <f>IF(R446="","",IF(R446&gt;Data2!$C$12,Data2!$D$11,IF(R446&gt;Data2!$C$13,Data2!$D$12,IF(R446&gt;Data2!$C$14,Data2!$D$13,Data2!$D$14))))</f>
        <v/>
      </c>
      <c r="T446" s="144">
        <f t="shared" si="305"/>
        <v>0</v>
      </c>
      <c r="U446" s="144">
        <f t="shared" si="306"/>
        <v>0</v>
      </c>
      <c r="V446" s="144" t="str">
        <f t="shared" si="320"/>
        <v>Mulai berkembang</v>
      </c>
      <c r="W446" s="144" t="str">
        <f t="shared" si="321"/>
        <v>Mulai berkembang</v>
      </c>
      <c r="X446" s="144" t="e">
        <f t="shared" si="307"/>
        <v>#N/A</v>
      </c>
      <c r="Y446" s="145" t="e">
        <f t="shared" si="308"/>
        <v>#N/A</v>
      </c>
      <c r="Z446" s="218" t="str">
        <f>IF('PA-Non'!O334&lt;&gt;"",'PA-Non'!O334,IFERROR("Mempunyai kemampuan yang " &amp;IF(V446=W446,PROPER(W446)&amp;" dalam kompetensi "&amp;VLOOKUP(X446,$G$532:$I$539,3)&amp;" dan kompetensi "&amp;VLOOKUP(Y446,$G$532:$I$539,3),PROPER(V446)&amp;" dalam kompetensi "&amp;VLOOKUP(X446,$G$532:$I$539,3)&amp;" dan memiliki kemampuan yang "&amp;W446&amp;" pada kompetensi "&amp;VLOOKUP(Y446,$G$532:$I$539,3)),""))</f>
        <v/>
      </c>
      <c r="AA446" s="153"/>
      <c r="AB446" s="154"/>
      <c r="AC446" s="154"/>
      <c r="AD446" s="154"/>
      <c r="AE446" s="154"/>
      <c r="AF446" s="154"/>
      <c r="AG446" s="154"/>
      <c r="AH446" s="155"/>
      <c r="AI446" s="220" t="str">
        <f t="shared" si="309"/>
        <v/>
      </c>
      <c r="AJ446" s="160" t="str">
        <f>IF(AI446="","",IF(AI446&gt;Data2!$C$12,Data2!$D$11,IF(AI446&gt;Data2!$C$13,Data2!$D$12,IF(AI446&gt;Data2!$C$14,Data2!$D$13,Data2!$D$14))))</f>
        <v/>
      </c>
      <c r="AK446" s="146">
        <f t="shared" si="310"/>
        <v>0</v>
      </c>
      <c r="AL446" s="146">
        <f t="shared" si="311"/>
        <v>0</v>
      </c>
      <c r="AM446" s="147" t="str">
        <f t="shared" si="322"/>
        <v>Mulai meningkat</v>
      </c>
      <c r="AN446" s="147" t="str">
        <f t="shared" si="323"/>
        <v>Mulai meningkat</v>
      </c>
      <c r="AO446" s="146" t="e">
        <f t="shared" si="312"/>
        <v>#N/A</v>
      </c>
      <c r="AP446" s="148" t="e">
        <f t="shared" si="313"/>
        <v>#N/A</v>
      </c>
      <c r="AQ446" s="158" t="str">
        <f>IF('PA-Non'!V334&lt;&gt;"",'PA-Non'!V334,IFERROR("Mempunyai keterampilan yang "&amp;IF(AM446=AN446,PROPER(AN446)&amp;" dalam kompetensi "&amp;VLOOKUP(AO446,$AA$532:$AC$539,3)&amp;", demikian juga dalam kompetensi "&amp;VLOOKUP(AP446,$AA$532:$AC$539,3),PROPER(AM446)&amp;" dalam kompetensi "&amp;VLOOKUP(AO446,$AA$532:$AC$539,3)&amp;" dan "&amp;AN446&amp;" pada kompetensi "&amp;VLOOKUP(AP446,$AA$532:$AC$539,3)),""))</f>
        <v/>
      </c>
      <c r="AR446" s="188"/>
    </row>
    <row r="447" spans="2:44" ht="27.9" customHeight="1" thickBot="1" x14ac:dyDescent="0.35">
      <c r="B447" s="226" t="s">
        <v>188</v>
      </c>
      <c r="C447" s="149" t="str">
        <f t="shared" si="319"/>
        <v/>
      </c>
      <c r="D447" s="150" t="str">
        <f>IF(Data!F442="","",Data!F442)</f>
        <v/>
      </c>
      <c r="E447" s="151" t="str">
        <f>IF(Data!H442="","",Data!H442)</f>
        <v/>
      </c>
      <c r="F447" s="152" t="str">
        <f>IF(Data!I442="","",Data!I442)</f>
        <v/>
      </c>
      <c r="G447" s="153"/>
      <c r="H447" s="154"/>
      <c r="I447" s="154"/>
      <c r="J447" s="154"/>
      <c r="K447" s="154"/>
      <c r="L447" s="154"/>
      <c r="M447" s="154"/>
      <c r="N447" s="155"/>
      <c r="O447" s="157" t="str">
        <f t="shared" si="303"/>
        <v/>
      </c>
      <c r="P447" s="154"/>
      <c r="Q447" s="156"/>
      <c r="R447" s="157" t="str">
        <f t="shared" si="304"/>
        <v/>
      </c>
      <c r="S447" s="159" t="str">
        <f>IF(R447="","",IF(R447&gt;Data2!$C$12,Data2!$D$11,IF(R447&gt;Data2!$C$13,Data2!$D$12,IF(R447&gt;Data2!$C$14,Data2!$D$13,Data2!$D$14))))</f>
        <v/>
      </c>
      <c r="T447" s="144">
        <f t="shared" si="305"/>
        <v>0</v>
      </c>
      <c r="U447" s="144">
        <f t="shared" si="306"/>
        <v>0</v>
      </c>
      <c r="V447" s="144" t="str">
        <f t="shared" si="320"/>
        <v>Mulai berkembang</v>
      </c>
      <c r="W447" s="144" t="str">
        <f t="shared" si="321"/>
        <v>Mulai berkembang</v>
      </c>
      <c r="X447" s="144" t="e">
        <f t="shared" si="307"/>
        <v>#N/A</v>
      </c>
      <c r="Y447" s="145" t="e">
        <f t="shared" si="308"/>
        <v>#N/A</v>
      </c>
      <c r="Z447" s="218" t="str">
        <f>IF('PA-Non'!O335&lt;&gt;"",'PA-Non'!O335,IFERROR("Mempunyai kemampuan yang " &amp;IF(V447=W447,PROPER(W447)&amp;" dalam kompetensi "&amp;VLOOKUP(X447,$G$532:$I$539,3)&amp;" dan kompetensi "&amp;VLOOKUP(Y447,$G$532:$I$539,3),PROPER(V447)&amp;" dalam kompetensi "&amp;VLOOKUP(X447,$G$532:$I$539,3)&amp;" dan memiliki kemampuan yang "&amp;W447&amp;" pada kompetensi "&amp;VLOOKUP(Y447,$G$532:$I$539,3)),""))</f>
        <v/>
      </c>
      <c r="AA447" s="153"/>
      <c r="AB447" s="154"/>
      <c r="AC447" s="154"/>
      <c r="AD447" s="154"/>
      <c r="AE447" s="154"/>
      <c r="AF447" s="154"/>
      <c r="AG447" s="154"/>
      <c r="AH447" s="155"/>
      <c r="AI447" s="220" t="str">
        <f t="shared" si="309"/>
        <v/>
      </c>
      <c r="AJ447" s="160" t="str">
        <f>IF(AI447="","",IF(AI447&gt;Data2!$C$12,Data2!$D$11,IF(AI447&gt;Data2!$C$13,Data2!$D$12,IF(AI447&gt;Data2!$C$14,Data2!$D$13,Data2!$D$14))))</f>
        <v/>
      </c>
      <c r="AK447" s="146">
        <f t="shared" si="310"/>
        <v>0</v>
      </c>
      <c r="AL447" s="146">
        <f t="shared" si="311"/>
        <v>0</v>
      </c>
      <c r="AM447" s="147" t="str">
        <f t="shared" si="322"/>
        <v>Mulai meningkat</v>
      </c>
      <c r="AN447" s="147" t="str">
        <f t="shared" si="323"/>
        <v>Mulai meningkat</v>
      </c>
      <c r="AO447" s="146" t="e">
        <f t="shared" si="312"/>
        <v>#N/A</v>
      </c>
      <c r="AP447" s="148" t="e">
        <f t="shared" si="313"/>
        <v>#N/A</v>
      </c>
      <c r="AQ447" s="158" t="str">
        <f>IF('PA-Non'!V335&lt;&gt;"",'PA-Non'!V335,IFERROR("Mempunyai keterampilan yang "&amp;IF(AM447=AN447,PROPER(AN447)&amp;" dalam kompetensi "&amp;VLOOKUP(AO447,$AA$532:$AC$539,3)&amp;", demikian juga dalam kompetensi "&amp;VLOOKUP(AP447,$AA$532:$AC$539,3),PROPER(AM447)&amp;" dalam kompetensi "&amp;VLOOKUP(AO447,$AA$532:$AC$539,3)&amp;" dan "&amp;AN447&amp;" pada kompetensi "&amp;VLOOKUP(AP447,$AA$532:$AC$539,3)),""))</f>
        <v/>
      </c>
      <c r="AR447" s="188"/>
    </row>
    <row r="448" spans="2:44" ht="27.9" customHeight="1" x14ac:dyDescent="0.3">
      <c r="B448" s="386" t="s">
        <v>188</v>
      </c>
      <c r="C448" s="149" t="str">
        <f t="shared" si="319"/>
        <v/>
      </c>
      <c r="D448" s="51" t="str">
        <f>IF(Data!F443="","",Data!F443)</f>
        <v/>
      </c>
      <c r="E448" s="91" t="str">
        <f>IF(Data!H443="","",Data!H443)</f>
        <v/>
      </c>
      <c r="F448" s="52" t="str">
        <f>IF(Data!I443="","",Data!I443)</f>
        <v/>
      </c>
      <c r="G448" s="388"/>
      <c r="H448" s="389"/>
      <c r="I448" s="389"/>
      <c r="J448" s="389"/>
      <c r="K448" s="389"/>
      <c r="L448" s="389"/>
      <c r="M448" s="389"/>
      <c r="N448" s="390"/>
      <c r="O448" s="391" t="str">
        <f t="shared" si="303"/>
        <v/>
      </c>
      <c r="P448" s="389"/>
      <c r="Q448" s="392"/>
      <c r="R448" s="391" t="str">
        <f t="shared" si="304"/>
        <v/>
      </c>
      <c r="S448" s="393" t="str">
        <f>IF(R448="","",IF(R448&gt;Data2!$C$12,Data2!$D$11,IF(R448&gt;Data2!$C$13,Data2!$D$12,IF(R448&gt;Data2!$C$14,Data2!$D$13,Data2!$D$14))))</f>
        <v/>
      </c>
      <c r="T448" s="394">
        <f t="shared" si="305"/>
        <v>0</v>
      </c>
      <c r="U448" s="394">
        <f t="shared" si="306"/>
        <v>0</v>
      </c>
      <c r="V448" s="394" t="str">
        <f t="shared" si="320"/>
        <v>Mulai berkembang</v>
      </c>
      <c r="W448" s="394" t="str">
        <f t="shared" si="321"/>
        <v>Mulai berkembang</v>
      </c>
      <c r="X448" s="394" t="e">
        <f t="shared" si="307"/>
        <v>#N/A</v>
      </c>
      <c r="Y448" s="395" t="e">
        <f t="shared" si="308"/>
        <v>#N/A</v>
      </c>
      <c r="Z448" s="396" t="str">
        <f>IF('PA-Non'!O336&lt;&gt;"",'PA-Non'!O336,IFERROR("Mempunyai kemampuan yang " &amp;IF(V448=W448,PROPER(W448)&amp;" dalam kompetensi "&amp;VLOOKUP(X448,$G$532:$I$539,3)&amp;" dan kompetensi "&amp;VLOOKUP(Y448,$G$532:$I$539,3),PROPER(V448)&amp;" dalam kompetensi "&amp;VLOOKUP(X448,$G$532:$I$539,3)&amp;" dan memiliki kemampuan yang "&amp;W448&amp;" pada kompetensi "&amp;VLOOKUP(Y448,$G$532:$I$539,3)),""))</f>
        <v/>
      </c>
      <c r="AA448" s="388"/>
      <c r="AB448" s="389"/>
      <c r="AC448" s="389"/>
      <c r="AD448" s="389"/>
      <c r="AE448" s="389"/>
      <c r="AF448" s="389"/>
      <c r="AG448" s="389"/>
      <c r="AH448" s="390"/>
      <c r="AI448" s="397" t="str">
        <f t="shared" si="309"/>
        <v/>
      </c>
      <c r="AJ448" s="398" t="str">
        <f>IF(AI448="","",IF(AI448&gt;Data2!$C$12,Data2!$D$11,IF(AI448&gt;Data2!$C$13,Data2!$D$12,IF(AI448&gt;Data2!$C$14,Data2!$D$13,Data2!$D$14))))</f>
        <v/>
      </c>
      <c r="AK448" s="399">
        <f t="shared" si="310"/>
        <v>0</v>
      </c>
      <c r="AL448" s="399">
        <f t="shared" si="311"/>
        <v>0</v>
      </c>
      <c r="AM448" s="400" t="str">
        <f t="shared" si="322"/>
        <v>Mulai meningkat</v>
      </c>
      <c r="AN448" s="400" t="str">
        <f t="shared" si="323"/>
        <v>Mulai meningkat</v>
      </c>
      <c r="AO448" s="399" t="e">
        <f t="shared" si="312"/>
        <v>#N/A</v>
      </c>
      <c r="AP448" s="401" t="e">
        <f t="shared" si="313"/>
        <v>#N/A</v>
      </c>
      <c r="AQ448" s="402" t="str">
        <f>IF('PA-Non'!V336&lt;&gt;"",'PA-Non'!V336,IFERROR("Mempunyai keterampilan yang "&amp;IF(AM448=AN448,PROPER(AN448)&amp;" dalam kompetensi "&amp;VLOOKUP(AO448,$AA$532:$AC$539,3)&amp;", demikian juga dalam kompetensi "&amp;VLOOKUP(AP448,$AA$532:$AC$539,3),PROPER(AM448)&amp;" dalam kompetensi "&amp;VLOOKUP(AO448,$AA$532:$AC$539,3)&amp;" dan "&amp;AN448&amp;" pada kompetensi "&amp;VLOOKUP(AP448,$AA$532:$AC$539,3)),""))</f>
        <v/>
      </c>
      <c r="AR448" s="188"/>
    </row>
    <row r="449" spans="2:44" ht="27.9" customHeight="1" thickBot="1" x14ac:dyDescent="0.35">
      <c r="B449" s="365" t="s">
        <v>188</v>
      </c>
      <c r="C449" s="149" t="str">
        <f t="shared" si="319"/>
        <v/>
      </c>
      <c r="D449" s="367" t="str">
        <f>IF(Data!F444="","",Data!F444)</f>
        <v/>
      </c>
      <c r="E449" s="368" t="str">
        <f>IF(Data!H444="","",Data!H444)</f>
        <v/>
      </c>
      <c r="F449" s="369" t="str">
        <f>IF(Data!I444="","",Data!I444)</f>
        <v/>
      </c>
      <c r="G449" s="370"/>
      <c r="H449" s="371"/>
      <c r="I449" s="371"/>
      <c r="J449" s="371"/>
      <c r="K449" s="371"/>
      <c r="L449" s="371"/>
      <c r="M449" s="371"/>
      <c r="N449" s="372"/>
      <c r="O449" s="373" t="str">
        <f t="shared" si="303"/>
        <v/>
      </c>
      <c r="P449" s="371"/>
      <c r="Q449" s="374"/>
      <c r="R449" s="373" t="str">
        <f t="shared" si="304"/>
        <v/>
      </c>
      <c r="S449" s="375" t="str">
        <f>IF(R449="","",IF(R449&gt;Data2!$C$12,Data2!$D$11,IF(R449&gt;Data2!$C$13,Data2!$D$12,IF(R449&gt;Data2!$C$14,Data2!$D$13,Data2!$D$14))))</f>
        <v/>
      </c>
      <c r="T449" s="404">
        <f t="shared" si="305"/>
        <v>0</v>
      </c>
      <c r="U449" s="404">
        <f t="shared" si="306"/>
        <v>0</v>
      </c>
      <c r="V449" s="404" t="str">
        <f t="shared" si="320"/>
        <v>Mulai berkembang</v>
      </c>
      <c r="W449" s="404" t="str">
        <f t="shared" si="321"/>
        <v>Mulai berkembang</v>
      </c>
      <c r="X449" s="404" t="e">
        <f t="shared" si="307"/>
        <v>#N/A</v>
      </c>
      <c r="Y449" s="405" t="e">
        <f t="shared" si="308"/>
        <v>#N/A</v>
      </c>
      <c r="Z449" s="376" t="str">
        <f>IF('PA-Non'!O337&lt;&gt;"",'PA-Non'!O337,IFERROR("Mempunyai kemampuan yang " &amp;IF(V449=W449,PROPER(W449)&amp;" dalam kompetensi "&amp;VLOOKUP(X449,$G$532:$I$539,3)&amp;" dan kompetensi "&amp;VLOOKUP(Y449,$G$532:$I$539,3),PROPER(V449)&amp;" dalam kompetensi "&amp;VLOOKUP(X449,$G$532:$I$539,3)&amp;" dan memiliki kemampuan yang "&amp;W449&amp;" pada kompetensi "&amp;VLOOKUP(Y449,$G$532:$I$539,3)),""))</f>
        <v/>
      </c>
      <c r="AA449" s="370"/>
      <c r="AB449" s="371"/>
      <c r="AC449" s="371"/>
      <c r="AD449" s="371"/>
      <c r="AE449" s="371"/>
      <c r="AF449" s="371"/>
      <c r="AG449" s="371"/>
      <c r="AH449" s="372"/>
      <c r="AI449" s="377" t="str">
        <f t="shared" si="309"/>
        <v/>
      </c>
      <c r="AJ449" s="378" t="str">
        <f>IF(AI449="","",IF(AI449&gt;Data2!$C$12,Data2!$D$11,IF(AI449&gt;Data2!$C$13,Data2!$D$12,IF(AI449&gt;Data2!$C$14,Data2!$D$13,Data2!$D$14))))</f>
        <v/>
      </c>
      <c r="AK449" s="406">
        <f t="shared" si="310"/>
        <v>0</v>
      </c>
      <c r="AL449" s="406">
        <f t="shared" si="311"/>
        <v>0</v>
      </c>
      <c r="AM449" s="407" t="str">
        <f t="shared" si="322"/>
        <v>Mulai meningkat</v>
      </c>
      <c r="AN449" s="407" t="str">
        <f t="shared" si="323"/>
        <v>Mulai meningkat</v>
      </c>
      <c r="AO449" s="406" t="e">
        <f t="shared" si="312"/>
        <v>#N/A</v>
      </c>
      <c r="AP449" s="408" t="e">
        <f t="shared" si="313"/>
        <v>#N/A</v>
      </c>
      <c r="AQ449" s="409" t="str">
        <f>IF('PA-Non'!V337&lt;&gt;"",'PA-Non'!V337,IFERROR("Mempunyai keterampilan yang "&amp;IF(AM449=AN449,PROPER(AN449)&amp;" dalam kompetensi "&amp;VLOOKUP(AO449,$AA$532:$AC$539,3)&amp;", demikian juga dalam kompetensi "&amp;VLOOKUP(AP449,$AA$532:$AC$539,3),PROPER(AM449)&amp;" dalam kompetensi "&amp;VLOOKUP(AO449,$AA$532:$AC$539,3)&amp;" dan "&amp;AN449&amp;" pada kompetensi "&amp;VLOOKUP(AP449,$AA$532:$AC$539,3)),""))</f>
        <v/>
      </c>
      <c r="AR449" s="188"/>
    </row>
    <row r="450" spans="2:44" ht="27.9" customHeight="1" thickBot="1" x14ac:dyDescent="0.35">
      <c r="B450" s="383" t="s">
        <v>189</v>
      </c>
      <c r="C450" s="347">
        <v>1</v>
      </c>
      <c r="D450" s="348" t="str">
        <f>IF(Data!F445="","",Data!F445)</f>
        <v/>
      </c>
      <c r="E450" s="349" t="str">
        <f>IF(Data!H445="","",Data!H445)</f>
        <v/>
      </c>
      <c r="F450" s="350" t="str">
        <f>IF(Data!I445="","",Data!I445)</f>
        <v/>
      </c>
      <c r="G450" s="351"/>
      <c r="H450" s="352"/>
      <c r="I450" s="352"/>
      <c r="J450" s="352"/>
      <c r="K450" s="352"/>
      <c r="L450" s="352"/>
      <c r="M450" s="352"/>
      <c r="N450" s="353"/>
      <c r="O450" s="354" t="str">
        <f t="shared" si="292"/>
        <v/>
      </c>
      <c r="P450" s="352"/>
      <c r="Q450" s="355"/>
      <c r="R450" s="354" t="str">
        <f t="shared" si="293"/>
        <v/>
      </c>
      <c r="S450" s="356" t="str">
        <f>IF(R450="","",IF(R450&gt;Data2!$C$12,Data2!$D$11,IF(R450&gt;Data2!$C$13,Data2!$D$12,IF(R450&gt;Data2!$C$14,Data2!$D$13,Data2!$D$14))))</f>
        <v/>
      </c>
      <c r="T450" s="357">
        <f t="shared" si="294"/>
        <v>0</v>
      </c>
      <c r="U450" s="357">
        <f t="shared" si="295"/>
        <v>0</v>
      </c>
      <c r="V450" s="357" t="str">
        <f>IF(T450&gt;$I$560,$J$559,IF(T450&gt;$I$561,$J$560,IF(T450&gt;$I$562,$J$561,$J$562)))</f>
        <v>Mulai berkembang</v>
      </c>
      <c r="W450" s="357" t="str">
        <f>IF(U450&gt;$I$560,$J$559,IF(U450&gt;$I$561,$J$560,IF(U450&gt;$I$562,$J$561,$J$562)))</f>
        <v>Mulai berkembang</v>
      </c>
      <c r="X450" s="357" t="e">
        <f t="shared" si="296"/>
        <v>#N/A</v>
      </c>
      <c r="Y450" s="358" t="e">
        <f t="shared" si="297"/>
        <v>#N/A</v>
      </c>
      <c r="Z450" s="359" t="str">
        <f>IF('PA-Non'!O338&lt;&gt;"",'PA-Non'!O338,IFERROR("Mempunyai kemampuan yang " &amp;IF(V450=W450,PROPER(W450)&amp;" dalam kompetensi "&amp;VLOOKUP(X450,$G$532:$I$539,3)&amp;" dan kompetensi "&amp;VLOOKUP(Y450,$G$532:$I$539,3),PROPER(V450)&amp;" dalam kompetensi "&amp;VLOOKUP(X450,$G$532:$I$539,3)&amp;" dan memiliki kemampuan yang "&amp;W450&amp;" pada kompetensi "&amp;VLOOKUP(Y450,$G$532:$I$539,3)),""))</f>
        <v/>
      </c>
      <c r="AA450" s="351"/>
      <c r="AB450" s="352"/>
      <c r="AC450" s="352"/>
      <c r="AD450" s="352"/>
      <c r="AE450" s="352"/>
      <c r="AF450" s="352"/>
      <c r="AG450" s="352"/>
      <c r="AH450" s="353"/>
      <c r="AI450" s="360" t="str">
        <f t="shared" si="298"/>
        <v/>
      </c>
      <c r="AJ450" s="361" t="str">
        <f>IF(AI450="","",IF(AI450&gt;Data2!$C$12,Data2!$D$11,IF(AI450&gt;Data2!$C$13,Data2!$D$12,IF(AI450&gt;Data2!$C$14,Data2!$D$13,Data2!$D$14))))</f>
        <v/>
      </c>
      <c r="AK450" s="362">
        <f t="shared" si="299"/>
        <v>0</v>
      </c>
      <c r="AL450" s="362">
        <f t="shared" si="300"/>
        <v>0</v>
      </c>
      <c r="AM450" s="363" t="str">
        <f>IF(AK450&gt;$I$560,$AD$559,IF(AK450&gt;$I$561,$AD$560,IF(AK450&gt;$I$562,$AD$561,$AD$562)))</f>
        <v>Mulai meningkat</v>
      </c>
      <c r="AN450" s="363" t="str">
        <f>IF(AL450&gt;$I$560,$AD$559,IF(AL450&gt;$I$561,$AD$560,IF(AL450&gt;$I$562,$AD$561,$AD$562)))</f>
        <v>Mulai meningkat</v>
      </c>
      <c r="AO450" s="362" t="e">
        <f t="shared" si="301"/>
        <v>#N/A</v>
      </c>
      <c r="AP450" s="364" t="e">
        <f t="shared" si="302"/>
        <v>#N/A</v>
      </c>
      <c r="AQ450" s="403" t="str">
        <f>IF('PA-Non'!V338&lt;&gt;"",'PA-Non'!V338,IFERROR("Mempunyai keterampilan yang "&amp;IF(AM450=AN450,PROPER(AN450)&amp;" dalam kompetensi "&amp;VLOOKUP(AO450,$AA$532:$AC$539,3)&amp;", demikian juga dalam kompetensi "&amp;VLOOKUP(AP450,$AA$532:$AC$539,3),PROPER(AM450)&amp;" dalam kompetensi "&amp;VLOOKUP(AO450,$AA$532:$AC$539,3)&amp;" dan "&amp;AN450&amp;" pada kompetensi "&amp;VLOOKUP(AP450,$AA$532:$AC$539,3)),""))</f>
        <v/>
      </c>
      <c r="AR450" s="188"/>
    </row>
    <row r="451" spans="2:44" ht="27.9" customHeight="1" thickBot="1" x14ac:dyDescent="0.35">
      <c r="B451" s="384" t="s">
        <v>189</v>
      </c>
      <c r="C451" s="149" t="str">
        <f t="shared" ref="C451:C513" si="324">IF(E451="","",C450+1)</f>
        <v/>
      </c>
      <c r="D451" s="150" t="str">
        <f>IF(Data!F446="","",Data!F446)</f>
        <v/>
      </c>
      <c r="E451" s="151" t="str">
        <f>IF(Data!H446="","",Data!H446)</f>
        <v/>
      </c>
      <c r="F451" s="152" t="str">
        <f>IF(Data!I446="","",Data!I446)</f>
        <v/>
      </c>
      <c r="G451" s="343"/>
      <c r="H451" s="344"/>
      <c r="I451" s="344"/>
      <c r="J451" s="344"/>
      <c r="K451" s="344"/>
      <c r="L451" s="344"/>
      <c r="M451" s="344"/>
      <c r="N451" s="345"/>
      <c r="O451" s="157" t="str">
        <f t="shared" ref="O451:O514" si="325">IF(COUNT(G451:N451)&lt;3,"",ROUND(SUM(G451:N451)/$O$6,0))</f>
        <v/>
      </c>
      <c r="P451" s="344"/>
      <c r="Q451" s="346"/>
      <c r="R451" s="157" t="str">
        <f t="shared" ref="R451:R514" si="326">IFERROR(IF(OR(P451="",Q451=""),"",ROUND(((O451*$O$8)+(P451*$P$8)+(Q451*$Q$8))/$Q$6,0)),"")</f>
        <v/>
      </c>
      <c r="S451" s="159" t="str">
        <f>IF(R451="","",IF(R451&gt;Data2!$C$12,Data2!$D$11,IF(R451&gt;Data2!$C$13,Data2!$D$12,IF(R451&gt;Data2!$C$14,Data2!$D$13,Data2!$D$14))))</f>
        <v/>
      </c>
      <c r="T451" s="144">
        <f t="shared" ref="T451:T514" si="327">MAX(G451:N451)</f>
        <v>0</v>
      </c>
      <c r="U451" s="144">
        <f t="shared" ref="U451:U514" si="328">MIN(G451:N451)</f>
        <v>0</v>
      </c>
      <c r="V451" s="144" t="str">
        <f t="shared" ref="V451:V489" si="329">IF(T451&gt;$I$560,$J$559,IF(T451&gt;$I$561,$J$560,IF(T451&gt;$I$562,$J$561,$J$562)))</f>
        <v>Mulai berkembang</v>
      </c>
      <c r="W451" s="144" t="str">
        <f t="shared" ref="W451:W489" si="330">IF(U451&gt;$I$560,$J$559,IF(U451&gt;$I$561,$J$560,IF(U451&gt;$I$562,$J$561,$J$562)))</f>
        <v>Mulai berkembang</v>
      </c>
      <c r="X451" s="144" t="e">
        <f t="shared" ref="X451:X514" si="331">MATCH(T451,G451:N451,0)</f>
        <v>#N/A</v>
      </c>
      <c r="Y451" s="145" t="e">
        <f t="shared" ref="Y451:Y514" si="332">MATCH(U451,G451:N451,0)</f>
        <v>#N/A</v>
      </c>
      <c r="Z451" s="218" t="str">
        <f>IF('PA-Non'!O339&lt;&gt;"",'PA-Non'!O339,IFERROR("Mempunyai kemampuan yang " &amp;IF(V451=W451,PROPER(W451)&amp;" dalam kompetensi "&amp;VLOOKUP(X451,$G$532:$I$539,3)&amp;" dan kompetensi "&amp;VLOOKUP(Y451,$G$532:$I$539,3),PROPER(V451)&amp;" dalam kompetensi "&amp;VLOOKUP(X451,$G$532:$I$539,3)&amp;" dan memiliki kemampuan yang "&amp;W451&amp;" pada kompetensi "&amp;VLOOKUP(Y451,$G$532:$I$539,3)),""))</f>
        <v/>
      </c>
      <c r="AA451" s="343"/>
      <c r="AB451" s="344"/>
      <c r="AC451" s="344"/>
      <c r="AD451" s="344"/>
      <c r="AE451" s="344"/>
      <c r="AF451" s="344"/>
      <c r="AG451" s="344"/>
      <c r="AH451" s="345"/>
      <c r="AI451" s="220" t="str">
        <f t="shared" ref="AI451:AI514" si="333">IF(COUNT(AA451:AH451)&lt;3,"",ROUND(((AA451*$AA$8)+(AB451*$AB$8)+(AC451*$AC$8)+(AD451*$AD$8)+(AE451*$AE$8)+(AF451*$AF$8)+(AG451*$AG$8)+(AH451*$AH$8))/$AI$6,0))</f>
        <v/>
      </c>
      <c r="AJ451" s="160" t="str">
        <f>IF(AI451="","",IF(AI451&gt;Data2!$C$12,Data2!$D$11,IF(AI451&gt;Data2!$C$13,Data2!$D$12,IF(AI451&gt;Data2!$C$14,Data2!$D$13,Data2!$D$14))))</f>
        <v/>
      </c>
      <c r="AK451" s="146">
        <f t="shared" ref="AK451:AK514" si="334">MAX(AA451:AH451)</f>
        <v>0</v>
      </c>
      <c r="AL451" s="146">
        <f t="shared" ref="AL451:AL514" si="335">MIN(AA451:AH451)</f>
        <v>0</v>
      </c>
      <c r="AM451" s="147" t="str">
        <f t="shared" ref="AM451:AM489" si="336">IF(AK451&gt;$I$560,$AD$559,IF(AK451&gt;$I$561,$AD$560,IF(AK451&gt;$I$562,$AD$561,$AD$562)))</f>
        <v>Mulai meningkat</v>
      </c>
      <c r="AN451" s="147" t="str">
        <f t="shared" ref="AN451:AN489" si="337">IF(AL451&gt;$I$560,$AD$559,IF(AL451&gt;$I$561,$AD$560,IF(AL451&gt;$I$562,$AD$561,$AD$562)))</f>
        <v>Mulai meningkat</v>
      </c>
      <c r="AO451" s="146" t="e">
        <f t="shared" ref="AO451:AO514" si="338">MATCH(AK451,AA451:AH451,0)</f>
        <v>#N/A</v>
      </c>
      <c r="AP451" s="148" t="e">
        <f t="shared" ref="AP451:AP514" si="339">MATCH(AL451,AA451:AH451,0)</f>
        <v>#N/A</v>
      </c>
      <c r="AQ451" s="158" t="str">
        <f>IF('PA-Non'!V339&lt;&gt;"",'PA-Non'!V339,IFERROR("Mempunyai keterampilan yang "&amp;IF(AM451=AN451,PROPER(AN451)&amp;" dalam kompetensi "&amp;VLOOKUP(AO451,$AA$532:$AC$539,3)&amp;", demikian juga dalam kompetensi "&amp;VLOOKUP(AP451,$AA$532:$AC$539,3),PROPER(AM451)&amp;" dalam kompetensi "&amp;VLOOKUP(AO451,$AA$532:$AC$539,3)&amp;" dan "&amp;AN451&amp;" pada kompetensi "&amp;VLOOKUP(AP451,$AA$532:$AC$539,3)),""))</f>
        <v/>
      </c>
      <c r="AR451" s="188"/>
    </row>
    <row r="452" spans="2:44" ht="27.9" customHeight="1" thickBot="1" x14ac:dyDescent="0.35">
      <c r="B452" s="384" t="s">
        <v>189</v>
      </c>
      <c r="C452" s="149" t="str">
        <f t="shared" si="324"/>
        <v/>
      </c>
      <c r="D452" s="150" t="str">
        <f>IF(Data!F447="","",Data!F447)</f>
        <v/>
      </c>
      <c r="E452" s="151" t="str">
        <f>IF(Data!H447="","",Data!H447)</f>
        <v/>
      </c>
      <c r="F452" s="152" t="str">
        <f>IF(Data!I447="","",Data!I447)</f>
        <v/>
      </c>
      <c r="G452" s="343"/>
      <c r="H452" s="344"/>
      <c r="I452" s="344"/>
      <c r="J452" s="344"/>
      <c r="K452" s="344"/>
      <c r="L452" s="344"/>
      <c r="M452" s="344"/>
      <c r="N452" s="345"/>
      <c r="O452" s="157" t="str">
        <f t="shared" si="325"/>
        <v/>
      </c>
      <c r="P452" s="344"/>
      <c r="Q452" s="346"/>
      <c r="R452" s="157" t="str">
        <f t="shared" si="326"/>
        <v/>
      </c>
      <c r="S452" s="159" t="str">
        <f>IF(R452="","",IF(R452&gt;Data2!$C$12,Data2!$D$11,IF(R452&gt;Data2!$C$13,Data2!$D$12,IF(R452&gt;Data2!$C$14,Data2!$D$13,Data2!$D$14))))</f>
        <v/>
      </c>
      <c r="T452" s="144">
        <f t="shared" si="327"/>
        <v>0</v>
      </c>
      <c r="U452" s="144">
        <f t="shared" si="328"/>
        <v>0</v>
      </c>
      <c r="V452" s="144" t="str">
        <f t="shared" si="329"/>
        <v>Mulai berkembang</v>
      </c>
      <c r="W452" s="144" t="str">
        <f t="shared" si="330"/>
        <v>Mulai berkembang</v>
      </c>
      <c r="X452" s="144" t="e">
        <f t="shared" si="331"/>
        <v>#N/A</v>
      </c>
      <c r="Y452" s="145" t="e">
        <f t="shared" si="332"/>
        <v>#N/A</v>
      </c>
      <c r="Z452" s="218" t="str">
        <f>IF('PA-Non'!O340&lt;&gt;"",'PA-Non'!O340,IFERROR("Mempunyai kemampuan yang " &amp;IF(V452=W452,PROPER(W452)&amp;" dalam kompetensi "&amp;VLOOKUP(X452,$G$532:$I$539,3)&amp;" dan kompetensi "&amp;VLOOKUP(Y452,$G$532:$I$539,3),PROPER(V452)&amp;" dalam kompetensi "&amp;VLOOKUP(X452,$G$532:$I$539,3)&amp;" dan memiliki kemampuan yang "&amp;W452&amp;" pada kompetensi "&amp;VLOOKUP(Y452,$G$532:$I$539,3)),""))</f>
        <v/>
      </c>
      <c r="AA452" s="343"/>
      <c r="AB452" s="344"/>
      <c r="AC452" s="344"/>
      <c r="AD452" s="344"/>
      <c r="AE452" s="344"/>
      <c r="AF452" s="344"/>
      <c r="AG452" s="344"/>
      <c r="AH452" s="345"/>
      <c r="AI452" s="220" t="str">
        <f t="shared" si="333"/>
        <v/>
      </c>
      <c r="AJ452" s="160" t="str">
        <f>IF(AI452="","",IF(AI452&gt;Data2!$C$12,Data2!$D$11,IF(AI452&gt;Data2!$C$13,Data2!$D$12,IF(AI452&gt;Data2!$C$14,Data2!$D$13,Data2!$D$14))))</f>
        <v/>
      </c>
      <c r="AK452" s="146">
        <f t="shared" si="334"/>
        <v>0</v>
      </c>
      <c r="AL452" s="146">
        <f t="shared" si="335"/>
        <v>0</v>
      </c>
      <c r="AM452" s="147" t="str">
        <f t="shared" si="336"/>
        <v>Mulai meningkat</v>
      </c>
      <c r="AN452" s="147" t="str">
        <f t="shared" si="337"/>
        <v>Mulai meningkat</v>
      </c>
      <c r="AO452" s="146" t="e">
        <f t="shared" si="338"/>
        <v>#N/A</v>
      </c>
      <c r="AP452" s="148" t="e">
        <f t="shared" si="339"/>
        <v>#N/A</v>
      </c>
      <c r="AQ452" s="158" t="str">
        <f>IF('PA-Non'!V340&lt;&gt;"",'PA-Non'!V340,IFERROR("Mempunyai keterampilan yang "&amp;IF(AM452=AN452,PROPER(AN452)&amp;" dalam kompetensi "&amp;VLOOKUP(AO452,$AA$532:$AC$539,3)&amp;", demikian juga dalam kompetensi "&amp;VLOOKUP(AP452,$AA$532:$AC$539,3),PROPER(AM452)&amp;" dalam kompetensi "&amp;VLOOKUP(AO452,$AA$532:$AC$539,3)&amp;" dan "&amp;AN452&amp;" pada kompetensi "&amp;VLOOKUP(AP452,$AA$532:$AC$539,3)),""))</f>
        <v/>
      </c>
      <c r="AR452" s="188"/>
    </row>
    <row r="453" spans="2:44" ht="27.9" customHeight="1" thickBot="1" x14ac:dyDescent="0.35">
      <c r="B453" s="384" t="s">
        <v>189</v>
      </c>
      <c r="C453" s="149" t="str">
        <f t="shared" si="324"/>
        <v/>
      </c>
      <c r="D453" s="150" t="str">
        <f>IF(Data!F448="","",Data!F448)</f>
        <v/>
      </c>
      <c r="E453" s="151" t="str">
        <f>IF(Data!H448="","",Data!H448)</f>
        <v/>
      </c>
      <c r="F453" s="152" t="str">
        <f>IF(Data!I448="","",Data!I448)</f>
        <v/>
      </c>
      <c r="G453" s="343"/>
      <c r="H453" s="344"/>
      <c r="I453" s="344"/>
      <c r="J453" s="344"/>
      <c r="K453" s="344"/>
      <c r="L453" s="344"/>
      <c r="M453" s="344"/>
      <c r="N453" s="345"/>
      <c r="O453" s="157" t="str">
        <f t="shared" si="325"/>
        <v/>
      </c>
      <c r="P453" s="344"/>
      <c r="Q453" s="346"/>
      <c r="R453" s="157" t="str">
        <f t="shared" si="326"/>
        <v/>
      </c>
      <c r="S453" s="159" t="str">
        <f>IF(R453="","",IF(R453&gt;Data2!$C$12,Data2!$D$11,IF(R453&gt;Data2!$C$13,Data2!$D$12,IF(R453&gt;Data2!$C$14,Data2!$D$13,Data2!$D$14))))</f>
        <v/>
      </c>
      <c r="T453" s="144">
        <f t="shared" si="327"/>
        <v>0</v>
      </c>
      <c r="U453" s="144">
        <f t="shared" si="328"/>
        <v>0</v>
      </c>
      <c r="V453" s="144" t="str">
        <f t="shared" si="329"/>
        <v>Mulai berkembang</v>
      </c>
      <c r="W453" s="144" t="str">
        <f t="shared" si="330"/>
        <v>Mulai berkembang</v>
      </c>
      <c r="X453" s="144" t="e">
        <f t="shared" si="331"/>
        <v>#N/A</v>
      </c>
      <c r="Y453" s="145" t="e">
        <f t="shared" si="332"/>
        <v>#N/A</v>
      </c>
      <c r="Z453" s="218" t="str">
        <f>IF('PA-Non'!O341&lt;&gt;"",'PA-Non'!O341,IFERROR("Mempunyai kemampuan yang " &amp;IF(V453=W453,PROPER(W453)&amp;" dalam kompetensi "&amp;VLOOKUP(X453,$G$532:$I$539,3)&amp;" dan kompetensi "&amp;VLOOKUP(Y453,$G$532:$I$539,3),PROPER(V453)&amp;" dalam kompetensi "&amp;VLOOKUP(X453,$G$532:$I$539,3)&amp;" dan memiliki kemampuan yang "&amp;W453&amp;" pada kompetensi "&amp;VLOOKUP(Y453,$G$532:$I$539,3)),""))</f>
        <v/>
      </c>
      <c r="AA453" s="343"/>
      <c r="AB453" s="344"/>
      <c r="AC453" s="344"/>
      <c r="AD453" s="344"/>
      <c r="AE453" s="344"/>
      <c r="AF453" s="344"/>
      <c r="AG453" s="344"/>
      <c r="AH453" s="345"/>
      <c r="AI453" s="220" t="str">
        <f t="shared" si="333"/>
        <v/>
      </c>
      <c r="AJ453" s="160" t="str">
        <f>IF(AI453="","",IF(AI453&gt;Data2!$C$12,Data2!$D$11,IF(AI453&gt;Data2!$C$13,Data2!$D$12,IF(AI453&gt;Data2!$C$14,Data2!$D$13,Data2!$D$14))))</f>
        <v/>
      </c>
      <c r="AK453" s="146">
        <f t="shared" si="334"/>
        <v>0</v>
      </c>
      <c r="AL453" s="146">
        <f t="shared" si="335"/>
        <v>0</v>
      </c>
      <c r="AM453" s="147" t="str">
        <f t="shared" si="336"/>
        <v>Mulai meningkat</v>
      </c>
      <c r="AN453" s="147" t="str">
        <f t="shared" si="337"/>
        <v>Mulai meningkat</v>
      </c>
      <c r="AO453" s="146" t="e">
        <f t="shared" si="338"/>
        <v>#N/A</v>
      </c>
      <c r="AP453" s="148" t="e">
        <f t="shared" si="339"/>
        <v>#N/A</v>
      </c>
      <c r="AQ453" s="158" t="str">
        <f>IF('PA-Non'!V341&lt;&gt;"",'PA-Non'!V341,IFERROR("Mempunyai keterampilan yang "&amp;IF(AM453=AN453,PROPER(AN453)&amp;" dalam kompetensi "&amp;VLOOKUP(AO453,$AA$532:$AC$539,3)&amp;", demikian juga dalam kompetensi "&amp;VLOOKUP(AP453,$AA$532:$AC$539,3),PROPER(AM453)&amp;" dalam kompetensi "&amp;VLOOKUP(AO453,$AA$532:$AC$539,3)&amp;" dan "&amp;AN453&amp;" pada kompetensi "&amp;VLOOKUP(AP453,$AA$532:$AC$539,3)),""))</f>
        <v/>
      </c>
      <c r="AR453" s="188"/>
    </row>
    <row r="454" spans="2:44" ht="27.9" customHeight="1" thickBot="1" x14ac:dyDescent="0.35">
      <c r="B454" s="384" t="s">
        <v>189</v>
      </c>
      <c r="C454" s="149" t="str">
        <f t="shared" si="324"/>
        <v/>
      </c>
      <c r="D454" s="150" t="str">
        <f>IF(Data!F449="","",Data!F449)</f>
        <v/>
      </c>
      <c r="E454" s="151" t="str">
        <f>IF(Data!H449="","",Data!H449)</f>
        <v/>
      </c>
      <c r="F454" s="152" t="str">
        <f>IF(Data!I449="","",Data!I449)</f>
        <v/>
      </c>
      <c r="G454" s="343"/>
      <c r="H454" s="344"/>
      <c r="I454" s="344"/>
      <c r="J454" s="344"/>
      <c r="K454" s="344"/>
      <c r="L454" s="344"/>
      <c r="M454" s="344"/>
      <c r="N454" s="345"/>
      <c r="O454" s="157" t="str">
        <f t="shared" si="325"/>
        <v/>
      </c>
      <c r="P454" s="344"/>
      <c r="Q454" s="346"/>
      <c r="R454" s="157" t="str">
        <f t="shared" si="326"/>
        <v/>
      </c>
      <c r="S454" s="159" t="str">
        <f>IF(R454="","",IF(R454&gt;Data2!$C$12,Data2!$D$11,IF(R454&gt;Data2!$C$13,Data2!$D$12,IF(R454&gt;Data2!$C$14,Data2!$D$13,Data2!$D$14))))</f>
        <v/>
      </c>
      <c r="T454" s="144">
        <f t="shared" si="327"/>
        <v>0</v>
      </c>
      <c r="U454" s="144">
        <f t="shared" si="328"/>
        <v>0</v>
      </c>
      <c r="V454" s="144" t="str">
        <f t="shared" si="329"/>
        <v>Mulai berkembang</v>
      </c>
      <c r="W454" s="144" t="str">
        <f t="shared" si="330"/>
        <v>Mulai berkembang</v>
      </c>
      <c r="X454" s="144" t="e">
        <f t="shared" si="331"/>
        <v>#N/A</v>
      </c>
      <c r="Y454" s="145" t="e">
        <f t="shared" si="332"/>
        <v>#N/A</v>
      </c>
      <c r="Z454" s="218" t="str">
        <f>IF('PA-Non'!O342&lt;&gt;"",'PA-Non'!O342,IFERROR("Mempunyai kemampuan yang " &amp;IF(V454=W454,PROPER(W454)&amp;" dalam kompetensi "&amp;VLOOKUP(X454,$G$532:$I$539,3)&amp;" dan kompetensi "&amp;VLOOKUP(Y454,$G$532:$I$539,3),PROPER(V454)&amp;" dalam kompetensi "&amp;VLOOKUP(X454,$G$532:$I$539,3)&amp;" dan memiliki kemampuan yang "&amp;W454&amp;" pada kompetensi "&amp;VLOOKUP(Y454,$G$532:$I$539,3)),""))</f>
        <v/>
      </c>
      <c r="AA454" s="343"/>
      <c r="AB454" s="344"/>
      <c r="AC454" s="344"/>
      <c r="AD454" s="344"/>
      <c r="AE454" s="344"/>
      <c r="AF454" s="344"/>
      <c r="AG454" s="344"/>
      <c r="AH454" s="345"/>
      <c r="AI454" s="220" t="str">
        <f t="shared" si="333"/>
        <v/>
      </c>
      <c r="AJ454" s="160" t="str">
        <f>IF(AI454="","",IF(AI454&gt;Data2!$C$12,Data2!$D$11,IF(AI454&gt;Data2!$C$13,Data2!$D$12,IF(AI454&gt;Data2!$C$14,Data2!$D$13,Data2!$D$14))))</f>
        <v/>
      </c>
      <c r="AK454" s="146">
        <f t="shared" si="334"/>
        <v>0</v>
      </c>
      <c r="AL454" s="146">
        <f t="shared" si="335"/>
        <v>0</v>
      </c>
      <c r="AM454" s="147" t="str">
        <f t="shared" si="336"/>
        <v>Mulai meningkat</v>
      </c>
      <c r="AN454" s="147" t="str">
        <f t="shared" si="337"/>
        <v>Mulai meningkat</v>
      </c>
      <c r="AO454" s="146" t="e">
        <f t="shared" si="338"/>
        <v>#N/A</v>
      </c>
      <c r="AP454" s="148" t="e">
        <f t="shared" si="339"/>
        <v>#N/A</v>
      </c>
      <c r="AQ454" s="158" t="str">
        <f>IF('PA-Non'!V342&lt;&gt;"",'PA-Non'!V342,IFERROR("Mempunyai keterampilan yang "&amp;IF(AM454=AN454,PROPER(AN454)&amp;" dalam kompetensi "&amp;VLOOKUP(AO454,$AA$532:$AC$539,3)&amp;", demikian juga dalam kompetensi "&amp;VLOOKUP(AP454,$AA$532:$AC$539,3),PROPER(AM454)&amp;" dalam kompetensi "&amp;VLOOKUP(AO454,$AA$532:$AC$539,3)&amp;" dan "&amp;AN454&amp;" pada kompetensi "&amp;VLOOKUP(AP454,$AA$532:$AC$539,3)),""))</f>
        <v/>
      </c>
      <c r="AR454" s="188"/>
    </row>
    <row r="455" spans="2:44" ht="27.9" customHeight="1" thickBot="1" x14ac:dyDescent="0.35">
      <c r="B455" s="384" t="s">
        <v>189</v>
      </c>
      <c r="C455" s="149" t="str">
        <f t="shared" si="324"/>
        <v/>
      </c>
      <c r="D455" s="150" t="str">
        <f>IF(Data!F450="","",Data!F450)</f>
        <v/>
      </c>
      <c r="E455" s="151" t="str">
        <f>IF(Data!H450="","",Data!H450)</f>
        <v/>
      </c>
      <c r="F455" s="152" t="str">
        <f>IF(Data!I450="","",Data!I450)</f>
        <v/>
      </c>
      <c r="G455" s="343"/>
      <c r="H455" s="344"/>
      <c r="I455" s="344"/>
      <c r="J455" s="344"/>
      <c r="K455" s="344"/>
      <c r="L455" s="344"/>
      <c r="M455" s="344"/>
      <c r="N455" s="345"/>
      <c r="O455" s="157" t="str">
        <f t="shared" si="325"/>
        <v/>
      </c>
      <c r="P455" s="344"/>
      <c r="Q455" s="346"/>
      <c r="R455" s="157" t="str">
        <f t="shared" si="326"/>
        <v/>
      </c>
      <c r="S455" s="159" t="str">
        <f>IF(R455="","",IF(R455&gt;Data2!$C$12,Data2!$D$11,IF(R455&gt;Data2!$C$13,Data2!$D$12,IF(R455&gt;Data2!$C$14,Data2!$D$13,Data2!$D$14))))</f>
        <v/>
      </c>
      <c r="T455" s="144">
        <f t="shared" si="327"/>
        <v>0</v>
      </c>
      <c r="U455" s="144">
        <f t="shared" si="328"/>
        <v>0</v>
      </c>
      <c r="V455" s="144" t="str">
        <f t="shared" si="329"/>
        <v>Mulai berkembang</v>
      </c>
      <c r="W455" s="144" t="str">
        <f t="shared" si="330"/>
        <v>Mulai berkembang</v>
      </c>
      <c r="X455" s="144" t="e">
        <f t="shared" si="331"/>
        <v>#N/A</v>
      </c>
      <c r="Y455" s="145" t="e">
        <f t="shared" si="332"/>
        <v>#N/A</v>
      </c>
      <c r="Z455" s="218" t="str">
        <f>IF('PA-Non'!O343&lt;&gt;"",'PA-Non'!O343,IFERROR("Mempunyai kemampuan yang " &amp;IF(V455=W455,PROPER(W455)&amp;" dalam kompetensi "&amp;VLOOKUP(X455,$G$532:$I$539,3)&amp;" dan kompetensi "&amp;VLOOKUP(Y455,$G$532:$I$539,3),PROPER(V455)&amp;" dalam kompetensi "&amp;VLOOKUP(X455,$G$532:$I$539,3)&amp;" dan memiliki kemampuan yang "&amp;W455&amp;" pada kompetensi "&amp;VLOOKUP(Y455,$G$532:$I$539,3)),""))</f>
        <v/>
      </c>
      <c r="AA455" s="343"/>
      <c r="AB455" s="344"/>
      <c r="AC455" s="344"/>
      <c r="AD455" s="344"/>
      <c r="AE455" s="344"/>
      <c r="AF455" s="344"/>
      <c r="AG455" s="344"/>
      <c r="AH455" s="345"/>
      <c r="AI455" s="220" t="str">
        <f t="shared" si="333"/>
        <v/>
      </c>
      <c r="AJ455" s="160" t="str">
        <f>IF(AI455="","",IF(AI455&gt;Data2!$C$12,Data2!$D$11,IF(AI455&gt;Data2!$C$13,Data2!$D$12,IF(AI455&gt;Data2!$C$14,Data2!$D$13,Data2!$D$14))))</f>
        <v/>
      </c>
      <c r="AK455" s="146">
        <f t="shared" si="334"/>
        <v>0</v>
      </c>
      <c r="AL455" s="146">
        <f t="shared" si="335"/>
        <v>0</v>
      </c>
      <c r="AM455" s="147" t="str">
        <f t="shared" si="336"/>
        <v>Mulai meningkat</v>
      </c>
      <c r="AN455" s="147" t="str">
        <f t="shared" si="337"/>
        <v>Mulai meningkat</v>
      </c>
      <c r="AO455" s="146" t="e">
        <f t="shared" si="338"/>
        <v>#N/A</v>
      </c>
      <c r="AP455" s="148" t="e">
        <f t="shared" si="339"/>
        <v>#N/A</v>
      </c>
      <c r="AQ455" s="158" t="str">
        <f>IF('PA-Non'!V343&lt;&gt;"",'PA-Non'!V343,IFERROR("Mempunyai keterampilan yang "&amp;IF(AM455=AN455,PROPER(AN455)&amp;" dalam kompetensi "&amp;VLOOKUP(AO455,$AA$532:$AC$539,3)&amp;", demikian juga dalam kompetensi "&amp;VLOOKUP(AP455,$AA$532:$AC$539,3),PROPER(AM455)&amp;" dalam kompetensi "&amp;VLOOKUP(AO455,$AA$532:$AC$539,3)&amp;" dan "&amp;AN455&amp;" pada kompetensi "&amp;VLOOKUP(AP455,$AA$532:$AC$539,3)),""))</f>
        <v/>
      </c>
      <c r="AR455" s="188"/>
    </row>
    <row r="456" spans="2:44" ht="27.9" customHeight="1" thickBot="1" x14ac:dyDescent="0.35">
      <c r="B456" s="384" t="s">
        <v>189</v>
      </c>
      <c r="C456" s="149" t="str">
        <f t="shared" si="324"/>
        <v/>
      </c>
      <c r="D456" s="150" t="str">
        <f>IF(Data!F451="","",Data!F451)</f>
        <v/>
      </c>
      <c r="E456" s="151" t="str">
        <f>IF(Data!H451="","",Data!H451)</f>
        <v/>
      </c>
      <c r="F456" s="152" t="str">
        <f>IF(Data!I451="","",Data!I451)</f>
        <v/>
      </c>
      <c r="G456" s="343"/>
      <c r="H456" s="344"/>
      <c r="I456" s="344"/>
      <c r="J456" s="344"/>
      <c r="K456" s="344"/>
      <c r="L456" s="344"/>
      <c r="M456" s="344"/>
      <c r="N456" s="345"/>
      <c r="O456" s="157" t="str">
        <f t="shared" si="325"/>
        <v/>
      </c>
      <c r="P456" s="344"/>
      <c r="Q456" s="346"/>
      <c r="R456" s="157" t="str">
        <f t="shared" si="326"/>
        <v/>
      </c>
      <c r="S456" s="159" t="str">
        <f>IF(R456="","",IF(R456&gt;Data2!$C$12,Data2!$D$11,IF(R456&gt;Data2!$C$13,Data2!$D$12,IF(R456&gt;Data2!$C$14,Data2!$D$13,Data2!$D$14))))</f>
        <v/>
      </c>
      <c r="T456" s="144">
        <f t="shared" si="327"/>
        <v>0</v>
      </c>
      <c r="U456" s="144">
        <f t="shared" si="328"/>
        <v>0</v>
      </c>
      <c r="V456" s="144" t="str">
        <f t="shared" si="329"/>
        <v>Mulai berkembang</v>
      </c>
      <c r="W456" s="144" t="str">
        <f t="shared" si="330"/>
        <v>Mulai berkembang</v>
      </c>
      <c r="X456" s="144" t="e">
        <f t="shared" si="331"/>
        <v>#N/A</v>
      </c>
      <c r="Y456" s="145" t="e">
        <f t="shared" si="332"/>
        <v>#N/A</v>
      </c>
      <c r="Z456" s="218" t="str">
        <f>IF('PA-Non'!O344&lt;&gt;"",'PA-Non'!O344,IFERROR("Mempunyai kemampuan yang " &amp;IF(V456=W456,PROPER(W456)&amp;" dalam kompetensi "&amp;VLOOKUP(X456,$G$532:$I$539,3)&amp;" dan kompetensi "&amp;VLOOKUP(Y456,$G$532:$I$539,3),PROPER(V456)&amp;" dalam kompetensi "&amp;VLOOKUP(X456,$G$532:$I$539,3)&amp;" dan memiliki kemampuan yang "&amp;W456&amp;" pada kompetensi "&amp;VLOOKUP(Y456,$G$532:$I$539,3)),""))</f>
        <v/>
      </c>
      <c r="AA456" s="343"/>
      <c r="AB456" s="344"/>
      <c r="AC456" s="344"/>
      <c r="AD456" s="344"/>
      <c r="AE456" s="344"/>
      <c r="AF456" s="344"/>
      <c r="AG456" s="344"/>
      <c r="AH456" s="345"/>
      <c r="AI456" s="220" t="str">
        <f t="shared" si="333"/>
        <v/>
      </c>
      <c r="AJ456" s="160" t="str">
        <f>IF(AI456="","",IF(AI456&gt;Data2!$C$12,Data2!$D$11,IF(AI456&gt;Data2!$C$13,Data2!$D$12,IF(AI456&gt;Data2!$C$14,Data2!$D$13,Data2!$D$14))))</f>
        <v/>
      </c>
      <c r="AK456" s="146">
        <f t="shared" si="334"/>
        <v>0</v>
      </c>
      <c r="AL456" s="146">
        <f t="shared" si="335"/>
        <v>0</v>
      </c>
      <c r="AM456" s="147" t="str">
        <f t="shared" si="336"/>
        <v>Mulai meningkat</v>
      </c>
      <c r="AN456" s="147" t="str">
        <f t="shared" si="337"/>
        <v>Mulai meningkat</v>
      </c>
      <c r="AO456" s="146" t="e">
        <f t="shared" si="338"/>
        <v>#N/A</v>
      </c>
      <c r="AP456" s="148" t="e">
        <f t="shared" si="339"/>
        <v>#N/A</v>
      </c>
      <c r="AQ456" s="158" t="str">
        <f>IF('PA-Non'!V344&lt;&gt;"",'PA-Non'!V344,IFERROR("Mempunyai keterampilan yang "&amp;IF(AM456=AN456,PROPER(AN456)&amp;" dalam kompetensi "&amp;VLOOKUP(AO456,$AA$532:$AC$539,3)&amp;", demikian juga dalam kompetensi "&amp;VLOOKUP(AP456,$AA$532:$AC$539,3),PROPER(AM456)&amp;" dalam kompetensi "&amp;VLOOKUP(AO456,$AA$532:$AC$539,3)&amp;" dan "&amp;AN456&amp;" pada kompetensi "&amp;VLOOKUP(AP456,$AA$532:$AC$539,3)),""))</f>
        <v/>
      </c>
      <c r="AR456" s="188"/>
    </row>
    <row r="457" spans="2:44" ht="27.9" customHeight="1" thickBot="1" x14ac:dyDescent="0.35">
      <c r="B457" s="384" t="s">
        <v>189</v>
      </c>
      <c r="C457" s="149" t="str">
        <f t="shared" si="324"/>
        <v/>
      </c>
      <c r="D457" s="150" t="str">
        <f>IF(Data!F452="","",Data!F452)</f>
        <v/>
      </c>
      <c r="E457" s="151" t="str">
        <f>IF(Data!H452="","",Data!H452)</f>
        <v/>
      </c>
      <c r="F457" s="152" t="str">
        <f>IF(Data!I452="","",Data!I452)</f>
        <v/>
      </c>
      <c r="G457" s="343"/>
      <c r="H457" s="344"/>
      <c r="I457" s="344"/>
      <c r="J457" s="344"/>
      <c r="K457" s="344"/>
      <c r="L457" s="344"/>
      <c r="M457" s="344"/>
      <c r="N457" s="345"/>
      <c r="O457" s="157" t="str">
        <f t="shared" si="325"/>
        <v/>
      </c>
      <c r="P457" s="344"/>
      <c r="Q457" s="346"/>
      <c r="R457" s="157" t="str">
        <f t="shared" si="326"/>
        <v/>
      </c>
      <c r="S457" s="159" t="str">
        <f>IF(R457="","",IF(R457&gt;Data2!$C$12,Data2!$D$11,IF(R457&gt;Data2!$C$13,Data2!$D$12,IF(R457&gt;Data2!$C$14,Data2!$D$13,Data2!$D$14))))</f>
        <v/>
      </c>
      <c r="T457" s="144">
        <f t="shared" si="327"/>
        <v>0</v>
      </c>
      <c r="U457" s="144">
        <f t="shared" si="328"/>
        <v>0</v>
      </c>
      <c r="V457" s="144" t="str">
        <f t="shared" si="329"/>
        <v>Mulai berkembang</v>
      </c>
      <c r="W457" s="144" t="str">
        <f t="shared" si="330"/>
        <v>Mulai berkembang</v>
      </c>
      <c r="X457" s="144" t="e">
        <f t="shared" si="331"/>
        <v>#N/A</v>
      </c>
      <c r="Y457" s="145" t="e">
        <f t="shared" si="332"/>
        <v>#N/A</v>
      </c>
      <c r="Z457" s="218" t="str">
        <f>IF('PA-Non'!O345&lt;&gt;"",'PA-Non'!O345,IFERROR("Mempunyai kemampuan yang " &amp;IF(V457=W457,PROPER(W457)&amp;" dalam kompetensi "&amp;VLOOKUP(X457,$G$532:$I$539,3)&amp;" dan kompetensi "&amp;VLOOKUP(Y457,$G$532:$I$539,3),PROPER(V457)&amp;" dalam kompetensi "&amp;VLOOKUP(X457,$G$532:$I$539,3)&amp;" dan memiliki kemampuan yang "&amp;W457&amp;" pada kompetensi "&amp;VLOOKUP(Y457,$G$532:$I$539,3)),""))</f>
        <v/>
      </c>
      <c r="AA457" s="343"/>
      <c r="AB457" s="344"/>
      <c r="AC457" s="344"/>
      <c r="AD457" s="344"/>
      <c r="AE457" s="344"/>
      <c r="AF457" s="344"/>
      <c r="AG457" s="344"/>
      <c r="AH457" s="345"/>
      <c r="AI457" s="220" t="str">
        <f t="shared" si="333"/>
        <v/>
      </c>
      <c r="AJ457" s="160" t="str">
        <f>IF(AI457="","",IF(AI457&gt;Data2!$C$12,Data2!$D$11,IF(AI457&gt;Data2!$C$13,Data2!$D$12,IF(AI457&gt;Data2!$C$14,Data2!$D$13,Data2!$D$14))))</f>
        <v/>
      </c>
      <c r="AK457" s="146">
        <f t="shared" si="334"/>
        <v>0</v>
      </c>
      <c r="AL457" s="146">
        <f t="shared" si="335"/>
        <v>0</v>
      </c>
      <c r="AM457" s="147" t="str">
        <f t="shared" si="336"/>
        <v>Mulai meningkat</v>
      </c>
      <c r="AN457" s="147" t="str">
        <f t="shared" si="337"/>
        <v>Mulai meningkat</v>
      </c>
      <c r="AO457" s="146" t="e">
        <f t="shared" si="338"/>
        <v>#N/A</v>
      </c>
      <c r="AP457" s="148" t="e">
        <f t="shared" si="339"/>
        <v>#N/A</v>
      </c>
      <c r="AQ457" s="158" t="str">
        <f>IF('PA-Non'!V345&lt;&gt;"",'PA-Non'!V345,IFERROR("Mempunyai keterampilan yang "&amp;IF(AM457=AN457,PROPER(AN457)&amp;" dalam kompetensi "&amp;VLOOKUP(AO457,$AA$532:$AC$539,3)&amp;", demikian juga dalam kompetensi "&amp;VLOOKUP(AP457,$AA$532:$AC$539,3),PROPER(AM457)&amp;" dalam kompetensi "&amp;VLOOKUP(AO457,$AA$532:$AC$539,3)&amp;" dan "&amp;AN457&amp;" pada kompetensi "&amp;VLOOKUP(AP457,$AA$532:$AC$539,3)),""))</f>
        <v/>
      </c>
      <c r="AR457" s="188"/>
    </row>
    <row r="458" spans="2:44" ht="27.9" customHeight="1" thickBot="1" x14ac:dyDescent="0.35">
      <c r="B458" s="384" t="s">
        <v>189</v>
      </c>
      <c r="C458" s="149" t="str">
        <f t="shared" si="324"/>
        <v/>
      </c>
      <c r="D458" s="150" t="str">
        <f>IF(Data!F453="","",Data!F453)</f>
        <v/>
      </c>
      <c r="E458" s="151" t="str">
        <f>IF(Data!H453="","",Data!H453)</f>
        <v/>
      </c>
      <c r="F458" s="152" t="str">
        <f>IF(Data!I453="","",Data!I453)</f>
        <v/>
      </c>
      <c r="G458" s="343"/>
      <c r="H458" s="344"/>
      <c r="I458" s="344"/>
      <c r="J458" s="344"/>
      <c r="K458" s="344"/>
      <c r="L458" s="344"/>
      <c r="M458" s="344"/>
      <c r="N458" s="345"/>
      <c r="O458" s="157" t="str">
        <f t="shared" si="325"/>
        <v/>
      </c>
      <c r="P458" s="344"/>
      <c r="Q458" s="346"/>
      <c r="R458" s="157" t="str">
        <f t="shared" si="326"/>
        <v/>
      </c>
      <c r="S458" s="159" t="str">
        <f>IF(R458="","",IF(R458&gt;Data2!$C$12,Data2!$D$11,IF(R458&gt;Data2!$C$13,Data2!$D$12,IF(R458&gt;Data2!$C$14,Data2!$D$13,Data2!$D$14))))</f>
        <v/>
      </c>
      <c r="T458" s="144">
        <f t="shared" si="327"/>
        <v>0</v>
      </c>
      <c r="U458" s="144">
        <f t="shared" si="328"/>
        <v>0</v>
      </c>
      <c r="V458" s="144" t="str">
        <f t="shared" si="329"/>
        <v>Mulai berkembang</v>
      </c>
      <c r="W458" s="144" t="str">
        <f t="shared" si="330"/>
        <v>Mulai berkembang</v>
      </c>
      <c r="X458" s="144" t="e">
        <f t="shared" si="331"/>
        <v>#N/A</v>
      </c>
      <c r="Y458" s="145" t="e">
        <f t="shared" si="332"/>
        <v>#N/A</v>
      </c>
      <c r="Z458" s="218" t="str">
        <f>IF('PA-Non'!O346&lt;&gt;"",'PA-Non'!O346,IFERROR("Mempunyai kemampuan yang " &amp;IF(V458=W458,PROPER(W458)&amp;" dalam kompetensi "&amp;VLOOKUP(X458,$G$532:$I$539,3)&amp;" dan kompetensi "&amp;VLOOKUP(Y458,$G$532:$I$539,3),PROPER(V458)&amp;" dalam kompetensi "&amp;VLOOKUP(X458,$G$532:$I$539,3)&amp;" dan memiliki kemampuan yang "&amp;W458&amp;" pada kompetensi "&amp;VLOOKUP(Y458,$G$532:$I$539,3)),""))</f>
        <v/>
      </c>
      <c r="AA458" s="343"/>
      <c r="AB458" s="344"/>
      <c r="AC458" s="344"/>
      <c r="AD458" s="344"/>
      <c r="AE458" s="344"/>
      <c r="AF458" s="344"/>
      <c r="AG458" s="344"/>
      <c r="AH458" s="345"/>
      <c r="AI458" s="220" t="str">
        <f t="shared" si="333"/>
        <v/>
      </c>
      <c r="AJ458" s="160" t="str">
        <f>IF(AI458="","",IF(AI458&gt;Data2!$C$12,Data2!$D$11,IF(AI458&gt;Data2!$C$13,Data2!$D$12,IF(AI458&gt;Data2!$C$14,Data2!$D$13,Data2!$D$14))))</f>
        <v/>
      </c>
      <c r="AK458" s="146">
        <f t="shared" si="334"/>
        <v>0</v>
      </c>
      <c r="AL458" s="146">
        <f t="shared" si="335"/>
        <v>0</v>
      </c>
      <c r="AM458" s="147" t="str">
        <f t="shared" si="336"/>
        <v>Mulai meningkat</v>
      </c>
      <c r="AN458" s="147" t="str">
        <f t="shared" si="337"/>
        <v>Mulai meningkat</v>
      </c>
      <c r="AO458" s="146" t="e">
        <f t="shared" si="338"/>
        <v>#N/A</v>
      </c>
      <c r="AP458" s="148" t="e">
        <f t="shared" si="339"/>
        <v>#N/A</v>
      </c>
      <c r="AQ458" s="158" t="str">
        <f>IF('PA-Non'!V346&lt;&gt;"",'PA-Non'!V346,IFERROR("Mempunyai keterampilan yang "&amp;IF(AM458=AN458,PROPER(AN458)&amp;" dalam kompetensi "&amp;VLOOKUP(AO458,$AA$532:$AC$539,3)&amp;", demikian juga dalam kompetensi "&amp;VLOOKUP(AP458,$AA$532:$AC$539,3),PROPER(AM458)&amp;" dalam kompetensi "&amp;VLOOKUP(AO458,$AA$532:$AC$539,3)&amp;" dan "&amp;AN458&amp;" pada kompetensi "&amp;VLOOKUP(AP458,$AA$532:$AC$539,3)),""))</f>
        <v/>
      </c>
      <c r="AR458" s="188"/>
    </row>
    <row r="459" spans="2:44" ht="27.9" customHeight="1" thickBot="1" x14ac:dyDescent="0.35">
      <c r="B459" s="384" t="s">
        <v>189</v>
      </c>
      <c r="C459" s="149" t="str">
        <f t="shared" si="324"/>
        <v/>
      </c>
      <c r="D459" s="150" t="str">
        <f>IF(Data!F454="","",Data!F454)</f>
        <v/>
      </c>
      <c r="E459" s="151" t="str">
        <f>IF(Data!H454="","",Data!H454)</f>
        <v/>
      </c>
      <c r="F459" s="152" t="str">
        <f>IF(Data!I454="","",Data!I454)</f>
        <v/>
      </c>
      <c r="G459" s="343"/>
      <c r="H459" s="344"/>
      <c r="I459" s="344"/>
      <c r="J459" s="344"/>
      <c r="K459" s="344"/>
      <c r="L459" s="344"/>
      <c r="M459" s="344"/>
      <c r="N459" s="345"/>
      <c r="O459" s="157" t="str">
        <f t="shared" si="325"/>
        <v/>
      </c>
      <c r="P459" s="344"/>
      <c r="Q459" s="346"/>
      <c r="R459" s="157" t="str">
        <f t="shared" si="326"/>
        <v/>
      </c>
      <c r="S459" s="159" t="str">
        <f>IF(R459="","",IF(R459&gt;Data2!$C$12,Data2!$D$11,IF(R459&gt;Data2!$C$13,Data2!$D$12,IF(R459&gt;Data2!$C$14,Data2!$D$13,Data2!$D$14))))</f>
        <v/>
      </c>
      <c r="T459" s="144">
        <f t="shared" si="327"/>
        <v>0</v>
      </c>
      <c r="U459" s="144">
        <f t="shared" si="328"/>
        <v>0</v>
      </c>
      <c r="V459" s="144" t="str">
        <f t="shared" si="329"/>
        <v>Mulai berkembang</v>
      </c>
      <c r="W459" s="144" t="str">
        <f t="shared" si="330"/>
        <v>Mulai berkembang</v>
      </c>
      <c r="X459" s="144" t="e">
        <f t="shared" si="331"/>
        <v>#N/A</v>
      </c>
      <c r="Y459" s="145" t="e">
        <f t="shared" si="332"/>
        <v>#N/A</v>
      </c>
      <c r="Z459" s="218" t="str">
        <f>IF('PA-Non'!O347&lt;&gt;"",'PA-Non'!O347,IFERROR("Mempunyai kemampuan yang " &amp;IF(V459=W459,PROPER(W459)&amp;" dalam kompetensi "&amp;VLOOKUP(X459,$G$532:$I$539,3)&amp;" dan kompetensi "&amp;VLOOKUP(Y459,$G$532:$I$539,3),PROPER(V459)&amp;" dalam kompetensi "&amp;VLOOKUP(X459,$G$532:$I$539,3)&amp;" dan memiliki kemampuan yang "&amp;W459&amp;" pada kompetensi "&amp;VLOOKUP(Y459,$G$532:$I$539,3)),""))</f>
        <v/>
      </c>
      <c r="AA459" s="343"/>
      <c r="AB459" s="344"/>
      <c r="AC459" s="344"/>
      <c r="AD459" s="344"/>
      <c r="AE459" s="344"/>
      <c r="AF459" s="344"/>
      <c r="AG459" s="344"/>
      <c r="AH459" s="345"/>
      <c r="AI459" s="220" t="str">
        <f t="shared" si="333"/>
        <v/>
      </c>
      <c r="AJ459" s="160" t="str">
        <f>IF(AI459="","",IF(AI459&gt;Data2!$C$12,Data2!$D$11,IF(AI459&gt;Data2!$C$13,Data2!$D$12,IF(AI459&gt;Data2!$C$14,Data2!$D$13,Data2!$D$14))))</f>
        <v/>
      </c>
      <c r="AK459" s="146">
        <f t="shared" si="334"/>
        <v>0</v>
      </c>
      <c r="AL459" s="146">
        <f t="shared" si="335"/>
        <v>0</v>
      </c>
      <c r="AM459" s="147" t="str">
        <f t="shared" si="336"/>
        <v>Mulai meningkat</v>
      </c>
      <c r="AN459" s="147" t="str">
        <f t="shared" si="337"/>
        <v>Mulai meningkat</v>
      </c>
      <c r="AO459" s="146" t="e">
        <f t="shared" si="338"/>
        <v>#N/A</v>
      </c>
      <c r="AP459" s="148" t="e">
        <f t="shared" si="339"/>
        <v>#N/A</v>
      </c>
      <c r="AQ459" s="158" t="str">
        <f>IF('PA-Non'!V347&lt;&gt;"",'PA-Non'!V347,IFERROR("Mempunyai keterampilan yang "&amp;IF(AM459=AN459,PROPER(AN459)&amp;" dalam kompetensi "&amp;VLOOKUP(AO459,$AA$532:$AC$539,3)&amp;", demikian juga dalam kompetensi "&amp;VLOOKUP(AP459,$AA$532:$AC$539,3),PROPER(AM459)&amp;" dalam kompetensi "&amp;VLOOKUP(AO459,$AA$532:$AC$539,3)&amp;" dan "&amp;AN459&amp;" pada kompetensi "&amp;VLOOKUP(AP459,$AA$532:$AC$539,3)),""))</f>
        <v/>
      </c>
      <c r="AR459" s="188"/>
    </row>
    <row r="460" spans="2:44" ht="27.9" customHeight="1" thickBot="1" x14ac:dyDescent="0.35">
      <c r="B460" s="384" t="s">
        <v>189</v>
      </c>
      <c r="C460" s="149" t="str">
        <f t="shared" si="324"/>
        <v/>
      </c>
      <c r="D460" s="150" t="str">
        <f>IF(Data!F455="","",Data!F455)</f>
        <v/>
      </c>
      <c r="E460" s="151" t="str">
        <f>IF(Data!H455="","",Data!H455)</f>
        <v/>
      </c>
      <c r="F460" s="152" t="str">
        <f>IF(Data!I455="","",Data!I455)</f>
        <v/>
      </c>
      <c r="G460" s="343"/>
      <c r="H460" s="344"/>
      <c r="I460" s="344"/>
      <c r="J460" s="344"/>
      <c r="K460" s="344"/>
      <c r="L460" s="344"/>
      <c r="M460" s="344"/>
      <c r="N460" s="345"/>
      <c r="O460" s="157" t="str">
        <f t="shared" si="325"/>
        <v/>
      </c>
      <c r="P460" s="344"/>
      <c r="Q460" s="346"/>
      <c r="R460" s="157" t="str">
        <f t="shared" si="326"/>
        <v/>
      </c>
      <c r="S460" s="159" t="str">
        <f>IF(R460="","",IF(R460&gt;Data2!$C$12,Data2!$D$11,IF(R460&gt;Data2!$C$13,Data2!$D$12,IF(R460&gt;Data2!$C$14,Data2!$D$13,Data2!$D$14))))</f>
        <v/>
      </c>
      <c r="T460" s="144">
        <f t="shared" si="327"/>
        <v>0</v>
      </c>
      <c r="U460" s="144">
        <f t="shared" si="328"/>
        <v>0</v>
      </c>
      <c r="V460" s="144" t="str">
        <f t="shared" si="329"/>
        <v>Mulai berkembang</v>
      </c>
      <c r="W460" s="144" t="str">
        <f t="shared" si="330"/>
        <v>Mulai berkembang</v>
      </c>
      <c r="X460" s="144" t="e">
        <f t="shared" si="331"/>
        <v>#N/A</v>
      </c>
      <c r="Y460" s="145" t="e">
        <f t="shared" si="332"/>
        <v>#N/A</v>
      </c>
      <c r="Z460" s="218" t="str">
        <f>IF('PA-Non'!O348&lt;&gt;"",'PA-Non'!O348,IFERROR("Mempunyai kemampuan yang " &amp;IF(V460=W460,PROPER(W460)&amp;" dalam kompetensi "&amp;VLOOKUP(X460,$G$532:$I$539,3)&amp;" dan kompetensi "&amp;VLOOKUP(Y460,$G$532:$I$539,3),PROPER(V460)&amp;" dalam kompetensi "&amp;VLOOKUP(X460,$G$532:$I$539,3)&amp;" dan memiliki kemampuan yang "&amp;W460&amp;" pada kompetensi "&amp;VLOOKUP(Y460,$G$532:$I$539,3)),""))</f>
        <v/>
      </c>
      <c r="AA460" s="343"/>
      <c r="AB460" s="344"/>
      <c r="AC460" s="344"/>
      <c r="AD460" s="344"/>
      <c r="AE460" s="344"/>
      <c r="AF460" s="344"/>
      <c r="AG460" s="344"/>
      <c r="AH460" s="345"/>
      <c r="AI460" s="220" t="str">
        <f t="shared" si="333"/>
        <v/>
      </c>
      <c r="AJ460" s="160" t="str">
        <f>IF(AI460="","",IF(AI460&gt;Data2!$C$12,Data2!$D$11,IF(AI460&gt;Data2!$C$13,Data2!$D$12,IF(AI460&gt;Data2!$C$14,Data2!$D$13,Data2!$D$14))))</f>
        <v/>
      </c>
      <c r="AK460" s="146">
        <f t="shared" si="334"/>
        <v>0</v>
      </c>
      <c r="AL460" s="146">
        <f t="shared" si="335"/>
        <v>0</v>
      </c>
      <c r="AM460" s="147" t="str">
        <f t="shared" si="336"/>
        <v>Mulai meningkat</v>
      </c>
      <c r="AN460" s="147" t="str">
        <f t="shared" si="337"/>
        <v>Mulai meningkat</v>
      </c>
      <c r="AO460" s="146" t="e">
        <f t="shared" si="338"/>
        <v>#N/A</v>
      </c>
      <c r="AP460" s="148" t="e">
        <f t="shared" si="339"/>
        <v>#N/A</v>
      </c>
      <c r="AQ460" s="158" t="str">
        <f>IF('PA-Non'!V348&lt;&gt;"",'PA-Non'!V348,IFERROR("Mempunyai keterampilan yang "&amp;IF(AM460=AN460,PROPER(AN460)&amp;" dalam kompetensi "&amp;VLOOKUP(AO460,$AA$532:$AC$539,3)&amp;", demikian juga dalam kompetensi "&amp;VLOOKUP(AP460,$AA$532:$AC$539,3),PROPER(AM460)&amp;" dalam kompetensi "&amp;VLOOKUP(AO460,$AA$532:$AC$539,3)&amp;" dan "&amp;AN460&amp;" pada kompetensi "&amp;VLOOKUP(AP460,$AA$532:$AC$539,3)),""))</f>
        <v/>
      </c>
      <c r="AR460" s="188"/>
    </row>
    <row r="461" spans="2:44" ht="27.9" customHeight="1" thickBot="1" x14ac:dyDescent="0.35">
      <c r="B461" s="384" t="s">
        <v>189</v>
      </c>
      <c r="C461" s="149" t="str">
        <f t="shared" si="324"/>
        <v/>
      </c>
      <c r="D461" s="150" t="str">
        <f>IF(Data!F456="","",Data!F456)</f>
        <v/>
      </c>
      <c r="E461" s="151" t="str">
        <f>IF(Data!H456="","",Data!H456)</f>
        <v/>
      </c>
      <c r="F461" s="152" t="str">
        <f>IF(Data!I456="","",Data!I456)</f>
        <v/>
      </c>
      <c r="G461" s="343"/>
      <c r="H461" s="344"/>
      <c r="I461" s="344"/>
      <c r="J461" s="344"/>
      <c r="K461" s="344"/>
      <c r="L461" s="344"/>
      <c r="M461" s="344"/>
      <c r="N461" s="345"/>
      <c r="O461" s="157" t="str">
        <f t="shared" si="325"/>
        <v/>
      </c>
      <c r="P461" s="344"/>
      <c r="Q461" s="346"/>
      <c r="R461" s="157" t="str">
        <f t="shared" si="326"/>
        <v/>
      </c>
      <c r="S461" s="159" t="str">
        <f>IF(R461="","",IF(R461&gt;Data2!$C$12,Data2!$D$11,IF(R461&gt;Data2!$C$13,Data2!$D$12,IF(R461&gt;Data2!$C$14,Data2!$D$13,Data2!$D$14))))</f>
        <v/>
      </c>
      <c r="T461" s="144">
        <f t="shared" si="327"/>
        <v>0</v>
      </c>
      <c r="U461" s="144">
        <f t="shared" si="328"/>
        <v>0</v>
      </c>
      <c r="V461" s="144" t="str">
        <f t="shared" si="329"/>
        <v>Mulai berkembang</v>
      </c>
      <c r="W461" s="144" t="str">
        <f t="shared" si="330"/>
        <v>Mulai berkembang</v>
      </c>
      <c r="X461" s="144" t="e">
        <f t="shared" si="331"/>
        <v>#N/A</v>
      </c>
      <c r="Y461" s="145" t="e">
        <f t="shared" si="332"/>
        <v>#N/A</v>
      </c>
      <c r="Z461" s="218" t="str">
        <f>IF('PA-Non'!O349&lt;&gt;"",'PA-Non'!O349,IFERROR("Mempunyai kemampuan yang " &amp;IF(V461=W461,PROPER(W461)&amp;" dalam kompetensi "&amp;VLOOKUP(X461,$G$532:$I$539,3)&amp;" dan kompetensi "&amp;VLOOKUP(Y461,$G$532:$I$539,3),PROPER(V461)&amp;" dalam kompetensi "&amp;VLOOKUP(X461,$G$532:$I$539,3)&amp;" dan memiliki kemampuan yang "&amp;W461&amp;" pada kompetensi "&amp;VLOOKUP(Y461,$G$532:$I$539,3)),""))</f>
        <v/>
      </c>
      <c r="AA461" s="343"/>
      <c r="AB461" s="344"/>
      <c r="AC461" s="344"/>
      <c r="AD461" s="344"/>
      <c r="AE461" s="344"/>
      <c r="AF461" s="344"/>
      <c r="AG461" s="344"/>
      <c r="AH461" s="345"/>
      <c r="AI461" s="220" t="str">
        <f t="shared" si="333"/>
        <v/>
      </c>
      <c r="AJ461" s="160" t="str">
        <f>IF(AI461="","",IF(AI461&gt;Data2!$C$12,Data2!$D$11,IF(AI461&gt;Data2!$C$13,Data2!$D$12,IF(AI461&gt;Data2!$C$14,Data2!$D$13,Data2!$D$14))))</f>
        <v/>
      </c>
      <c r="AK461" s="146">
        <f t="shared" si="334"/>
        <v>0</v>
      </c>
      <c r="AL461" s="146">
        <f t="shared" si="335"/>
        <v>0</v>
      </c>
      <c r="AM461" s="147" t="str">
        <f t="shared" si="336"/>
        <v>Mulai meningkat</v>
      </c>
      <c r="AN461" s="147" t="str">
        <f t="shared" si="337"/>
        <v>Mulai meningkat</v>
      </c>
      <c r="AO461" s="146" t="e">
        <f t="shared" si="338"/>
        <v>#N/A</v>
      </c>
      <c r="AP461" s="148" t="e">
        <f t="shared" si="339"/>
        <v>#N/A</v>
      </c>
      <c r="AQ461" s="158" t="str">
        <f>IF('PA-Non'!V349&lt;&gt;"",'PA-Non'!V349,IFERROR("Mempunyai keterampilan yang "&amp;IF(AM461=AN461,PROPER(AN461)&amp;" dalam kompetensi "&amp;VLOOKUP(AO461,$AA$532:$AC$539,3)&amp;", demikian juga dalam kompetensi "&amp;VLOOKUP(AP461,$AA$532:$AC$539,3),PROPER(AM461)&amp;" dalam kompetensi "&amp;VLOOKUP(AO461,$AA$532:$AC$539,3)&amp;" dan "&amp;AN461&amp;" pada kompetensi "&amp;VLOOKUP(AP461,$AA$532:$AC$539,3)),""))</f>
        <v/>
      </c>
      <c r="AR461" s="188"/>
    </row>
    <row r="462" spans="2:44" ht="27.9" customHeight="1" thickBot="1" x14ac:dyDescent="0.35">
      <c r="B462" s="384" t="s">
        <v>189</v>
      </c>
      <c r="C462" s="149" t="str">
        <f t="shared" si="324"/>
        <v/>
      </c>
      <c r="D462" s="150" t="str">
        <f>IF(Data!F457="","",Data!F457)</f>
        <v/>
      </c>
      <c r="E462" s="151" t="str">
        <f>IF(Data!H457="","",Data!H457)</f>
        <v/>
      </c>
      <c r="F462" s="152" t="str">
        <f>IF(Data!I457="","",Data!I457)</f>
        <v/>
      </c>
      <c r="G462" s="343"/>
      <c r="H462" s="344"/>
      <c r="I462" s="344"/>
      <c r="J462" s="344"/>
      <c r="K462" s="344"/>
      <c r="L462" s="344"/>
      <c r="M462" s="344"/>
      <c r="N462" s="345"/>
      <c r="O462" s="157" t="str">
        <f t="shared" si="325"/>
        <v/>
      </c>
      <c r="P462" s="344"/>
      <c r="Q462" s="346"/>
      <c r="R462" s="157" t="str">
        <f t="shared" si="326"/>
        <v/>
      </c>
      <c r="S462" s="159" t="str">
        <f>IF(R462="","",IF(R462&gt;Data2!$C$12,Data2!$D$11,IF(R462&gt;Data2!$C$13,Data2!$D$12,IF(R462&gt;Data2!$C$14,Data2!$D$13,Data2!$D$14))))</f>
        <v/>
      </c>
      <c r="T462" s="144">
        <f t="shared" si="327"/>
        <v>0</v>
      </c>
      <c r="U462" s="144">
        <f t="shared" si="328"/>
        <v>0</v>
      </c>
      <c r="V462" s="144" t="str">
        <f t="shared" si="329"/>
        <v>Mulai berkembang</v>
      </c>
      <c r="W462" s="144" t="str">
        <f t="shared" si="330"/>
        <v>Mulai berkembang</v>
      </c>
      <c r="X462" s="144" t="e">
        <f t="shared" si="331"/>
        <v>#N/A</v>
      </c>
      <c r="Y462" s="145" t="e">
        <f t="shared" si="332"/>
        <v>#N/A</v>
      </c>
      <c r="Z462" s="218" t="str">
        <f>IF('PA-Non'!O350&lt;&gt;"",'PA-Non'!O350,IFERROR("Mempunyai kemampuan yang " &amp;IF(V462=W462,PROPER(W462)&amp;" dalam kompetensi "&amp;VLOOKUP(X462,$G$532:$I$539,3)&amp;" dan kompetensi "&amp;VLOOKUP(Y462,$G$532:$I$539,3),PROPER(V462)&amp;" dalam kompetensi "&amp;VLOOKUP(X462,$G$532:$I$539,3)&amp;" dan memiliki kemampuan yang "&amp;W462&amp;" pada kompetensi "&amp;VLOOKUP(Y462,$G$532:$I$539,3)),""))</f>
        <v/>
      </c>
      <c r="AA462" s="343"/>
      <c r="AB462" s="344"/>
      <c r="AC462" s="344"/>
      <c r="AD462" s="344"/>
      <c r="AE462" s="344"/>
      <c r="AF462" s="344"/>
      <c r="AG462" s="344"/>
      <c r="AH462" s="345"/>
      <c r="AI462" s="220" t="str">
        <f t="shared" si="333"/>
        <v/>
      </c>
      <c r="AJ462" s="160" t="str">
        <f>IF(AI462="","",IF(AI462&gt;Data2!$C$12,Data2!$D$11,IF(AI462&gt;Data2!$C$13,Data2!$D$12,IF(AI462&gt;Data2!$C$14,Data2!$D$13,Data2!$D$14))))</f>
        <v/>
      </c>
      <c r="AK462" s="146">
        <f t="shared" si="334"/>
        <v>0</v>
      </c>
      <c r="AL462" s="146">
        <f t="shared" si="335"/>
        <v>0</v>
      </c>
      <c r="AM462" s="147" t="str">
        <f t="shared" si="336"/>
        <v>Mulai meningkat</v>
      </c>
      <c r="AN462" s="147" t="str">
        <f t="shared" si="337"/>
        <v>Mulai meningkat</v>
      </c>
      <c r="AO462" s="146" t="e">
        <f t="shared" si="338"/>
        <v>#N/A</v>
      </c>
      <c r="AP462" s="148" t="e">
        <f t="shared" si="339"/>
        <v>#N/A</v>
      </c>
      <c r="AQ462" s="158" t="str">
        <f>IF('PA-Non'!V350&lt;&gt;"",'PA-Non'!V350,IFERROR("Mempunyai keterampilan yang "&amp;IF(AM462=AN462,PROPER(AN462)&amp;" dalam kompetensi "&amp;VLOOKUP(AO462,$AA$532:$AC$539,3)&amp;", demikian juga dalam kompetensi "&amp;VLOOKUP(AP462,$AA$532:$AC$539,3),PROPER(AM462)&amp;" dalam kompetensi "&amp;VLOOKUP(AO462,$AA$532:$AC$539,3)&amp;" dan "&amp;AN462&amp;" pada kompetensi "&amp;VLOOKUP(AP462,$AA$532:$AC$539,3)),""))</f>
        <v/>
      </c>
      <c r="AR462" s="188"/>
    </row>
    <row r="463" spans="2:44" ht="27.9" customHeight="1" thickBot="1" x14ac:dyDescent="0.35">
      <c r="B463" s="384" t="s">
        <v>189</v>
      </c>
      <c r="C463" s="149" t="str">
        <f t="shared" si="324"/>
        <v/>
      </c>
      <c r="D463" s="150" t="str">
        <f>IF(Data!F458="","",Data!F458)</f>
        <v/>
      </c>
      <c r="E463" s="151" t="str">
        <f>IF(Data!H458="","",Data!H458)</f>
        <v/>
      </c>
      <c r="F463" s="152" t="str">
        <f>IF(Data!I458="","",Data!I458)</f>
        <v/>
      </c>
      <c r="G463" s="343"/>
      <c r="H463" s="344"/>
      <c r="I463" s="344"/>
      <c r="J463" s="344"/>
      <c r="K463" s="344"/>
      <c r="L463" s="344"/>
      <c r="M463" s="344"/>
      <c r="N463" s="345"/>
      <c r="O463" s="157" t="str">
        <f t="shared" si="325"/>
        <v/>
      </c>
      <c r="P463" s="344"/>
      <c r="Q463" s="346"/>
      <c r="R463" s="157" t="str">
        <f t="shared" si="326"/>
        <v/>
      </c>
      <c r="S463" s="159" t="str">
        <f>IF(R463="","",IF(R463&gt;Data2!$C$12,Data2!$D$11,IF(R463&gt;Data2!$C$13,Data2!$D$12,IF(R463&gt;Data2!$C$14,Data2!$D$13,Data2!$D$14))))</f>
        <v/>
      </c>
      <c r="T463" s="144">
        <f t="shared" si="327"/>
        <v>0</v>
      </c>
      <c r="U463" s="144">
        <f t="shared" si="328"/>
        <v>0</v>
      </c>
      <c r="V463" s="144" t="str">
        <f t="shared" si="329"/>
        <v>Mulai berkembang</v>
      </c>
      <c r="W463" s="144" t="str">
        <f t="shared" si="330"/>
        <v>Mulai berkembang</v>
      </c>
      <c r="X463" s="144" t="e">
        <f t="shared" si="331"/>
        <v>#N/A</v>
      </c>
      <c r="Y463" s="145" t="e">
        <f t="shared" si="332"/>
        <v>#N/A</v>
      </c>
      <c r="Z463" s="218" t="str">
        <f>IF('PA-Non'!O351&lt;&gt;"",'PA-Non'!O351,IFERROR("Mempunyai kemampuan yang " &amp;IF(V463=W463,PROPER(W463)&amp;" dalam kompetensi "&amp;VLOOKUP(X463,$G$532:$I$539,3)&amp;" dan kompetensi "&amp;VLOOKUP(Y463,$G$532:$I$539,3),PROPER(V463)&amp;" dalam kompetensi "&amp;VLOOKUP(X463,$G$532:$I$539,3)&amp;" dan memiliki kemampuan yang "&amp;W463&amp;" pada kompetensi "&amp;VLOOKUP(Y463,$G$532:$I$539,3)),""))</f>
        <v/>
      </c>
      <c r="AA463" s="343"/>
      <c r="AB463" s="344"/>
      <c r="AC463" s="344"/>
      <c r="AD463" s="344"/>
      <c r="AE463" s="344"/>
      <c r="AF463" s="344"/>
      <c r="AG463" s="344"/>
      <c r="AH463" s="345"/>
      <c r="AI463" s="220" t="str">
        <f t="shared" si="333"/>
        <v/>
      </c>
      <c r="AJ463" s="160" t="str">
        <f>IF(AI463="","",IF(AI463&gt;Data2!$C$12,Data2!$D$11,IF(AI463&gt;Data2!$C$13,Data2!$D$12,IF(AI463&gt;Data2!$C$14,Data2!$D$13,Data2!$D$14))))</f>
        <v/>
      </c>
      <c r="AK463" s="146">
        <f t="shared" si="334"/>
        <v>0</v>
      </c>
      <c r="AL463" s="146">
        <f t="shared" si="335"/>
        <v>0</v>
      </c>
      <c r="AM463" s="147" t="str">
        <f t="shared" si="336"/>
        <v>Mulai meningkat</v>
      </c>
      <c r="AN463" s="147" t="str">
        <f t="shared" si="337"/>
        <v>Mulai meningkat</v>
      </c>
      <c r="AO463" s="146" t="e">
        <f t="shared" si="338"/>
        <v>#N/A</v>
      </c>
      <c r="AP463" s="148" t="e">
        <f t="shared" si="339"/>
        <v>#N/A</v>
      </c>
      <c r="AQ463" s="158" t="str">
        <f>IF('PA-Non'!V351&lt;&gt;"",'PA-Non'!V351,IFERROR("Mempunyai keterampilan yang "&amp;IF(AM463=AN463,PROPER(AN463)&amp;" dalam kompetensi "&amp;VLOOKUP(AO463,$AA$532:$AC$539,3)&amp;", demikian juga dalam kompetensi "&amp;VLOOKUP(AP463,$AA$532:$AC$539,3),PROPER(AM463)&amp;" dalam kompetensi "&amp;VLOOKUP(AO463,$AA$532:$AC$539,3)&amp;" dan "&amp;AN463&amp;" pada kompetensi "&amp;VLOOKUP(AP463,$AA$532:$AC$539,3)),""))</f>
        <v/>
      </c>
      <c r="AR463" s="188"/>
    </row>
    <row r="464" spans="2:44" ht="27.9" customHeight="1" thickBot="1" x14ac:dyDescent="0.35">
      <c r="B464" s="384" t="s">
        <v>189</v>
      </c>
      <c r="C464" s="149" t="str">
        <f t="shared" si="324"/>
        <v/>
      </c>
      <c r="D464" s="150" t="str">
        <f>IF(Data!F459="","",Data!F459)</f>
        <v/>
      </c>
      <c r="E464" s="151" t="str">
        <f>IF(Data!H459="","",Data!H459)</f>
        <v/>
      </c>
      <c r="F464" s="152" t="str">
        <f>IF(Data!I459="","",Data!I459)</f>
        <v/>
      </c>
      <c r="G464" s="343"/>
      <c r="H464" s="344"/>
      <c r="I464" s="344"/>
      <c r="J464" s="344"/>
      <c r="K464" s="344"/>
      <c r="L464" s="344"/>
      <c r="M464" s="344"/>
      <c r="N464" s="345"/>
      <c r="O464" s="157" t="str">
        <f t="shared" si="325"/>
        <v/>
      </c>
      <c r="P464" s="344"/>
      <c r="Q464" s="346"/>
      <c r="R464" s="157" t="str">
        <f t="shared" si="326"/>
        <v/>
      </c>
      <c r="S464" s="159" t="str">
        <f>IF(R464="","",IF(R464&gt;Data2!$C$12,Data2!$D$11,IF(R464&gt;Data2!$C$13,Data2!$D$12,IF(R464&gt;Data2!$C$14,Data2!$D$13,Data2!$D$14))))</f>
        <v/>
      </c>
      <c r="T464" s="144">
        <f t="shared" si="327"/>
        <v>0</v>
      </c>
      <c r="U464" s="144">
        <f t="shared" si="328"/>
        <v>0</v>
      </c>
      <c r="V464" s="144" t="str">
        <f t="shared" si="329"/>
        <v>Mulai berkembang</v>
      </c>
      <c r="W464" s="144" t="str">
        <f t="shared" si="330"/>
        <v>Mulai berkembang</v>
      </c>
      <c r="X464" s="144" t="e">
        <f t="shared" si="331"/>
        <v>#N/A</v>
      </c>
      <c r="Y464" s="145" t="e">
        <f t="shared" si="332"/>
        <v>#N/A</v>
      </c>
      <c r="Z464" s="218" t="str">
        <f>IF('PA-Non'!O352&lt;&gt;"",'PA-Non'!O352,IFERROR("Mempunyai kemampuan yang " &amp;IF(V464=W464,PROPER(W464)&amp;" dalam kompetensi "&amp;VLOOKUP(X464,$G$532:$I$539,3)&amp;" dan kompetensi "&amp;VLOOKUP(Y464,$G$532:$I$539,3),PROPER(V464)&amp;" dalam kompetensi "&amp;VLOOKUP(X464,$G$532:$I$539,3)&amp;" dan memiliki kemampuan yang "&amp;W464&amp;" pada kompetensi "&amp;VLOOKUP(Y464,$G$532:$I$539,3)),""))</f>
        <v/>
      </c>
      <c r="AA464" s="343"/>
      <c r="AB464" s="344"/>
      <c r="AC464" s="344"/>
      <c r="AD464" s="344"/>
      <c r="AE464" s="344"/>
      <c r="AF464" s="344"/>
      <c r="AG464" s="344"/>
      <c r="AH464" s="345"/>
      <c r="AI464" s="220" t="str">
        <f t="shared" si="333"/>
        <v/>
      </c>
      <c r="AJ464" s="160" t="str">
        <f>IF(AI464="","",IF(AI464&gt;Data2!$C$12,Data2!$D$11,IF(AI464&gt;Data2!$C$13,Data2!$D$12,IF(AI464&gt;Data2!$C$14,Data2!$D$13,Data2!$D$14))))</f>
        <v/>
      </c>
      <c r="AK464" s="146">
        <f t="shared" si="334"/>
        <v>0</v>
      </c>
      <c r="AL464" s="146">
        <f t="shared" si="335"/>
        <v>0</v>
      </c>
      <c r="AM464" s="147" t="str">
        <f t="shared" si="336"/>
        <v>Mulai meningkat</v>
      </c>
      <c r="AN464" s="147" t="str">
        <f t="shared" si="337"/>
        <v>Mulai meningkat</v>
      </c>
      <c r="AO464" s="146" t="e">
        <f t="shared" si="338"/>
        <v>#N/A</v>
      </c>
      <c r="AP464" s="148" t="e">
        <f t="shared" si="339"/>
        <v>#N/A</v>
      </c>
      <c r="AQ464" s="158" t="str">
        <f>IF('PA-Non'!V352&lt;&gt;"",'PA-Non'!V352,IFERROR("Mempunyai keterampilan yang "&amp;IF(AM464=AN464,PROPER(AN464)&amp;" dalam kompetensi "&amp;VLOOKUP(AO464,$AA$532:$AC$539,3)&amp;", demikian juga dalam kompetensi "&amp;VLOOKUP(AP464,$AA$532:$AC$539,3),PROPER(AM464)&amp;" dalam kompetensi "&amp;VLOOKUP(AO464,$AA$532:$AC$539,3)&amp;" dan "&amp;AN464&amp;" pada kompetensi "&amp;VLOOKUP(AP464,$AA$532:$AC$539,3)),""))</f>
        <v/>
      </c>
      <c r="AR464" s="188"/>
    </row>
    <row r="465" spans="2:44" ht="27.9" customHeight="1" thickBot="1" x14ac:dyDescent="0.35">
      <c r="B465" s="384" t="s">
        <v>189</v>
      </c>
      <c r="C465" s="149" t="str">
        <f t="shared" si="324"/>
        <v/>
      </c>
      <c r="D465" s="150" t="str">
        <f>IF(Data!F460="","",Data!F460)</f>
        <v/>
      </c>
      <c r="E465" s="151" t="str">
        <f>IF(Data!H460="","",Data!H460)</f>
        <v/>
      </c>
      <c r="F465" s="152" t="str">
        <f>IF(Data!I460="","",Data!I460)</f>
        <v/>
      </c>
      <c r="G465" s="343"/>
      <c r="H465" s="344"/>
      <c r="I465" s="344"/>
      <c r="J465" s="344"/>
      <c r="K465" s="344"/>
      <c r="L465" s="344"/>
      <c r="M465" s="344"/>
      <c r="N465" s="345"/>
      <c r="O465" s="157" t="str">
        <f t="shared" si="325"/>
        <v/>
      </c>
      <c r="P465" s="344"/>
      <c r="Q465" s="346"/>
      <c r="R465" s="157" t="str">
        <f t="shared" si="326"/>
        <v/>
      </c>
      <c r="S465" s="159" t="str">
        <f>IF(R465="","",IF(R465&gt;Data2!$C$12,Data2!$D$11,IF(R465&gt;Data2!$C$13,Data2!$D$12,IF(R465&gt;Data2!$C$14,Data2!$D$13,Data2!$D$14))))</f>
        <v/>
      </c>
      <c r="T465" s="144">
        <f t="shared" si="327"/>
        <v>0</v>
      </c>
      <c r="U465" s="144">
        <f t="shared" si="328"/>
        <v>0</v>
      </c>
      <c r="V465" s="144" t="str">
        <f t="shared" si="329"/>
        <v>Mulai berkembang</v>
      </c>
      <c r="W465" s="144" t="str">
        <f t="shared" si="330"/>
        <v>Mulai berkembang</v>
      </c>
      <c r="X465" s="144" t="e">
        <f t="shared" si="331"/>
        <v>#N/A</v>
      </c>
      <c r="Y465" s="145" t="e">
        <f t="shared" si="332"/>
        <v>#N/A</v>
      </c>
      <c r="Z465" s="218" t="str">
        <f>IF('PA-Non'!O353&lt;&gt;"",'PA-Non'!O353,IFERROR("Mempunyai kemampuan yang " &amp;IF(V465=W465,PROPER(W465)&amp;" dalam kompetensi "&amp;VLOOKUP(X465,$G$532:$I$539,3)&amp;" dan kompetensi "&amp;VLOOKUP(Y465,$G$532:$I$539,3),PROPER(V465)&amp;" dalam kompetensi "&amp;VLOOKUP(X465,$G$532:$I$539,3)&amp;" dan memiliki kemampuan yang "&amp;W465&amp;" pada kompetensi "&amp;VLOOKUP(Y465,$G$532:$I$539,3)),""))</f>
        <v/>
      </c>
      <c r="AA465" s="343"/>
      <c r="AB465" s="344"/>
      <c r="AC465" s="344"/>
      <c r="AD465" s="344"/>
      <c r="AE465" s="344"/>
      <c r="AF465" s="344"/>
      <c r="AG465" s="344"/>
      <c r="AH465" s="345"/>
      <c r="AI465" s="220" t="str">
        <f t="shared" si="333"/>
        <v/>
      </c>
      <c r="AJ465" s="160" t="str">
        <f>IF(AI465="","",IF(AI465&gt;Data2!$C$12,Data2!$D$11,IF(AI465&gt;Data2!$C$13,Data2!$D$12,IF(AI465&gt;Data2!$C$14,Data2!$D$13,Data2!$D$14))))</f>
        <v/>
      </c>
      <c r="AK465" s="146">
        <f t="shared" si="334"/>
        <v>0</v>
      </c>
      <c r="AL465" s="146">
        <f t="shared" si="335"/>
        <v>0</v>
      </c>
      <c r="AM465" s="147" t="str">
        <f t="shared" si="336"/>
        <v>Mulai meningkat</v>
      </c>
      <c r="AN465" s="147" t="str">
        <f t="shared" si="337"/>
        <v>Mulai meningkat</v>
      </c>
      <c r="AO465" s="146" t="e">
        <f t="shared" si="338"/>
        <v>#N/A</v>
      </c>
      <c r="AP465" s="148" t="e">
        <f t="shared" si="339"/>
        <v>#N/A</v>
      </c>
      <c r="AQ465" s="158" t="str">
        <f>IF('PA-Non'!V353&lt;&gt;"",'PA-Non'!V353,IFERROR("Mempunyai keterampilan yang "&amp;IF(AM465=AN465,PROPER(AN465)&amp;" dalam kompetensi "&amp;VLOOKUP(AO465,$AA$532:$AC$539,3)&amp;", demikian juga dalam kompetensi "&amp;VLOOKUP(AP465,$AA$532:$AC$539,3),PROPER(AM465)&amp;" dalam kompetensi "&amp;VLOOKUP(AO465,$AA$532:$AC$539,3)&amp;" dan "&amp;AN465&amp;" pada kompetensi "&amp;VLOOKUP(AP465,$AA$532:$AC$539,3)),""))</f>
        <v/>
      </c>
      <c r="AR465" s="188"/>
    </row>
    <row r="466" spans="2:44" ht="27.9" customHeight="1" thickBot="1" x14ac:dyDescent="0.35">
      <c r="B466" s="384" t="s">
        <v>189</v>
      </c>
      <c r="C466" s="149" t="str">
        <f t="shared" si="324"/>
        <v/>
      </c>
      <c r="D466" s="150" t="str">
        <f>IF(Data!F461="","",Data!F461)</f>
        <v/>
      </c>
      <c r="E466" s="151" t="str">
        <f>IF(Data!H461="","",Data!H461)</f>
        <v/>
      </c>
      <c r="F466" s="152" t="str">
        <f>IF(Data!I461="","",Data!I461)</f>
        <v/>
      </c>
      <c r="G466" s="343"/>
      <c r="H466" s="344"/>
      <c r="I466" s="344"/>
      <c r="J466" s="344"/>
      <c r="K466" s="344"/>
      <c r="L466" s="344"/>
      <c r="M466" s="344"/>
      <c r="N466" s="345"/>
      <c r="O466" s="157" t="str">
        <f t="shared" si="325"/>
        <v/>
      </c>
      <c r="P466" s="344"/>
      <c r="Q466" s="346"/>
      <c r="R466" s="157" t="str">
        <f t="shared" si="326"/>
        <v/>
      </c>
      <c r="S466" s="159" t="str">
        <f>IF(R466="","",IF(R466&gt;Data2!$C$12,Data2!$D$11,IF(R466&gt;Data2!$C$13,Data2!$D$12,IF(R466&gt;Data2!$C$14,Data2!$D$13,Data2!$D$14))))</f>
        <v/>
      </c>
      <c r="T466" s="144">
        <f t="shared" si="327"/>
        <v>0</v>
      </c>
      <c r="U466" s="144">
        <f t="shared" si="328"/>
        <v>0</v>
      </c>
      <c r="V466" s="144" t="str">
        <f t="shared" si="329"/>
        <v>Mulai berkembang</v>
      </c>
      <c r="W466" s="144" t="str">
        <f t="shared" si="330"/>
        <v>Mulai berkembang</v>
      </c>
      <c r="X466" s="144" t="e">
        <f t="shared" si="331"/>
        <v>#N/A</v>
      </c>
      <c r="Y466" s="145" t="e">
        <f t="shared" si="332"/>
        <v>#N/A</v>
      </c>
      <c r="Z466" s="218" t="str">
        <f>IF('PA-Non'!O354&lt;&gt;"",'PA-Non'!O354,IFERROR("Mempunyai kemampuan yang " &amp;IF(V466=W466,PROPER(W466)&amp;" dalam kompetensi "&amp;VLOOKUP(X466,$G$532:$I$539,3)&amp;" dan kompetensi "&amp;VLOOKUP(Y466,$G$532:$I$539,3),PROPER(V466)&amp;" dalam kompetensi "&amp;VLOOKUP(X466,$G$532:$I$539,3)&amp;" dan memiliki kemampuan yang "&amp;W466&amp;" pada kompetensi "&amp;VLOOKUP(Y466,$G$532:$I$539,3)),""))</f>
        <v/>
      </c>
      <c r="AA466" s="343"/>
      <c r="AB466" s="344"/>
      <c r="AC466" s="344"/>
      <c r="AD466" s="344"/>
      <c r="AE466" s="344"/>
      <c r="AF466" s="344"/>
      <c r="AG466" s="344"/>
      <c r="AH466" s="345"/>
      <c r="AI466" s="220" t="str">
        <f t="shared" si="333"/>
        <v/>
      </c>
      <c r="AJ466" s="160" t="str">
        <f>IF(AI466="","",IF(AI466&gt;Data2!$C$12,Data2!$D$11,IF(AI466&gt;Data2!$C$13,Data2!$D$12,IF(AI466&gt;Data2!$C$14,Data2!$D$13,Data2!$D$14))))</f>
        <v/>
      </c>
      <c r="AK466" s="146">
        <f t="shared" si="334"/>
        <v>0</v>
      </c>
      <c r="AL466" s="146">
        <f t="shared" si="335"/>
        <v>0</v>
      </c>
      <c r="AM466" s="147" t="str">
        <f t="shared" si="336"/>
        <v>Mulai meningkat</v>
      </c>
      <c r="AN466" s="147" t="str">
        <f t="shared" si="337"/>
        <v>Mulai meningkat</v>
      </c>
      <c r="AO466" s="146" t="e">
        <f t="shared" si="338"/>
        <v>#N/A</v>
      </c>
      <c r="AP466" s="148" t="e">
        <f t="shared" si="339"/>
        <v>#N/A</v>
      </c>
      <c r="AQ466" s="158" t="str">
        <f>IF('PA-Non'!V354&lt;&gt;"",'PA-Non'!V354,IFERROR("Mempunyai keterampilan yang "&amp;IF(AM466=AN466,PROPER(AN466)&amp;" dalam kompetensi "&amp;VLOOKUP(AO466,$AA$532:$AC$539,3)&amp;", demikian juga dalam kompetensi "&amp;VLOOKUP(AP466,$AA$532:$AC$539,3),PROPER(AM466)&amp;" dalam kompetensi "&amp;VLOOKUP(AO466,$AA$532:$AC$539,3)&amp;" dan "&amp;AN466&amp;" pada kompetensi "&amp;VLOOKUP(AP466,$AA$532:$AC$539,3)),""))</f>
        <v/>
      </c>
      <c r="AR466" s="188"/>
    </row>
    <row r="467" spans="2:44" ht="27.9" customHeight="1" thickBot="1" x14ac:dyDescent="0.35">
      <c r="B467" s="384" t="s">
        <v>189</v>
      </c>
      <c r="C467" s="149" t="str">
        <f t="shared" si="324"/>
        <v/>
      </c>
      <c r="D467" s="150" t="str">
        <f>IF(Data!F462="","",Data!F462)</f>
        <v/>
      </c>
      <c r="E467" s="151" t="str">
        <f>IF(Data!H462="","",Data!H462)</f>
        <v/>
      </c>
      <c r="F467" s="152" t="str">
        <f>IF(Data!I462="","",Data!I462)</f>
        <v/>
      </c>
      <c r="G467" s="343"/>
      <c r="H467" s="344"/>
      <c r="I467" s="344"/>
      <c r="J467" s="344"/>
      <c r="K467" s="344"/>
      <c r="L467" s="344"/>
      <c r="M467" s="344"/>
      <c r="N467" s="345"/>
      <c r="O467" s="157" t="str">
        <f t="shared" si="325"/>
        <v/>
      </c>
      <c r="P467" s="344"/>
      <c r="Q467" s="346"/>
      <c r="R467" s="157" t="str">
        <f t="shared" si="326"/>
        <v/>
      </c>
      <c r="S467" s="159" t="str">
        <f>IF(R467="","",IF(R467&gt;Data2!$C$12,Data2!$D$11,IF(R467&gt;Data2!$C$13,Data2!$D$12,IF(R467&gt;Data2!$C$14,Data2!$D$13,Data2!$D$14))))</f>
        <v/>
      </c>
      <c r="T467" s="144">
        <f t="shared" si="327"/>
        <v>0</v>
      </c>
      <c r="U467" s="144">
        <f t="shared" si="328"/>
        <v>0</v>
      </c>
      <c r="V467" s="144" t="str">
        <f t="shared" si="329"/>
        <v>Mulai berkembang</v>
      </c>
      <c r="W467" s="144" t="str">
        <f t="shared" si="330"/>
        <v>Mulai berkembang</v>
      </c>
      <c r="X467" s="144" t="e">
        <f t="shared" si="331"/>
        <v>#N/A</v>
      </c>
      <c r="Y467" s="145" t="e">
        <f t="shared" si="332"/>
        <v>#N/A</v>
      </c>
      <c r="Z467" s="218" t="str">
        <f>IF('PA-Non'!O355&lt;&gt;"",'PA-Non'!O355,IFERROR("Mempunyai kemampuan yang " &amp;IF(V467=W467,PROPER(W467)&amp;" dalam kompetensi "&amp;VLOOKUP(X467,$G$532:$I$539,3)&amp;" dan kompetensi "&amp;VLOOKUP(Y467,$G$532:$I$539,3),PROPER(V467)&amp;" dalam kompetensi "&amp;VLOOKUP(X467,$G$532:$I$539,3)&amp;" dan memiliki kemampuan yang "&amp;W467&amp;" pada kompetensi "&amp;VLOOKUP(Y467,$G$532:$I$539,3)),""))</f>
        <v/>
      </c>
      <c r="AA467" s="343"/>
      <c r="AB467" s="344"/>
      <c r="AC467" s="344"/>
      <c r="AD467" s="344"/>
      <c r="AE467" s="344"/>
      <c r="AF467" s="344"/>
      <c r="AG467" s="344"/>
      <c r="AH467" s="345"/>
      <c r="AI467" s="220" t="str">
        <f t="shared" si="333"/>
        <v/>
      </c>
      <c r="AJ467" s="160" t="str">
        <f>IF(AI467="","",IF(AI467&gt;Data2!$C$12,Data2!$D$11,IF(AI467&gt;Data2!$C$13,Data2!$D$12,IF(AI467&gt;Data2!$C$14,Data2!$D$13,Data2!$D$14))))</f>
        <v/>
      </c>
      <c r="AK467" s="146">
        <f t="shared" si="334"/>
        <v>0</v>
      </c>
      <c r="AL467" s="146">
        <f t="shared" si="335"/>
        <v>0</v>
      </c>
      <c r="AM467" s="147" t="str">
        <f t="shared" si="336"/>
        <v>Mulai meningkat</v>
      </c>
      <c r="AN467" s="147" t="str">
        <f t="shared" si="337"/>
        <v>Mulai meningkat</v>
      </c>
      <c r="AO467" s="146" t="e">
        <f t="shared" si="338"/>
        <v>#N/A</v>
      </c>
      <c r="AP467" s="148" t="e">
        <f t="shared" si="339"/>
        <v>#N/A</v>
      </c>
      <c r="AQ467" s="158" t="str">
        <f>IF('PA-Non'!V355&lt;&gt;"",'PA-Non'!V355,IFERROR("Mempunyai keterampilan yang "&amp;IF(AM467=AN467,PROPER(AN467)&amp;" dalam kompetensi "&amp;VLOOKUP(AO467,$AA$532:$AC$539,3)&amp;", demikian juga dalam kompetensi "&amp;VLOOKUP(AP467,$AA$532:$AC$539,3),PROPER(AM467)&amp;" dalam kompetensi "&amp;VLOOKUP(AO467,$AA$532:$AC$539,3)&amp;" dan "&amp;AN467&amp;" pada kompetensi "&amp;VLOOKUP(AP467,$AA$532:$AC$539,3)),""))</f>
        <v/>
      </c>
      <c r="AR467" s="188"/>
    </row>
    <row r="468" spans="2:44" ht="27.9" customHeight="1" thickBot="1" x14ac:dyDescent="0.35">
      <c r="B468" s="384" t="s">
        <v>189</v>
      </c>
      <c r="C468" s="149" t="str">
        <f t="shared" si="324"/>
        <v/>
      </c>
      <c r="D468" s="150" t="str">
        <f>IF(Data!F463="","",Data!F463)</f>
        <v/>
      </c>
      <c r="E468" s="151" t="str">
        <f>IF(Data!H463="","",Data!H463)</f>
        <v/>
      </c>
      <c r="F468" s="152" t="str">
        <f>IF(Data!I463="","",Data!I463)</f>
        <v/>
      </c>
      <c r="G468" s="343"/>
      <c r="H468" s="344"/>
      <c r="I468" s="344"/>
      <c r="J468" s="344"/>
      <c r="K468" s="344"/>
      <c r="L468" s="344"/>
      <c r="M468" s="344"/>
      <c r="N468" s="345"/>
      <c r="O468" s="157" t="str">
        <f t="shared" si="325"/>
        <v/>
      </c>
      <c r="P468" s="344"/>
      <c r="Q468" s="346"/>
      <c r="R468" s="157" t="str">
        <f t="shared" si="326"/>
        <v/>
      </c>
      <c r="S468" s="159" t="str">
        <f>IF(R468="","",IF(R468&gt;Data2!$C$12,Data2!$D$11,IF(R468&gt;Data2!$C$13,Data2!$D$12,IF(R468&gt;Data2!$C$14,Data2!$D$13,Data2!$D$14))))</f>
        <v/>
      </c>
      <c r="T468" s="144">
        <f t="shared" si="327"/>
        <v>0</v>
      </c>
      <c r="U468" s="144">
        <f t="shared" si="328"/>
        <v>0</v>
      </c>
      <c r="V468" s="144" t="str">
        <f t="shared" si="329"/>
        <v>Mulai berkembang</v>
      </c>
      <c r="W468" s="144" t="str">
        <f t="shared" si="330"/>
        <v>Mulai berkembang</v>
      </c>
      <c r="X468" s="144" t="e">
        <f t="shared" si="331"/>
        <v>#N/A</v>
      </c>
      <c r="Y468" s="145" t="e">
        <f t="shared" si="332"/>
        <v>#N/A</v>
      </c>
      <c r="Z468" s="218" t="str">
        <f>IF('PA-Non'!O356&lt;&gt;"",'PA-Non'!O356,IFERROR("Mempunyai kemampuan yang " &amp;IF(V468=W468,PROPER(W468)&amp;" dalam kompetensi "&amp;VLOOKUP(X468,$G$532:$I$539,3)&amp;" dan kompetensi "&amp;VLOOKUP(Y468,$G$532:$I$539,3),PROPER(V468)&amp;" dalam kompetensi "&amp;VLOOKUP(X468,$G$532:$I$539,3)&amp;" dan memiliki kemampuan yang "&amp;W468&amp;" pada kompetensi "&amp;VLOOKUP(Y468,$G$532:$I$539,3)),""))</f>
        <v/>
      </c>
      <c r="AA468" s="343"/>
      <c r="AB468" s="344"/>
      <c r="AC468" s="344"/>
      <c r="AD468" s="344"/>
      <c r="AE468" s="344"/>
      <c r="AF468" s="344"/>
      <c r="AG468" s="344"/>
      <c r="AH468" s="345"/>
      <c r="AI468" s="220" t="str">
        <f t="shared" si="333"/>
        <v/>
      </c>
      <c r="AJ468" s="160" t="str">
        <f>IF(AI468="","",IF(AI468&gt;Data2!$C$12,Data2!$D$11,IF(AI468&gt;Data2!$C$13,Data2!$D$12,IF(AI468&gt;Data2!$C$14,Data2!$D$13,Data2!$D$14))))</f>
        <v/>
      </c>
      <c r="AK468" s="146">
        <f t="shared" si="334"/>
        <v>0</v>
      </c>
      <c r="AL468" s="146">
        <f t="shared" si="335"/>
        <v>0</v>
      </c>
      <c r="AM468" s="147" t="str">
        <f t="shared" si="336"/>
        <v>Mulai meningkat</v>
      </c>
      <c r="AN468" s="147" t="str">
        <f t="shared" si="337"/>
        <v>Mulai meningkat</v>
      </c>
      <c r="AO468" s="146" t="e">
        <f t="shared" si="338"/>
        <v>#N/A</v>
      </c>
      <c r="AP468" s="148" t="e">
        <f t="shared" si="339"/>
        <v>#N/A</v>
      </c>
      <c r="AQ468" s="158" t="str">
        <f>IF('PA-Non'!V356&lt;&gt;"",'PA-Non'!V356,IFERROR("Mempunyai keterampilan yang "&amp;IF(AM468=AN468,PROPER(AN468)&amp;" dalam kompetensi "&amp;VLOOKUP(AO468,$AA$532:$AC$539,3)&amp;", demikian juga dalam kompetensi "&amp;VLOOKUP(AP468,$AA$532:$AC$539,3),PROPER(AM468)&amp;" dalam kompetensi "&amp;VLOOKUP(AO468,$AA$532:$AC$539,3)&amp;" dan "&amp;AN468&amp;" pada kompetensi "&amp;VLOOKUP(AP468,$AA$532:$AC$539,3)),""))</f>
        <v/>
      </c>
      <c r="AR468" s="188"/>
    </row>
    <row r="469" spans="2:44" ht="27.9" customHeight="1" thickBot="1" x14ac:dyDescent="0.35">
      <c r="B469" s="384" t="s">
        <v>189</v>
      </c>
      <c r="C469" s="149" t="str">
        <f t="shared" si="324"/>
        <v/>
      </c>
      <c r="D469" s="150" t="str">
        <f>IF(Data!F464="","",Data!F464)</f>
        <v/>
      </c>
      <c r="E469" s="151" t="str">
        <f>IF(Data!H464="","",Data!H464)</f>
        <v/>
      </c>
      <c r="F469" s="152" t="str">
        <f>IF(Data!I464="","",Data!I464)</f>
        <v/>
      </c>
      <c r="G469" s="343"/>
      <c r="H469" s="344"/>
      <c r="I469" s="344"/>
      <c r="J469" s="344"/>
      <c r="K469" s="344"/>
      <c r="L469" s="344"/>
      <c r="M469" s="344"/>
      <c r="N469" s="345"/>
      <c r="O469" s="157" t="str">
        <f t="shared" si="325"/>
        <v/>
      </c>
      <c r="P469" s="344"/>
      <c r="Q469" s="346"/>
      <c r="R469" s="157" t="str">
        <f t="shared" si="326"/>
        <v/>
      </c>
      <c r="S469" s="159" t="str">
        <f>IF(R469="","",IF(R469&gt;Data2!$C$12,Data2!$D$11,IF(R469&gt;Data2!$C$13,Data2!$D$12,IF(R469&gt;Data2!$C$14,Data2!$D$13,Data2!$D$14))))</f>
        <v/>
      </c>
      <c r="T469" s="144">
        <f t="shared" si="327"/>
        <v>0</v>
      </c>
      <c r="U469" s="144">
        <f t="shared" si="328"/>
        <v>0</v>
      </c>
      <c r="V469" s="144" t="str">
        <f t="shared" si="329"/>
        <v>Mulai berkembang</v>
      </c>
      <c r="W469" s="144" t="str">
        <f t="shared" si="330"/>
        <v>Mulai berkembang</v>
      </c>
      <c r="X469" s="144" t="e">
        <f t="shared" si="331"/>
        <v>#N/A</v>
      </c>
      <c r="Y469" s="145" t="e">
        <f t="shared" si="332"/>
        <v>#N/A</v>
      </c>
      <c r="Z469" s="218" t="str">
        <f>IF('PA-Non'!O357&lt;&gt;"",'PA-Non'!O357,IFERROR("Mempunyai kemampuan yang " &amp;IF(V469=W469,PROPER(W469)&amp;" dalam kompetensi "&amp;VLOOKUP(X469,$G$532:$I$539,3)&amp;" dan kompetensi "&amp;VLOOKUP(Y469,$G$532:$I$539,3),PROPER(V469)&amp;" dalam kompetensi "&amp;VLOOKUP(X469,$G$532:$I$539,3)&amp;" dan memiliki kemampuan yang "&amp;W469&amp;" pada kompetensi "&amp;VLOOKUP(Y469,$G$532:$I$539,3)),""))</f>
        <v/>
      </c>
      <c r="AA469" s="343"/>
      <c r="AB469" s="344"/>
      <c r="AC469" s="344"/>
      <c r="AD469" s="344"/>
      <c r="AE469" s="344"/>
      <c r="AF469" s="344"/>
      <c r="AG469" s="344"/>
      <c r="AH469" s="345"/>
      <c r="AI469" s="220" t="str">
        <f t="shared" si="333"/>
        <v/>
      </c>
      <c r="AJ469" s="160" t="str">
        <f>IF(AI469="","",IF(AI469&gt;Data2!$C$12,Data2!$D$11,IF(AI469&gt;Data2!$C$13,Data2!$D$12,IF(AI469&gt;Data2!$C$14,Data2!$D$13,Data2!$D$14))))</f>
        <v/>
      </c>
      <c r="AK469" s="146">
        <f t="shared" si="334"/>
        <v>0</v>
      </c>
      <c r="AL469" s="146">
        <f t="shared" si="335"/>
        <v>0</v>
      </c>
      <c r="AM469" s="147" t="str">
        <f t="shared" si="336"/>
        <v>Mulai meningkat</v>
      </c>
      <c r="AN469" s="147" t="str">
        <f t="shared" si="337"/>
        <v>Mulai meningkat</v>
      </c>
      <c r="AO469" s="146" t="e">
        <f t="shared" si="338"/>
        <v>#N/A</v>
      </c>
      <c r="AP469" s="148" t="e">
        <f t="shared" si="339"/>
        <v>#N/A</v>
      </c>
      <c r="AQ469" s="158" t="str">
        <f>IF('PA-Non'!V357&lt;&gt;"",'PA-Non'!V357,IFERROR("Mempunyai keterampilan yang "&amp;IF(AM469=AN469,PROPER(AN469)&amp;" dalam kompetensi "&amp;VLOOKUP(AO469,$AA$532:$AC$539,3)&amp;", demikian juga dalam kompetensi "&amp;VLOOKUP(AP469,$AA$532:$AC$539,3),PROPER(AM469)&amp;" dalam kompetensi "&amp;VLOOKUP(AO469,$AA$532:$AC$539,3)&amp;" dan "&amp;AN469&amp;" pada kompetensi "&amp;VLOOKUP(AP469,$AA$532:$AC$539,3)),""))</f>
        <v/>
      </c>
      <c r="AR469" s="188"/>
    </row>
    <row r="470" spans="2:44" ht="27.9" customHeight="1" thickBot="1" x14ac:dyDescent="0.35">
      <c r="B470" s="384" t="s">
        <v>189</v>
      </c>
      <c r="C470" s="149" t="str">
        <f t="shared" si="324"/>
        <v/>
      </c>
      <c r="D470" s="150" t="str">
        <f>IF(Data!F465="","",Data!F465)</f>
        <v/>
      </c>
      <c r="E470" s="151" t="str">
        <f>IF(Data!H465="","",Data!H465)</f>
        <v/>
      </c>
      <c r="F470" s="152" t="str">
        <f>IF(Data!I465="","",Data!I465)</f>
        <v/>
      </c>
      <c r="G470" s="343"/>
      <c r="H470" s="344"/>
      <c r="I470" s="344"/>
      <c r="J470" s="344"/>
      <c r="K470" s="344"/>
      <c r="L470" s="344"/>
      <c r="M470" s="344"/>
      <c r="N470" s="345"/>
      <c r="O470" s="157" t="str">
        <f t="shared" si="325"/>
        <v/>
      </c>
      <c r="P470" s="344"/>
      <c r="Q470" s="346"/>
      <c r="R470" s="157" t="str">
        <f t="shared" si="326"/>
        <v/>
      </c>
      <c r="S470" s="159" t="str">
        <f>IF(R470="","",IF(R470&gt;Data2!$C$12,Data2!$D$11,IF(R470&gt;Data2!$C$13,Data2!$D$12,IF(R470&gt;Data2!$C$14,Data2!$D$13,Data2!$D$14))))</f>
        <v/>
      </c>
      <c r="T470" s="144">
        <f t="shared" si="327"/>
        <v>0</v>
      </c>
      <c r="U470" s="144">
        <f t="shared" si="328"/>
        <v>0</v>
      </c>
      <c r="V470" s="144" t="str">
        <f t="shared" si="329"/>
        <v>Mulai berkembang</v>
      </c>
      <c r="W470" s="144" t="str">
        <f t="shared" si="330"/>
        <v>Mulai berkembang</v>
      </c>
      <c r="X470" s="144" t="e">
        <f t="shared" si="331"/>
        <v>#N/A</v>
      </c>
      <c r="Y470" s="145" t="e">
        <f t="shared" si="332"/>
        <v>#N/A</v>
      </c>
      <c r="Z470" s="218" t="str">
        <f>IF('PA-Non'!O358&lt;&gt;"",'PA-Non'!O358,IFERROR("Mempunyai kemampuan yang " &amp;IF(V470=W470,PROPER(W470)&amp;" dalam kompetensi "&amp;VLOOKUP(X470,$G$532:$I$539,3)&amp;" dan kompetensi "&amp;VLOOKUP(Y470,$G$532:$I$539,3),PROPER(V470)&amp;" dalam kompetensi "&amp;VLOOKUP(X470,$G$532:$I$539,3)&amp;" dan memiliki kemampuan yang "&amp;W470&amp;" pada kompetensi "&amp;VLOOKUP(Y470,$G$532:$I$539,3)),""))</f>
        <v/>
      </c>
      <c r="AA470" s="343"/>
      <c r="AB470" s="344"/>
      <c r="AC470" s="344"/>
      <c r="AD470" s="344"/>
      <c r="AE470" s="344"/>
      <c r="AF470" s="344"/>
      <c r="AG470" s="344"/>
      <c r="AH470" s="345"/>
      <c r="AI470" s="220" t="str">
        <f t="shared" si="333"/>
        <v/>
      </c>
      <c r="AJ470" s="160" t="str">
        <f>IF(AI470="","",IF(AI470&gt;Data2!$C$12,Data2!$D$11,IF(AI470&gt;Data2!$C$13,Data2!$D$12,IF(AI470&gt;Data2!$C$14,Data2!$D$13,Data2!$D$14))))</f>
        <v/>
      </c>
      <c r="AK470" s="146">
        <f t="shared" si="334"/>
        <v>0</v>
      </c>
      <c r="AL470" s="146">
        <f t="shared" si="335"/>
        <v>0</v>
      </c>
      <c r="AM470" s="147" t="str">
        <f t="shared" si="336"/>
        <v>Mulai meningkat</v>
      </c>
      <c r="AN470" s="147" t="str">
        <f t="shared" si="337"/>
        <v>Mulai meningkat</v>
      </c>
      <c r="AO470" s="146" t="e">
        <f t="shared" si="338"/>
        <v>#N/A</v>
      </c>
      <c r="AP470" s="148" t="e">
        <f t="shared" si="339"/>
        <v>#N/A</v>
      </c>
      <c r="AQ470" s="158" t="str">
        <f>IF('PA-Non'!V358&lt;&gt;"",'PA-Non'!V358,IFERROR("Mempunyai keterampilan yang "&amp;IF(AM470=AN470,PROPER(AN470)&amp;" dalam kompetensi "&amp;VLOOKUP(AO470,$AA$532:$AC$539,3)&amp;", demikian juga dalam kompetensi "&amp;VLOOKUP(AP470,$AA$532:$AC$539,3),PROPER(AM470)&amp;" dalam kompetensi "&amp;VLOOKUP(AO470,$AA$532:$AC$539,3)&amp;" dan "&amp;AN470&amp;" pada kompetensi "&amp;VLOOKUP(AP470,$AA$532:$AC$539,3)),""))</f>
        <v/>
      </c>
      <c r="AR470" s="188"/>
    </row>
    <row r="471" spans="2:44" ht="27.9" customHeight="1" thickBot="1" x14ac:dyDescent="0.35">
      <c r="B471" s="384" t="s">
        <v>189</v>
      </c>
      <c r="C471" s="149" t="str">
        <f t="shared" si="324"/>
        <v/>
      </c>
      <c r="D471" s="150" t="str">
        <f>IF(Data!F466="","",Data!F466)</f>
        <v/>
      </c>
      <c r="E471" s="151" t="str">
        <f>IF(Data!H466="","",Data!H466)</f>
        <v/>
      </c>
      <c r="F471" s="152" t="str">
        <f>IF(Data!I466="","",Data!I466)</f>
        <v/>
      </c>
      <c r="G471" s="343"/>
      <c r="H471" s="344"/>
      <c r="I471" s="344"/>
      <c r="J471" s="344"/>
      <c r="K471" s="344"/>
      <c r="L471" s="344"/>
      <c r="M471" s="344"/>
      <c r="N471" s="345"/>
      <c r="O471" s="157" t="str">
        <f t="shared" si="325"/>
        <v/>
      </c>
      <c r="P471" s="344"/>
      <c r="Q471" s="346"/>
      <c r="R471" s="157" t="str">
        <f t="shared" si="326"/>
        <v/>
      </c>
      <c r="S471" s="159" t="str">
        <f>IF(R471="","",IF(R471&gt;Data2!$C$12,Data2!$D$11,IF(R471&gt;Data2!$C$13,Data2!$D$12,IF(R471&gt;Data2!$C$14,Data2!$D$13,Data2!$D$14))))</f>
        <v/>
      </c>
      <c r="T471" s="144">
        <f t="shared" si="327"/>
        <v>0</v>
      </c>
      <c r="U471" s="144">
        <f t="shared" si="328"/>
        <v>0</v>
      </c>
      <c r="V471" s="144" t="str">
        <f t="shared" si="329"/>
        <v>Mulai berkembang</v>
      </c>
      <c r="W471" s="144" t="str">
        <f t="shared" si="330"/>
        <v>Mulai berkembang</v>
      </c>
      <c r="X471" s="144" t="e">
        <f t="shared" si="331"/>
        <v>#N/A</v>
      </c>
      <c r="Y471" s="145" t="e">
        <f t="shared" si="332"/>
        <v>#N/A</v>
      </c>
      <c r="Z471" s="218" t="str">
        <f>IF('PA-Non'!O359&lt;&gt;"",'PA-Non'!O359,IFERROR("Mempunyai kemampuan yang " &amp;IF(V471=W471,PROPER(W471)&amp;" dalam kompetensi "&amp;VLOOKUP(X471,$G$532:$I$539,3)&amp;" dan kompetensi "&amp;VLOOKUP(Y471,$G$532:$I$539,3),PROPER(V471)&amp;" dalam kompetensi "&amp;VLOOKUP(X471,$G$532:$I$539,3)&amp;" dan memiliki kemampuan yang "&amp;W471&amp;" pada kompetensi "&amp;VLOOKUP(Y471,$G$532:$I$539,3)),""))</f>
        <v/>
      </c>
      <c r="AA471" s="343"/>
      <c r="AB471" s="344"/>
      <c r="AC471" s="344"/>
      <c r="AD471" s="344"/>
      <c r="AE471" s="344"/>
      <c r="AF471" s="344"/>
      <c r="AG471" s="344"/>
      <c r="AH471" s="345"/>
      <c r="AI471" s="220" t="str">
        <f t="shared" si="333"/>
        <v/>
      </c>
      <c r="AJ471" s="160" t="str">
        <f>IF(AI471="","",IF(AI471&gt;Data2!$C$12,Data2!$D$11,IF(AI471&gt;Data2!$C$13,Data2!$D$12,IF(AI471&gt;Data2!$C$14,Data2!$D$13,Data2!$D$14))))</f>
        <v/>
      </c>
      <c r="AK471" s="146">
        <f t="shared" si="334"/>
        <v>0</v>
      </c>
      <c r="AL471" s="146">
        <f t="shared" si="335"/>
        <v>0</v>
      </c>
      <c r="AM471" s="147" t="str">
        <f t="shared" si="336"/>
        <v>Mulai meningkat</v>
      </c>
      <c r="AN471" s="147" t="str">
        <f t="shared" si="337"/>
        <v>Mulai meningkat</v>
      </c>
      <c r="AO471" s="146" t="e">
        <f t="shared" si="338"/>
        <v>#N/A</v>
      </c>
      <c r="AP471" s="148" t="e">
        <f t="shared" si="339"/>
        <v>#N/A</v>
      </c>
      <c r="AQ471" s="158" t="str">
        <f>IF('PA-Non'!V359&lt;&gt;"",'PA-Non'!V359,IFERROR("Mempunyai keterampilan yang "&amp;IF(AM471=AN471,PROPER(AN471)&amp;" dalam kompetensi "&amp;VLOOKUP(AO471,$AA$532:$AC$539,3)&amp;", demikian juga dalam kompetensi "&amp;VLOOKUP(AP471,$AA$532:$AC$539,3),PROPER(AM471)&amp;" dalam kompetensi "&amp;VLOOKUP(AO471,$AA$532:$AC$539,3)&amp;" dan "&amp;AN471&amp;" pada kompetensi "&amp;VLOOKUP(AP471,$AA$532:$AC$539,3)),""))</f>
        <v/>
      </c>
      <c r="AR471" s="188"/>
    </row>
    <row r="472" spans="2:44" ht="27.9" customHeight="1" thickBot="1" x14ac:dyDescent="0.35">
      <c r="B472" s="384" t="s">
        <v>189</v>
      </c>
      <c r="C472" s="149" t="str">
        <f t="shared" si="324"/>
        <v/>
      </c>
      <c r="D472" s="150" t="str">
        <f>IF(Data!F467="","",Data!F467)</f>
        <v/>
      </c>
      <c r="E472" s="151" t="str">
        <f>IF(Data!H467="","",Data!H467)</f>
        <v/>
      </c>
      <c r="F472" s="152" t="str">
        <f>IF(Data!I467="","",Data!I467)</f>
        <v/>
      </c>
      <c r="G472" s="343"/>
      <c r="H472" s="344"/>
      <c r="I472" s="344"/>
      <c r="J472" s="344"/>
      <c r="K472" s="344"/>
      <c r="L472" s="344"/>
      <c r="M472" s="344"/>
      <c r="N472" s="345"/>
      <c r="O472" s="157" t="str">
        <f t="shared" si="325"/>
        <v/>
      </c>
      <c r="P472" s="344"/>
      <c r="Q472" s="346"/>
      <c r="R472" s="157" t="str">
        <f t="shared" si="326"/>
        <v/>
      </c>
      <c r="S472" s="159" t="str">
        <f>IF(R472="","",IF(R472&gt;Data2!$C$12,Data2!$D$11,IF(R472&gt;Data2!$C$13,Data2!$D$12,IF(R472&gt;Data2!$C$14,Data2!$D$13,Data2!$D$14))))</f>
        <v/>
      </c>
      <c r="T472" s="144">
        <f t="shared" si="327"/>
        <v>0</v>
      </c>
      <c r="U472" s="144">
        <f t="shared" si="328"/>
        <v>0</v>
      </c>
      <c r="V472" s="144" t="str">
        <f t="shared" si="329"/>
        <v>Mulai berkembang</v>
      </c>
      <c r="W472" s="144" t="str">
        <f t="shared" si="330"/>
        <v>Mulai berkembang</v>
      </c>
      <c r="X472" s="144" t="e">
        <f t="shared" si="331"/>
        <v>#N/A</v>
      </c>
      <c r="Y472" s="145" t="e">
        <f t="shared" si="332"/>
        <v>#N/A</v>
      </c>
      <c r="Z472" s="218" t="str">
        <f>IF('PA-Non'!O360&lt;&gt;"",'PA-Non'!O360,IFERROR("Mempunyai kemampuan yang " &amp;IF(V472=W472,PROPER(W472)&amp;" dalam kompetensi "&amp;VLOOKUP(X472,$G$532:$I$539,3)&amp;" dan kompetensi "&amp;VLOOKUP(Y472,$G$532:$I$539,3),PROPER(V472)&amp;" dalam kompetensi "&amp;VLOOKUP(X472,$G$532:$I$539,3)&amp;" dan memiliki kemampuan yang "&amp;W472&amp;" pada kompetensi "&amp;VLOOKUP(Y472,$G$532:$I$539,3)),""))</f>
        <v/>
      </c>
      <c r="AA472" s="343"/>
      <c r="AB472" s="344"/>
      <c r="AC472" s="344"/>
      <c r="AD472" s="344"/>
      <c r="AE472" s="344"/>
      <c r="AF472" s="344"/>
      <c r="AG472" s="344"/>
      <c r="AH472" s="345"/>
      <c r="AI472" s="220" t="str">
        <f t="shared" si="333"/>
        <v/>
      </c>
      <c r="AJ472" s="160" t="str">
        <f>IF(AI472="","",IF(AI472&gt;Data2!$C$12,Data2!$D$11,IF(AI472&gt;Data2!$C$13,Data2!$D$12,IF(AI472&gt;Data2!$C$14,Data2!$D$13,Data2!$D$14))))</f>
        <v/>
      </c>
      <c r="AK472" s="146">
        <f t="shared" si="334"/>
        <v>0</v>
      </c>
      <c r="AL472" s="146">
        <f t="shared" si="335"/>
        <v>0</v>
      </c>
      <c r="AM472" s="147" t="str">
        <f t="shared" si="336"/>
        <v>Mulai meningkat</v>
      </c>
      <c r="AN472" s="147" t="str">
        <f t="shared" si="337"/>
        <v>Mulai meningkat</v>
      </c>
      <c r="AO472" s="146" t="e">
        <f t="shared" si="338"/>
        <v>#N/A</v>
      </c>
      <c r="AP472" s="148" t="e">
        <f t="shared" si="339"/>
        <v>#N/A</v>
      </c>
      <c r="AQ472" s="158" t="str">
        <f>IF('PA-Non'!V360&lt;&gt;"",'PA-Non'!V360,IFERROR("Mempunyai keterampilan yang "&amp;IF(AM472=AN472,PROPER(AN472)&amp;" dalam kompetensi "&amp;VLOOKUP(AO472,$AA$532:$AC$539,3)&amp;", demikian juga dalam kompetensi "&amp;VLOOKUP(AP472,$AA$532:$AC$539,3),PROPER(AM472)&amp;" dalam kompetensi "&amp;VLOOKUP(AO472,$AA$532:$AC$539,3)&amp;" dan "&amp;AN472&amp;" pada kompetensi "&amp;VLOOKUP(AP472,$AA$532:$AC$539,3)),""))</f>
        <v/>
      </c>
      <c r="AR472" s="188"/>
    </row>
    <row r="473" spans="2:44" ht="27.9" customHeight="1" thickBot="1" x14ac:dyDescent="0.35">
      <c r="B473" s="384" t="s">
        <v>189</v>
      </c>
      <c r="C473" s="149" t="str">
        <f t="shared" si="324"/>
        <v/>
      </c>
      <c r="D473" s="150" t="str">
        <f>IF(Data!F468="","",Data!F468)</f>
        <v/>
      </c>
      <c r="E473" s="151" t="str">
        <f>IF(Data!H468="","",Data!H468)</f>
        <v/>
      </c>
      <c r="F473" s="152" t="str">
        <f>IF(Data!I468="","",Data!I468)</f>
        <v/>
      </c>
      <c r="G473" s="343"/>
      <c r="H473" s="344"/>
      <c r="I473" s="344"/>
      <c r="J473" s="344"/>
      <c r="K473" s="344"/>
      <c r="L473" s="344"/>
      <c r="M473" s="344"/>
      <c r="N473" s="345"/>
      <c r="O473" s="157" t="str">
        <f t="shared" si="325"/>
        <v/>
      </c>
      <c r="P473" s="344"/>
      <c r="Q473" s="346"/>
      <c r="R473" s="157" t="str">
        <f t="shared" si="326"/>
        <v/>
      </c>
      <c r="S473" s="159" t="str">
        <f>IF(R473="","",IF(R473&gt;Data2!$C$12,Data2!$D$11,IF(R473&gt;Data2!$C$13,Data2!$D$12,IF(R473&gt;Data2!$C$14,Data2!$D$13,Data2!$D$14))))</f>
        <v/>
      </c>
      <c r="T473" s="144">
        <f t="shared" si="327"/>
        <v>0</v>
      </c>
      <c r="U473" s="144">
        <f t="shared" si="328"/>
        <v>0</v>
      </c>
      <c r="V473" s="144" t="str">
        <f t="shared" si="329"/>
        <v>Mulai berkembang</v>
      </c>
      <c r="W473" s="144" t="str">
        <f t="shared" si="330"/>
        <v>Mulai berkembang</v>
      </c>
      <c r="X473" s="144" t="e">
        <f t="shared" si="331"/>
        <v>#N/A</v>
      </c>
      <c r="Y473" s="145" t="e">
        <f t="shared" si="332"/>
        <v>#N/A</v>
      </c>
      <c r="Z473" s="218" t="str">
        <f>IF('PA-Non'!O361&lt;&gt;"",'PA-Non'!O361,IFERROR("Mempunyai kemampuan yang " &amp;IF(V473=W473,PROPER(W473)&amp;" dalam kompetensi "&amp;VLOOKUP(X473,$G$532:$I$539,3)&amp;" dan kompetensi "&amp;VLOOKUP(Y473,$G$532:$I$539,3),PROPER(V473)&amp;" dalam kompetensi "&amp;VLOOKUP(X473,$G$532:$I$539,3)&amp;" dan memiliki kemampuan yang "&amp;W473&amp;" pada kompetensi "&amp;VLOOKUP(Y473,$G$532:$I$539,3)),""))</f>
        <v/>
      </c>
      <c r="AA473" s="343"/>
      <c r="AB473" s="344"/>
      <c r="AC473" s="344"/>
      <c r="AD473" s="344"/>
      <c r="AE473" s="344"/>
      <c r="AF473" s="344"/>
      <c r="AG473" s="344"/>
      <c r="AH473" s="345"/>
      <c r="AI473" s="220" t="str">
        <f t="shared" si="333"/>
        <v/>
      </c>
      <c r="AJ473" s="160" t="str">
        <f>IF(AI473="","",IF(AI473&gt;Data2!$C$12,Data2!$D$11,IF(AI473&gt;Data2!$C$13,Data2!$D$12,IF(AI473&gt;Data2!$C$14,Data2!$D$13,Data2!$D$14))))</f>
        <v/>
      </c>
      <c r="AK473" s="146">
        <f t="shared" si="334"/>
        <v>0</v>
      </c>
      <c r="AL473" s="146">
        <f t="shared" si="335"/>
        <v>0</v>
      </c>
      <c r="AM473" s="147" t="str">
        <f t="shared" si="336"/>
        <v>Mulai meningkat</v>
      </c>
      <c r="AN473" s="147" t="str">
        <f t="shared" si="337"/>
        <v>Mulai meningkat</v>
      </c>
      <c r="AO473" s="146" t="e">
        <f t="shared" si="338"/>
        <v>#N/A</v>
      </c>
      <c r="AP473" s="148" t="e">
        <f t="shared" si="339"/>
        <v>#N/A</v>
      </c>
      <c r="AQ473" s="158" t="str">
        <f>IF('PA-Non'!V361&lt;&gt;"",'PA-Non'!V361,IFERROR("Mempunyai keterampilan yang "&amp;IF(AM473=AN473,PROPER(AN473)&amp;" dalam kompetensi "&amp;VLOOKUP(AO473,$AA$532:$AC$539,3)&amp;", demikian juga dalam kompetensi "&amp;VLOOKUP(AP473,$AA$532:$AC$539,3),PROPER(AM473)&amp;" dalam kompetensi "&amp;VLOOKUP(AO473,$AA$532:$AC$539,3)&amp;" dan "&amp;AN473&amp;" pada kompetensi "&amp;VLOOKUP(AP473,$AA$532:$AC$539,3)),""))</f>
        <v/>
      </c>
      <c r="AR473" s="188"/>
    </row>
    <row r="474" spans="2:44" ht="27.9" customHeight="1" thickBot="1" x14ac:dyDescent="0.35">
      <c r="B474" s="384" t="s">
        <v>189</v>
      </c>
      <c r="C474" s="149" t="str">
        <f t="shared" si="324"/>
        <v/>
      </c>
      <c r="D474" s="150" t="str">
        <f>IF(Data!F469="","",Data!F469)</f>
        <v/>
      </c>
      <c r="E474" s="151" t="str">
        <f>IF(Data!H469="","",Data!H469)</f>
        <v/>
      </c>
      <c r="F474" s="152" t="str">
        <f>IF(Data!I469="","",Data!I469)</f>
        <v/>
      </c>
      <c r="G474" s="343"/>
      <c r="H474" s="344"/>
      <c r="I474" s="344"/>
      <c r="J474" s="344"/>
      <c r="K474" s="344"/>
      <c r="L474" s="344"/>
      <c r="M474" s="344"/>
      <c r="N474" s="345"/>
      <c r="O474" s="157" t="str">
        <f t="shared" si="325"/>
        <v/>
      </c>
      <c r="P474" s="344"/>
      <c r="Q474" s="346"/>
      <c r="R474" s="157" t="str">
        <f t="shared" si="326"/>
        <v/>
      </c>
      <c r="S474" s="159" t="str">
        <f>IF(R474="","",IF(R474&gt;Data2!$C$12,Data2!$D$11,IF(R474&gt;Data2!$C$13,Data2!$D$12,IF(R474&gt;Data2!$C$14,Data2!$D$13,Data2!$D$14))))</f>
        <v/>
      </c>
      <c r="T474" s="144">
        <f t="shared" si="327"/>
        <v>0</v>
      </c>
      <c r="U474" s="144">
        <f t="shared" si="328"/>
        <v>0</v>
      </c>
      <c r="V474" s="144" t="str">
        <f t="shared" si="329"/>
        <v>Mulai berkembang</v>
      </c>
      <c r="W474" s="144" t="str">
        <f t="shared" si="330"/>
        <v>Mulai berkembang</v>
      </c>
      <c r="X474" s="144" t="e">
        <f t="shared" si="331"/>
        <v>#N/A</v>
      </c>
      <c r="Y474" s="145" t="e">
        <f t="shared" si="332"/>
        <v>#N/A</v>
      </c>
      <c r="Z474" s="218" t="str">
        <f>IF('PA-Non'!O362&lt;&gt;"",'PA-Non'!O362,IFERROR("Mempunyai kemampuan yang " &amp;IF(V474=W474,PROPER(W474)&amp;" dalam kompetensi "&amp;VLOOKUP(X474,$G$532:$I$539,3)&amp;" dan kompetensi "&amp;VLOOKUP(Y474,$G$532:$I$539,3),PROPER(V474)&amp;" dalam kompetensi "&amp;VLOOKUP(X474,$G$532:$I$539,3)&amp;" dan memiliki kemampuan yang "&amp;W474&amp;" pada kompetensi "&amp;VLOOKUP(Y474,$G$532:$I$539,3)),""))</f>
        <v/>
      </c>
      <c r="AA474" s="343"/>
      <c r="AB474" s="344"/>
      <c r="AC474" s="344"/>
      <c r="AD474" s="344"/>
      <c r="AE474" s="344"/>
      <c r="AF474" s="344"/>
      <c r="AG474" s="344"/>
      <c r="AH474" s="345"/>
      <c r="AI474" s="220" t="str">
        <f t="shared" si="333"/>
        <v/>
      </c>
      <c r="AJ474" s="160" t="str">
        <f>IF(AI474="","",IF(AI474&gt;Data2!$C$12,Data2!$D$11,IF(AI474&gt;Data2!$C$13,Data2!$D$12,IF(AI474&gt;Data2!$C$14,Data2!$D$13,Data2!$D$14))))</f>
        <v/>
      </c>
      <c r="AK474" s="146">
        <f t="shared" si="334"/>
        <v>0</v>
      </c>
      <c r="AL474" s="146">
        <f t="shared" si="335"/>
        <v>0</v>
      </c>
      <c r="AM474" s="147" t="str">
        <f t="shared" si="336"/>
        <v>Mulai meningkat</v>
      </c>
      <c r="AN474" s="147" t="str">
        <f t="shared" si="337"/>
        <v>Mulai meningkat</v>
      </c>
      <c r="AO474" s="146" t="e">
        <f t="shared" si="338"/>
        <v>#N/A</v>
      </c>
      <c r="AP474" s="148" t="e">
        <f t="shared" si="339"/>
        <v>#N/A</v>
      </c>
      <c r="AQ474" s="158" t="str">
        <f>IF('PA-Non'!V362&lt;&gt;"",'PA-Non'!V362,IFERROR("Mempunyai keterampilan yang "&amp;IF(AM474=AN474,PROPER(AN474)&amp;" dalam kompetensi "&amp;VLOOKUP(AO474,$AA$532:$AC$539,3)&amp;", demikian juga dalam kompetensi "&amp;VLOOKUP(AP474,$AA$532:$AC$539,3),PROPER(AM474)&amp;" dalam kompetensi "&amp;VLOOKUP(AO474,$AA$532:$AC$539,3)&amp;" dan "&amp;AN474&amp;" pada kompetensi "&amp;VLOOKUP(AP474,$AA$532:$AC$539,3)),""))</f>
        <v/>
      </c>
      <c r="AR474" s="188"/>
    </row>
    <row r="475" spans="2:44" ht="27.9" customHeight="1" thickBot="1" x14ac:dyDescent="0.35">
      <c r="B475" s="384" t="s">
        <v>189</v>
      </c>
      <c r="C475" s="149" t="str">
        <f t="shared" si="324"/>
        <v/>
      </c>
      <c r="D475" s="150" t="str">
        <f>IF(Data!F470="","",Data!F470)</f>
        <v/>
      </c>
      <c r="E475" s="151" t="str">
        <f>IF(Data!H470="","",Data!H470)</f>
        <v/>
      </c>
      <c r="F475" s="152" t="str">
        <f>IF(Data!I470="","",Data!I470)</f>
        <v/>
      </c>
      <c r="G475" s="343"/>
      <c r="H475" s="344"/>
      <c r="I475" s="344"/>
      <c r="J475" s="344"/>
      <c r="K475" s="344"/>
      <c r="L475" s="344"/>
      <c r="M475" s="344"/>
      <c r="N475" s="345"/>
      <c r="O475" s="157" t="str">
        <f t="shared" si="325"/>
        <v/>
      </c>
      <c r="P475" s="344"/>
      <c r="Q475" s="346"/>
      <c r="R475" s="157" t="str">
        <f t="shared" si="326"/>
        <v/>
      </c>
      <c r="S475" s="159" t="str">
        <f>IF(R475="","",IF(R475&gt;Data2!$C$12,Data2!$D$11,IF(R475&gt;Data2!$C$13,Data2!$D$12,IF(R475&gt;Data2!$C$14,Data2!$D$13,Data2!$D$14))))</f>
        <v/>
      </c>
      <c r="T475" s="144">
        <f t="shared" si="327"/>
        <v>0</v>
      </c>
      <c r="U475" s="144">
        <f t="shared" si="328"/>
        <v>0</v>
      </c>
      <c r="V475" s="144" t="str">
        <f t="shared" si="329"/>
        <v>Mulai berkembang</v>
      </c>
      <c r="W475" s="144" t="str">
        <f t="shared" si="330"/>
        <v>Mulai berkembang</v>
      </c>
      <c r="X475" s="144" t="e">
        <f t="shared" si="331"/>
        <v>#N/A</v>
      </c>
      <c r="Y475" s="145" t="e">
        <f t="shared" si="332"/>
        <v>#N/A</v>
      </c>
      <c r="Z475" s="218" t="str">
        <f>IF('PA-Non'!O363&lt;&gt;"",'PA-Non'!O363,IFERROR("Mempunyai kemampuan yang " &amp;IF(V475=W475,PROPER(W475)&amp;" dalam kompetensi "&amp;VLOOKUP(X475,$G$532:$I$539,3)&amp;" dan kompetensi "&amp;VLOOKUP(Y475,$G$532:$I$539,3),PROPER(V475)&amp;" dalam kompetensi "&amp;VLOOKUP(X475,$G$532:$I$539,3)&amp;" dan memiliki kemampuan yang "&amp;W475&amp;" pada kompetensi "&amp;VLOOKUP(Y475,$G$532:$I$539,3)),""))</f>
        <v/>
      </c>
      <c r="AA475" s="343"/>
      <c r="AB475" s="344"/>
      <c r="AC475" s="344"/>
      <c r="AD475" s="344"/>
      <c r="AE475" s="344"/>
      <c r="AF475" s="344"/>
      <c r="AG475" s="344"/>
      <c r="AH475" s="345"/>
      <c r="AI475" s="220" t="str">
        <f t="shared" si="333"/>
        <v/>
      </c>
      <c r="AJ475" s="160" t="str">
        <f>IF(AI475="","",IF(AI475&gt;Data2!$C$12,Data2!$D$11,IF(AI475&gt;Data2!$C$13,Data2!$D$12,IF(AI475&gt;Data2!$C$14,Data2!$D$13,Data2!$D$14))))</f>
        <v/>
      </c>
      <c r="AK475" s="146">
        <f t="shared" si="334"/>
        <v>0</v>
      </c>
      <c r="AL475" s="146">
        <f t="shared" si="335"/>
        <v>0</v>
      </c>
      <c r="AM475" s="147" t="str">
        <f t="shared" si="336"/>
        <v>Mulai meningkat</v>
      </c>
      <c r="AN475" s="147" t="str">
        <f t="shared" si="337"/>
        <v>Mulai meningkat</v>
      </c>
      <c r="AO475" s="146" t="e">
        <f t="shared" si="338"/>
        <v>#N/A</v>
      </c>
      <c r="AP475" s="148" t="e">
        <f t="shared" si="339"/>
        <v>#N/A</v>
      </c>
      <c r="AQ475" s="158" t="str">
        <f>IF('PA-Non'!V363&lt;&gt;"",'PA-Non'!V363,IFERROR("Mempunyai keterampilan yang "&amp;IF(AM475=AN475,PROPER(AN475)&amp;" dalam kompetensi "&amp;VLOOKUP(AO475,$AA$532:$AC$539,3)&amp;", demikian juga dalam kompetensi "&amp;VLOOKUP(AP475,$AA$532:$AC$539,3),PROPER(AM475)&amp;" dalam kompetensi "&amp;VLOOKUP(AO475,$AA$532:$AC$539,3)&amp;" dan "&amp;AN475&amp;" pada kompetensi "&amp;VLOOKUP(AP475,$AA$532:$AC$539,3)),""))</f>
        <v/>
      </c>
      <c r="AR475" s="188"/>
    </row>
    <row r="476" spans="2:44" ht="27.9" customHeight="1" thickBot="1" x14ac:dyDescent="0.35">
      <c r="B476" s="384" t="s">
        <v>189</v>
      </c>
      <c r="C476" s="149" t="str">
        <f t="shared" si="324"/>
        <v/>
      </c>
      <c r="D476" s="150" t="str">
        <f>IF(Data!F471="","",Data!F471)</f>
        <v/>
      </c>
      <c r="E476" s="151" t="str">
        <f>IF(Data!H471="","",Data!H471)</f>
        <v/>
      </c>
      <c r="F476" s="152" t="str">
        <f>IF(Data!I471="","",Data!I471)</f>
        <v/>
      </c>
      <c r="G476" s="343"/>
      <c r="H476" s="344"/>
      <c r="I476" s="344"/>
      <c r="J476" s="344"/>
      <c r="K476" s="344"/>
      <c r="L476" s="344"/>
      <c r="M476" s="344"/>
      <c r="N476" s="345"/>
      <c r="O476" s="157" t="str">
        <f t="shared" si="325"/>
        <v/>
      </c>
      <c r="P476" s="344"/>
      <c r="Q476" s="346"/>
      <c r="R476" s="157" t="str">
        <f t="shared" si="326"/>
        <v/>
      </c>
      <c r="S476" s="159" t="str">
        <f>IF(R476="","",IF(R476&gt;Data2!$C$12,Data2!$D$11,IF(R476&gt;Data2!$C$13,Data2!$D$12,IF(R476&gt;Data2!$C$14,Data2!$D$13,Data2!$D$14))))</f>
        <v/>
      </c>
      <c r="T476" s="144">
        <f t="shared" si="327"/>
        <v>0</v>
      </c>
      <c r="U476" s="144">
        <f t="shared" si="328"/>
        <v>0</v>
      </c>
      <c r="V476" s="144" t="str">
        <f t="shared" si="329"/>
        <v>Mulai berkembang</v>
      </c>
      <c r="W476" s="144" t="str">
        <f t="shared" si="330"/>
        <v>Mulai berkembang</v>
      </c>
      <c r="X476" s="144" t="e">
        <f t="shared" si="331"/>
        <v>#N/A</v>
      </c>
      <c r="Y476" s="145" t="e">
        <f t="shared" si="332"/>
        <v>#N/A</v>
      </c>
      <c r="Z476" s="218" t="str">
        <f>IF('PA-Non'!O364&lt;&gt;"",'PA-Non'!O364,IFERROR("Mempunyai kemampuan yang " &amp;IF(V476=W476,PROPER(W476)&amp;" dalam kompetensi "&amp;VLOOKUP(X476,$G$532:$I$539,3)&amp;" dan kompetensi "&amp;VLOOKUP(Y476,$G$532:$I$539,3),PROPER(V476)&amp;" dalam kompetensi "&amp;VLOOKUP(X476,$G$532:$I$539,3)&amp;" dan memiliki kemampuan yang "&amp;W476&amp;" pada kompetensi "&amp;VLOOKUP(Y476,$G$532:$I$539,3)),""))</f>
        <v/>
      </c>
      <c r="AA476" s="343"/>
      <c r="AB476" s="344"/>
      <c r="AC476" s="344"/>
      <c r="AD476" s="344"/>
      <c r="AE476" s="344"/>
      <c r="AF476" s="344"/>
      <c r="AG476" s="344"/>
      <c r="AH476" s="345"/>
      <c r="AI476" s="220" t="str">
        <f t="shared" si="333"/>
        <v/>
      </c>
      <c r="AJ476" s="160" t="str">
        <f>IF(AI476="","",IF(AI476&gt;Data2!$C$12,Data2!$D$11,IF(AI476&gt;Data2!$C$13,Data2!$D$12,IF(AI476&gt;Data2!$C$14,Data2!$D$13,Data2!$D$14))))</f>
        <v/>
      </c>
      <c r="AK476" s="146">
        <f t="shared" si="334"/>
        <v>0</v>
      </c>
      <c r="AL476" s="146">
        <f t="shared" si="335"/>
        <v>0</v>
      </c>
      <c r="AM476" s="147" t="str">
        <f t="shared" si="336"/>
        <v>Mulai meningkat</v>
      </c>
      <c r="AN476" s="147" t="str">
        <f t="shared" si="337"/>
        <v>Mulai meningkat</v>
      </c>
      <c r="AO476" s="146" t="e">
        <f t="shared" si="338"/>
        <v>#N/A</v>
      </c>
      <c r="AP476" s="148" t="e">
        <f t="shared" si="339"/>
        <v>#N/A</v>
      </c>
      <c r="AQ476" s="158" t="str">
        <f>IF('PA-Non'!V364&lt;&gt;"",'PA-Non'!V364,IFERROR("Mempunyai keterampilan yang "&amp;IF(AM476=AN476,PROPER(AN476)&amp;" dalam kompetensi "&amp;VLOOKUP(AO476,$AA$532:$AC$539,3)&amp;", demikian juga dalam kompetensi "&amp;VLOOKUP(AP476,$AA$532:$AC$539,3),PROPER(AM476)&amp;" dalam kompetensi "&amp;VLOOKUP(AO476,$AA$532:$AC$539,3)&amp;" dan "&amp;AN476&amp;" pada kompetensi "&amp;VLOOKUP(AP476,$AA$532:$AC$539,3)),""))</f>
        <v/>
      </c>
      <c r="AR476" s="188"/>
    </row>
    <row r="477" spans="2:44" ht="27.9" customHeight="1" thickBot="1" x14ac:dyDescent="0.35">
      <c r="B477" s="384" t="s">
        <v>189</v>
      </c>
      <c r="C477" s="149" t="str">
        <f t="shared" si="324"/>
        <v/>
      </c>
      <c r="D477" s="150" t="str">
        <f>IF(Data!F472="","",Data!F472)</f>
        <v/>
      </c>
      <c r="E477" s="151" t="str">
        <f>IF(Data!H472="","",Data!H472)</f>
        <v/>
      </c>
      <c r="F477" s="152" t="str">
        <f>IF(Data!I472="","",Data!I472)</f>
        <v/>
      </c>
      <c r="G477" s="343"/>
      <c r="H477" s="344"/>
      <c r="I477" s="344"/>
      <c r="J477" s="344"/>
      <c r="K477" s="344"/>
      <c r="L477" s="344"/>
      <c r="M477" s="344"/>
      <c r="N477" s="345"/>
      <c r="O477" s="157" t="str">
        <f t="shared" si="325"/>
        <v/>
      </c>
      <c r="P477" s="344"/>
      <c r="Q477" s="346"/>
      <c r="R477" s="157" t="str">
        <f t="shared" si="326"/>
        <v/>
      </c>
      <c r="S477" s="159" t="str">
        <f>IF(R477="","",IF(R477&gt;Data2!$C$12,Data2!$D$11,IF(R477&gt;Data2!$C$13,Data2!$D$12,IF(R477&gt;Data2!$C$14,Data2!$D$13,Data2!$D$14))))</f>
        <v/>
      </c>
      <c r="T477" s="144">
        <f t="shared" si="327"/>
        <v>0</v>
      </c>
      <c r="U477" s="144">
        <f t="shared" si="328"/>
        <v>0</v>
      </c>
      <c r="V477" s="144" t="str">
        <f t="shared" si="329"/>
        <v>Mulai berkembang</v>
      </c>
      <c r="W477" s="144" t="str">
        <f t="shared" si="330"/>
        <v>Mulai berkembang</v>
      </c>
      <c r="X477" s="144" t="e">
        <f t="shared" si="331"/>
        <v>#N/A</v>
      </c>
      <c r="Y477" s="145" t="e">
        <f t="shared" si="332"/>
        <v>#N/A</v>
      </c>
      <c r="Z477" s="218" t="str">
        <f>IF('PA-Non'!O365&lt;&gt;"",'PA-Non'!O365,IFERROR("Mempunyai kemampuan yang " &amp;IF(V477=W477,PROPER(W477)&amp;" dalam kompetensi "&amp;VLOOKUP(X477,$G$532:$I$539,3)&amp;" dan kompetensi "&amp;VLOOKUP(Y477,$G$532:$I$539,3),PROPER(V477)&amp;" dalam kompetensi "&amp;VLOOKUP(X477,$G$532:$I$539,3)&amp;" dan memiliki kemampuan yang "&amp;W477&amp;" pada kompetensi "&amp;VLOOKUP(Y477,$G$532:$I$539,3)),""))</f>
        <v/>
      </c>
      <c r="AA477" s="343"/>
      <c r="AB477" s="344"/>
      <c r="AC477" s="344"/>
      <c r="AD477" s="344"/>
      <c r="AE477" s="344"/>
      <c r="AF477" s="344"/>
      <c r="AG477" s="344"/>
      <c r="AH477" s="345"/>
      <c r="AI477" s="220" t="str">
        <f t="shared" si="333"/>
        <v/>
      </c>
      <c r="AJ477" s="160" t="str">
        <f>IF(AI477="","",IF(AI477&gt;Data2!$C$12,Data2!$D$11,IF(AI477&gt;Data2!$C$13,Data2!$D$12,IF(AI477&gt;Data2!$C$14,Data2!$D$13,Data2!$D$14))))</f>
        <v/>
      </c>
      <c r="AK477" s="146">
        <f t="shared" si="334"/>
        <v>0</v>
      </c>
      <c r="AL477" s="146">
        <f t="shared" si="335"/>
        <v>0</v>
      </c>
      <c r="AM477" s="147" t="str">
        <f t="shared" si="336"/>
        <v>Mulai meningkat</v>
      </c>
      <c r="AN477" s="147" t="str">
        <f t="shared" si="337"/>
        <v>Mulai meningkat</v>
      </c>
      <c r="AO477" s="146" t="e">
        <f t="shared" si="338"/>
        <v>#N/A</v>
      </c>
      <c r="AP477" s="148" t="e">
        <f t="shared" si="339"/>
        <v>#N/A</v>
      </c>
      <c r="AQ477" s="158" t="str">
        <f>IF('PA-Non'!V365&lt;&gt;"",'PA-Non'!V365,IFERROR("Mempunyai keterampilan yang "&amp;IF(AM477=AN477,PROPER(AN477)&amp;" dalam kompetensi "&amp;VLOOKUP(AO477,$AA$532:$AC$539,3)&amp;", demikian juga dalam kompetensi "&amp;VLOOKUP(AP477,$AA$532:$AC$539,3),PROPER(AM477)&amp;" dalam kompetensi "&amp;VLOOKUP(AO477,$AA$532:$AC$539,3)&amp;" dan "&amp;AN477&amp;" pada kompetensi "&amp;VLOOKUP(AP477,$AA$532:$AC$539,3)),""))</f>
        <v/>
      </c>
      <c r="AR477" s="188"/>
    </row>
    <row r="478" spans="2:44" ht="27.9" customHeight="1" thickBot="1" x14ac:dyDescent="0.35">
      <c r="B478" s="384" t="s">
        <v>189</v>
      </c>
      <c r="C478" s="149" t="str">
        <f t="shared" si="324"/>
        <v/>
      </c>
      <c r="D478" s="150" t="str">
        <f>IF(Data!F473="","",Data!F473)</f>
        <v/>
      </c>
      <c r="E478" s="151" t="str">
        <f>IF(Data!H473="","",Data!H473)</f>
        <v/>
      </c>
      <c r="F478" s="152" t="str">
        <f>IF(Data!I473="","",Data!I473)</f>
        <v/>
      </c>
      <c r="G478" s="343"/>
      <c r="H478" s="344"/>
      <c r="I478" s="344"/>
      <c r="J478" s="344"/>
      <c r="K478" s="344"/>
      <c r="L478" s="344"/>
      <c r="M478" s="344"/>
      <c r="N478" s="345"/>
      <c r="O478" s="157" t="str">
        <f t="shared" si="325"/>
        <v/>
      </c>
      <c r="P478" s="344"/>
      <c r="Q478" s="346"/>
      <c r="R478" s="157" t="str">
        <f t="shared" si="326"/>
        <v/>
      </c>
      <c r="S478" s="159" t="str">
        <f>IF(R478="","",IF(R478&gt;Data2!$C$12,Data2!$D$11,IF(R478&gt;Data2!$C$13,Data2!$D$12,IF(R478&gt;Data2!$C$14,Data2!$D$13,Data2!$D$14))))</f>
        <v/>
      </c>
      <c r="T478" s="144">
        <f t="shared" si="327"/>
        <v>0</v>
      </c>
      <c r="U478" s="144">
        <f t="shared" si="328"/>
        <v>0</v>
      </c>
      <c r="V478" s="144" t="str">
        <f t="shared" si="329"/>
        <v>Mulai berkembang</v>
      </c>
      <c r="W478" s="144" t="str">
        <f t="shared" si="330"/>
        <v>Mulai berkembang</v>
      </c>
      <c r="X478" s="144" t="e">
        <f t="shared" si="331"/>
        <v>#N/A</v>
      </c>
      <c r="Y478" s="145" t="e">
        <f t="shared" si="332"/>
        <v>#N/A</v>
      </c>
      <c r="Z478" s="218" t="str">
        <f>IF('PA-Non'!O366&lt;&gt;"",'PA-Non'!O366,IFERROR("Mempunyai kemampuan yang " &amp;IF(V478=W478,PROPER(W478)&amp;" dalam kompetensi "&amp;VLOOKUP(X478,$G$532:$I$539,3)&amp;" dan kompetensi "&amp;VLOOKUP(Y478,$G$532:$I$539,3),PROPER(V478)&amp;" dalam kompetensi "&amp;VLOOKUP(X478,$G$532:$I$539,3)&amp;" dan memiliki kemampuan yang "&amp;W478&amp;" pada kompetensi "&amp;VLOOKUP(Y478,$G$532:$I$539,3)),""))</f>
        <v/>
      </c>
      <c r="AA478" s="343"/>
      <c r="AB478" s="344"/>
      <c r="AC478" s="344"/>
      <c r="AD478" s="344"/>
      <c r="AE478" s="344"/>
      <c r="AF478" s="344"/>
      <c r="AG478" s="344"/>
      <c r="AH478" s="345"/>
      <c r="AI478" s="220" t="str">
        <f t="shared" si="333"/>
        <v/>
      </c>
      <c r="AJ478" s="160" t="str">
        <f>IF(AI478="","",IF(AI478&gt;Data2!$C$12,Data2!$D$11,IF(AI478&gt;Data2!$C$13,Data2!$D$12,IF(AI478&gt;Data2!$C$14,Data2!$D$13,Data2!$D$14))))</f>
        <v/>
      </c>
      <c r="AK478" s="146">
        <f t="shared" si="334"/>
        <v>0</v>
      </c>
      <c r="AL478" s="146">
        <f t="shared" si="335"/>
        <v>0</v>
      </c>
      <c r="AM478" s="147" t="str">
        <f t="shared" si="336"/>
        <v>Mulai meningkat</v>
      </c>
      <c r="AN478" s="147" t="str">
        <f t="shared" si="337"/>
        <v>Mulai meningkat</v>
      </c>
      <c r="AO478" s="146" t="e">
        <f t="shared" si="338"/>
        <v>#N/A</v>
      </c>
      <c r="AP478" s="148" t="e">
        <f t="shared" si="339"/>
        <v>#N/A</v>
      </c>
      <c r="AQ478" s="158" t="str">
        <f>IF('PA-Non'!V366&lt;&gt;"",'PA-Non'!V366,IFERROR("Mempunyai keterampilan yang "&amp;IF(AM478=AN478,PROPER(AN478)&amp;" dalam kompetensi "&amp;VLOOKUP(AO478,$AA$532:$AC$539,3)&amp;", demikian juga dalam kompetensi "&amp;VLOOKUP(AP478,$AA$532:$AC$539,3),PROPER(AM478)&amp;" dalam kompetensi "&amp;VLOOKUP(AO478,$AA$532:$AC$539,3)&amp;" dan "&amp;AN478&amp;" pada kompetensi "&amp;VLOOKUP(AP478,$AA$532:$AC$539,3)),""))</f>
        <v/>
      </c>
      <c r="AR478" s="188"/>
    </row>
    <row r="479" spans="2:44" ht="27.9" customHeight="1" thickBot="1" x14ac:dyDescent="0.35">
      <c r="B479" s="384" t="s">
        <v>189</v>
      </c>
      <c r="C479" s="149" t="str">
        <f t="shared" si="324"/>
        <v/>
      </c>
      <c r="D479" s="150" t="str">
        <f>IF(Data!F474="","",Data!F474)</f>
        <v/>
      </c>
      <c r="E479" s="151" t="str">
        <f>IF(Data!H474="","",Data!H474)</f>
        <v/>
      </c>
      <c r="F479" s="152" t="str">
        <f>IF(Data!I474="","",Data!I474)</f>
        <v/>
      </c>
      <c r="G479" s="343"/>
      <c r="H479" s="344"/>
      <c r="I479" s="344"/>
      <c r="J479" s="344"/>
      <c r="K479" s="344"/>
      <c r="L479" s="344"/>
      <c r="M479" s="344"/>
      <c r="N479" s="345"/>
      <c r="O479" s="157" t="str">
        <f t="shared" si="325"/>
        <v/>
      </c>
      <c r="P479" s="344"/>
      <c r="Q479" s="346"/>
      <c r="R479" s="157" t="str">
        <f t="shared" si="326"/>
        <v/>
      </c>
      <c r="S479" s="159" t="str">
        <f>IF(R479="","",IF(R479&gt;Data2!$C$12,Data2!$D$11,IF(R479&gt;Data2!$C$13,Data2!$D$12,IF(R479&gt;Data2!$C$14,Data2!$D$13,Data2!$D$14))))</f>
        <v/>
      </c>
      <c r="T479" s="144">
        <f t="shared" si="327"/>
        <v>0</v>
      </c>
      <c r="U479" s="144">
        <f t="shared" si="328"/>
        <v>0</v>
      </c>
      <c r="V479" s="144" t="str">
        <f t="shared" si="329"/>
        <v>Mulai berkembang</v>
      </c>
      <c r="W479" s="144" t="str">
        <f t="shared" si="330"/>
        <v>Mulai berkembang</v>
      </c>
      <c r="X479" s="144" t="e">
        <f t="shared" si="331"/>
        <v>#N/A</v>
      </c>
      <c r="Y479" s="145" t="e">
        <f t="shared" si="332"/>
        <v>#N/A</v>
      </c>
      <c r="Z479" s="218" t="str">
        <f>IF('PA-Non'!O367&lt;&gt;"",'PA-Non'!O367,IFERROR("Mempunyai kemampuan yang " &amp;IF(V479=W479,PROPER(W479)&amp;" dalam kompetensi "&amp;VLOOKUP(X479,$G$532:$I$539,3)&amp;" dan kompetensi "&amp;VLOOKUP(Y479,$G$532:$I$539,3),PROPER(V479)&amp;" dalam kompetensi "&amp;VLOOKUP(X479,$G$532:$I$539,3)&amp;" dan memiliki kemampuan yang "&amp;W479&amp;" pada kompetensi "&amp;VLOOKUP(Y479,$G$532:$I$539,3)),""))</f>
        <v/>
      </c>
      <c r="AA479" s="343"/>
      <c r="AB479" s="344"/>
      <c r="AC479" s="344"/>
      <c r="AD479" s="344"/>
      <c r="AE479" s="344"/>
      <c r="AF479" s="344"/>
      <c r="AG479" s="344"/>
      <c r="AH479" s="345"/>
      <c r="AI479" s="220" t="str">
        <f t="shared" si="333"/>
        <v/>
      </c>
      <c r="AJ479" s="160" t="str">
        <f>IF(AI479="","",IF(AI479&gt;Data2!$C$12,Data2!$D$11,IF(AI479&gt;Data2!$C$13,Data2!$D$12,IF(AI479&gt;Data2!$C$14,Data2!$D$13,Data2!$D$14))))</f>
        <v/>
      </c>
      <c r="AK479" s="146">
        <f t="shared" si="334"/>
        <v>0</v>
      </c>
      <c r="AL479" s="146">
        <f t="shared" si="335"/>
        <v>0</v>
      </c>
      <c r="AM479" s="147" t="str">
        <f t="shared" si="336"/>
        <v>Mulai meningkat</v>
      </c>
      <c r="AN479" s="147" t="str">
        <f t="shared" si="337"/>
        <v>Mulai meningkat</v>
      </c>
      <c r="AO479" s="146" t="e">
        <f t="shared" si="338"/>
        <v>#N/A</v>
      </c>
      <c r="AP479" s="148" t="e">
        <f t="shared" si="339"/>
        <v>#N/A</v>
      </c>
      <c r="AQ479" s="158" t="str">
        <f>IF('PA-Non'!V367&lt;&gt;"",'PA-Non'!V367,IFERROR("Mempunyai keterampilan yang "&amp;IF(AM479=AN479,PROPER(AN479)&amp;" dalam kompetensi "&amp;VLOOKUP(AO479,$AA$532:$AC$539,3)&amp;", demikian juga dalam kompetensi "&amp;VLOOKUP(AP479,$AA$532:$AC$539,3),PROPER(AM479)&amp;" dalam kompetensi "&amp;VLOOKUP(AO479,$AA$532:$AC$539,3)&amp;" dan "&amp;AN479&amp;" pada kompetensi "&amp;VLOOKUP(AP479,$AA$532:$AC$539,3)),""))</f>
        <v/>
      </c>
      <c r="AR479" s="188"/>
    </row>
    <row r="480" spans="2:44" ht="27.9" customHeight="1" thickBot="1" x14ac:dyDescent="0.35">
      <c r="B480" s="384" t="s">
        <v>189</v>
      </c>
      <c r="C480" s="149" t="str">
        <f t="shared" si="324"/>
        <v/>
      </c>
      <c r="D480" s="150" t="str">
        <f>IF(Data!F475="","",Data!F475)</f>
        <v/>
      </c>
      <c r="E480" s="151" t="str">
        <f>IF(Data!H475="","",Data!H475)</f>
        <v/>
      </c>
      <c r="F480" s="152" t="str">
        <f>IF(Data!I475="","",Data!I475)</f>
        <v/>
      </c>
      <c r="G480" s="343"/>
      <c r="H480" s="344"/>
      <c r="I480" s="344"/>
      <c r="J480" s="344"/>
      <c r="K480" s="344"/>
      <c r="L480" s="344"/>
      <c r="M480" s="344"/>
      <c r="N480" s="345"/>
      <c r="O480" s="157" t="str">
        <f t="shared" si="325"/>
        <v/>
      </c>
      <c r="P480" s="344"/>
      <c r="Q480" s="346"/>
      <c r="R480" s="157" t="str">
        <f t="shared" si="326"/>
        <v/>
      </c>
      <c r="S480" s="159" t="str">
        <f>IF(R480="","",IF(R480&gt;Data2!$C$12,Data2!$D$11,IF(R480&gt;Data2!$C$13,Data2!$D$12,IF(R480&gt;Data2!$C$14,Data2!$D$13,Data2!$D$14))))</f>
        <v/>
      </c>
      <c r="T480" s="144">
        <f t="shared" si="327"/>
        <v>0</v>
      </c>
      <c r="U480" s="144">
        <f t="shared" si="328"/>
        <v>0</v>
      </c>
      <c r="V480" s="144" t="str">
        <f t="shared" si="329"/>
        <v>Mulai berkembang</v>
      </c>
      <c r="W480" s="144" t="str">
        <f t="shared" si="330"/>
        <v>Mulai berkembang</v>
      </c>
      <c r="X480" s="144" t="e">
        <f t="shared" si="331"/>
        <v>#N/A</v>
      </c>
      <c r="Y480" s="145" t="e">
        <f t="shared" si="332"/>
        <v>#N/A</v>
      </c>
      <c r="Z480" s="218" t="str">
        <f>IF('PA-Non'!O368&lt;&gt;"",'PA-Non'!O368,IFERROR("Mempunyai kemampuan yang " &amp;IF(V480=W480,PROPER(W480)&amp;" dalam kompetensi "&amp;VLOOKUP(X480,$G$532:$I$539,3)&amp;" dan kompetensi "&amp;VLOOKUP(Y480,$G$532:$I$539,3),PROPER(V480)&amp;" dalam kompetensi "&amp;VLOOKUP(X480,$G$532:$I$539,3)&amp;" dan memiliki kemampuan yang "&amp;W480&amp;" pada kompetensi "&amp;VLOOKUP(Y480,$G$532:$I$539,3)),""))</f>
        <v/>
      </c>
      <c r="AA480" s="343"/>
      <c r="AB480" s="344"/>
      <c r="AC480" s="344"/>
      <c r="AD480" s="344"/>
      <c r="AE480" s="344"/>
      <c r="AF480" s="344"/>
      <c r="AG480" s="344"/>
      <c r="AH480" s="345"/>
      <c r="AI480" s="220" t="str">
        <f t="shared" si="333"/>
        <v/>
      </c>
      <c r="AJ480" s="160" t="str">
        <f>IF(AI480="","",IF(AI480&gt;Data2!$C$12,Data2!$D$11,IF(AI480&gt;Data2!$C$13,Data2!$D$12,IF(AI480&gt;Data2!$C$14,Data2!$D$13,Data2!$D$14))))</f>
        <v/>
      </c>
      <c r="AK480" s="146">
        <f t="shared" si="334"/>
        <v>0</v>
      </c>
      <c r="AL480" s="146">
        <f t="shared" si="335"/>
        <v>0</v>
      </c>
      <c r="AM480" s="147" t="str">
        <f t="shared" si="336"/>
        <v>Mulai meningkat</v>
      </c>
      <c r="AN480" s="147" t="str">
        <f t="shared" si="337"/>
        <v>Mulai meningkat</v>
      </c>
      <c r="AO480" s="146" t="e">
        <f t="shared" si="338"/>
        <v>#N/A</v>
      </c>
      <c r="AP480" s="148" t="e">
        <f t="shared" si="339"/>
        <v>#N/A</v>
      </c>
      <c r="AQ480" s="158" t="str">
        <f>IF('PA-Non'!V368&lt;&gt;"",'PA-Non'!V368,IFERROR("Mempunyai keterampilan yang "&amp;IF(AM480=AN480,PROPER(AN480)&amp;" dalam kompetensi "&amp;VLOOKUP(AO480,$AA$532:$AC$539,3)&amp;", demikian juga dalam kompetensi "&amp;VLOOKUP(AP480,$AA$532:$AC$539,3),PROPER(AM480)&amp;" dalam kompetensi "&amp;VLOOKUP(AO480,$AA$532:$AC$539,3)&amp;" dan "&amp;AN480&amp;" pada kompetensi "&amp;VLOOKUP(AP480,$AA$532:$AC$539,3)),""))</f>
        <v/>
      </c>
      <c r="AR480" s="188"/>
    </row>
    <row r="481" spans="2:44" ht="27.9" customHeight="1" thickBot="1" x14ac:dyDescent="0.35">
      <c r="B481" s="384" t="s">
        <v>189</v>
      </c>
      <c r="C481" s="149" t="str">
        <f t="shared" si="324"/>
        <v/>
      </c>
      <c r="D481" s="150" t="str">
        <f>IF(Data!F476="","",Data!F476)</f>
        <v/>
      </c>
      <c r="E481" s="151" t="str">
        <f>IF(Data!H476="","",Data!H476)</f>
        <v/>
      </c>
      <c r="F481" s="152" t="str">
        <f>IF(Data!I476="","",Data!I476)</f>
        <v/>
      </c>
      <c r="G481" s="343"/>
      <c r="H481" s="344"/>
      <c r="I481" s="344"/>
      <c r="J481" s="344"/>
      <c r="K481" s="344"/>
      <c r="L481" s="344"/>
      <c r="M481" s="344"/>
      <c r="N481" s="345"/>
      <c r="O481" s="157" t="str">
        <f t="shared" si="325"/>
        <v/>
      </c>
      <c r="P481" s="344"/>
      <c r="Q481" s="346"/>
      <c r="R481" s="157" t="str">
        <f t="shared" si="326"/>
        <v/>
      </c>
      <c r="S481" s="159" t="str">
        <f>IF(R481="","",IF(R481&gt;Data2!$C$12,Data2!$D$11,IF(R481&gt;Data2!$C$13,Data2!$D$12,IF(R481&gt;Data2!$C$14,Data2!$D$13,Data2!$D$14))))</f>
        <v/>
      </c>
      <c r="T481" s="144">
        <f t="shared" si="327"/>
        <v>0</v>
      </c>
      <c r="U481" s="144">
        <f t="shared" si="328"/>
        <v>0</v>
      </c>
      <c r="V481" s="144" t="str">
        <f t="shared" si="329"/>
        <v>Mulai berkembang</v>
      </c>
      <c r="W481" s="144" t="str">
        <f t="shared" si="330"/>
        <v>Mulai berkembang</v>
      </c>
      <c r="X481" s="144" t="e">
        <f t="shared" si="331"/>
        <v>#N/A</v>
      </c>
      <c r="Y481" s="145" t="e">
        <f t="shared" si="332"/>
        <v>#N/A</v>
      </c>
      <c r="Z481" s="218" t="str">
        <f>IF('PA-Non'!O369&lt;&gt;"",'PA-Non'!O369,IFERROR("Mempunyai kemampuan yang " &amp;IF(V481=W481,PROPER(W481)&amp;" dalam kompetensi "&amp;VLOOKUP(X481,$G$532:$I$539,3)&amp;" dan kompetensi "&amp;VLOOKUP(Y481,$G$532:$I$539,3),PROPER(V481)&amp;" dalam kompetensi "&amp;VLOOKUP(X481,$G$532:$I$539,3)&amp;" dan memiliki kemampuan yang "&amp;W481&amp;" pada kompetensi "&amp;VLOOKUP(Y481,$G$532:$I$539,3)),""))</f>
        <v/>
      </c>
      <c r="AA481" s="343"/>
      <c r="AB481" s="344"/>
      <c r="AC481" s="344"/>
      <c r="AD481" s="344"/>
      <c r="AE481" s="344"/>
      <c r="AF481" s="344"/>
      <c r="AG481" s="344"/>
      <c r="AH481" s="345"/>
      <c r="AI481" s="220" t="str">
        <f t="shared" si="333"/>
        <v/>
      </c>
      <c r="AJ481" s="160" t="str">
        <f>IF(AI481="","",IF(AI481&gt;Data2!$C$12,Data2!$D$11,IF(AI481&gt;Data2!$C$13,Data2!$D$12,IF(AI481&gt;Data2!$C$14,Data2!$D$13,Data2!$D$14))))</f>
        <v/>
      </c>
      <c r="AK481" s="146">
        <f t="shared" si="334"/>
        <v>0</v>
      </c>
      <c r="AL481" s="146">
        <f t="shared" si="335"/>
        <v>0</v>
      </c>
      <c r="AM481" s="147" t="str">
        <f t="shared" si="336"/>
        <v>Mulai meningkat</v>
      </c>
      <c r="AN481" s="147" t="str">
        <f t="shared" si="337"/>
        <v>Mulai meningkat</v>
      </c>
      <c r="AO481" s="146" t="e">
        <f t="shared" si="338"/>
        <v>#N/A</v>
      </c>
      <c r="AP481" s="148" t="e">
        <f t="shared" si="339"/>
        <v>#N/A</v>
      </c>
      <c r="AQ481" s="158" t="str">
        <f>IF('PA-Non'!V369&lt;&gt;"",'PA-Non'!V369,IFERROR("Mempunyai keterampilan yang "&amp;IF(AM481=AN481,PROPER(AN481)&amp;" dalam kompetensi "&amp;VLOOKUP(AO481,$AA$532:$AC$539,3)&amp;", demikian juga dalam kompetensi "&amp;VLOOKUP(AP481,$AA$532:$AC$539,3),PROPER(AM481)&amp;" dalam kompetensi "&amp;VLOOKUP(AO481,$AA$532:$AC$539,3)&amp;" dan "&amp;AN481&amp;" pada kompetensi "&amp;VLOOKUP(AP481,$AA$532:$AC$539,3)),""))</f>
        <v/>
      </c>
      <c r="AR481" s="188"/>
    </row>
    <row r="482" spans="2:44" ht="27.9" customHeight="1" thickBot="1" x14ac:dyDescent="0.35">
      <c r="B482" s="384" t="s">
        <v>189</v>
      </c>
      <c r="C482" s="149" t="str">
        <f t="shared" si="324"/>
        <v/>
      </c>
      <c r="D482" s="150" t="str">
        <f>IF(Data!F477="","",Data!F477)</f>
        <v/>
      </c>
      <c r="E482" s="151" t="str">
        <f>IF(Data!H477="","",Data!H477)</f>
        <v/>
      </c>
      <c r="F482" s="152" t="str">
        <f>IF(Data!I477="","",Data!I477)</f>
        <v/>
      </c>
      <c r="G482" s="343"/>
      <c r="H482" s="344"/>
      <c r="I482" s="344"/>
      <c r="J482" s="344"/>
      <c r="K482" s="344"/>
      <c r="L482" s="344"/>
      <c r="M482" s="344"/>
      <c r="N482" s="345"/>
      <c r="O482" s="157" t="str">
        <f t="shared" si="325"/>
        <v/>
      </c>
      <c r="P482" s="344"/>
      <c r="Q482" s="346"/>
      <c r="R482" s="157" t="str">
        <f t="shared" si="326"/>
        <v/>
      </c>
      <c r="S482" s="159" t="str">
        <f>IF(R482="","",IF(R482&gt;Data2!$C$12,Data2!$D$11,IF(R482&gt;Data2!$C$13,Data2!$D$12,IF(R482&gt;Data2!$C$14,Data2!$D$13,Data2!$D$14))))</f>
        <v/>
      </c>
      <c r="T482" s="144">
        <f t="shared" si="327"/>
        <v>0</v>
      </c>
      <c r="U482" s="144">
        <f t="shared" si="328"/>
        <v>0</v>
      </c>
      <c r="V482" s="144" t="str">
        <f t="shared" si="329"/>
        <v>Mulai berkembang</v>
      </c>
      <c r="W482" s="144" t="str">
        <f t="shared" si="330"/>
        <v>Mulai berkembang</v>
      </c>
      <c r="X482" s="144" t="e">
        <f t="shared" si="331"/>
        <v>#N/A</v>
      </c>
      <c r="Y482" s="145" t="e">
        <f t="shared" si="332"/>
        <v>#N/A</v>
      </c>
      <c r="Z482" s="218" t="str">
        <f>IF('PA-Non'!O370&lt;&gt;"",'PA-Non'!O370,IFERROR("Mempunyai kemampuan yang " &amp;IF(V482=W482,PROPER(W482)&amp;" dalam kompetensi "&amp;VLOOKUP(X482,$G$532:$I$539,3)&amp;" dan kompetensi "&amp;VLOOKUP(Y482,$G$532:$I$539,3),PROPER(V482)&amp;" dalam kompetensi "&amp;VLOOKUP(X482,$G$532:$I$539,3)&amp;" dan memiliki kemampuan yang "&amp;W482&amp;" pada kompetensi "&amp;VLOOKUP(Y482,$G$532:$I$539,3)),""))</f>
        <v/>
      </c>
      <c r="AA482" s="343"/>
      <c r="AB482" s="344"/>
      <c r="AC482" s="344"/>
      <c r="AD482" s="344"/>
      <c r="AE482" s="344"/>
      <c r="AF482" s="344"/>
      <c r="AG482" s="344"/>
      <c r="AH482" s="345"/>
      <c r="AI482" s="220" t="str">
        <f t="shared" si="333"/>
        <v/>
      </c>
      <c r="AJ482" s="160" t="str">
        <f>IF(AI482="","",IF(AI482&gt;Data2!$C$12,Data2!$D$11,IF(AI482&gt;Data2!$C$13,Data2!$D$12,IF(AI482&gt;Data2!$C$14,Data2!$D$13,Data2!$D$14))))</f>
        <v/>
      </c>
      <c r="AK482" s="146">
        <f t="shared" si="334"/>
        <v>0</v>
      </c>
      <c r="AL482" s="146">
        <f t="shared" si="335"/>
        <v>0</v>
      </c>
      <c r="AM482" s="147" t="str">
        <f t="shared" si="336"/>
        <v>Mulai meningkat</v>
      </c>
      <c r="AN482" s="147" t="str">
        <f t="shared" si="337"/>
        <v>Mulai meningkat</v>
      </c>
      <c r="AO482" s="146" t="e">
        <f t="shared" si="338"/>
        <v>#N/A</v>
      </c>
      <c r="AP482" s="148" t="e">
        <f t="shared" si="339"/>
        <v>#N/A</v>
      </c>
      <c r="AQ482" s="158" t="str">
        <f>IF('PA-Non'!V370&lt;&gt;"",'PA-Non'!V370,IFERROR("Mempunyai keterampilan yang "&amp;IF(AM482=AN482,PROPER(AN482)&amp;" dalam kompetensi "&amp;VLOOKUP(AO482,$AA$532:$AC$539,3)&amp;", demikian juga dalam kompetensi "&amp;VLOOKUP(AP482,$AA$532:$AC$539,3),PROPER(AM482)&amp;" dalam kompetensi "&amp;VLOOKUP(AO482,$AA$532:$AC$539,3)&amp;" dan "&amp;AN482&amp;" pada kompetensi "&amp;VLOOKUP(AP482,$AA$532:$AC$539,3)),""))</f>
        <v/>
      </c>
      <c r="AR482" s="188"/>
    </row>
    <row r="483" spans="2:44" ht="27.9" customHeight="1" thickBot="1" x14ac:dyDescent="0.35">
      <c r="B483" s="384" t="s">
        <v>189</v>
      </c>
      <c r="C483" s="149" t="str">
        <f t="shared" si="324"/>
        <v/>
      </c>
      <c r="D483" s="150" t="str">
        <f>IF(Data!F478="","",Data!F478)</f>
        <v/>
      </c>
      <c r="E483" s="151" t="str">
        <f>IF(Data!H478="","",Data!H478)</f>
        <v/>
      </c>
      <c r="F483" s="152" t="str">
        <f>IF(Data!I478="","",Data!I478)</f>
        <v/>
      </c>
      <c r="G483" s="343"/>
      <c r="H483" s="344"/>
      <c r="I483" s="344"/>
      <c r="J483" s="344"/>
      <c r="K483" s="344"/>
      <c r="L483" s="344"/>
      <c r="M483" s="344"/>
      <c r="N483" s="345"/>
      <c r="O483" s="157" t="str">
        <f t="shared" si="325"/>
        <v/>
      </c>
      <c r="P483" s="344"/>
      <c r="Q483" s="346"/>
      <c r="R483" s="157" t="str">
        <f t="shared" si="326"/>
        <v/>
      </c>
      <c r="S483" s="159" t="str">
        <f>IF(R483="","",IF(R483&gt;Data2!$C$12,Data2!$D$11,IF(R483&gt;Data2!$C$13,Data2!$D$12,IF(R483&gt;Data2!$C$14,Data2!$D$13,Data2!$D$14))))</f>
        <v/>
      </c>
      <c r="T483" s="144">
        <f t="shared" si="327"/>
        <v>0</v>
      </c>
      <c r="U483" s="144">
        <f t="shared" si="328"/>
        <v>0</v>
      </c>
      <c r="V483" s="144" t="str">
        <f t="shared" si="329"/>
        <v>Mulai berkembang</v>
      </c>
      <c r="W483" s="144" t="str">
        <f t="shared" si="330"/>
        <v>Mulai berkembang</v>
      </c>
      <c r="X483" s="144" t="e">
        <f t="shared" si="331"/>
        <v>#N/A</v>
      </c>
      <c r="Y483" s="145" t="e">
        <f t="shared" si="332"/>
        <v>#N/A</v>
      </c>
      <c r="Z483" s="218" t="str">
        <f>IF('PA-Non'!O371&lt;&gt;"",'PA-Non'!O371,IFERROR("Mempunyai kemampuan yang " &amp;IF(V483=W483,PROPER(W483)&amp;" dalam kompetensi "&amp;VLOOKUP(X483,$G$532:$I$539,3)&amp;" dan kompetensi "&amp;VLOOKUP(Y483,$G$532:$I$539,3),PROPER(V483)&amp;" dalam kompetensi "&amp;VLOOKUP(X483,$G$532:$I$539,3)&amp;" dan memiliki kemampuan yang "&amp;W483&amp;" pada kompetensi "&amp;VLOOKUP(Y483,$G$532:$I$539,3)),""))</f>
        <v/>
      </c>
      <c r="AA483" s="343"/>
      <c r="AB483" s="344"/>
      <c r="AC483" s="344"/>
      <c r="AD483" s="344"/>
      <c r="AE483" s="344"/>
      <c r="AF483" s="344"/>
      <c r="AG483" s="344"/>
      <c r="AH483" s="345"/>
      <c r="AI483" s="220" t="str">
        <f t="shared" si="333"/>
        <v/>
      </c>
      <c r="AJ483" s="160" t="str">
        <f>IF(AI483="","",IF(AI483&gt;Data2!$C$12,Data2!$D$11,IF(AI483&gt;Data2!$C$13,Data2!$D$12,IF(AI483&gt;Data2!$C$14,Data2!$D$13,Data2!$D$14))))</f>
        <v/>
      </c>
      <c r="AK483" s="146">
        <f t="shared" si="334"/>
        <v>0</v>
      </c>
      <c r="AL483" s="146">
        <f t="shared" si="335"/>
        <v>0</v>
      </c>
      <c r="AM483" s="147" t="str">
        <f t="shared" si="336"/>
        <v>Mulai meningkat</v>
      </c>
      <c r="AN483" s="147" t="str">
        <f t="shared" si="337"/>
        <v>Mulai meningkat</v>
      </c>
      <c r="AO483" s="146" t="e">
        <f t="shared" si="338"/>
        <v>#N/A</v>
      </c>
      <c r="AP483" s="148" t="e">
        <f t="shared" si="339"/>
        <v>#N/A</v>
      </c>
      <c r="AQ483" s="158" t="str">
        <f>IF('PA-Non'!V371&lt;&gt;"",'PA-Non'!V371,IFERROR("Mempunyai keterampilan yang "&amp;IF(AM483=AN483,PROPER(AN483)&amp;" dalam kompetensi "&amp;VLOOKUP(AO483,$AA$532:$AC$539,3)&amp;", demikian juga dalam kompetensi "&amp;VLOOKUP(AP483,$AA$532:$AC$539,3),PROPER(AM483)&amp;" dalam kompetensi "&amp;VLOOKUP(AO483,$AA$532:$AC$539,3)&amp;" dan "&amp;AN483&amp;" pada kompetensi "&amp;VLOOKUP(AP483,$AA$532:$AC$539,3)),""))</f>
        <v/>
      </c>
      <c r="AR483" s="188"/>
    </row>
    <row r="484" spans="2:44" ht="27.9" customHeight="1" thickBot="1" x14ac:dyDescent="0.35">
      <c r="B484" s="384" t="s">
        <v>189</v>
      </c>
      <c r="C484" s="149" t="str">
        <f t="shared" si="324"/>
        <v/>
      </c>
      <c r="D484" s="150" t="str">
        <f>IF(Data!F479="","",Data!F479)</f>
        <v/>
      </c>
      <c r="E484" s="151" t="str">
        <f>IF(Data!H479="","",Data!H479)</f>
        <v/>
      </c>
      <c r="F484" s="152" t="str">
        <f>IF(Data!I479="","",Data!I479)</f>
        <v/>
      </c>
      <c r="G484" s="343"/>
      <c r="H484" s="344"/>
      <c r="I484" s="344"/>
      <c r="J484" s="344"/>
      <c r="K484" s="344"/>
      <c r="L484" s="344"/>
      <c r="M484" s="344"/>
      <c r="N484" s="345"/>
      <c r="O484" s="157" t="str">
        <f t="shared" si="325"/>
        <v/>
      </c>
      <c r="P484" s="344"/>
      <c r="Q484" s="346"/>
      <c r="R484" s="157" t="str">
        <f t="shared" si="326"/>
        <v/>
      </c>
      <c r="S484" s="159" t="str">
        <f>IF(R484="","",IF(R484&gt;Data2!$C$12,Data2!$D$11,IF(R484&gt;Data2!$C$13,Data2!$D$12,IF(R484&gt;Data2!$C$14,Data2!$D$13,Data2!$D$14))))</f>
        <v/>
      </c>
      <c r="T484" s="144">
        <f t="shared" si="327"/>
        <v>0</v>
      </c>
      <c r="U484" s="144">
        <f t="shared" si="328"/>
        <v>0</v>
      </c>
      <c r="V484" s="144" t="str">
        <f t="shared" si="329"/>
        <v>Mulai berkembang</v>
      </c>
      <c r="W484" s="144" t="str">
        <f t="shared" si="330"/>
        <v>Mulai berkembang</v>
      </c>
      <c r="X484" s="144" t="e">
        <f t="shared" si="331"/>
        <v>#N/A</v>
      </c>
      <c r="Y484" s="145" t="e">
        <f t="shared" si="332"/>
        <v>#N/A</v>
      </c>
      <c r="Z484" s="218" t="str">
        <f>IF('PA-Non'!O372&lt;&gt;"",'PA-Non'!O372,IFERROR("Mempunyai kemampuan yang " &amp;IF(V484=W484,PROPER(W484)&amp;" dalam kompetensi "&amp;VLOOKUP(X484,$G$532:$I$539,3)&amp;" dan kompetensi "&amp;VLOOKUP(Y484,$G$532:$I$539,3),PROPER(V484)&amp;" dalam kompetensi "&amp;VLOOKUP(X484,$G$532:$I$539,3)&amp;" dan memiliki kemampuan yang "&amp;W484&amp;" pada kompetensi "&amp;VLOOKUP(Y484,$G$532:$I$539,3)),""))</f>
        <v/>
      </c>
      <c r="AA484" s="343"/>
      <c r="AB484" s="344"/>
      <c r="AC484" s="344"/>
      <c r="AD484" s="344"/>
      <c r="AE484" s="344"/>
      <c r="AF484" s="344"/>
      <c r="AG484" s="344"/>
      <c r="AH484" s="345"/>
      <c r="AI484" s="220" t="str">
        <f t="shared" si="333"/>
        <v/>
      </c>
      <c r="AJ484" s="160" t="str">
        <f>IF(AI484="","",IF(AI484&gt;Data2!$C$12,Data2!$D$11,IF(AI484&gt;Data2!$C$13,Data2!$D$12,IF(AI484&gt;Data2!$C$14,Data2!$D$13,Data2!$D$14))))</f>
        <v/>
      </c>
      <c r="AK484" s="146">
        <f t="shared" si="334"/>
        <v>0</v>
      </c>
      <c r="AL484" s="146">
        <f t="shared" si="335"/>
        <v>0</v>
      </c>
      <c r="AM484" s="147" t="str">
        <f t="shared" si="336"/>
        <v>Mulai meningkat</v>
      </c>
      <c r="AN484" s="147" t="str">
        <f t="shared" si="337"/>
        <v>Mulai meningkat</v>
      </c>
      <c r="AO484" s="146" t="e">
        <f t="shared" si="338"/>
        <v>#N/A</v>
      </c>
      <c r="AP484" s="148" t="e">
        <f t="shared" si="339"/>
        <v>#N/A</v>
      </c>
      <c r="AQ484" s="158" t="str">
        <f>IF('PA-Non'!V372&lt;&gt;"",'PA-Non'!V372,IFERROR("Mempunyai keterampilan yang "&amp;IF(AM484=AN484,PROPER(AN484)&amp;" dalam kompetensi "&amp;VLOOKUP(AO484,$AA$532:$AC$539,3)&amp;", demikian juga dalam kompetensi "&amp;VLOOKUP(AP484,$AA$532:$AC$539,3),PROPER(AM484)&amp;" dalam kompetensi "&amp;VLOOKUP(AO484,$AA$532:$AC$539,3)&amp;" dan "&amp;AN484&amp;" pada kompetensi "&amp;VLOOKUP(AP484,$AA$532:$AC$539,3)),""))</f>
        <v/>
      </c>
      <c r="AR484" s="188"/>
    </row>
    <row r="485" spans="2:44" ht="27.9" customHeight="1" thickBot="1" x14ac:dyDescent="0.35">
      <c r="B485" s="384" t="s">
        <v>189</v>
      </c>
      <c r="C485" s="149" t="str">
        <f t="shared" si="324"/>
        <v/>
      </c>
      <c r="D485" s="150" t="str">
        <f>IF(Data!F480="","",Data!F480)</f>
        <v/>
      </c>
      <c r="E485" s="151" t="str">
        <f>IF(Data!H480="","",Data!H480)</f>
        <v/>
      </c>
      <c r="F485" s="152" t="str">
        <f>IF(Data!I480="","",Data!I480)</f>
        <v/>
      </c>
      <c r="G485" s="343"/>
      <c r="H485" s="344"/>
      <c r="I485" s="344"/>
      <c r="J485" s="344"/>
      <c r="K485" s="344"/>
      <c r="L485" s="344"/>
      <c r="M485" s="344"/>
      <c r="N485" s="345"/>
      <c r="O485" s="157" t="str">
        <f t="shared" si="325"/>
        <v/>
      </c>
      <c r="P485" s="344"/>
      <c r="Q485" s="346"/>
      <c r="R485" s="157" t="str">
        <f t="shared" si="326"/>
        <v/>
      </c>
      <c r="S485" s="159" t="str">
        <f>IF(R485="","",IF(R485&gt;Data2!$C$12,Data2!$D$11,IF(R485&gt;Data2!$C$13,Data2!$D$12,IF(R485&gt;Data2!$C$14,Data2!$D$13,Data2!$D$14))))</f>
        <v/>
      </c>
      <c r="T485" s="144">
        <f t="shared" si="327"/>
        <v>0</v>
      </c>
      <c r="U485" s="144">
        <f t="shared" si="328"/>
        <v>0</v>
      </c>
      <c r="V485" s="144" t="str">
        <f t="shared" si="329"/>
        <v>Mulai berkembang</v>
      </c>
      <c r="W485" s="144" t="str">
        <f t="shared" si="330"/>
        <v>Mulai berkembang</v>
      </c>
      <c r="X485" s="144" t="e">
        <f t="shared" si="331"/>
        <v>#N/A</v>
      </c>
      <c r="Y485" s="145" t="e">
        <f t="shared" si="332"/>
        <v>#N/A</v>
      </c>
      <c r="Z485" s="218" t="str">
        <f>IF('PA-Non'!O373&lt;&gt;"",'PA-Non'!O373,IFERROR("Mempunyai kemampuan yang " &amp;IF(V485=W485,PROPER(W485)&amp;" dalam kompetensi "&amp;VLOOKUP(X485,$G$532:$I$539,3)&amp;" dan kompetensi "&amp;VLOOKUP(Y485,$G$532:$I$539,3),PROPER(V485)&amp;" dalam kompetensi "&amp;VLOOKUP(X485,$G$532:$I$539,3)&amp;" dan memiliki kemampuan yang "&amp;W485&amp;" pada kompetensi "&amp;VLOOKUP(Y485,$G$532:$I$539,3)),""))</f>
        <v/>
      </c>
      <c r="AA485" s="343"/>
      <c r="AB485" s="344"/>
      <c r="AC485" s="344"/>
      <c r="AD485" s="344"/>
      <c r="AE485" s="344"/>
      <c r="AF485" s="344"/>
      <c r="AG485" s="344"/>
      <c r="AH485" s="345"/>
      <c r="AI485" s="220" t="str">
        <f t="shared" si="333"/>
        <v/>
      </c>
      <c r="AJ485" s="160" t="str">
        <f>IF(AI485="","",IF(AI485&gt;Data2!$C$12,Data2!$D$11,IF(AI485&gt;Data2!$C$13,Data2!$D$12,IF(AI485&gt;Data2!$C$14,Data2!$D$13,Data2!$D$14))))</f>
        <v/>
      </c>
      <c r="AK485" s="146">
        <f t="shared" si="334"/>
        <v>0</v>
      </c>
      <c r="AL485" s="146">
        <f t="shared" si="335"/>
        <v>0</v>
      </c>
      <c r="AM485" s="147" t="str">
        <f t="shared" si="336"/>
        <v>Mulai meningkat</v>
      </c>
      <c r="AN485" s="147" t="str">
        <f t="shared" si="337"/>
        <v>Mulai meningkat</v>
      </c>
      <c r="AO485" s="146" t="e">
        <f t="shared" si="338"/>
        <v>#N/A</v>
      </c>
      <c r="AP485" s="148" t="e">
        <f t="shared" si="339"/>
        <v>#N/A</v>
      </c>
      <c r="AQ485" s="158" t="str">
        <f>IF('PA-Non'!V373&lt;&gt;"",'PA-Non'!V373,IFERROR("Mempunyai keterampilan yang "&amp;IF(AM485=AN485,PROPER(AN485)&amp;" dalam kompetensi "&amp;VLOOKUP(AO485,$AA$532:$AC$539,3)&amp;", demikian juga dalam kompetensi "&amp;VLOOKUP(AP485,$AA$532:$AC$539,3),PROPER(AM485)&amp;" dalam kompetensi "&amp;VLOOKUP(AO485,$AA$532:$AC$539,3)&amp;" dan "&amp;AN485&amp;" pada kompetensi "&amp;VLOOKUP(AP485,$AA$532:$AC$539,3)),""))</f>
        <v/>
      </c>
      <c r="AR485" s="188"/>
    </row>
    <row r="486" spans="2:44" ht="27.9" customHeight="1" thickBot="1" x14ac:dyDescent="0.35">
      <c r="B486" s="384" t="s">
        <v>189</v>
      </c>
      <c r="C486" s="149" t="str">
        <f t="shared" si="324"/>
        <v/>
      </c>
      <c r="D486" s="150" t="str">
        <f>IF(Data!F481="","",Data!F481)</f>
        <v/>
      </c>
      <c r="E486" s="151" t="str">
        <f>IF(Data!H481="","",Data!H481)</f>
        <v/>
      </c>
      <c r="F486" s="152" t="str">
        <f>IF(Data!I481="","",Data!I481)</f>
        <v/>
      </c>
      <c r="G486" s="343"/>
      <c r="H486" s="344"/>
      <c r="I486" s="344"/>
      <c r="J486" s="344"/>
      <c r="K486" s="344"/>
      <c r="L486" s="344"/>
      <c r="M486" s="344"/>
      <c r="N486" s="345"/>
      <c r="O486" s="157" t="str">
        <f t="shared" si="325"/>
        <v/>
      </c>
      <c r="P486" s="344"/>
      <c r="Q486" s="346"/>
      <c r="R486" s="157" t="str">
        <f t="shared" si="326"/>
        <v/>
      </c>
      <c r="S486" s="159" t="str">
        <f>IF(R486="","",IF(R486&gt;Data2!$C$12,Data2!$D$11,IF(R486&gt;Data2!$C$13,Data2!$D$12,IF(R486&gt;Data2!$C$14,Data2!$D$13,Data2!$D$14))))</f>
        <v/>
      </c>
      <c r="T486" s="144">
        <f t="shared" si="327"/>
        <v>0</v>
      </c>
      <c r="U486" s="144">
        <f t="shared" si="328"/>
        <v>0</v>
      </c>
      <c r="V486" s="144" t="str">
        <f t="shared" si="329"/>
        <v>Mulai berkembang</v>
      </c>
      <c r="W486" s="144" t="str">
        <f t="shared" si="330"/>
        <v>Mulai berkembang</v>
      </c>
      <c r="X486" s="144" t="e">
        <f t="shared" si="331"/>
        <v>#N/A</v>
      </c>
      <c r="Y486" s="145" t="e">
        <f t="shared" si="332"/>
        <v>#N/A</v>
      </c>
      <c r="Z486" s="218" t="str">
        <f>IF('PA-Non'!O374&lt;&gt;"",'PA-Non'!O374,IFERROR("Mempunyai kemampuan yang " &amp;IF(V486=W486,PROPER(W486)&amp;" dalam kompetensi "&amp;VLOOKUP(X486,$G$532:$I$539,3)&amp;" dan kompetensi "&amp;VLOOKUP(Y486,$G$532:$I$539,3),PROPER(V486)&amp;" dalam kompetensi "&amp;VLOOKUP(X486,$G$532:$I$539,3)&amp;" dan memiliki kemampuan yang "&amp;W486&amp;" pada kompetensi "&amp;VLOOKUP(Y486,$G$532:$I$539,3)),""))</f>
        <v/>
      </c>
      <c r="AA486" s="343"/>
      <c r="AB486" s="344"/>
      <c r="AC486" s="344"/>
      <c r="AD486" s="344"/>
      <c r="AE486" s="344"/>
      <c r="AF486" s="344"/>
      <c r="AG486" s="344"/>
      <c r="AH486" s="345"/>
      <c r="AI486" s="220" t="str">
        <f t="shared" si="333"/>
        <v/>
      </c>
      <c r="AJ486" s="160" t="str">
        <f>IF(AI486="","",IF(AI486&gt;Data2!$C$12,Data2!$D$11,IF(AI486&gt;Data2!$C$13,Data2!$D$12,IF(AI486&gt;Data2!$C$14,Data2!$D$13,Data2!$D$14))))</f>
        <v/>
      </c>
      <c r="AK486" s="146">
        <f t="shared" si="334"/>
        <v>0</v>
      </c>
      <c r="AL486" s="146">
        <f t="shared" si="335"/>
        <v>0</v>
      </c>
      <c r="AM486" s="147" t="str">
        <f t="shared" si="336"/>
        <v>Mulai meningkat</v>
      </c>
      <c r="AN486" s="147" t="str">
        <f t="shared" si="337"/>
        <v>Mulai meningkat</v>
      </c>
      <c r="AO486" s="146" t="e">
        <f t="shared" si="338"/>
        <v>#N/A</v>
      </c>
      <c r="AP486" s="148" t="e">
        <f t="shared" si="339"/>
        <v>#N/A</v>
      </c>
      <c r="AQ486" s="158" t="str">
        <f>IF('PA-Non'!V374&lt;&gt;"",'PA-Non'!V374,IFERROR("Mempunyai keterampilan yang "&amp;IF(AM486=AN486,PROPER(AN486)&amp;" dalam kompetensi "&amp;VLOOKUP(AO486,$AA$532:$AC$539,3)&amp;", demikian juga dalam kompetensi "&amp;VLOOKUP(AP486,$AA$532:$AC$539,3),PROPER(AM486)&amp;" dalam kompetensi "&amp;VLOOKUP(AO486,$AA$532:$AC$539,3)&amp;" dan "&amp;AN486&amp;" pada kompetensi "&amp;VLOOKUP(AP486,$AA$532:$AC$539,3)),""))</f>
        <v/>
      </c>
      <c r="AR486" s="188"/>
    </row>
    <row r="487" spans="2:44" ht="27.9" customHeight="1" thickBot="1" x14ac:dyDescent="0.35">
      <c r="B487" s="384" t="s">
        <v>189</v>
      </c>
      <c r="C487" s="149" t="str">
        <f t="shared" si="324"/>
        <v/>
      </c>
      <c r="D487" s="150" t="str">
        <f>IF(Data!F482="","",Data!F482)</f>
        <v/>
      </c>
      <c r="E487" s="151" t="str">
        <f>IF(Data!H482="","",Data!H482)</f>
        <v/>
      </c>
      <c r="F487" s="152" t="str">
        <f>IF(Data!I482="","",Data!I482)</f>
        <v/>
      </c>
      <c r="G487" s="343"/>
      <c r="H487" s="344"/>
      <c r="I487" s="344"/>
      <c r="J487" s="344"/>
      <c r="K487" s="344"/>
      <c r="L487" s="344"/>
      <c r="M487" s="344"/>
      <c r="N487" s="345"/>
      <c r="O487" s="157" t="str">
        <f t="shared" si="325"/>
        <v/>
      </c>
      <c r="P487" s="344"/>
      <c r="Q487" s="346"/>
      <c r="R487" s="157" t="str">
        <f t="shared" si="326"/>
        <v/>
      </c>
      <c r="S487" s="159" t="str">
        <f>IF(R487="","",IF(R487&gt;Data2!$C$12,Data2!$D$11,IF(R487&gt;Data2!$C$13,Data2!$D$12,IF(R487&gt;Data2!$C$14,Data2!$D$13,Data2!$D$14))))</f>
        <v/>
      </c>
      <c r="T487" s="144">
        <f t="shared" si="327"/>
        <v>0</v>
      </c>
      <c r="U487" s="144">
        <f t="shared" si="328"/>
        <v>0</v>
      </c>
      <c r="V487" s="144" t="str">
        <f t="shared" si="329"/>
        <v>Mulai berkembang</v>
      </c>
      <c r="W487" s="144" t="str">
        <f t="shared" si="330"/>
        <v>Mulai berkembang</v>
      </c>
      <c r="X487" s="144" t="e">
        <f t="shared" si="331"/>
        <v>#N/A</v>
      </c>
      <c r="Y487" s="145" t="e">
        <f t="shared" si="332"/>
        <v>#N/A</v>
      </c>
      <c r="Z487" s="218" t="str">
        <f>IF('PA-Non'!O375&lt;&gt;"",'PA-Non'!O375,IFERROR("Mempunyai kemampuan yang " &amp;IF(V487=W487,PROPER(W487)&amp;" dalam kompetensi "&amp;VLOOKUP(X487,$G$532:$I$539,3)&amp;" dan kompetensi "&amp;VLOOKUP(Y487,$G$532:$I$539,3),PROPER(V487)&amp;" dalam kompetensi "&amp;VLOOKUP(X487,$G$532:$I$539,3)&amp;" dan memiliki kemampuan yang "&amp;W487&amp;" pada kompetensi "&amp;VLOOKUP(Y487,$G$532:$I$539,3)),""))</f>
        <v/>
      </c>
      <c r="AA487" s="343"/>
      <c r="AB487" s="344"/>
      <c r="AC487" s="344"/>
      <c r="AD487" s="344"/>
      <c r="AE487" s="344"/>
      <c r="AF487" s="344"/>
      <c r="AG487" s="344"/>
      <c r="AH487" s="345"/>
      <c r="AI487" s="220" t="str">
        <f t="shared" si="333"/>
        <v/>
      </c>
      <c r="AJ487" s="160" t="str">
        <f>IF(AI487="","",IF(AI487&gt;Data2!$C$12,Data2!$D$11,IF(AI487&gt;Data2!$C$13,Data2!$D$12,IF(AI487&gt;Data2!$C$14,Data2!$D$13,Data2!$D$14))))</f>
        <v/>
      </c>
      <c r="AK487" s="146">
        <f t="shared" si="334"/>
        <v>0</v>
      </c>
      <c r="AL487" s="146">
        <f t="shared" si="335"/>
        <v>0</v>
      </c>
      <c r="AM487" s="147" t="str">
        <f t="shared" si="336"/>
        <v>Mulai meningkat</v>
      </c>
      <c r="AN487" s="147" t="str">
        <f t="shared" si="337"/>
        <v>Mulai meningkat</v>
      </c>
      <c r="AO487" s="146" t="e">
        <f t="shared" si="338"/>
        <v>#N/A</v>
      </c>
      <c r="AP487" s="148" t="e">
        <f t="shared" si="339"/>
        <v>#N/A</v>
      </c>
      <c r="AQ487" s="158" t="str">
        <f>IF('PA-Non'!V375&lt;&gt;"",'PA-Non'!V375,IFERROR("Mempunyai keterampilan yang "&amp;IF(AM487=AN487,PROPER(AN487)&amp;" dalam kompetensi "&amp;VLOOKUP(AO487,$AA$532:$AC$539,3)&amp;", demikian juga dalam kompetensi "&amp;VLOOKUP(AP487,$AA$532:$AC$539,3),PROPER(AM487)&amp;" dalam kompetensi "&amp;VLOOKUP(AO487,$AA$532:$AC$539,3)&amp;" dan "&amp;AN487&amp;" pada kompetensi "&amp;VLOOKUP(AP487,$AA$532:$AC$539,3)),""))</f>
        <v/>
      </c>
      <c r="AR487" s="188"/>
    </row>
    <row r="488" spans="2:44" ht="27.9" customHeight="1" x14ac:dyDescent="0.3">
      <c r="B488" s="410" t="s">
        <v>189</v>
      </c>
      <c r="C488" s="387" t="str">
        <f t="shared" si="324"/>
        <v/>
      </c>
      <c r="D488" s="51" t="str">
        <f>IF(Data!F483="","",Data!F483)</f>
        <v/>
      </c>
      <c r="E488" s="91" t="str">
        <f>IF(Data!H483="","",Data!H483)</f>
        <v/>
      </c>
      <c r="F488" s="52" t="str">
        <f>IF(Data!I483="","",Data!I483)</f>
        <v/>
      </c>
      <c r="G488" s="411"/>
      <c r="H488" s="412"/>
      <c r="I488" s="412"/>
      <c r="J488" s="412"/>
      <c r="K488" s="412"/>
      <c r="L488" s="412"/>
      <c r="M488" s="412"/>
      <c r="N488" s="413"/>
      <c r="O488" s="391" t="str">
        <f t="shared" si="325"/>
        <v/>
      </c>
      <c r="P488" s="412"/>
      <c r="Q488" s="414"/>
      <c r="R488" s="391" t="str">
        <f t="shared" si="326"/>
        <v/>
      </c>
      <c r="S488" s="393" t="str">
        <f>IF(R488="","",IF(R488&gt;Data2!$C$12,Data2!$D$11,IF(R488&gt;Data2!$C$13,Data2!$D$12,IF(R488&gt;Data2!$C$14,Data2!$D$13,Data2!$D$14))))</f>
        <v/>
      </c>
      <c r="T488" s="394">
        <f t="shared" si="327"/>
        <v>0</v>
      </c>
      <c r="U488" s="394">
        <f t="shared" si="328"/>
        <v>0</v>
      </c>
      <c r="V488" s="394" t="str">
        <f t="shared" si="329"/>
        <v>Mulai berkembang</v>
      </c>
      <c r="W488" s="394" t="str">
        <f t="shared" si="330"/>
        <v>Mulai berkembang</v>
      </c>
      <c r="X488" s="394" t="e">
        <f t="shared" si="331"/>
        <v>#N/A</v>
      </c>
      <c r="Y488" s="395" t="e">
        <f t="shared" si="332"/>
        <v>#N/A</v>
      </c>
      <c r="Z488" s="396" t="str">
        <f>IF('PA-Non'!O376&lt;&gt;"",'PA-Non'!O376,IFERROR("Mempunyai kemampuan yang " &amp;IF(V488=W488,PROPER(W488)&amp;" dalam kompetensi "&amp;VLOOKUP(X488,$G$532:$I$539,3)&amp;" dan kompetensi "&amp;VLOOKUP(Y488,$G$532:$I$539,3),PROPER(V488)&amp;" dalam kompetensi "&amp;VLOOKUP(X488,$G$532:$I$539,3)&amp;" dan memiliki kemampuan yang "&amp;W488&amp;" pada kompetensi "&amp;VLOOKUP(Y488,$G$532:$I$539,3)),""))</f>
        <v/>
      </c>
      <c r="AA488" s="411"/>
      <c r="AB488" s="412"/>
      <c r="AC488" s="412"/>
      <c r="AD488" s="412"/>
      <c r="AE488" s="412"/>
      <c r="AF488" s="412"/>
      <c r="AG488" s="412"/>
      <c r="AH488" s="413"/>
      <c r="AI488" s="397" t="str">
        <f t="shared" si="333"/>
        <v/>
      </c>
      <c r="AJ488" s="398" t="str">
        <f>IF(AI488="","",IF(AI488&gt;Data2!$C$12,Data2!$D$11,IF(AI488&gt;Data2!$C$13,Data2!$D$12,IF(AI488&gt;Data2!$C$14,Data2!$D$13,Data2!$D$14))))</f>
        <v/>
      </c>
      <c r="AK488" s="399">
        <f t="shared" si="334"/>
        <v>0</v>
      </c>
      <c r="AL488" s="399">
        <f t="shared" si="335"/>
        <v>0</v>
      </c>
      <c r="AM488" s="400" t="str">
        <f t="shared" si="336"/>
        <v>Mulai meningkat</v>
      </c>
      <c r="AN488" s="400" t="str">
        <f t="shared" si="337"/>
        <v>Mulai meningkat</v>
      </c>
      <c r="AO488" s="399" t="e">
        <f t="shared" si="338"/>
        <v>#N/A</v>
      </c>
      <c r="AP488" s="401" t="e">
        <f t="shared" si="339"/>
        <v>#N/A</v>
      </c>
      <c r="AQ488" s="402" t="str">
        <f>IF('PA-Non'!V376&lt;&gt;"",'PA-Non'!V376,IFERROR("Mempunyai keterampilan yang "&amp;IF(AM488=AN488,PROPER(AN488)&amp;" dalam kompetensi "&amp;VLOOKUP(AO488,$AA$532:$AC$539,3)&amp;", demikian juga dalam kompetensi "&amp;VLOOKUP(AP488,$AA$532:$AC$539,3),PROPER(AM488)&amp;" dalam kompetensi "&amp;VLOOKUP(AO488,$AA$532:$AC$539,3)&amp;" dan "&amp;AN488&amp;" pada kompetensi "&amp;VLOOKUP(AP488,$AA$532:$AC$539,3)),""))</f>
        <v/>
      </c>
      <c r="AR488" s="188"/>
    </row>
    <row r="489" spans="2:44" ht="27.9" customHeight="1" thickBot="1" x14ac:dyDescent="0.35">
      <c r="B489" s="385" t="s">
        <v>189</v>
      </c>
      <c r="C489" s="366" t="str">
        <f t="shared" si="324"/>
        <v/>
      </c>
      <c r="D489" s="367" t="str">
        <f>IF(Data!F484="","",Data!F484)</f>
        <v/>
      </c>
      <c r="E489" s="368" t="str">
        <f>IF(Data!H484="","",Data!H484)</f>
        <v/>
      </c>
      <c r="F489" s="369" t="str">
        <f>IF(Data!I484="","",Data!I484)</f>
        <v/>
      </c>
      <c r="G489" s="379"/>
      <c r="H489" s="380"/>
      <c r="I489" s="380"/>
      <c r="J489" s="380"/>
      <c r="K489" s="380"/>
      <c r="L489" s="380"/>
      <c r="M489" s="380"/>
      <c r="N489" s="381"/>
      <c r="O489" s="373" t="str">
        <f t="shared" si="325"/>
        <v/>
      </c>
      <c r="P489" s="380"/>
      <c r="Q489" s="382"/>
      <c r="R489" s="373" t="str">
        <f t="shared" si="326"/>
        <v/>
      </c>
      <c r="S489" s="375" t="str">
        <f>IF(R489="","",IF(R489&gt;Data2!$C$12,Data2!$D$11,IF(R489&gt;Data2!$C$13,Data2!$D$12,IF(R489&gt;Data2!$C$14,Data2!$D$13,Data2!$D$14))))</f>
        <v/>
      </c>
      <c r="T489" s="404">
        <f t="shared" si="327"/>
        <v>0</v>
      </c>
      <c r="U489" s="404">
        <f t="shared" si="328"/>
        <v>0</v>
      </c>
      <c r="V489" s="404" t="str">
        <f t="shared" si="329"/>
        <v>Mulai berkembang</v>
      </c>
      <c r="W489" s="404" t="str">
        <f t="shared" si="330"/>
        <v>Mulai berkembang</v>
      </c>
      <c r="X489" s="404" t="e">
        <f t="shared" si="331"/>
        <v>#N/A</v>
      </c>
      <c r="Y489" s="405" t="e">
        <f t="shared" si="332"/>
        <v>#N/A</v>
      </c>
      <c r="Z489" s="376" t="str">
        <f>IF('PA-Non'!O377&lt;&gt;"",'PA-Non'!O377,IFERROR("Mempunyai kemampuan yang " &amp;IF(V489=W489,PROPER(W489)&amp;" dalam kompetensi "&amp;VLOOKUP(X489,$G$532:$I$539,3)&amp;" dan kompetensi "&amp;VLOOKUP(Y489,$G$532:$I$539,3),PROPER(V489)&amp;" dalam kompetensi "&amp;VLOOKUP(X489,$G$532:$I$539,3)&amp;" dan memiliki kemampuan yang "&amp;W489&amp;" pada kompetensi "&amp;VLOOKUP(Y489,$G$532:$I$539,3)),""))</f>
        <v/>
      </c>
      <c r="AA489" s="379"/>
      <c r="AB489" s="380"/>
      <c r="AC489" s="380"/>
      <c r="AD489" s="380"/>
      <c r="AE489" s="380"/>
      <c r="AF489" s="380"/>
      <c r="AG489" s="380"/>
      <c r="AH489" s="381"/>
      <c r="AI489" s="377" t="str">
        <f t="shared" si="333"/>
        <v/>
      </c>
      <c r="AJ489" s="378" t="str">
        <f>IF(AI489="","",IF(AI489&gt;Data2!$C$12,Data2!$D$11,IF(AI489&gt;Data2!$C$13,Data2!$D$12,IF(AI489&gt;Data2!$C$14,Data2!$D$13,Data2!$D$14))))</f>
        <v/>
      </c>
      <c r="AK489" s="406">
        <f t="shared" si="334"/>
        <v>0</v>
      </c>
      <c r="AL489" s="406">
        <f t="shared" si="335"/>
        <v>0</v>
      </c>
      <c r="AM489" s="407" t="str">
        <f t="shared" si="336"/>
        <v>Mulai meningkat</v>
      </c>
      <c r="AN489" s="407" t="str">
        <f t="shared" si="337"/>
        <v>Mulai meningkat</v>
      </c>
      <c r="AO489" s="406" t="e">
        <f t="shared" si="338"/>
        <v>#N/A</v>
      </c>
      <c r="AP489" s="408" t="e">
        <f t="shared" si="339"/>
        <v>#N/A</v>
      </c>
      <c r="AQ489" s="409" t="str">
        <f>IF('PA-Non'!V377&lt;&gt;"",'PA-Non'!V377,IFERROR("Mempunyai keterampilan yang "&amp;IF(AM489=AN489,PROPER(AN489)&amp;" dalam kompetensi "&amp;VLOOKUP(AO489,$AA$532:$AC$539,3)&amp;", demikian juga dalam kompetensi "&amp;VLOOKUP(AP489,$AA$532:$AC$539,3),PROPER(AM489)&amp;" dalam kompetensi "&amp;VLOOKUP(AO489,$AA$532:$AC$539,3)&amp;" dan "&amp;AN489&amp;" pada kompetensi "&amp;VLOOKUP(AP489,$AA$532:$AC$539,3)),""))</f>
        <v/>
      </c>
      <c r="AR489" s="188"/>
    </row>
    <row r="490" spans="2:44" ht="27.75" customHeight="1" thickBot="1" x14ac:dyDescent="0.35">
      <c r="B490" s="226" t="s">
        <v>190</v>
      </c>
      <c r="C490" s="137">
        <v>1</v>
      </c>
      <c r="D490" s="138" t="str">
        <f>IF(Data!F485="","",Data!F485)</f>
        <v/>
      </c>
      <c r="E490" s="139" t="str">
        <f>IF(Data!H485="","",Data!H485)</f>
        <v/>
      </c>
      <c r="F490" s="140" t="str">
        <f>IF(Data!I485="","",Data!I485)</f>
        <v/>
      </c>
      <c r="G490" s="153"/>
      <c r="H490" s="154"/>
      <c r="I490" s="154"/>
      <c r="J490" s="154"/>
      <c r="K490" s="154"/>
      <c r="L490" s="154"/>
      <c r="M490" s="154"/>
      <c r="N490" s="155"/>
      <c r="O490" s="143" t="str">
        <f t="shared" si="325"/>
        <v/>
      </c>
      <c r="P490" s="141"/>
      <c r="Q490" s="142"/>
      <c r="R490" s="143" t="str">
        <f t="shared" si="326"/>
        <v/>
      </c>
      <c r="S490" s="159" t="str">
        <f>IF(R490="","",IF(R490&gt;Data2!$C$12,Data2!$D$11,IF(R490&gt;Data2!$C$13,Data2!$D$12,IF(R490&gt;Data2!$C$14,Data2!$D$13,Data2!$D$14))))</f>
        <v/>
      </c>
      <c r="T490" s="144">
        <f t="shared" si="327"/>
        <v>0</v>
      </c>
      <c r="U490" s="144">
        <f t="shared" si="328"/>
        <v>0</v>
      </c>
      <c r="V490" s="144" t="str">
        <f t="shared" ref="V490:V529" si="340">IF(T490&gt;$I$560,$J$559,IF(T490&gt;$I$561,$J$560,IF(T490&gt;$I$562,$J$561,$J$562)))</f>
        <v>Mulai berkembang</v>
      </c>
      <c r="W490" s="144" t="str">
        <f t="shared" ref="W490:W529" si="341">IF(U490&gt;$I$560,$J$559,IF(U490&gt;$I$561,$J$560,IF(U490&gt;$I$562,$J$561,$J$562)))</f>
        <v>Mulai berkembang</v>
      </c>
      <c r="X490" s="144" t="e">
        <f t="shared" si="331"/>
        <v>#N/A</v>
      </c>
      <c r="Y490" s="145" t="e">
        <f t="shared" si="332"/>
        <v>#N/A</v>
      </c>
      <c r="Z490" s="218" t="str">
        <f>IF('PA-Non'!O378&lt;&gt;"",'PA-Non'!O378,IFERROR("Mempunyai kemampuan yang " &amp;IF(V490=W490,PROPER(W490)&amp;" dalam kompetensi "&amp;VLOOKUP(X490,$G$532:$I$539,3)&amp;" dan kompetensi "&amp;VLOOKUP(Y490,$G$532:$I$539,3),PROPER(V490)&amp;" dalam kompetensi "&amp;VLOOKUP(X490,$G$532:$I$539,3)&amp;" dan memiliki kemampuan yang "&amp;W490&amp;" pada kompetensi "&amp;VLOOKUP(Y490,$G$532:$I$539,3)),""))</f>
        <v/>
      </c>
      <c r="AA490" s="153"/>
      <c r="AB490" s="154"/>
      <c r="AC490" s="154"/>
      <c r="AD490" s="154"/>
      <c r="AE490" s="154"/>
      <c r="AF490" s="154"/>
      <c r="AG490" s="154"/>
      <c r="AH490" s="155"/>
      <c r="AI490" s="219" t="str">
        <f t="shared" si="333"/>
        <v/>
      </c>
      <c r="AJ490" s="160" t="str">
        <f>IF(AI490="","",IF(AI490&gt;Data2!$C$12,Data2!$D$11,IF(AI490&gt;Data2!$C$13,Data2!$D$12,IF(AI490&gt;Data2!$C$14,Data2!$D$13,Data2!$D$14))))</f>
        <v/>
      </c>
      <c r="AK490" s="146">
        <f t="shared" si="334"/>
        <v>0</v>
      </c>
      <c r="AL490" s="146">
        <f t="shared" si="335"/>
        <v>0</v>
      </c>
      <c r="AM490" s="147" t="str">
        <f t="shared" ref="AM490:AM529" si="342">IF(AK490&gt;$I$560,$AD$559,IF(AK490&gt;$I$561,$AD$560,IF(AK490&gt;$I$562,$AD$561,$AD$562)))</f>
        <v>Mulai meningkat</v>
      </c>
      <c r="AN490" s="147" t="str">
        <f t="shared" ref="AN490:AN529" si="343">IF(AL490&gt;$I$560,$AD$559,IF(AL490&gt;$I$561,$AD$560,IF(AL490&gt;$I$562,$AD$561,$AD$562)))</f>
        <v>Mulai meningkat</v>
      </c>
      <c r="AO490" s="146" t="e">
        <f t="shared" si="338"/>
        <v>#N/A</v>
      </c>
      <c r="AP490" s="148" t="e">
        <f t="shared" si="339"/>
        <v>#N/A</v>
      </c>
      <c r="AQ490" s="158" t="str">
        <f>IF('PA-Non'!V378&lt;&gt;"",'PA-Non'!V378,IFERROR("Mempunyai keterampilan yang "&amp;IF(AM490=AN490,PROPER(AN490)&amp;" dalam kompetensi "&amp;VLOOKUP(AO490,$AA$532:$AC$539,3)&amp;", demikian juga dalam kompetensi "&amp;VLOOKUP(AP490,$AA$532:$AC$539,3),PROPER(AM490)&amp;" dalam kompetensi "&amp;VLOOKUP(AO490,$AA$532:$AC$539,3)&amp;" dan "&amp;AN490&amp;" pada kompetensi "&amp;VLOOKUP(AP490,$AA$532:$AC$539,3)),""))</f>
        <v/>
      </c>
      <c r="AR490" s="188"/>
    </row>
    <row r="491" spans="2:44" ht="27.75" customHeight="1" thickBot="1" x14ac:dyDescent="0.35">
      <c r="B491" s="226" t="s">
        <v>190</v>
      </c>
      <c r="C491" s="149" t="str">
        <f t="shared" si="324"/>
        <v/>
      </c>
      <c r="D491" s="150" t="str">
        <f>IF(Data!F486="","",Data!F486)</f>
        <v/>
      </c>
      <c r="E491" s="151" t="str">
        <f>IF(Data!H486="","",Data!H486)</f>
        <v/>
      </c>
      <c r="F491" s="152" t="str">
        <f>IF(Data!I486="","",Data!I486)</f>
        <v/>
      </c>
      <c r="G491" s="153"/>
      <c r="H491" s="154"/>
      <c r="I491" s="154"/>
      <c r="J491" s="154"/>
      <c r="K491" s="154"/>
      <c r="L491" s="154"/>
      <c r="M491" s="154"/>
      <c r="N491" s="155"/>
      <c r="O491" s="157" t="str">
        <f t="shared" si="325"/>
        <v/>
      </c>
      <c r="P491" s="154"/>
      <c r="Q491" s="156"/>
      <c r="R491" s="157" t="str">
        <f t="shared" si="326"/>
        <v/>
      </c>
      <c r="S491" s="159" t="str">
        <f>IF(R491="","",IF(R491&gt;Data2!$C$12,Data2!$D$11,IF(R491&gt;Data2!$C$13,Data2!$D$12,IF(R491&gt;Data2!$C$14,Data2!$D$13,Data2!$D$14))))</f>
        <v/>
      </c>
      <c r="T491" s="144">
        <f t="shared" si="327"/>
        <v>0</v>
      </c>
      <c r="U491" s="144">
        <f t="shared" si="328"/>
        <v>0</v>
      </c>
      <c r="V491" s="144" t="str">
        <f t="shared" si="340"/>
        <v>Mulai berkembang</v>
      </c>
      <c r="W491" s="144" t="str">
        <f t="shared" si="341"/>
        <v>Mulai berkembang</v>
      </c>
      <c r="X491" s="144" t="e">
        <f t="shared" si="331"/>
        <v>#N/A</v>
      </c>
      <c r="Y491" s="145" t="e">
        <f t="shared" si="332"/>
        <v>#N/A</v>
      </c>
      <c r="Z491" s="218" t="str">
        <f>IF('PA-Non'!O379&lt;&gt;"",'PA-Non'!O379,IFERROR("Mempunyai kemampuan yang " &amp;IF(V491=W491,PROPER(W491)&amp;" dalam kompetensi "&amp;VLOOKUP(X491,$G$532:$I$539,3)&amp;" dan kompetensi "&amp;VLOOKUP(Y491,$G$532:$I$539,3),PROPER(V491)&amp;" dalam kompetensi "&amp;VLOOKUP(X491,$G$532:$I$539,3)&amp;" dan memiliki kemampuan yang "&amp;W491&amp;" pada kompetensi "&amp;VLOOKUP(Y491,$G$532:$I$539,3)),""))</f>
        <v/>
      </c>
      <c r="AA491" s="153"/>
      <c r="AB491" s="154"/>
      <c r="AC491" s="154"/>
      <c r="AD491" s="154"/>
      <c r="AE491" s="154"/>
      <c r="AF491" s="154"/>
      <c r="AG491" s="154"/>
      <c r="AH491" s="155"/>
      <c r="AI491" s="220" t="str">
        <f t="shared" si="333"/>
        <v/>
      </c>
      <c r="AJ491" s="160" t="str">
        <f>IF(AI491="","",IF(AI491&gt;Data2!$C$12,Data2!$D$11,IF(AI491&gt;Data2!$C$13,Data2!$D$12,IF(AI491&gt;Data2!$C$14,Data2!$D$13,Data2!$D$14))))</f>
        <v/>
      </c>
      <c r="AK491" s="146">
        <f t="shared" si="334"/>
        <v>0</v>
      </c>
      <c r="AL491" s="146">
        <f t="shared" si="335"/>
        <v>0</v>
      </c>
      <c r="AM491" s="147" t="str">
        <f t="shared" si="342"/>
        <v>Mulai meningkat</v>
      </c>
      <c r="AN491" s="147" t="str">
        <f t="shared" si="343"/>
        <v>Mulai meningkat</v>
      </c>
      <c r="AO491" s="146" t="e">
        <f t="shared" si="338"/>
        <v>#N/A</v>
      </c>
      <c r="AP491" s="148" t="e">
        <f t="shared" si="339"/>
        <v>#N/A</v>
      </c>
      <c r="AQ491" s="158" t="str">
        <f>IF('PA-Non'!V379&lt;&gt;"",'PA-Non'!V379,IFERROR("Mempunyai keterampilan yang "&amp;IF(AM491=AN491,PROPER(AN491)&amp;" dalam kompetensi "&amp;VLOOKUP(AO491,$AA$532:$AC$539,3)&amp;", demikian juga dalam kompetensi "&amp;VLOOKUP(AP491,$AA$532:$AC$539,3),PROPER(AM491)&amp;" dalam kompetensi "&amp;VLOOKUP(AO491,$AA$532:$AC$539,3)&amp;" dan "&amp;AN491&amp;" pada kompetensi "&amp;VLOOKUP(AP491,$AA$532:$AC$539,3)),""))</f>
        <v/>
      </c>
      <c r="AR491" s="188"/>
    </row>
    <row r="492" spans="2:44" ht="27.75" customHeight="1" thickBot="1" x14ac:dyDescent="0.35">
      <c r="B492" s="226" t="s">
        <v>190</v>
      </c>
      <c r="C492" s="149" t="str">
        <f t="shared" si="324"/>
        <v/>
      </c>
      <c r="D492" s="150" t="str">
        <f>IF(Data!F487="","",Data!F487)</f>
        <v/>
      </c>
      <c r="E492" s="151" t="str">
        <f>IF(Data!H487="","",Data!H487)</f>
        <v/>
      </c>
      <c r="F492" s="152" t="str">
        <f>IF(Data!I487="","",Data!I487)</f>
        <v/>
      </c>
      <c r="G492" s="153"/>
      <c r="H492" s="154"/>
      <c r="I492" s="154"/>
      <c r="J492" s="154"/>
      <c r="K492" s="154"/>
      <c r="L492" s="154"/>
      <c r="M492" s="154"/>
      <c r="N492" s="155"/>
      <c r="O492" s="157" t="str">
        <f t="shared" si="325"/>
        <v/>
      </c>
      <c r="P492" s="154"/>
      <c r="Q492" s="156"/>
      <c r="R492" s="157" t="str">
        <f t="shared" si="326"/>
        <v/>
      </c>
      <c r="S492" s="159" t="str">
        <f>IF(R492="","",IF(R492&gt;Data2!$C$12,Data2!$D$11,IF(R492&gt;Data2!$C$13,Data2!$D$12,IF(R492&gt;Data2!$C$14,Data2!$D$13,Data2!$D$14))))</f>
        <v/>
      </c>
      <c r="T492" s="144">
        <f t="shared" si="327"/>
        <v>0</v>
      </c>
      <c r="U492" s="144">
        <f t="shared" si="328"/>
        <v>0</v>
      </c>
      <c r="V492" s="144" t="str">
        <f t="shared" si="340"/>
        <v>Mulai berkembang</v>
      </c>
      <c r="W492" s="144" t="str">
        <f t="shared" si="341"/>
        <v>Mulai berkembang</v>
      </c>
      <c r="X492" s="144" t="e">
        <f t="shared" si="331"/>
        <v>#N/A</v>
      </c>
      <c r="Y492" s="145" t="e">
        <f t="shared" si="332"/>
        <v>#N/A</v>
      </c>
      <c r="Z492" s="218" t="str">
        <f>IF('PA-Non'!O380&lt;&gt;"",'PA-Non'!O380,IFERROR("Mempunyai kemampuan yang " &amp;IF(V492=W492,PROPER(W492)&amp;" dalam kompetensi "&amp;VLOOKUP(X492,$G$532:$I$539,3)&amp;" dan kompetensi "&amp;VLOOKUP(Y492,$G$532:$I$539,3),PROPER(V492)&amp;" dalam kompetensi "&amp;VLOOKUP(X492,$G$532:$I$539,3)&amp;" dan memiliki kemampuan yang "&amp;W492&amp;" pada kompetensi "&amp;VLOOKUP(Y492,$G$532:$I$539,3)),""))</f>
        <v/>
      </c>
      <c r="AA492" s="153"/>
      <c r="AB492" s="154"/>
      <c r="AC492" s="154"/>
      <c r="AD492" s="154"/>
      <c r="AE492" s="154"/>
      <c r="AF492" s="154"/>
      <c r="AG492" s="154"/>
      <c r="AH492" s="155"/>
      <c r="AI492" s="220" t="str">
        <f t="shared" si="333"/>
        <v/>
      </c>
      <c r="AJ492" s="160" t="str">
        <f>IF(AI492="","",IF(AI492&gt;Data2!$C$12,Data2!$D$11,IF(AI492&gt;Data2!$C$13,Data2!$D$12,IF(AI492&gt;Data2!$C$14,Data2!$D$13,Data2!$D$14))))</f>
        <v/>
      </c>
      <c r="AK492" s="146">
        <f t="shared" si="334"/>
        <v>0</v>
      </c>
      <c r="AL492" s="146">
        <f t="shared" si="335"/>
        <v>0</v>
      </c>
      <c r="AM492" s="147" t="str">
        <f t="shared" si="342"/>
        <v>Mulai meningkat</v>
      </c>
      <c r="AN492" s="147" t="str">
        <f t="shared" si="343"/>
        <v>Mulai meningkat</v>
      </c>
      <c r="AO492" s="146" t="e">
        <f t="shared" si="338"/>
        <v>#N/A</v>
      </c>
      <c r="AP492" s="148" t="e">
        <f t="shared" si="339"/>
        <v>#N/A</v>
      </c>
      <c r="AQ492" s="158" t="str">
        <f>IF('PA-Non'!V380&lt;&gt;"",'PA-Non'!V380,IFERROR("Mempunyai keterampilan yang "&amp;IF(AM492=AN492,PROPER(AN492)&amp;" dalam kompetensi "&amp;VLOOKUP(AO492,$AA$532:$AC$539,3)&amp;", demikian juga dalam kompetensi "&amp;VLOOKUP(AP492,$AA$532:$AC$539,3),PROPER(AM492)&amp;" dalam kompetensi "&amp;VLOOKUP(AO492,$AA$532:$AC$539,3)&amp;" dan "&amp;AN492&amp;" pada kompetensi "&amp;VLOOKUP(AP492,$AA$532:$AC$539,3)),""))</f>
        <v/>
      </c>
      <c r="AR492" s="188"/>
    </row>
    <row r="493" spans="2:44" ht="27.9" customHeight="1" thickBot="1" x14ac:dyDescent="0.35">
      <c r="B493" s="226" t="s">
        <v>190</v>
      </c>
      <c r="C493" s="149" t="str">
        <f t="shared" si="324"/>
        <v/>
      </c>
      <c r="D493" s="150" t="str">
        <f>IF(Data!F488="","",Data!F488)</f>
        <v/>
      </c>
      <c r="E493" s="151" t="str">
        <f>IF(Data!H488="","",Data!H488)</f>
        <v/>
      </c>
      <c r="F493" s="152" t="str">
        <f>IF(Data!I488="","",Data!I488)</f>
        <v/>
      </c>
      <c r="G493" s="153"/>
      <c r="H493" s="154"/>
      <c r="I493" s="154"/>
      <c r="J493" s="154"/>
      <c r="K493" s="154"/>
      <c r="L493" s="154"/>
      <c r="M493" s="154"/>
      <c r="N493" s="155"/>
      <c r="O493" s="157" t="str">
        <f t="shared" si="325"/>
        <v/>
      </c>
      <c r="P493" s="154"/>
      <c r="Q493" s="156"/>
      <c r="R493" s="157" t="str">
        <f t="shared" si="326"/>
        <v/>
      </c>
      <c r="S493" s="159" t="str">
        <f>IF(R493="","",IF(R493&gt;Data2!$C$12,Data2!$D$11,IF(R493&gt;Data2!$C$13,Data2!$D$12,IF(R493&gt;Data2!$C$14,Data2!$D$13,Data2!$D$14))))</f>
        <v/>
      </c>
      <c r="T493" s="144">
        <f t="shared" si="327"/>
        <v>0</v>
      </c>
      <c r="U493" s="144">
        <f t="shared" si="328"/>
        <v>0</v>
      </c>
      <c r="V493" s="144" t="str">
        <f t="shared" si="340"/>
        <v>Mulai berkembang</v>
      </c>
      <c r="W493" s="144" t="str">
        <f t="shared" si="341"/>
        <v>Mulai berkembang</v>
      </c>
      <c r="X493" s="144" t="e">
        <f t="shared" si="331"/>
        <v>#N/A</v>
      </c>
      <c r="Y493" s="145" t="e">
        <f t="shared" si="332"/>
        <v>#N/A</v>
      </c>
      <c r="Z493" s="218" t="str">
        <f>IF('PA-Non'!O381&lt;&gt;"",'PA-Non'!O381,IFERROR("Mempunyai kemampuan yang " &amp;IF(V493=W493,PROPER(W493)&amp;" dalam kompetensi "&amp;VLOOKUP(X493,$G$532:$I$539,3)&amp;" dan kompetensi "&amp;VLOOKUP(Y493,$G$532:$I$539,3),PROPER(V493)&amp;" dalam kompetensi "&amp;VLOOKUP(X493,$G$532:$I$539,3)&amp;" dan memiliki kemampuan yang "&amp;W493&amp;" pada kompetensi "&amp;VLOOKUP(Y493,$G$532:$I$539,3)),""))</f>
        <v/>
      </c>
      <c r="AA493" s="153"/>
      <c r="AB493" s="154"/>
      <c r="AC493" s="154"/>
      <c r="AD493" s="154"/>
      <c r="AE493" s="154"/>
      <c r="AF493" s="154"/>
      <c r="AG493" s="154"/>
      <c r="AH493" s="155"/>
      <c r="AI493" s="220" t="str">
        <f t="shared" si="333"/>
        <v/>
      </c>
      <c r="AJ493" s="160" t="str">
        <f>IF(AI493="","",IF(AI493&gt;Data2!$C$12,Data2!$D$11,IF(AI493&gt;Data2!$C$13,Data2!$D$12,IF(AI493&gt;Data2!$C$14,Data2!$D$13,Data2!$D$14))))</f>
        <v/>
      </c>
      <c r="AK493" s="146">
        <f t="shared" si="334"/>
        <v>0</v>
      </c>
      <c r="AL493" s="146">
        <f t="shared" si="335"/>
        <v>0</v>
      </c>
      <c r="AM493" s="147" t="str">
        <f t="shared" si="342"/>
        <v>Mulai meningkat</v>
      </c>
      <c r="AN493" s="147" t="str">
        <f t="shared" si="343"/>
        <v>Mulai meningkat</v>
      </c>
      <c r="AO493" s="146" t="e">
        <f t="shared" si="338"/>
        <v>#N/A</v>
      </c>
      <c r="AP493" s="148" t="e">
        <f t="shared" si="339"/>
        <v>#N/A</v>
      </c>
      <c r="AQ493" s="158" t="str">
        <f>IF('PA-Non'!V381&lt;&gt;"",'PA-Non'!V381,IFERROR("Mempunyai keterampilan yang "&amp;IF(AM493=AN493,PROPER(AN493)&amp;" dalam kompetensi "&amp;VLOOKUP(AO493,$AA$532:$AC$539,3)&amp;", demikian juga dalam kompetensi "&amp;VLOOKUP(AP493,$AA$532:$AC$539,3),PROPER(AM493)&amp;" dalam kompetensi "&amp;VLOOKUP(AO493,$AA$532:$AC$539,3)&amp;" dan "&amp;AN493&amp;" pada kompetensi "&amp;VLOOKUP(AP493,$AA$532:$AC$539,3)),""))</f>
        <v/>
      </c>
      <c r="AR493" s="188"/>
    </row>
    <row r="494" spans="2:44" ht="27.9" customHeight="1" thickBot="1" x14ac:dyDescent="0.35">
      <c r="B494" s="226" t="s">
        <v>190</v>
      </c>
      <c r="C494" s="149" t="str">
        <f t="shared" si="324"/>
        <v/>
      </c>
      <c r="D494" s="150" t="str">
        <f>IF(Data!F489="","",Data!F489)</f>
        <v/>
      </c>
      <c r="E494" s="151" t="str">
        <f>IF(Data!H489="","",Data!H489)</f>
        <v/>
      </c>
      <c r="F494" s="152" t="str">
        <f>IF(Data!I489="","",Data!I489)</f>
        <v/>
      </c>
      <c r="G494" s="153"/>
      <c r="H494" s="154"/>
      <c r="I494" s="154"/>
      <c r="J494" s="154"/>
      <c r="K494" s="154"/>
      <c r="L494" s="154"/>
      <c r="M494" s="154"/>
      <c r="N494" s="155"/>
      <c r="O494" s="157" t="str">
        <f t="shared" si="325"/>
        <v/>
      </c>
      <c r="P494" s="154"/>
      <c r="Q494" s="156"/>
      <c r="R494" s="157" t="str">
        <f t="shared" si="326"/>
        <v/>
      </c>
      <c r="S494" s="159" t="str">
        <f>IF(R494="","",IF(R494&gt;Data2!$C$12,Data2!$D$11,IF(R494&gt;Data2!$C$13,Data2!$D$12,IF(R494&gt;Data2!$C$14,Data2!$D$13,Data2!$D$14))))</f>
        <v/>
      </c>
      <c r="T494" s="144">
        <f t="shared" si="327"/>
        <v>0</v>
      </c>
      <c r="U494" s="144">
        <f t="shared" si="328"/>
        <v>0</v>
      </c>
      <c r="V494" s="144" t="str">
        <f t="shared" si="340"/>
        <v>Mulai berkembang</v>
      </c>
      <c r="W494" s="144" t="str">
        <f t="shared" si="341"/>
        <v>Mulai berkembang</v>
      </c>
      <c r="X494" s="144" t="e">
        <f t="shared" si="331"/>
        <v>#N/A</v>
      </c>
      <c r="Y494" s="145" t="e">
        <f t="shared" si="332"/>
        <v>#N/A</v>
      </c>
      <c r="Z494" s="218" t="str">
        <f>IF('PA-Non'!O382&lt;&gt;"",'PA-Non'!O382,IFERROR("Mempunyai kemampuan yang " &amp;IF(V494=W494,PROPER(W494)&amp;" dalam kompetensi "&amp;VLOOKUP(X494,$G$532:$I$539,3)&amp;" dan kompetensi "&amp;VLOOKUP(Y494,$G$532:$I$539,3),PROPER(V494)&amp;" dalam kompetensi "&amp;VLOOKUP(X494,$G$532:$I$539,3)&amp;" dan memiliki kemampuan yang "&amp;W494&amp;" pada kompetensi "&amp;VLOOKUP(Y494,$G$532:$I$539,3)),""))</f>
        <v/>
      </c>
      <c r="AA494" s="153"/>
      <c r="AB494" s="154"/>
      <c r="AC494" s="154"/>
      <c r="AD494" s="154"/>
      <c r="AE494" s="154"/>
      <c r="AF494" s="154"/>
      <c r="AG494" s="154"/>
      <c r="AH494" s="155"/>
      <c r="AI494" s="220" t="str">
        <f t="shared" si="333"/>
        <v/>
      </c>
      <c r="AJ494" s="160" t="str">
        <f>IF(AI494="","",IF(AI494&gt;Data2!$C$12,Data2!$D$11,IF(AI494&gt;Data2!$C$13,Data2!$D$12,IF(AI494&gt;Data2!$C$14,Data2!$D$13,Data2!$D$14))))</f>
        <v/>
      </c>
      <c r="AK494" s="146">
        <f t="shared" si="334"/>
        <v>0</v>
      </c>
      <c r="AL494" s="146">
        <f t="shared" si="335"/>
        <v>0</v>
      </c>
      <c r="AM494" s="147" t="str">
        <f t="shared" si="342"/>
        <v>Mulai meningkat</v>
      </c>
      <c r="AN494" s="147" t="str">
        <f t="shared" si="343"/>
        <v>Mulai meningkat</v>
      </c>
      <c r="AO494" s="146" t="e">
        <f t="shared" si="338"/>
        <v>#N/A</v>
      </c>
      <c r="AP494" s="148" t="e">
        <f t="shared" si="339"/>
        <v>#N/A</v>
      </c>
      <c r="AQ494" s="158" t="str">
        <f>IF('PA-Non'!V382&lt;&gt;"",'PA-Non'!V382,IFERROR("Mempunyai keterampilan yang "&amp;IF(AM494=AN494,PROPER(AN494)&amp;" dalam kompetensi "&amp;VLOOKUP(AO494,$AA$532:$AC$539,3)&amp;", demikian juga dalam kompetensi "&amp;VLOOKUP(AP494,$AA$532:$AC$539,3),PROPER(AM494)&amp;" dalam kompetensi "&amp;VLOOKUP(AO494,$AA$532:$AC$539,3)&amp;" dan "&amp;AN494&amp;" pada kompetensi "&amp;VLOOKUP(AP494,$AA$532:$AC$539,3)),""))</f>
        <v/>
      </c>
      <c r="AR494" s="188"/>
    </row>
    <row r="495" spans="2:44" ht="27.9" customHeight="1" thickBot="1" x14ac:dyDescent="0.35">
      <c r="B495" s="226" t="s">
        <v>190</v>
      </c>
      <c r="C495" s="149" t="str">
        <f t="shared" si="324"/>
        <v/>
      </c>
      <c r="D495" s="150" t="str">
        <f>IF(Data!F490="","",Data!F490)</f>
        <v/>
      </c>
      <c r="E495" s="151" t="str">
        <f>IF(Data!H490="","",Data!H490)</f>
        <v/>
      </c>
      <c r="F495" s="152" t="str">
        <f>IF(Data!I490="","",Data!I490)</f>
        <v/>
      </c>
      <c r="G495" s="153"/>
      <c r="H495" s="154"/>
      <c r="I495" s="154"/>
      <c r="J495" s="154"/>
      <c r="K495" s="154"/>
      <c r="L495" s="154"/>
      <c r="M495" s="154"/>
      <c r="N495" s="155"/>
      <c r="O495" s="157" t="str">
        <f t="shared" si="325"/>
        <v/>
      </c>
      <c r="P495" s="154"/>
      <c r="Q495" s="156"/>
      <c r="R495" s="157" t="str">
        <f t="shared" si="326"/>
        <v/>
      </c>
      <c r="S495" s="159" t="str">
        <f>IF(R495="","",IF(R495&gt;Data2!$C$12,Data2!$D$11,IF(R495&gt;Data2!$C$13,Data2!$D$12,IF(R495&gt;Data2!$C$14,Data2!$D$13,Data2!$D$14))))</f>
        <v/>
      </c>
      <c r="T495" s="144">
        <f t="shared" si="327"/>
        <v>0</v>
      </c>
      <c r="U495" s="144">
        <f t="shared" si="328"/>
        <v>0</v>
      </c>
      <c r="V495" s="144" t="str">
        <f t="shared" si="340"/>
        <v>Mulai berkembang</v>
      </c>
      <c r="W495" s="144" t="str">
        <f t="shared" si="341"/>
        <v>Mulai berkembang</v>
      </c>
      <c r="X495" s="144" t="e">
        <f t="shared" si="331"/>
        <v>#N/A</v>
      </c>
      <c r="Y495" s="145" t="e">
        <f t="shared" si="332"/>
        <v>#N/A</v>
      </c>
      <c r="Z495" s="218" t="str">
        <f>IF('PA-Non'!O383&lt;&gt;"",'PA-Non'!O383,IFERROR("Mempunyai kemampuan yang " &amp;IF(V495=W495,PROPER(W495)&amp;" dalam kompetensi "&amp;VLOOKUP(X495,$G$532:$I$539,3)&amp;" dan kompetensi "&amp;VLOOKUP(Y495,$G$532:$I$539,3),PROPER(V495)&amp;" dalam kompetensi "&amp;VLOOKUP(X495,$G$532:$I$539,3)&amp;" dan memiliki kemampuan yang "&amp;W495&amp;" pada kompetensi "&amp;VLOOKUP(Y495,$G$532:$I$539,3)),""))</f>
        <v/>
      </c>
      <c r="AA495" s="153"/>
      <c r="AB495" s="154"/>
      <c r="AC495" s="154"/>
      <c r="AD495" s="154"/>
      <c r="AE495" s="154"/>
      <c r="AF495" s="154"/>
      <c r="AG495" s="154"/>
      <c r="AH495" s="155"/>
      <c r="AI495" s="220" t="str">
        <f t="shared" si="333"/>
        <v/>
      </c>
      <c r="AJ495" s="160" t="str">
        <f>IF(AI495="","",IF(AI495&gt;Data2!$C$12,Data2!$D$11,IF(AI495&gt;Data2!$C$13,Data2!$D$12,IF(AI495&gt;Data2!$C$14,Data2!$D$13,Data2!$D$14))))</f>
        <v/>
      </c>
      <c r="AK495" s="146">
        <f t="shared" si="334"/>
        <v>0</v>
      </c>
      <c r="AL495" s="146">
        <f t="shared" si="335"/>
        <v>0</v>
      </c>
      <c r="AM495" s="147" t="str">
        <f t="shared" si="342"/>
        <v>Mulai meningkat</v>
      </c>
      <c r="AN495" s="147" t="str">
        <f t="shared" si="343"/>
        <v>Mulai meningkat</v>
      </c>
      <c r="AO495" s="146" t="e">
        <f t="shared" si="338"/>
        <v>#N/A</v>
      </c>
      <c r="AP495" s="148" t="e">
        <f t="shared" si="339"/>
        <v>#N/A</v>
      </c>
      <c r="AQ495" s="158" t="str">
        <f>IF('PA-Non'!V383&lt;&gt;"",'PA-Non'!V383,IFERROR("Mempunyai keterampilan yang "&amp;IF(AM495=AN495,PROPER(AN495)&amp;" dalam kompetensi "&amp;VLOOKUP(AO495,$AA$532:$AC$539,3)&amp;", demikian juga dalam kompetensi "&amp;VLOOKUP(AP495,$AA$532:$AC$539,3),PROPER(AM495)&amp;" dalam kompetensi "&amp;VLOOKUP(AO495,$AA$532:$AC$539,3)&amp;" dan "&amp;AN495&amp;" pada kompetensi "&amp;VLOOKUP(AP495,$AA$532:$AC$539,3)),""))</f>
        <v/>
      </c>
      <c r="AR495" s="188"/>
    </row>
    <row r="496" spans="2:44" ht="27.9" customHeight="1" thickBot="1" x14ac:dyDescent="0.35">
      <c r="B496" s="226" t="s">
        <v>190</v>
      </c>
      <c r="C496" s="149" t="str">
        <f t="shared" si="324"/>
        <v/>
      </c>
      <c r="D496" s="150" t="str">
        <f>IF(Data!F491="","",Data!F491)</f>
        <v/>
      </c>
      <c r="E496" s="151" t="str">
        <f>IF(Data!H491="","",Data!H491)</f>
        <v/>
      </c>
      <c r="F496" s="152" t="str">
        <f>IF(Data!I491="","",Data!I491)</f>
        <v/>
      </c>
      <c r="G496" s="153"/>
      <c r="H496" s="154"/>
      <c r="I496" s="154"/>
      <c r="J496" s="154"/>
      <c r="K496" s="154"/>
      <c r="L496" s="154"/>
      <c r="M496" s="154"/>
      <c r="N496" s="155"/>
      <c r="O496" s="157" t="str">
        <f t="shared" si="325"/>
        <v/>
      </c>
      <c r="P496" s="154"/>
      <c r="Q496" s="156"/>
      <c r="R496" s="157" t="str">
        <f t="shared" si="326"/>
        <v/>
      </c>
      <c r="S496" s="159" t="str">
        <f>IF(R496="","",IF(R496&gt;Data2!$C$12,Data2!$D$11,IF(R496&gt;Data2!$C$13,Data2!$D$12,IF(R496&gt;Data2!$C$14,Data2!$D$13,Data2!$D$14))))</f>
        <v/>
      </c>
      <c r="T496" s="144">
        <f t="shared" si="327"/>
        <v>0</v>
      </c>
      <c r="U496" s="144">
        <f t="shared" si="328"/>
        <v>0</v>
      </c>
      <c r="V496" s="144" t="str">
        <f t="shared" si="340"/>
        <v>Mulai berkembang</v>
      </c>
      <c r="W496" s="144" t="str">
        <f t="shared" si="341"/>
        <v>Mulai berkembang</v>
      </c>
      <c r="X496" s="144" t="e">
        <f t="shared" si="331"/>
        <v>#N/A</v>
      </c>
      <c r="Y496" s="145" t="e">
        <f t="shared" si="332"/>
        <v>#N/A</v>
      </c>
      <c r="Z496" s="218" t="str">
        <f>IF('PA-Non'!O384&lt;&gt;"",'PA-Non'!O384,IFERROR("Mempunyai kemampuan yang " &amp;IF(V496=W496,PROPER(W496)&amp;" dalam kompetensi "&amp;VLOOKUP(X496,$G$532:$I$539,3)&amp;" dan kompetensi "&amp;VLOOKUP(Y496,$G$532:$I$539,3),PROPER(V496)&amp;" dalam kompetensi "&amp;VLOOKUP(X496,$G$532:$I$539,3)&amp;" dan memiliki kemampuan yang "&amp;W496&amp;" pada kompetensi "&amp;VLOOKUP(Y496,$G$532:$I$539,3)),""))</f>
        <v/>
      </c>
      <c r="AA496" s="153"/>
      <c r="AB496" s="154"/>
      <c r="AC496" s="154"/>
      <c r="AD496" s="154"/>
      <c r="AE496" s="154"/>
      <c r="AF496" s="154"/>
      <c r="AG496" s="154"/>
      <c r="AH496" s="155"/>
      <c r="AI496" s="220" t="str">
        <f t="shared" si="333"/>
        <v/>
      </c>
      <c r="AJ496" s="160" t="str">
        <f>IF(AI496="","",IF(AI496&gt;Data2!$C$12,Data2!$D$11,IF(AI496&gt;Data2!$C$13,Data2!$D$12,IF(AI496&gt;Data2!$C$14,Data2!$D$13,Data2!$D$14))))</f>
        <v/>
      </c>
      <c r="AK496" s="146">
        <f t="shared" si="334"/>
        <v>0</v>
      </c>
      <c r="AL496" s="146">
        <f t="shared" si="335"/>
        <v>0</v>
      </c>
      <c r="AM496" s="147" t="str">
        <f t="shared" si="342"/>
        <v>Mulai meningkat</v>
      </c>
      <c r="AN496" s="147" t="str">
        <f t="shared" si="343"/>
        <v>Mulai meningkat</v>
      </c>
      <c r="AO496" s="146" t="e">
        <f t="shared" si="338"/>
        <v>#N/A</v>
      </c>
      <c r="AP496" s="148" t="e">
        <f t="shared" si="339"/>
        <v>#N/A</v>
      </c>
      <c r="AQ496" s="158" t="str">
        <f>IF('PA-Non'!V384&lt;&gt;"",'PA-Non'!V384,IFERROR("Mempunyai keterampilan yang "&amp;IF(AM496=AN496,PROPER(AN496)&amp;" dalam kompetensi "&amp;VLOOKUP(AO496,$AA$532:$AC$539,3)&amp;", demikian juga dalam kompetensi "&amp;VLOOKUP(AP496,$AA$532:$AC$539,3),PROPER(AM496)&amp;" dalam kompetensi "&amp;VLOOKUP(AO496,$AA$532:$AC$539,3)&amp;" dan "&amp;AN496&amp;" pada kompetensi "&amp;VLOOKUP(AP496,$AA$532:$AC$539,3)),""))</f>
        <v/>
      </c>
      <c r="AR496" s="188"/>
    </row>
    <row r="497" spans="2:44" ht="27.9" customHeight="1" thickBot="1" x14ac:dyDescent="0.35">
      <c r="B497" s="226" t="s">
        <v>190</v>
      </c>
      <c r="C497" s="149" t="str">
        <f t="shared" si="324"/>
        <v/>
      </c>
      <c r="D497" s="150" t="str">
        <f>IF(Data!F492="","",Data!F492)</f>
        <v/>
      </c>
      <c r="E497" s="151" t="str">
        <f>IF(Data!H492="","",Data!H492)</f>
        <v/>
      </c>
      <c r="F497" s="152" t="str">
        <f>IF(Data!I492="","",Data!I492)</f>
        <v/>
      </c>
      <c r="G497" s="153"/>
      <c r="H497" s="154"/>
      <c r="I497" s="154"/>
      <c r="J497" s="154"/>
      <c r="K497" s="154"/>
      <c r="L497" s="154"/>
      <c r="M497" s="154"/>
      <c r="N497" s="155"/>
      <c r="O497" s="157" t="str">
        <f t="shared" si="325"/>
        <v/>
      </c>
      <c r="P497" s="154"/>
      <c r="Q497" s="156"/>
      <c r="R497" s="157" t="str">
        <f t="shared" si="326"/>
        <v/>
      </c>
      <c r="S497" s="159" t="str">
        <f>IF(R497="","",IF(R497&gt;Data2!$C$12,Data2!$D$11,IF(R497&gt;Data2!$C$13,Data2!$D$12,IF(R497&gt;Data2!$C$14,Data2!$D$13,Data2!$D$14))))</f>
        <v/>
      </c>
      <c r="T497" s="144">
        <f t="shared" si="327"/>
        <v>0</v>
      </c>
      <c r="U497" s="144">
        <f t="shared" si="328"/>
        <v>0</v>
      </c>
      <c r="V497" s="144" t="str">
        <f t="shared" si="340"/>
        <v>Mulai berkembang</v>
      </c>
      <c r="W497" s="144" t="str">
        <f t="shared" si="341"/>
        <v>Mulai berkembang</v>
      </c>
      <c r="X497" s="144" t="e">
        <f t="shared" si="331"/>
        <v>#N/A</v>
      </c>
      <c r="Y497" s="145" t="e">
        <f t="shared" si="332"/>
        <v>#N/A</v>
      </c>
      <c r="Z497" s="218" t="str">
        <f>IF('PA-Non'!O385&lt;&gt;"",'PA-Non'!O385,IFERROR("Mempunyai kemampuan yang " &amp;IF(V497=W497,PROPER(W497)&amp;" dalam kompetensi "&amp;VLOOKUP(X497,$G$532:$I$539,3)&amp;" dan kompetensi "&amp;VLOOKUP(Y497,$G$532:$I$539,3),PROPER(V497)&amp;" dalam kompetensi "&amp;VLOOKUP(X497,$G$532:$I$539,3)&amp;" dan memiliki kemampuan yang "&amp;W497&amp;" pada kompetensi "&amp;VLOOKUP(Y497,$G$532:$I$539,3)),""))</f>
        <v/>
      </c>
      <c r="AA497" s="153"/>
      <c r="AB497" s="154"/>
      <c r="AC497" s="154"/>
      <c r="AD497" s="154"/>
      <c r="AE497" s="154"/>
      <c r="AF497" s="154"/>
      <c r="AG497" s="154"/>
      <c r="AH497" s="155"/>
      <c r="AI497" s="220" t="str">
        <f t="shared" si="333"/>
        <v/>
      </c>
      <c r="AJ497" s="160" t="str">
        <f>IF(AI497="","",IF(AI497&gt;Data2!$C$12,Data2!$D$11,IF(AI497&gt;Data2!$C$13,Data2!$D$12,IF(AI497&gt;Data2!$C$14,Data2!$D$13,Data2!$D$14))))</f>
        <v/>
      </c>
      <c r="AK497" s="146">
        <f t="shared" si="334"/>
        <v>0</v>
      </c>
      <c r="AL497" s="146">
        <f t="shared" si="335"/>
        <v>0</v>
      </c>
      <c r="AM497" s="147" t="str">
        <f t="shared" si="342"/>
        <v>Mulai meningkat</v>
      </c>
      <c r="AN497" s="147" t="str">
        <f t="shared" si="343"/>
        <v>Mulai meningkat</v>
      </c>
      <c r="AO497" s="146" t="e">
        <f t="shared" si="338"/>
        <v>#N/A</v>
      </c>
      <c r="AP497" s="148" t="e">
        <f t="shared" si="339"/>
        <v>#N/A</v>
      </c>
      <c r="AQ497" s="158" t="str">
        <f>IF('PA-Non'!V385&lt;&gt;"",'PA-Non'!V385,IFERROR("Mempunyai keterampilan yang "&amp;IF(AM497=AN497,PROPER(AN497)&amp;" dalam kompetensi "&amp;VLOOKUP(AO497,$AA$532:$AC$539,3)&amp;", demikian juga dalam kompetensi "&amp;VLOOKUP(AP497,$AA$532:$AC$539,3),PROPER(AM497)&amp;" dalam kompetensi "&amp;VLOOKUP(AO497,$AA$532:$AC$539,3)&amp;" dan "&amp;AN497&amp;" pada kompetensi "&amp;VLOOKUP(AP497,$AA$532:$AC$539,3)),""))</f>
        <v/>
      </c>
      <c r="AR497" s="188"/>
    </row>
    <row r="498" spans="2:44" ht="27.9" customHeight="1" thickBot="1" x14ac:dyDescent="0.35">
      <c r="B498" s="226" t="s">
        <v>190</v>
      </c>
      <c r="C498" s="149" t="str">
        <f t="shared" si="324"/>
        <v/>
      </c>
      <c r="D498" s="150" t="str">
        <f>IF(Data!F493="","",Data!F493)</f>
        <v/>
      </c>
      <c r="E498" s="151" t="str">
        <f>IF(Data!H493="","",Data!H493)</f>
        <v/>
      </c>
      <c r="F498" s="152" t="str">
        <f>IF(Data!I493="","",Data!I493)</f>
        <v/>
      </c>
      <c r="G498" s="153"/>
      <c r="H498" s="154"/>
      <c r="I498" s="154"/>
      <c r="J498" s="154"/>
      <c r="K498" s="154"/>
      <c r="L498" s="154"/>
      <c r="M498" s="154"/>
      <c r="N498" s="155"/>
      <c r="O498" s="157" t="str">
        <f t="shared" si="325"/>
        <v/>
      </c>
      <c r="P498" s="154"/>
      <c r="Q498" s="156"/>
      <c r="R498" s="157" t="str">
        <f t="shared" si="326"/>
        <v/>
      </c>
      <c r="S498" s="159" t="str">
        <f>IF(R498="","",IF(R498&gt;Data2!$C$12,Data2!$D$11,IF(R498&gt;Data2!$C$13,Data2!$D$12,IF(R498&gt;Data2!$C$14,Data2!$D$13,Data2!$D$14))))</f>
        <v/>
      </c>
      <c r="T498" s="144">
        <f t="shared" si="327"/>
        <v>0</v>
      </c>
      <c r="U498" s="144">
        <f t="shared" si="328"/>
        <v>0</v>
      </c>
      <c r="V498" s="144" t="str">
        <f t="shared" si="340"/>
        <v>Mulai berkembang</v>
      </c>
      <c r="W498" s="144" t="str">
        <f t="shared" si="341"/>
        <v>Mulai berkembang</v>
      </c>
      <c r="X498" s="144" t="e">
        <f t="shared" si="331"/>
        <v>#N/A</v>
      </c>
      <c r="Y498" s="145" t="e">
        <f t="shared" si="332"/>
        <v>#N/A</v>
      </c>
      <c r="Z498" s="218" t="str">
        <f>IF('PA-Non'!O386&lt;&gt;"",'PA-Non'!O386,IFERROR("Mempunyai kemampuan yang " &amp;IF(V498=W498,PROPER(W498)&amp;" dalam kompetensi "&amp;VLOOKUP(X498,$G$532:$I$539,3)&amp;" dan kompetensi "&amp;VLOOKUP(Y498,$G$532:$I$539,3),PROPER(V498)&amp;" dalam kompetensi "&amp;VLOOKUP(X498,$G$532:$I$539,3)&amp;" dan memiliki kemampuan yang "&amp;W498&amp;" pada kompetensi "&amp;VLOOKUP(Y498,$G$532:$I$539,3)),""))</f>
        <v/>
      </c>
      <c r="AA498" s="153"/>
      <c r="AB498" s="154"/>
      <c r="AC498" s="154"/>
      <c r="AD498" s="154"/>
      <c r="AE498" s="154"/>
      <c r="AF498" s="154"/>
      <c r="AG498" s="154"/>
      <c r="AH498" s="155"/>
      <c r="AI498" s="220" t="str">
        <f t="shared" si="333"/>
        <v/>
      </c>
      <c r="AJ498" s="160" t="str">
        <f>IF(AI498="","",IF(AI498&gt;Data2!$C$12,Data2!$D$11,IF(AI498&gt;Data2!$C$13,Data2!$D$12,IF(AI498&gt;Data2!$C$14,Data2!$D$13,Data2!$D$14))))</f>
        <v/>
      </c>
      <c r="AK498" s="146">
        <f t="shared" si="334"/>
        <v>0</v>
      </c>
      <c r="AL498" s="146">
        <f t="shared" si="335"/>
        <v>0</v>
      </c>
      <c r="AM498" s="147" t="str">
        <f t="shared" si="342"/>
        <v>Mulai meningkat</v>
      </c>
      <c r="AN498" s="147" t="str">
        <f t="shared" si="343"/>
        <v>Mulai meningkat</v>
      </c>
      <c r="AO498" s="146" t="e">
        <f t="shared" si="338"/>
        <v>#N/A</v>
      </c>
      <c r="AP498" s="148" t="e">
        <f t="shared" si="339"/>
        <v>#N/A</v>
      </c>
      <c r="AQ498" s="158" t="str">
        <f>IF('PA-Non'!V386&lt;&gt;"",'PA-Non'!V386,IFERROR("Mempunyai keterampilan yang "&amp;IF(AM498=AN498,PROPER(AN498)&amp;" dalam kompetensi "&amp;VLOOKUP(AO498,$AA$532:$AC$539,3)&amp;", demikian juga dalam kompetensi "&amp;VLOOKUP(AP498,$AA$532:$AC$539,3),PROPER(AM498)&amp;" dalam kompetensi "&amp;VLOOKUP(AO498,$AA$532:$AC$539,3)&amp;" dan "&amp;AN498&amp;" pada kompetensi "&amp;VLOOKUP(AP498,$AA$532:$AC$539,3)),""))</f>
        <v/>
      </c>
      <c r="AR498" s="188"/>
    </row>
    <row r="499" spans="2:44" ht="27.9" customHeight="1" thickBot="1" x14ac:dyDescent="0.35">
      <c r="B499" s="226" t="s">
        <v>190</v>
      </c>
      <c r="C499" s="149" t="str">
        <f t="shared" si="324"/>
        <v/>
      </c>
      <c r="D499" s="150" t="str">
        <f>IF(Data!F494="","",Data!F494)</f>
        <v/>
      </c>
      <c r="E499" s="151" t="str">
        <f>IF(Data!H494="","",Data!H494)</f>
        <v/>
      </c>
      <c r="F499" s="152" t="str">
        <f>IF(Data!I494="","",Data!I494)</f>
        <v/>
      </c>
      <c r="G499" s="153"/>
      <c r="H499" s="154"/>
      <c r="I499" s="154"/>
      <c r="J499" s="154"/>
      <c r="K499" s="154"/>
      <c r="L499" s="154"/>
      <c r="M499" s="154"/>
      <c r="N499" s="155"/>
      <c r="O499" s="157" t="str">
        <f t="shared" si="325"/>
        <v/>
      </c>
      <c r="P499" s="154"/>
      <c r="Q499" s="156"/>
      <c r="R499" s="157" t="str">
        <f t="shared" si="326"/>
        <v/>
      </c>
      <c r="S499" s="159" t="str">
        <f>IF(R499="","",IF(R499&gt;Data2!$C$12,Data2!$D$11,IF(R499&gt;Data2!$C$13,Data2!$D$12,IF(R499&gt;Data2!$C$14,Data2!$D$13,Data2!$D$14))))</f>
        <v/>
      </c>
      <c r="T499" s="144">
        <f t="shared" si="327"/>
        <v>0</v>
      </c>
      <c r="U499" s="144">
        <f t="shared" si="328"/>
        <v>0</v>
      </c>
      <c r="V499" s="144" t="str">
        <f t="shared" si="340"/>
        <v>Mulai berkembang</v>
      </c>
      <c r="W499" s="144" t="str">
        <f t="shared" si="341"/>
        <v>Mulai berkembang</v>
      </c>
      <c r="X499" s="144" t="e">
        <f t="shared" si="331"/>
        <v>#N/A</v>
      </c>
      <c r="Y499" s="145" t="e">
        <f t="shared" si="332"/>
        <v>#N/A</v>
      </c>
      <c r="Z499" s="218" t="str">
        <f>IF('PA-Non'!O387&lt;&gt;"",'PA-Non'!O387,IFERROR("Mempunyai kemampuan yang " &amp;IF(V499=W499,PROPER(W499)&amp;" dalam kompetensi "&amp;VLOOKUP(X499,$G$532:$I$539,3)&amp;" dan kompetensi "&amp;VLOOKUP(Y499,$G$532:$I$539,3),PROPER(V499)&amp;" dalam kompetensi "&amp;VLOOKUP(X499,$G$532:$I$539,3)&amp;" dan memiliki kemampuan yang "&amp;W499&amp;" pada kompetensi "&amp;VLOOKUP(Y499,$G$532:$I$539,3)),""))</f>
        <v/>
      </c>
      <c r="AA499" s="153"/>
      <c r="AB499" s="154"/>
      <c r="AC499" s="154"/>
      <c r="AD499" s="154"/>
      <c r="AE499" s="154"/>
      <c r="AF499" s="154"/>
      <c r="AG499" s="154"/>
      <c r="AH499" s="155"/>
      <c r="AI499" s="220" t="str">
        <f t="shared" si="333"/>
        <v/>
      </c>
      <c r="AJ499" s="160" t="str">
        <f>IF(AI499="","",IF(AI499&gt;Data2!$C$12,Data2!$D$11,IF(AI499&gt;Data2!$C$13,Data2!$D$12,IF(AI499&gt;Data2!$C$14,Data2!$D$13,Data2!$D$14))))</f>
        <v/>
      </c>
      <c r="AK499" s="146">
        <f t="shared" si="334"/>
        <v>0</v>
      </c>
      <c r="AL499" s="146">
        <f t="shared" si="335"/>
        <v>0</v>
      </c>
      <c r="AM499" s="147" t="str">
        <f t="shared" si="342"/>
        <v>Mulai meningkat</v>
      </c>
      <c r="AN499" s="147" t="str">
        <f t="shared" si="343"/>
        <v>Mulai meningkat</v>
      </c>
      <c r="AO499" s="146" t="e">
        <f t="shared" si="338"/>
        <v>#N/A</v>
      </c>
      <c r="AP499" s="148" t="e">
        <f t="shared" si="339"/>
        <v>#N/A</v>
      </c>
      <c r="AQ499" s="158" t="str">
        <f>IF('PA-Non'!V387&lt;&gt;"",'PA-Non'!V387,IFERROR("Mempunyai keterampilan yang "&amp;IF(AM499=AN499,PROPER(AN499)&amp;" dalam kompetensi "&amp;VLOOKUP(AO499,$AA$532:$AC$539,3)&amp;", demikian juga dalam kompetensi "&amp;VLOOKUP(AP499,$AA$532:$AC$539,3),PROPER(AM499)&amp;" dalam kompetensi "&amp;VLOOKUP(AO499,$AA$532:$AC$539,3)&amp;" dan "&amp;AN499&amp;" pada kompetensi "&amp;VLOOKUP(AP499,$AA$532:$AC$539,3)),""))</f>
        <v/>
      </c>
      <c r="AR499" s="188"/>
    </row>
    <row r="500" spans="2:44" ht="27.9" customHeight="1" thickBot="1" x14ac:dyDescent="0.35">
      <c r="B500" s="226" t="s">
        <v>190</v>
      </c>
      <c r="C500" s="149" t="str">
        <f t="shared" si="324"/>
        <v/>
      </c>
      <c r="D500" s="150" t="str">
        <f>IF(Data!F495="","",Data!F495)</f>
        <v/>
      </c>
      <c r="E500" s="151" t="str">
        <f>IF(Data!H495="","",Data!H495)</f>
        <v/>
      </c>
      <c r="F500" s="152" t="str">
        <f>IF(Data!I495="","",Data!I495)</f>
        <v/>
      </c>
      <c r="G500" s="153"/>
      <c r="H500" s="154"/>
      <c r="I500" s="154"/>
      <c r="J500" s="154"/>
      <c r="K500" s="154"/>
      <c r="L500" s="154"/>
      <c r="M500" s="154"/>
      <c r="N500" s="155"/>
      <c r="O500" s="157" t="str">
        <f t="shared" si="325"/>
        <v/>
      </c>
      <c r="P500" s="154"/>
      <c r="Q500" s="156"/>
      <c r="R500" s="157" t="str">
        <f t="shared" si="326"/>
        <v/>
      </c>
      <c r="S500" s="159" t="str">
        <f>IF(R500="","",IF(R500&gt;Data2!$C$12,Data2!$D$11,IF(R500&gt;Data2!$C$13,Data2!$D$12,IF(R500&gt;Data2!$C$14,Data2!$D$13,Data2!$D$14))))</f>
        <v/>
      </c>
      <c r="T500" s="144">
        <f t="shared" si="327"/>
        <v>0</v>
      </c>
      <c r="U500" s="144">
        <f t="shared" si="328"/>
        <v>0</v>
      </c>
      <c r="V500" s="144" t="str">
        <f t="shared" si="340"/>
        <v>Mulai berkembang</v>
      </c>
      <c r="W500" s="144" t="str">
        <f t="shared" si="341"/>
        <v>Mulai berkembang</v>
      </c>
      <c r="X500" s="144" t="e">
        <f t="shared" si="331"/>
        <v>#N/A</v>
      </c>
      <c r="Y500" s="145" t="e">
        <f t="shared" si="332"/>
        <v>#N/A</v>
      </c>
      <c r="Z500" s="218" t="str">
        <f>IF('PA-Non'!O388&lt;&gt;"",'PA-Non'!O388,IFERROR("Mempunyai kemampuan yang " &amp;IF(V500=W500,PROPER(W500)&amp;" dalam kompetensi "&amp;VLOOKUP(X500,$G$532:$I$539,3)&amp;" dan kompetensi "&amp;VLOOKUP(Y500,$G$532:$I$539,3),PROPER(V500)&amp;" dalam kompetensi "&amp;VLOOKUP(X500,$G$532:$I$539,3)&amp;" dan memiliki kemampuan yang "&amp;W500&amp;" pada kompetensi "&amp;VLOOKUP(Y500,$G$532:$I$539,3)),""))</f>
        <v/>
      </c>
      <c r="AA500" s="153"/>
      <c r="AB500" s="154"/>
      <c r="AC500" s="154"/>
      <c r="AD500" s="154"/>
      <c r="AE500" s="154"/>
      <c r="AF500" s="154"/>
      <c r="AG500" s="154"/>
      <c r="AH500" s="155"/>
      <c r="AI500" s="220" t="str">
        <f t="shared" si="333"/>
        <v/>
      </c>
      <c r="AJ500" s="160" t="str">
        <f>IF(AI500="","",IF(AI500&gt;Data2!$C$12,Data2!$D$11,IF(AI500&gt;Data2!$C$13,Data2!$D$12,IF(AI500&gt;Data2!$C$14,Data2!$D$13,Data2!$D$14))))</f>
        <v/>
      </c>
      <c r="AK500" s="146">
        <f t="shared" si="334"/>
        <v>0</v>
      </c>
      <c r="AL500" s="146">
        <f t="shared" si="335"/>
        <v>0</v>
      </c>
      <c r="AM500" s="147" t="str">
        <f t="shared" si="342"/>
        <v>Mulai meningkat</v>
      </c>
      <c r="AN500" s="147" t="str">
        <f t="shared" si="343"/>
        <v>Mulai meningkat</v>
      </c>
      <c r="AO500" s="146" t="e">
        <f t="shared" si="338"/>
        <v>#N/A</v>
      </c>
      <c r="AP500" s="148" t="e">
        <f t="shared" si="339"/>
        <v>#N/A</v>
      </c>
      <c r="AQ500" s="158" t="str">
        <f>IF('PA-Non'!V388&lt;&gt;"",'PA-Non'!V388,IFERROR("Mempunyai keterampilan yang "&amp;IF(AM500=AN500,PROPER(AN500)&amp;" dalam kompetensi "&amp;VLOOKUP(AO500,$AA$532:$AC$539,3)&amp;", demikian juga dalam kompetensi "&amp;VLOOKUP(AP500,$AA$532:$AC$539,3),PROPER(AM500)&amp;" dalam kompetensi "&amp;VLOOKUP(AO500,$AA$532:$AC$539,3)&amp;" dan "&amp;AN500&amp;" pada kompetensi "&amp;VLOOKUP(AP500,$AA$532:$AC$539,3)),""))</f>
        <v/>
      </c>
      <c r="AR500" s="188"/>
    </row>
    <row r="501" spans="2:44" ht="27.9" customHeight="1" thickBot="1" x14ac:dyDescent="0.35">
      <c r="B501" s="226" t="s">
        <v>190</v>
      </c>
      <c r="C501" s="149" t="str">
        <f t="shared" si="324"/>
        <v/>
      </c>
      <c r="D501" s="150" t="str">
        <f>IF(Data!F496="","",Data!F496)</f>
        <v/>
      </c>
      <c r="E501" s="151" t="str">
        <f>IF(Data!H496="","",Data!H496)</f>
        <v/>
      </c>
      <c r="F501" s="152" t="str">
        <f>IF(Data!I496="","",Data!I496)</f>
        <v/>
      </c>
      <c r="G501" s="153"/>
      <c r="H501" s="154"/>
      <c r="I501" s="154"/>
      <c r="J501" s="154"/>
      <c r="K501" s="154"/>
      <c r="L501" s="154"/>
      <c r="M501" s="154"/>
      <c r="N501" s="155"/>
      <c r="O501" s="157" t="str">
        <f t="shared" si="325"/>
        <v/>
      </c>
      <c r="P501" s="154"/>
      <c r="Q501" s="156"/>
      <c r="R501" s="157" t="str">
        <f t="shared" si="326"/>
        <v/>
      </c>
      <c r="S501" s="159" t="str">
        <f>IF(R501="","",IF(R501&gt;Data2!$C$12,Data2!$D$11,IF(R501&gt;Data2!$C$13,Data2!$D$12,IF(R501&gt;Data2!$C$14,Data2!$D$13,Data2!$D$14))))</f>
        <v/>
      </c>
      <c r="T501" s="144">
        <f t="shared" si="327"/>
        <v>0</v>
      </c>
      <c r="U501" s="144">
        <f t="shared" si="328"/>
        <v>0</v>
      </c>
      <c r="V501" s="144" t="str">
        <f t="shared" si="340"/>
        <v>Mulai berkembang</v>
      </c>
      <c r="W501" s="144" t="str">
        <f t="shared" si="341"/>
        <v>Mulai berkembang</v>
      </c>
      <c r="X501" s="144" t="e">
        <f t="shared" si="331"/>
        <v>#N/A</v>
      </c>
      <c r="Y501" s="145" t="e">
        <f t="shared" si="332"/>
        <v>#N/A</v>
      </c>
      <c r="Z501" s="218" t="str">
        <f>IF('PA-Non'!O389&lt;&gt;"",'PA-Non'!O389,IFERROR("Mempunyai kemampuan yang " &amp;IF(V501=W501,PROPER(W501)&amp;" dalam kompetensi "&amp;VLOOKUP(X501,$G$532:$I$539,3)&amp;" dan kompetensi "&amp;VLOOKUP(Y501,$G$532:$I$539,3),PROPER(V501)&amp;" dalam kompetensi "&amp;VLOOKUP(X501,$G$532:$I$539,3)&amp;" dan memiliki kemampuan yang "&amp;W501&amp;" pada kompetensi "&amp;VLOOKUP(Y501,$G$532:$I$539,3)),""))</f>
        <v/>
      </c>
      <c r="AA501" s="153"/>
      <c r="AB501" s="154"/>
      <c r="AC501" s="154"/>
      <c r="AD501" s="154"/>
      <c r="AE501" s="154"/>
      <c r="AF501" s="154"/>
      <c r="AG501" s="154"/>
      <c r="AH501" s="155"/>
      <c r="AI501" s="220" t="str">
        <f t="shared" si="333"/>
        <v/>
      </c>
      <c r="AJ501" s="160" t="str">
        <f>IF(AI501="","",IF(AI501&gt;Data2!$C$12,Data2!$D$11,IF(AI501&gt;Data2!$C$13,Data2!$D$12,IF(AI501&gt;Data2!$C$14,Data2!$D$13,Data2!$D$14))))</f>
        <v/>
      </c>
      <c r="AK501" s="146">
        <f t="shared" si="334"/>
        <v>0</v>
      </c>
      <c r="AL501" s="146">
        <f t="shared" si="335"/>
        <v>0</v>
      </c>
      <c r="AM501" s="147" t="str">
        <f t="shared" si="342"/>
        <v>Mulai meningkat</v>
      </c>
      <c r="AN501" s="147" t="str">
        <f t="shared" si="343"/>
        <v>Mulai meningkat</v>
      </c>
      <c r="AO501" s="146" t="e">
        <f t="shared" si="338"/>
        <v>#N/A</v>
      </c>
      <c r="AP501" s="148" t="e">
        <f t="shared" si="339"/>
        <v>#N/A</v>
      </c>
      <c r="AQ501" s="158" t="str">
        <f>IF('PA-Non'!V389&lt;&gt;"",'PA-Non'!V389,IFERROR("Mempunyai keterampilan yang "&amp;IF(AM501=AN501,PROPER(AN501)&amp;" dalam kompetensi "&amp;VLOOKUP(AO501,$AA$532:$AC$539,3)&amp;", demikian juga dalam kompetensi "&amp;VLOOKUP(AP501,$AA$532:$AC$539,3),PROPER(AM501)&amp;" dalam kompetensi "&amp;VLOOKUP(AO501,$AA$532:$AC$539,3)&amp;" dan "&amp;AN501&amp;" pada kompetensi "&amp;VLOOKUP(AP501,$AA$532:$AC$539,3)),""))</f>
        <v/>
      </c>
      <c r="AR501" s="188"/>
    </row>
    <row r="502" spans="2:44" ht="27.9" customHeight="1" thickBot="1" x14ac:dyDescent="0.35">
      <c r="B502" s="226" t="s">
        <v>190</v>
      </c>
      <c r="C502" s="149" t="str">
        <f t="shared" si="324"/>
        <v/>
      </c>
      <c r="D502" s="150" t="str">
        <f>IF(Data!F497="","",Data!F497)</f>
        <v/>
      </c>
      <c r="E502" s="151" t="str">
        <f>IF(Data!H497="","",Data!H497)</f>
        <v/>
      </c>
      <c r="F502" s="152" t="str">
        <f>IF(Data!I497="","",Data!I497)</f>
        <v/>
      </c>
      <c r="G502" s="153"/>
      <c r="H502" s="154"/>
      <c r="I502" s="154"/>
      <c r="J502" s="154"/>
      <c r="K502" s="154"/>
      <c r="L502" s="154"/>
      <c r="M502" s="154"/>
      <c r="N502" s="155"/>
      <c r="O502" s="157" t="str">
        <f t="shared" si="325"/>
        <v/>
      </c>
      <c r="P502" s="154"/>
      <c r="Q502" s="156"/>
      <c r="R502" s="157" t="str">
        <f t="shared" si="326"/>
        <v/>
      </c>
      <c r="S502" s="159" t="str">
        <f>IF(R502="","",IF(R502&gt;Data2!$C$12,Data2!$D$11,IF(R502&gt;Data2!$C$13,Data2!$D$12,IF(R502&gt;Data2!$C$14,Data2!$D$13,Data2!$D$14))))</f>
        <v/>
      </c>
      <c r="T502" s="144">
        <f t="shared" si="327"/>
        <v>0</v>
      </c>
      <c r="U502" s="144">
        <f t="shared" si="328"/>
        <v>0</v>
      </c>
      <c r="V502" s="144" t="str">
        <f t="shared" si="340"/>
        <v>Mulai berkembang</v>
      </c>
      <c r="W502" s="144" t="str">
        <f t="shared" si="341"/>
        <v>Mulai berkembang</v>
      </c>
      <c r="X502" s="144" t="e">
        <f t="shared" si="331"/>
        <v>#N/A</v>
      </c>
      <c r="Y502" s="145" t="e">
        <f t="shared" si="332"/>
        <v>#N/A</v>
      </c>
      <c r="Z502" s="218" t="str">
        <f>IF('PA-Non'!O390&lt;&gt;"",'PA-Non'!O390,IFERROR("Mempunyai kemampuan yang " &amp;IF(V502=W502,PROPER(W502)&amp;" dalam kompetensi "&amp;VLOOKUP(X502,$G$532:$I$539,3)&amp;" dan kompetensi "&amp;VLOOKUP(Y502,$G$532:$I$539,3),PROPER(V502)&amp;" dalam kompetensi "&amp;VLOOKUP(X502,$G$532:$I$539,3)&amp;" dan memiliki kemampuan yang "&amp;W502&amp;" pada kompetensi "&amp;VLOOKUP(Y502,$G$532:$I$539,3)),""))</f>
        <v/>
      </c>
      <c r="AA502" s="153"/>
      <c r="AB502" s="154"/>
      <c r="AC502" s="154"/>
      <c r="AD502" s="154"/>
      <c r="AE502" s="154"/>
      <c r="AF502" s="154"/>
      <c r="AG502" s="154"/>
      <c r="AH502" s="155"/>
      <c r="AI502" s="220" t="str">
        <f t="shared" si="333"/>
        <v/>
      </c>
      <c r="AJ502" s="160" t="str">
        <f>IF(AI502="","",IF(AI502&gt;Data2!$C$12,Data2!$D$11,IF(AI502&gt;Data2!$C$13,Data2!$D$12,IF(AI502&gt;Data2!$C$14,Data2!$D$13,Data2!$D$14))))</f>
        <v/>
      </c>
      <c r="AK502" s="146">
        <f t="shared" si="334"/>
        <v>0</v>
      </c>
      <c r="AL502" s="146">
        <f t="shared" si="335"/>
        <v>0</v>
      </c>
      <c r="AM502" s="147" t="str">
        <f t="shared" si="342"/>
        <v>Mulai meningkat</v>
      </c>
      <c r="AN502" s="147" t="str">
        <f t="shared" si="343"/>
        <v>Mulai meningkat</v>
      </c>
      <c r="AO502" s="146" t="e">
        <f t="shared" si="338"/>
        <v>#N/A</v>
      </c>
      <c r="AP502" s="148" t="e">
        <f t="shared" si="339"/>
        <v>#N/A</v>
      </c>
      <c r="AQ502" s="158" t="str">
        <f>IF('PA-Non'!V390&lt;&gt;"",'PA-Non'!V390,IFERROR("Mempunyai keterampilan yang "&amp;IF(AM502=AN502,PROPER(AN502)&amp;" dalam kompetensi "&amp;VLOOKUP(AO502,$AA$532:$AC$539,3)&amp;", demikian juga dalam kompetensi "&amp;VLOOKUP(AP502,$AA$532:$AC$539,3),PROPER(AM502)&amp;" dalam kompetensi "&amp;VLOOKUP(AO502,$AA$532:$AC$539,3)&amp;" dan "&amp;AN502&amp;" pada kompetensi "&amp;VLOOKUP(AP502,$AA$532:$AC$539,3)),""))</f>
        <v/>
      </c>
      <c r="AR502" s="188"/>
    </row>
    <row r="503" spans="2:44" ht="27.9" customHeight="1" thickBot="1" x14ac:dyDescent="0.35">
      <c r="B503" s="226" t="s">
        <v>190</v>
      </c>
      <c r="C503" s="149" t="str">
        <f t="shared" si="324"/>
        <v/>
      </c>
      <c r="D503" s="150" t="str">
        <f>IF(Data!F498="","",Data!F498)</f>
        <v/>
      </c>
      <c r="E503" s="151" t="str">
        <f>IF(Data!H498="","",Data!H498)</f>
        <v/>
      </c>
      <c r="F503" s="152" t="str">
        <f>IF(Data!I498="","",Data!I498)</f>
        <v/>
      </c>
      <c r="G503" s="153"/>
      <c r="H503" s="154"/>
      <c r="I503" s="154"/>
      <c r="J503" s="154"/>
      <c r="K503" s="154"/>
      <c r="L503" s="154"/>
      <c r="M503" s="154"/>
      <c r="N503" s="155"/>
      <c r="O503" s="157" t="str">
        <f t="shared" si="325"/>
        <v/>
      </c>
      <c r="P503" s="154"/>
      <c r="Q503" s="156"/>
      <c r="R503" s="157" t="str">
        <f t="shared" si="326"/>
        <v/>
      </c>
      <c r="S503" s="159" t="str">
        <f>IF(R503="","",IF(R503&gt;Data2!$C$12,Data2!$D$11,IF(R503&gt;Data2!$C$13,Data2!$D$12,IF(R503&gt;Data2!$C$14,Data2!$D$13,Data2!$D$14))))</f>
        <v/>
      </c>
      <c r="T503" s="144">
        <f t="shared" si="327"/>
        <v>0</v>
      </c>
      <c r="U503" s="144">
        <f t="shared" si="328"/>
        <v>0</v>
      </c>
      <c r="V503" s="144" t="str">
        <f t="shared" si="340"/>
        <v>Mulai berkembang</v>
      </c>
      <c r="W503" s="144" t="str">
        <f t="shared" si="341"/>
        <v>Mulai berkembang</v>
      </c>
      <c r="X503" s="144" t="e">
        <f t="shared" si="331"/>
        <v>#N/A</v>
      </c>
      <c r="Y503" s="145" t="e">
        <f t="shared" si="332"/>
        <v>#N/A</v>
      </c>
      <c r="Z503" s="218" t="str">
        <f>IF('PA-Non'!O391&lt;&gt;"",'PA-Non'!O391,IFERROR("Mempunyai kemampuan yang " &amp;IF(V503=W503,PROPER(W503)&amp;" dalam kompetensi "&amp;VLOOKUP(X503,$G$532:$I$539,3)&amp;" dan kompetensi "&amp;VLOOKUP(Y503,$G$532:$I$539,3),PROPER(V503)&amp;" dalam kompetensi "&amp;VLOOKUP(X503,$G$532:$I$539,3)&amp;" dan memiliki kemampuan yang "&amp;W503&amp;" pada kompetensi "&amp;VLOOKUP(Y503,$G$532:$I$539,3)),""))</f>
        <v/>
      </c>
      <c r="AA503" s="153"/>
      <c r="AB503" s="154"/>
      <c r="AC503" s="154"/>
      <c r="AD503" s="154"/>
      <c r="AE503" s="154"/>
      <c r="AF503" s="154"/>
      <c r="AG503" s="154"/>
      <c r="AH503" s="155"/>
      <c r="AI503" s="220" t="str">
        <f t="shared" si="333"/>
        <v/>
      </c>
      <c r="AJ503" s="160" t="str">
        <f>IF(AI503="","",IF(AI503&gt;Data2!$C$12,Data2!$D$11,IF(AI503&gt;Data2!$C$13,Data2!$D$12,IF(AI503&gt;Data2!$C$14,Data2!$D$13,Data2!$D$14))))</f>
        <v/>
      </c>
      <c r="AK503" s="146">
        <f t="shared" si="334"/>
        <v>0</v>
      </c>
      <c r="AL503" s="146">
        <f t="shared" si="335"/>
        <v>0</v>
      </c>
      <c r="AM503" s="147" t="str">
        <f t="shared" si="342"/>
        <v>Mulai meningkat</v>
      </c>
      <c r="AN503" s="147" t="str">
        <f t="shared" si="343"/>
        <v>Mulai meningkat</v>
      </c>
      <c r="AO503" s="146" t="e">
        <f t="shared" si="338"/>
        <v>#N/A</v>
      </c>
      <c r="AP503" s="148" t="e">
        <f t="shared" si="339"/>
        <v>#N/A</v>
      </c>
      <c r="AQ503" s="158" t="str">
        <f>IF('PA-Non'!V391&lt;&gt;"",'PA-Non'!V391,IFERROR("Mempunyai keterampilan yang "&amp;IF(AM503=AN503,PROPER(AN503)&amp;" dalam kompetensi "&amp;VLOOKUP(AO503,$AA$532:$AC$539,3)&amp;", demikian juga dalam kompetensi "&amp;VLOOKUP(AP503,$AA$532:$AC$539,3),PROPER(AM503)&amp;" dalam kompetensi "&amp;VLOOKUP(AO503,$AA$532:$AC$539,3)&amp;" dan "&amp;AN503&amp;" pada kompetensi "&amp;VLOOKUP(AP503,$AA$532:$AC$539,3)),""))</f>
        <v/>
      </c>
      <c r="AR503" s="188"/>
    </row>
    <row r="504" spans="2:44" ht="27.9" customHeight="1" thickBot="1" x14ac:dyDescent="0.35">
      <c r="B504" s="226" t="s">
        <v>190</v>
      </c>
      <c r="C504" s="149" t="str">
        <f t="shared" si="324"/>
        <v/>
      </c>
      <c r="D504" s="150" t="str">
        <f>IF(Data!F499="","",Data!F499)</f>
        <v/>
      </c>
      <c r="E504" s="151" t="str">
        <f>IF(Data!H499="","",Data!H499)</f>
        <v/>
      </c>
      <c r="F504" s="152" t="str">
        <f>IF(Data!I499="","",Data!I499)</f>
        <v/>
      </c>
      <c r="G504" s="153"/>
      <c r="H504" s="154"/>
      <c r="I504" s="154"/>
      <c r="J504" s="154"/>
      <c r="K504" s="154"/>
      <c r="L504" s="154"/>
      <c r="M504" s="154"/>
      <c r="N504" s="155"/>
      <c r="O504" s="157" t="str">
        <f t="shared" si="325"/>
        <v/>
      </c>
      <c r="P504" s="154"/>
      <c r="Q504" s="156"/>
      <c r="R504" s="157" t="str">
        <f t="shared" si="326"/>
        <v/>
      </c>
      <c r="S504" s="159" t="str">
        <f>IF(R504="","",IF(R504&gt;Data2!$C$12,Data2!$D$11,IF(R504&gt;Data2!$C$13,Data2!$D$12,IF(R504&gt;Data2!$C$14,Data2!$D$13,Data2!$D$14))))</f>
        <v/>
      </c>
      <c r="T504" s="144">
        <f t="shared" si="327"/>
        <v>0</v>
      </c>
      <c r="U504" s="144">
        <f t="shared" si="328"/>
        <v>0</v>
      </c>
      <c r="V504" s="144" t="str">
        <f t="shared" si="340"/>
        <v>Mulai berkembang</v>
      </c>
      <c r="W504" s="144" t="str">
        <f t="shared" si="341"/>
        <v>Mulai berkembang</v>
      </c>
      <c r="X504" s="144" t="e">
        <f t="shared" si="331"/>
        <v>#N/A</v>
      </c>
      <c r="Y504" s="145" t="e">
        <f t="shared" si="332"/>
        <v>#N/A</v>
      </c>
      <c r="Z504" s="218" t="str">
        <f>IF('PA-Non'!O392&lt;&gt;"",'PA-Non'!O392,IFERROR("Mempunyai kemampuan yang " &amp;IF(V504=W504,PROPER(W504)&amp;" dalam kompetensi "&amp;VLOOKUP(X504,$G$532:$I$539,3)&amp;" dan kompetensi "&amp;VLOOKUP(Y504,$G$532:$I$539,3),PROPER(V504)&amp;" dalam kompetensi "&amp;VLOOKUP(X504,$G$532:$I$539,3)&amp;" dan memiliki kemampuan yang "&amp;W504&amp;" pada kompetensi "&amp;VLOOKUP(Y504,$G$532:$I$539,3)),""))</f>
        <v/>
      </c>
      <c r="AA504" s="153"/>
      <c r="AB504" s="154"/>
      <c r="AC504" s="154"/>
      <c r="AD504" s="154"/>
      <c r="AE504" s="154"/>
      <c r="AF504" s="154"/>
      <c r="AG504" s="154"/>
      <c r="AH504" s="155"/>
      <c r="AI504" s="220" t="str">
        <f t="shared" si="333"/>
        <v/>
      </c>
      <c r="AJ504" s="160" t="str">
        <f>IF(AI504="","",IF(AI504&gt;Data2!$C$12,Data2!$D$11,IF(AI504&gt;Data2!$C$13,Data2!$D$12,IF(AI504&gt;Data2!$C$14,Data2!$D$13,Data2!$D$14))))</f>
        <v/>
      </c>
      <c r="AK504" s="146">
        <f t="shared" si="334"/>
        <v>0</v>
      </c>
      <c r="AL504" s="146">
        <f t="shared" si="335"/>
        <v>0</v>
      </c>
      <c r="AM504" s="147" t="str">
        <f t="shared" si="342"/>
        <v>Mulai meningkat</v>
      </c>
      <c r="AN504" s="147" t="str">
        <f t="shared" si="343"/>
        <v>Mulai meningkat</v>
      </c>
      <c r="AO504" s="146" t="e">
        <f t="shared" si="338"/>
        <v>#N/A</v>
      </c>
      <c r="AP504" s="148" t="e">
        <f t="shared" si="339"/>
        <v>#N/A</v>
      </c>
      <c r="AQ504" s="158" t="str">
        <f>IF('PA-Non'!V392&lt;&gt;"",'PA-Non'!V392,IFERROR("Mempunyai keterampilan yang "&amp;IF(AM504=AN504,PROPER(AN504)&amp;" dalam kompetensi "&amp;VLOOKUP(AO504,$AA$532:$AC$539,3)&amp;", demikian juga dalam kompetensi "&amp;VLOOKUP(AP504,$AA$532:$AC$539,3),PROPER(AM504)&amp;" dalam kompetensi "&amp;VLOOKUP(AO504,$AA$532:$AC$539,3)&amp;" dan "&amp;AN504&amp;" pada kompetensi "&amp;VLOOKUP(AP504,$AA$532:$AC$539,3)),""))</f>
        <v/>
      </c>
      <c r="AR504" s="188"/>
    </row>
    <row r="505" spans="2:44" ht="27.9" customHeight="1" thickBot="1" x14ac:dyDescent="0.35">
      <c r="B505" s="226" t="s">
        <v>190</v>
      </c>
      <c r="C505" s="149" t="str">
        <f t="shared" si="324"/>
        <v/>
      </c>
      <c r="D505" s="150" t="str">
        <f>IF(Data!F500="","",Data!F500)</f>
        <v/>
      </c>
      <c r="E505" s="151" t="str">
        <f>IF(Data!H500="","",Data!H500)</f>
        <v/>
      </c>
      <c r="F505" s="152" t="str">
        <f>IF(Data!I500="","",Data!I500)</f>
        <v/>
      </c>
      <c r="G505" s="153"/>
      <c r="H505" s="154"/>
      <c r="I505" s="154"/>
      <c r="J505" s="154"/>
      <c r="K505" s="154"/>
      <c r="L505" s="154"/>
      <c r="M505" s="154"/>
      <c r="N505" s="155"/>
      <c r="O505" s="157" t="str">
        <f t="shared" si="325"/>
        <v/>
      </c>
      <c r="P505" s="154"/>
      <c r="Q505" s="156"/>
      <c r="R505" s="157" t="str">
        <f t="shared" si="326"/>
        <v/>
      </c>
      <c r="S505" s="159" t="str">
        <f>IF(R505="","",IF(R505&gt;Data2!$C$12,Data2!$D$11,IF(R505&gt;Data2!$C$13,Data2!$D$12,IF(R505&gt;Data2!$C$14,Data2!$D$13,Data2!$D$14))))</f>
        <v/>
      </c>
      <c r="T505" s="144">
        <f t="shared" si="327"/>
        <v>0</v>
      </c>
      <c r="U505" s="144">
        <f t="shared" si="328"/>
        <v>0</v>
      </c>
      <c r="V505" s="144" t="str">
        <f t="shared" si="340"/>
        <v>Mulai berkembang</v>
      </c>
      <c r="W505" s="144" t="str">
        <f t="shared" si="341"/>
        <v>Mulai berkembang</v>
      </c>
      <c r="X505" s="144" t="e">
        <f t="shared" si="331"/>
        <v>#N/A</v>
      </c>
      <c r="Y505" s="145" t="e">
        <f t="shared" si="332"/>
        <v>#N/A</v>
      </c>
      <c r="Z505" s="218" t="str">
        <f>IF('PA-Non'!O393&lt;&gt;"",'PA-Non'!O393,IFERROR("Mempunyai kemampuan yang " &amp;IF(V505=W505,PROPER(W505)&amp;" dalam kompetensi "&amp;VLOOKUP(X505,$G$532:$I$539,3)&amp;" dan kompetensi "&amp;VLOOKUP(Y505,$G$532:$I$539,3),PROPER(V505)&amp;" dalam kompetensi "&amp;VLOOKUP(X505,$G$532:$I$539,3)&amp;" dan memiliki kemampuan yang "&amp;W505&amp;" pada kompetensi "&amp;VLOOKUP(Y505,$G$532:$I$539,3)),""))</f>
        <v/>
      </c>
      <c r="AA505" s="153"/>
      <c r="AB505" s="154"/>
      <c r="AC505" s="154"/>
      <c r="AD505" s="154"/>
      <c r="AE505" s="154"/>
      <c r="AF505" s="154"/>
      <c r="AG505" s="154"/>
      <c r="AH505" s="155"/>
      <c r="AI505" s="220" t="str">
        <f t="shared" si="333"/>
        <v/>
      </c>
      <c r="AJ505" s="160" t="str">
        <f>IF(AI505="","",IF(AI505&gt;Data2!$C$12,Data2!$D$11,IF(AI505&gt;Data2!$C$13,Data2!$D$12,IF(AI505&gt;Data2!$C$14,Data2!$D$13,Data2!$D$14))))</f>
        <v/>
      </c>
      <c r="AK505" s="146">
        <f t="shared" si="334"/>
        <v>0</v>
      </c>
      <c r="AL505" s="146">
        <f t="shared" si="335"/>
        <v>0</v>
      </c>
      <c r="AM505" s="147" t="str">
        <f t="shared" si="342"/>
        <v>Mulai meningkat</v>
      </c>
      <c r="AN505" s="147" t="str">
        <f t="shared" si="343"/>
        <v>Mulai meningkat</v>
      </c>
      <c r="AO505" s="146" t="e">
        <f t="shared" si="338"/>
        <v>#N/A</v>
      </c>
      <c r="AP505" s="148" t="e">
        <f t="shared" si="339"/>
        <v>#N/A</v>
      </c>
      <c r="AQ505" s="158" t="str">
        <f>IF('PA-Non'!V393&lt;&gt;"",'PA-Non'!V393,IFERROR("Mempunyai keterampilan yang "&amp;IF(AM505=AN505,PROPER(AN505)&amp;" dalam kompetensi "&amp;VLOOKUP(AO505,$AA$532:$AC$539,3)&amp;", demikian juga dalam kompetensi "&amp;VLOOKUP(AP505,$AA$532:$AC$539,3),PROPER(AM505)&amp;" dalam kompetensi "&amp;VLOOKUP(AO505,$AA$532:$AC$539,3)&amp;" dan "&amp;AN505&amp;" pada kompetensi "&amp;VLOOKUP(AP505,$AA$532:$AC$539,3)),""))</f>
        <v/>
      </c>
      <c r="AR505" s="188"/>
    </row>
    <row r="506" spans="2:44" ht="27.9" customHeight="1" thickBot="1" x14ac:dyDescent="0.35">
      <c r="B506" s="226" t="s">
        <v>190</v>
      </c>
      <c r="C506" s="149" t="str">
        <f t="shared" si="324"/>
        <v/>
      </c>
      <c r="D506" s="150" t="str">
        <f>IF(Data!F501="","",Data!F501)</f>
        <v/>
      </c>
      <c r="E506" s="151" t="str">
        <f>IF(Data!H501="","",Data!H501)</f>
        <v/>
      </c>
      <c r="F506" s="152" t="str">
        <f>IF(Data!I501="","",Data!I501)</f>
        <v/>
      </c>
      <c r="G506" s="153"/>
      <c r="H506" s="154"/>
      <c r="I506" s="154"/>
      <c r="J506" s="154"/>
      <c r="K506" s="154"/>
      <c r="L506" s="154"/>
      <c r="M506" s="154"/>
      <c r="N506" s="155"/>
      <c r="O506" s="157" t="str">
        <f t="shared" si="325"/>
        <v/>
      </c>
      <c r="P506" s="154"/>
      <c r="Q506" s="156"/>
      <c r="R506" s="157" t="str">
        <f t="shared" si="326"/>
        <v/>
      </c>
      <c r="S506" s="159" t="str">
        <f>IF(R506="","",IF(R506&gt;Data2!$C$12,Data2!$D$11,IF(R506&gt;Data2!$C$13,Data2!$D$12,IF(R506&gt;Data2!$C$14,Data2!$D$13,Data2!$D$14))))</f>
        <v/>
      </c>
      <c r="T506" s="144">
        <f t="shared" si="327"/>
        <v>0</v>
      </c>
      <c r="U506" s="144">
        <f t="shared" si="328"/>
        <v>0</v>
      </c>
      <c r="V506" s="144" t="str">
        <f t="shared" si="340"/>
        <v>Mulai berkembang</v>
      </c>
      <c r="W506" s="144" t="str">
        <f t="shared" si="341"/>
        <v>Mulai berkembang</v>
      </c>
      <c r="X506" s="144" t="e">
        <f t="shared" si="331"/>
        <v>#N/A</v>
      </c>
      <c r="Y506" s="145" t="e">
        <f t="shared" si="332"/>
        <v>#N/A</v>
      </c>
      <c r="Z506" s="218" t="str">
        <f>IF('PA-Non'!O394&lt;&gt;"",'PA-Non'!O394,IFERROR("Mempunyai kemampuan yang " &amp;IF(V506=W506,PROPER(W506)&amp;" dalam kompetensi "&amp;VLOOKUP(X506,$G$532:$I$539,3)&amp;" dan kompetensi "&amp;VLOOKUP(Y506,$G$532:$I$539,3),PROPER(V506)&amp;" dalam kompetensi "&amp;VLOOKUP(X506,$G$532:$I$539,3)&amp;" dan memiliki kemampuan yang "&amp;W506&amp;" pada kompetensi "&amp;VLOOKUP(Y506,$G$532:$I$539,3)),""))</f>
        <v/>
      </c>
      <c r="AA506" s="153"/>
      <c r="AB506" s="154"/>
      <c r="AC506" s="154"/>
      <c r="AD506" s="154"/>
      <c r="AE506" s="154"/>
      <c r="AF506" s="154"/>
      <c r="AG506" s="154"/>
      <c r="AH506" s="155"/>
      <c r="AI506" s="220" t="str">
        <f t="shared" si="333"/>
        <v/>
      </c>
      <c r="AJ506" s="160" t="str">
        <f>IF(AI506="","",IF(AI506&gt;Data2!$C$12,Data2!$D$11,IF(AI506&gt;Data2!$C$13,Data2!$D$12,IF(AI506&gt;Data2!$C$14,Data2!$D$13,Data2!$D$14))))</f>
        <v/>
      </c>
      <c r="AK506" s="146">
        <f t="shared" si="334"/>
        <v>0</v>
      </c>
      <c r="AL506" s="146">
        <f t="shared" si="335"/>
        <v>0</v>
      </c>
      <c r="AM506" s="147" t="str">
        <f t="shared" si="342"/>
        <v>Mulai meningkat</v>
      </c>
      <c r="AN506" s="147" t="str">
        <f t="shared" si="343"/>
        <v>Mulai meningkat</v>
      </c>
      <c r="AO506" s="146" t="e">
        <f t="shared" si="338"/>
        <v>#N/A</v>
      </c>
      <c r="AP506" s="148" t="e">
        <f t="shared" si="339"/>
        <v>#N/A</v>
      </c>
      <c r="AQ506" s="158" t="str">
        <f>IF('PA-Non'!V394&lt;&gt;"",'PA-Non'!V394,IFERROR("Mempunyai keterampilan yang "&amp;IF(AM506=AN506,PROPER(AN506)&amp;" dalam kompetensi "&amp;VLOOKUP(AO506,$AA$532:$AC$539,3)&amp;", demikian juga dalam kompetensi "&amp;VLOOKUP(AP506,$AA$532:$AC$539,3),PROPER(AM506)&amp;" dalam kompetensi "&amp;VLOOKUP(AO506,$AA$532:$AC$539,3)&amp;" dan "&amp;AN506&amp;" pada kompetensi "&amp;VLOOKUP(AP506,$AA$532:$AC$539,3)),""))</f>
        <v/>
      </c>
      <c r="AR506" s="188"/>
    </row>
    <row r="507" spans="2:44" ht="27.9" customHeight="1" thickBot="1" x14ac:dyDescent="0.35">
      <c r="B507" s="226" t="s">
        <v>190</v>
      </c>
      <c r="C507" s="149" t="str">
        <f t="shared" si="324"/>
        <v/>
      </c>
      <c r="D507" s="150" t="str">
        <f>IF(Data!F502="","",Data!F502)</f>
        <v/>
      </c>
      <c r="E507" s="151" t="str">
        <f>IF(Data!H502="","",Data!H502)</f>
        <v/>
      </c>
      <c r="F507" s="152" t="str">
        <f>IF(Data!I502="","",Data!I502)</f>
        <v/>
      </c>
      <c r="G507" s="153"/>
      <c r="H507" s="154"/>
      <c r="I507" s="154"/>
      <c r="J507" s="154"/>
      <c r="K507" s="154"/>
      <c r="L507" s="154"/>
      <c r="M507" s="154"/>
      <c r="N507" s="155"/>
      <c r="O507" s="157" t="str">
        <f t="shared" si="325"/>
        <v/>
      </c>
      <c r="P507" s="154"/>
      <c r="Q507" s="156"/>
      <c r="R507" s="157" t="str">
        <f t="shared" si="326"/>
        <v/>
      </c>
      <c r="S507" s="159" t="str">
        <f>IF(R507="","",IF(R507&gt;Data2!$C$12,Data2!$D$11,IF(R507&gt;Data2!$C$13,Data2!$D$12,IF(R507&gt;Data2!$C$14,Data2!$D$13,Data2!$D$14))))</f>
        <v/>
      </c>
      <c r="T507" s="144">
        <f t="shared" si="327"/>
        <v>0</v>
      </c>
      <c r="U507" s="144">
        <f t="shared" si="328"/>
        <v>0</v>
      </c>
      <c r="V507" s="144" t="str">
        <f t="shared" si="340"/>
        <v>Mulai berkembang</v>
      </c>
      <c r="W507" s="144" t="str">
        <f t="shared" si="341"/>
        <v>Mulai berkembang</v>
      </c>
      <c r="X507" s="144" t="e">
        <f t="shared" si="331"/>
        <v>#N/A</v>
      </c>
      <c r="Y507" s="145" t="e">
        <f t="shared" si="332"/>
        <v>#N/A</v>
      </c>
      <c r="Z507" s="218" t="str">
        <f>IF('PA-Non'!O395&lt;&gt;"",'PA-Non'!O395,IFERROR("Mempunyai kemampuan yang " &amp;IF(V507=W507,PROPER(W507)&amp;" dalam kompetensi "&amp;VLOOKUP(X507,$G$532:$I$539,3)&amp;" dan kompetensi "&amp;VLOOKUP(Y507,$G$532:$I$539,3),PROPER(V507)&amp;" dalam kompetensi "&amp;VLOOKUP(X507,$G$532:$I$539,3)&amp;" dan memiliki kemampuan yang "&amp;W507&amp;" pada kompetensi "&amp;VLOOKUP(Y507,$G$532:$I$539,3)),""))</f>
        <v/>
      </c>
      <c r="AA507" s="153"/>
      <c r="AB507" s="154"/>
      <c r="AC507" s="154"/>
      <c r="AD507" s="154"/>
      <c r="AE507" s="154"/>
      <c r="AF507" s="154"/>
      <c r="AG507" s="154"/>
      <c r="AH507" s="155"/>
      <c r="AI507" s="220" t="str">
        <f t="shared" si="333"/>
        <v/>
      </c>
      <c r="AJ507" s="160" t="str">
        <f>IF(AI507="","",IF(AI507&gt;Data2!$C$12,Data2!$D$11,IF(AI507&gt;Data2!$C$13,Data2!$D$12,IF(AI507&gt;Data2!$C$14,Data2!$D$13,Data2!$D$14))))</f>
        <v/>
      </c>
      <c r="AK507" s="146">
        <f t="shared" si="334"/>
        <v>0</v>
      </c>
      <c r="AL507" s="146">
        <f t="shared" si="335"/>
        <v>0</v>
      </c>
      <c r="AM507" s="147" t="str">
        <f t="shared" si="342"/>
        <v>Mulai meningkat</v>
      </c>
      <c r="AN507" s="147" t="str">
        <f t="shared" si="343"/>
        <v>Mulai meningkat</v>
      </c>
      <c r="AO507" s="146" t="e">
        <f t="shared" si="338"/>
        <v>#N/A</v>
      </c>
      <c r="AP507" s="148" t="e">
        <f t="shared" si="339"/>
        <v>#N/A</v>
      </c>
      <c r="AQ507" s="158" t="str">
        <f>IF('PA-Non'!V395&lt;&gt;"",'PA-Non'!V395,IFERROR("Mempunyai keterampilan yang "&amp;IF(AM507=AN507,PROPER(AN507)&amp;" dalam kompetensi "&amp;VLOOKUP(AO507,$AA$532:$AC$539,3)&amp;", demikian juga dalam kompetensi "&amp;VLOOKUP(AP507,$AA$532:$AC$539,3),PROPER(AM507)&amp;" dalam kompetensi "&amp;VLOOKUP(AO507,$AA$532:$AC$539,3)&amp;" dan "&amp;AN507&amp;" pada kompetensi "&amp;VLOOKUP(AP507,$AA$532:$AC$539,3)),""))</f>
        <v/>
      </c>
      <c r="AR507" s="188"/>
    </row>
    <row r="508" spans="2:44" ht="27.9" customHeight="1" thickBot="1" x14ac:dyDescent="0.35">
      <c r="B508" s="226" t="s">
        <v>190</v>
      </c>
      <c r="C508" s="149" t="str">
        <f t="shared" si="324"/>
        <v/>
      </c>
      <c r="D508" s="150" t="str">
        <f>IF(Data!F503="","",Data!F503)</f>
        <v/>
      </c>
      <c r="E508" s="151" t="str">
        <f>IF(Data!H503="","",Data!H503)</f>
        <v/>
      </c>
      <c r="F508" s="152" t="str">
        <f>IF(Data!I503="","",Data!I503)</f>
        <v/>
      </c>
      <c r="G508" s="153"/>
      <c r="H508" s="154"/>
      <c r="I508" s="154"/>
      <c r="J508" s="154"/>
      <c r="K508" s="154"/>
      <c r="L508" s="154"/>
      <c r="M508" s="154"/>
      <c r="N508" s="155"/>
      <c r="O508" s="157" t="str">
        <f t="shared" si="325"/>
        <v/>
      </c>
      <c r="P508" s="154"/>
      <c r="Q508" s="156"/>
      <c r="R508" s="157" t="str">
        <f t="shared" si="326"/>
        <v/>
      </c>
      <c r="S508" s="159" t="str">
        <f>IF(R508="","",IF(R508&gt;Data2!$C$12,Data2!$D$11,IF(R508&gt;Data2!$C$13,Data2!$D$12,IF(R508&gt;Data2!$C$14,Data2!$D$13,Data2!$D$14))))</f>
        <v/>
      </c>
      <c r="T508" s="144">
        <f t="shared" si="327"/>
        <v>0</v>
      </c>
      <c r="U508" s="144">
        <f t="shared" si="328"/>
        <v>0</v>
      </c>
      <c r="V508" s="144" t="str">
        <f t="shared" si="340"/>
        <v>Mulai berkembang</v>
      </c>
      <c r="W508" s="144" t="str">
        <f t="shared" si="341"/>
        <v>Mulai berkembang</v>
      </c>
      <c r="X508" s="144" t="e">
        <f t="shared" si="331"/>
        <v>#N/A</v>
      </c>
      <c r="Y508" s="145" t="e">
        <f t="shared" si="332"/>
        <v>#N/A</v>
      </c>
      <c r="Z508" s="218" t="str">
        <f>IF('PA-Non'!O396&lt;&gt;"",'PA-Non'!O396,IFERROR("Mempunyai kemampuan yang " &amp;IF(V508=W508,PROPER(W508)&amp;" dalam kompetensi "&amp;VLOOKUP(X508,$G$532:$I$539,3)&amp;" dan kompetensi "&amp;VLOOKUP(Y508,$G$532:$I$539,3),PROPER(V508)&amp;" dalam kompetensi "&amp;VLOOKUP(X508,$G$532:$I$539,3)&amp;" dan memiliki kemampuan yang "&amp;W508&amp;" pada kompetensi "&amp;VLOOKUP(Y508,$G$532:$I$539,3)),""))</f>
        <v/>
      </c>
      <c r="AA508" s="153"/>
      <c r="AB508" s="154"/>
      <c r="AC508" s="154"/>
      <c r="AD508" s="154"/>
      <c r="AE508" s="154"/>
      <c r="AF508" s="154"/>
      <c r="AG508" s="154"/>
      <c r="AH508" s="155"/>
      <c r="AI508" s="220" t="str">
        <f t="shared" si="333"/>
        <v/>
      </c>
      <c r="AJ508" s="160" t="str">
        <f>IF(AI508="","",IF(AI508&gt;Data2!$C$12,Data2!$D$11,IF(AI508&gt;Data2!$C$13,Data2!$D$12,IF(AI508&gt;Data2!$C$14,Data2!$D$13,Data2!$D$14))))</f>
        <v/>
      </c>
      <c r="AK508" s="146">
        <f t="shared" si="334"/>
        <v>0</v>
      </c>
      <c r="AL508" s="146">
        <f t="shared" si="335"/>
        <v>0</v>
      </c>
      <c r="AM508" s="147" t="str">
        <f t="shared" si="342"/>
        <v>Mulai meningkat</v>
      </c>
      <c r="AN508" s="147" t="str">
        <f t="shared" si="343"/>
        <v>Mulai meningkat</v>
      </c>
      <c r="AO508" s="146" t="e">
        <f t="shared" si="338"/>
        <v>#N/A</v>
      </c>
      <c r="AP508" s="148" t="e">
        <f t="shared" si="339"/>
        <v>#N/A</v>
      </c>
      <c r="AQ508" s="158" t="str">
        <f>IF('PA-Non'!V396&lt;&gt;"",'PA-Non'!V396,IFERROR("Mempunyai keterampilan yang "&amp;IF(AM508=AN508,PROPER(AN508)&amp;" dalam kompetensi "&amp;VLOOKUP(AO508,$AA$532:$AC$539,3)&amp;", demikian juga dalam kompetensi "&amp;VLOOKUP(AP508,$AA$532:$AC$539,3),PROPER(AM508)&amp;" dalam kompetensi "&amp;VLOOKUP(AO508,$AA$532:$AC$539,3)&amp;" dan "&amp;AN508&amp;" pada kompetensi "&amp;VLOOKUP(AP508,$AA$532:$AC$539,3)),""))</f>
        <v/>
      </c>
      <c r="AR508" s="188"/>
    </row>
    <row r="509" spans="2:44" ht="27.9" customHeight="1" thickBot="1" x14ac:dyDescent="0.35">
      <c r="B509" s="226" t="s">
        <v>190</v>
      </c>
      <c r="C509" s="149" t="str">
        <f t="shared" si="324"/>
        <v/>
      </c>
      <c r="D509" s="150" t="str">
        <f>IF(Data!F504="","",Data!F504)</f>
        <v/>
      </c>
      <c r="E509" s="151" t="str">
        <f>IF(Data!H504="","",Data!H504)</f>
        <v/>
      </c>
      <c r="F509" s="152" t="str">
        <f>IF(Data!I504="","",Data!I504)</f>
        <v/>
      </c>
      <c r="G509" s="153"/>
      <c r="H509" s="154"/>
      <c r="I509" s="154"/>
      <c r="J509" s="154"/>
      <c r="K509" s="154"/>
      <c r="L509" s="154"/>
      <c r="M509" s="154"/>
      <c r="N509" s="155"/>
      <c r="O509" s="157" t="str">
        <f t="shared" si="325"/>
        <v/>
      </c>
      <c r="P509" s="154"/>
      <c r="Q509" s="156"/>
      <c r="R509" s="157" t="str">
        <f t="shared" si="326"/>
        <v/>
      </c>
      <c r="S509" s="159" t="str">
        <f>IF(R509="","",IF(R509&gt;Data2!$C$12,Data2!$D$11,IF(R509&gt;Data2!$C$13,Data2!$D$12,IF(R509&gt;Data2!$C$14,Data2!$D$13,Data2!$D$14))))</f>
        <v/>
      </c>
      <c r="T509" s="144">
        <f t="shared" si="327"/>
        <v>0</v>
      </c>
      <c r="U509" s="144">
        <f t="shared" si="328"/>
        <v>0</v>
      </c>
      <c r="V509" s="144" t="str">
        <f t="shared" si="340"/>
        <v>Mulai berkembang</v>
      </c>
      <c r="W509" s="144" t="str">
        <f t="shared" si="341"/>
        <v>Mulai berkembang</v>
      </c>
      <c r="X509" s="144" t="e">
        <f t="shared" si="331"/>
        <v>#N/A</v>
      </c>
      <c r="Y509" s="145" t="e">
        <f t="shared" si="332"/>
        <v>#N/A</v>
      </c>
      <c r="Z509" s="218" t="str">
        <f>IF('PA-Non'!O397&lt;&gt;"",'PA-Non'!O397,IFERROR("Mempunyai kemampuan yang " &amp;IF(V509=W509,PROPER(W509)&amp;" dalam kompetensi "&amp;VLOOKUP(X509,$G$532:$I$539,3)&amp;" dan kompetensi "&amp;VLOOKUP(Y509,$G$532:$I$539,3),PROPER(V509)&amp;" dalam kompetensi "&amp;VLOOKUP(X509,$G$532:$I$539,3)&amp;" dan memiliki kemampuan yang "&amp;W509&amp;" pada kompetensi "&amp;VLOOKUP(Y509,$G$532:$I$539,3)),""))</f>
        <v/>
      </c>
      <c r="AA509" s="153"/>
      <c r="AB509" s="154"/>
      <c r="AC509" s="154"/>
      <c r="AD509" s="154"/>
      <c r="AE509" s="154"/>
      <c r="AF509" s="154"/>
      <c r="AG509" s="154"/>
      <c r="AH509" s="155"/>
      <c r="AI509" s="220" t="str">
        <f t="shared" si="333"/>
        <v/>
      </c>
      <c r="AJ509" s="160" t="str">
        <f>IF(AI509="","",IF(AI509&gt;Data2!$C$12,Data2!$D$11,IF(AI509&gt;Data2!$C$13,Data2!$D$12,IF(AI509&gt;Data2!$C$14,Data2!$D$13,Data2!$D$14))))</f>
        <v/>
      </c>
      <c r="AK509" s="146">
        <f t="shared" si="334"/>
        <v>0</v>
      </c>
      <c r="AL509" s="146">
        <f t="shared" si="335"/>
        <v>0</v>
      </c>
      <c r="AM509" s="147" t="str">
        <f t="shared" si="342"/>
        <v>Mulai meningkat</v>
      </c>
      <c r="AN509" s="147" t="str">
        <f t="shared" si="343"/>
        <v>Mulai meningkat</v>
      </c>
      <c r="AO509" s="146" t="e">
        <f t="shared" si="338"/>
        <v>#N/A</v>
      </c>
      <c r="AP509" s="148" t="e">
        <f t="shared" si="339"/>
        <v>#N/A</v>
      </c>
      <c r="AQ509" s="158" t="str">
        <f>IF('PA-Non'!V397&lt;&gt;"",'PA-Non'!V397,IFERROR("Mempunyai keterampilan yang "&amp;IF(AM509=AN509,PROPER(AN509)&amp;" dalam kompetensi "&amp;VLOOKUP(AO509,$AA$532:$AC$539,3)&amp;", demikian juga dalam kompetensi "&amp;VLOOKUP(AP509,$AA$532:$AC$539,3),PROPER(AM509)&amp;" dalam kompetensi "&amp;VLOOKUP(AO509,$AA$532:$AC$539,3)&amp;" dan "&amp;AN509&amp;" pada kompetensi "&amp;VLOOKUP(AP509,$AA$532:$AC$539,3)),""))</f>
        <v/>
      </c>
      <c r="AR509" s="188"/>
    </row>
    <row r="510" spans="2:44" ht="27.9" customHeight="1" thickBot="1" x14ac:dyDescent="0.35">
      <c r="B510" s="226" t="s">
        <v>190</v>
      </c>
      <c r="C510" s="149" t="str">
        <f t="shared" si="324"/>
        <v/>
      </c>
      <c r="D510" s="150" t="str">
        <f>IF(Data!F505="","",Data!F505)</f>
        <v/>
      </c>
      <c r="E510" s="151" t="str">
        <f>IF(Data!H505="","",Data!H505)</f>
        <v/>
      </c>
      <c r="F510" s="152" t="str">
        <f>IF(Data!I505="","",Data!I505)</f>
        <v/>
      </c>
      <c r="G510" s="153"/>
      <c r="H510" s="154"/>
      <c r="I510" s="154"/>
      <c r="J510" s="154"/>
      <c r="K510" s="154"/>
      <c r="L510" s="154"/>
      <c r="M510" s="154"/>
      <c r="N510" s="155"/>
      <c r="O510" s="157" t="str">
        <f t="shared" si="325"/>
        <v/>
      </c>
      <c r="P510" s="154"/>
      <c r="Q510" s="156"/>
      <c r="R510" s="157" t="str">
        <f t="shared" si="326"/>
        <v/>
      </c>
      <c r="S510" s="159" t="str">
        <f>IF(R510="","",IF(R510&gt;Data2!$C$12,Data2!$D$11,IF(R510&gt;Data2!$C$13,Data2!$D$12,IF(R510&gt;Data2!$C$14,Data2!$D$13,Data2!$D$14))))</f>
        <v/>
      </c>
      <c r="T510" s="144">
        <f t="shared" si="327"/>
        <v>0</v>
      </c>
      <c r="U510" s="144">
        <f t="shared" si="328"/>
        <v>0</v>
      </c>
      <c r="V510" s="144" t="str">
        <f t="shared" si="340"/>
        <v>Mulai berkembang</v>
      </c>
      <c r="W510" s="144" t="str">
        <f t="shared" si="341"/>
        <v>Mulai berkembang</v>
      </c>
      <c r="X510" s="144" t="e">
        <f t="shared" si="331"/>
        <v>#N/A</v>
      </c>
      <c r="Y510" s="145" t="e">
        <f t="shared" si="332"/>
        <v>#N/A</v>
      </c>
      <c r="Z510" s="218" t="str">
        <f>IF('PA-Non'!O398&lt;&gt;"",'PA-Non'!O398,IFERROR("Mempunyai kemampuan yang " &amp;IF(V510=W510,PROPER(W510)&amp;" dalam kompetensi "&amp;VLOOKUP(X510,$G$532:$I$539,3)&amp;" dan kompetensi "&amp;VLOOKUP(Y510,$G$532:$I$539,3),PROPER(V510)&amp;" dalam kompetensi "&amp;VLOOKUP(X510,$G$532:$I$539,3)&amp;" dan memiliki kemampuan yang "&amp;W510&amp;" pada kompetensi "&amp;VLOOKUP(Y510,$G$532:$I$539,3)),""))</f>
        <v/>
      </c>
      <c r="AA510" s="153"/>
      <c r="AB510" s="154"/>
      <c r="AC510" s="154"/>
      <c r="AD510" s="154"/>
      <c r="AE510" s="154"/>
      <c r="AF510" s="154"/>
      <c r="AG510" s="154"/>
      <c r="AH510" s="155"/>
      <c r="AI510" s="220" t="str">
        <f t="shared" si="333"/>
        <v/>
      </c>
      <c r="AJ510" s="160" t="str">
        <f>IF(AI510="","",IF(AI510&gt;Data2!$C$12,Data2!$D$11,IF(AI510&gt;Data2!$C$13,Data2!$D$12,IF(AI510&gt;Data2!$C$14,Data2!$D$13,Data2!$D$14))))</f>
        <v/>
      </c>
      <c r="AK510" s="146">
        <f t="shared" si="334"/>
        <v>0</v>
      </c>
      <c r="AL510" s="146">
        <f t="shared" si="335"/>
        <v>0</v>
      </c>
      <c r="AM510" s="147" t="str">
        <f t="shared" si="342"/>
        <v>Mulai meningkat</v>
      </c>
      <c r="AN510" s="147" t="str">
        <f t="shared" si="343"/>
        <v>Mulai meningkat</v>
      </c>
      <c r="AO510" s="146" t="e">
        <f t="shared" si="338"/>
        <v>#N/A</v>
      </c>
      <c r="AP510" s="148" t="e">
        <f t="shared" si="339"/>
        <v>#N/A</v>
      </c>
      <c r="AQ510" s="158" t="str">
        <f>IF('PA-Non'!V398&lt;&gt;"",'PA-Non'!V398,IFERROR("Mempunyai keterampilan yang "&amp;IF(AM510=AN510,PROPER(AN510)&amp;" dalam kompetensi "&amp;VLOOKUP(AO510,$AA$532:$AC$539,3)&amp;", demikian juga dalam kompetensi "&amp;VLOOKUP(AP510,$AA$532:$AC$539,3),PROPER(AM510)&amp;" dalam kompetensi "&amp;VLOOKUP(AO510,$AA$532:$AC$539,3)&amp;" dan "&amp;AN510&amp;" pada kompetensi "&amp;VLOOKUP(AP510,$AA$532:$AC$539,3)),""))</f>
        <v/>
      </c>
      <c r="AR510" s="188"/>
    </row>
    <row r="511" spans="2:44" ht="27.9" customHeight="1" thickBot="1" x14ac:dyDescent="0.35">
      <c r="B511" s="226" t="s">
        <v>190</v>
      </c>
      <c r="C511" s="149" t="str">
        <f t="shared" si="324"/>
        <v/>
      </c>
      <c r="D511" s="150" t="str">
        <f>IF(Data!F506="","",Data!F506)</f>
        <v/>
      </c>
      <c r="E511" s="151" t="str">
        <f>IF(Data!H506="","",Data!H506)</f>
        <v/>
      </c>
      <c r="F511" s="152" t="str">
        <f>IF(Data!I506="","",Data!I506)</f>
        <v/>
      </c>
      <c r="G511" s="153"/>
      <c r="H511" s="154"/>
      <c r="I511" s="154"/>
      <c r="J511" s="154"/>
      <c r="K511" s="154"/>
      <c r="L511" s="154"/>
      <c r="M511" s="154"/>
      <c r="N511" s="155"/>
      <c r="O511" s="157" t="str">
        <f t="shared" si="325"/>
        <v/>
      </c>
      <c r="P511" s="154"/>
      <c r="Q511" s="156"/>
      <c r="R511" s="157" t="str">
        <f t="shared" si="326"/>
        <v/>
      </c>
      <c r="S511" s="159" t="str">
        <f>IF(R511="","",IF(R511&gt;Data2!$C$12,Data2!$D$11,IF(R511&gt;Data2!$C$13,Data2!$D$12,IF(R511&gt;Data2!$C$14,Data2!$D$13,Data2!$D$14))))</f>
        <v/>
      </c>
      <c r="T511" s="144">
        <f t="shared" si="327"/>
        <v>0</v>
      </c>
      <c r="U511" s="144">
        <f t="shared" si="328"/>
        <v>0</v>
      </c>
      <c r="V511" s="144" t="str">
        <f t="shared" si="340"/>
        <v>Mulai berkembang</v>
      </c>
      <c r="W511" s="144" t="str">
        <f t="shared" si="341"/>
        <v>Mulai berkembang</v>
      </c>
      <c r="X511" s="144" t="e">
        <f t="shared" si="331"/>
        <v>#N/A</v>
      </c>
      <c r="Y511" s="145" t="e">
        <f t="shared" si="332"/>
        <v>#N/A</v>
      </c>
      <c r="Z511" s="218" t="str">
        <f>IF('PA-Non'!O399&lt;&gt;"",'PA-Non'!O399,IFERROR("Mempunyai kemampuan yang " &amp;IF(V511=W511,PROPER(W511)&amp;" dalam kompetensi "&amp;VLOOKUP(X511,$G$532:$I$539,3)&amp;" dan kompetensi "&amp;VLOOKUP(Y511,$G$532:$I$539,3),PROPER(V511)&amp;" dalam kompetensi "&amp;VLOOKUP(X511,$G$532:$I$539,3)&amp;" dan memiliki kemampuan yang "&amp;W511&amp;" pada kompetensi "&amp;VLOOKUP(Y511,$G$532:$I$539,3)),""))</f>
        <v/>
      </c>
      <c r="AA511" s="153"/>
      <c r="AB511" s="154"/>
      <c r="AC511" s="154"/>
      <c r="AD511" s="154"/>
      <c r="AE511" s="154"/>
      <c r="AF511" s="154"/>
      <c r="AG511" s="154"/>
      <c r="AH511" s="155"/>
      <c r="AI511" s="220" t="str">
        <f t="shared" si="333"/>
        <v/>
      </c>
      <c r="AJ511" s="160" t="str">
        <f>IF(AI511="","",IF(AI511&gt;Data2!$C$12,Data2!$D$11,IF(AI511&gt;Data2!$C$13,Data2!$D$12,IF(AI511&gt;Data2!$C$14,Data2!$D$13,Data2!$D$14))))</f>
        <v/>
      </c>
      <c r="AK511" s="146">
        <f t="shared" si="334"/>
        <v>0</v>
      </c>
      <c r="AL511" s="146">
        <f t="shared" si="335"/>
        <v>0</v>
      </c>
      <c r="AM511" s="147" t="str">
        <f t="shared" si="342"/>
        <v>Mulai meningkat</v>
      </c>
      <c r="AN511" s="147" t="str">
        <f t="shared" si="343"/>
        <v>Mulai meningkat</v>
      </c>
      <c r="AO511" s="146" t="e">
        <f t="shared" si="338"/>
        <v>#N/A</v>
      </c>
      <c r="AP511" s="148" t="e">
        <f t="shared" si="339"/>
        <v>#N/A</v>
      </c>
      <c r="AQ511" s="158" t="str">
        <f>IF('PA-Non'!V399&lt;&gt;"",'PA-Non'!V399,IFERROR("Mempunyai keterampilan yang "&amp;IF(AM511=AN511,PROPER(AN511)&amp;" dalam kompetensi "&amp;VLOOKUP(AO511,$AA$532:$AC$539,3)&amp;", demikian juga dalam kompetensi "&amp;VLOOKUP(AP511,$AA$532:$AC$539,3),PROPER(AM511)&amp;" dalam kompetensi "&amp;VLOOKUP(AO511,$AA$532:$AC$539,3)&amp;" dan "&amp;AN511&amp;" pada kompetensi "&amp;VLOOKUP(AP511,$AA$532:$AC$539,3)),""))</f>
        <v/>
      </c>
      <c r="AR511" s="188"/>
    </row>
    <row r="512" spans="2:44" ht="27.9" customHeight="1" thickBot="1" x14ac:dyDescent="0.35">
      <c r="B512" s="226" t="s">
        <v>190</v>
      </c>
      <c r="C512" s="149" t="str">
        <f t="shared" si="324"/>
        <v/>
      </c>
      <c r="D512" s="150" t="str">
        <f>IF(Data!F507="","",Data!F507)</f>
        <v/>
      </c>
      <c r="E512" s="151" t="str">
        <f>IF(Data!H507="","",Data!H507)</f>
        <v/>
      </c>
      <c r="F512" s="152" t="str">
        <f>IF(Data!I507="","",Data!I507)</f>
        <v/>
      </c>
      <c r="G512" s="153"/>
      <c r="H512" s="154"/>
      <c r="I512" s="154"/>
      <c r="J512" s="154"/>
      <c r="K512" s="154"/>
      <c r="L512" s="154"/>
      <c r="M512" s="154"/>
      <c r="N512" s="155"/>
      <c r="O512" s="157" t="str">
        <f t="shared" si="325"/>
        <v/>
      </c>
      <c r="P512" s="154"/>
      <c r="Q512" s="156"/>
      <c r="R512" s="157" t="str">
        <f t="shared" si="326"/>
        <v/>
      </c>
      <c r="S512" s="159" t="str">
        <f>IF(R512="","",IF(R512&gt;Data2!$C$12,Data2!$D$11,IF(R512&gt;Data2!$C$13,Data2!$D$12,IF(R512&gt;Data2!$C$14,Data2!$D$13,Data2!$D$14))))</f>
        <v/>
      </c>
      <c r="T512" s="144">
        <f t="shared" si="327"/>
        <v>0</v>
      </c>
      <c r="U512" s="144">
        <f t="shared" si="328"/>
        <v>0</v>
      </c>
      <c r="V512" s="144" t="str">
        <f t="shared" si="340"/>
        <v>Mulai berkembang</v>
      </c>
      <c r="W512" s="144" t="str">
        <f t="shared" si="341"/>
        <v>Mulai berkembang</v>
      </c>
      <c r="X512" s="144" t="e">
        <f t="shared" si="331"/>
        <v>#N/A</v>
      </c>
      <c r="Y512" s="145" t="e">
        <f t="shared" si="332"/>
        <v>#N/A</v>
      </c>
      <c r="Z512" s="218" t="str">
        <f>IF('PA-Non'!O400&lt;&gt;"",'PA-Non'!O400,IFERROR("Mempunyai kemampuan yang " &amp;IF(V512=W512,PROPER(W512)&amp;" dalam kompetensi "&amp;VLOOKUP(X512,$G$532:$I$539,3)&amp;" dan kompetensi "&amp;VLOOKUP(Y512,$G$532:$I$539,3),PROPER(V512)&amp;" dalam kompetensi "&amp;VLOOKUP(X512,$G$532:$I$539,3)&amp;" dan memiliki kemampuan yang "&amp;W512&amp;" pada kompetensi "&amp;VLOOKUP(Y512,$G$532:$I$539,3)),""))</f>
        <v/>
      </c>
      <c r="AA512" s="153"/>
      <c r="AB512" s="154"/>
      <c r="AC512" s="154"/>
      <c r="AD512" s="154"/>
      <c r="AE512" s="154"/>
      <c r="AF512" s="154"/>
      <c r="AG512" s="154"/>
      <c r="AH512" s="155"/>
      <c r="AI512" s="220" t="str">
        <f t="shared" si="333"/>
        <v/>
      </c>
      <c r="AJ512" s="160" t="str">
        <f>IF(AI512="","",IF(AI512&gt;Data2!$C$12,Data2!$D$11,IF(AI512&gt;Data2!$C$13,Data2!$D$12,IF(AI512&gt;Data2!$C$14,Data2!$D$13,Data2!$D$14))))</f>
        <v/>
      </c>
      <c r="AK512" s="146">
        <f t="shared" si="334"/>
        <v>0</v>
      </c>
      <c r="AL512" s="146">
        <f t="shared" si="335"/>
        <v>0</v>
      </c>
      <c r="AM512" s="147" t="str">
        <f t="shared" si="342"/>
        <v>Mulai meningkat</v>
      </c>
      <c r="AN512" s="147" t="str">
        <f t="shared" si="343"/>
        <v>Mulai meningkat</v>
      </c>
      <c r="AO512" s="146" t="e">
        <f t="shared" si="338"/>
        <v>#N/A</v>
      </c>
      <c r="AP512" s="148" t="e">
        <f t="shared" si="339"/>
        <v>#N/A</v>
      </c>
      <c r="AQ512" s="158" t="str">
        <f>IF('PA-Non'!V400&lt;&gt;"",'PA-Non'!V400,IFERROR("Mempunyai keterampilan yang "&amp;IF(AM512=AN512,PROPER(AN512)&amp;" dalam kompetensi "&amp;VLOOKUP(AO512,$AA$532:$AC$539,3)&amp;", demikian juga dalam kompetensi "&amp;VLOOKUP(AP512,$AA$532:$AC$539,3),PROPER(AM512)&amp;" dalam kompetensi "&amp;VLOOKUP(AO512,$AA$532:$AC$539,3)&amp;" dan "&amp;AN512&amp;" pada kompetensi "&amp;VLOOKUP(AP512,$AA$532:$AC$539,3)),""))</f>
        <v/>
      </c>
      <c r="AR512" s="188"/>
    </row>
    <row r="513" spans="2:44" ht="27.9" customHeight="1" thickBot="1" x14ac:dyDescent="0.35">
      <c r="B513" s="226" t="s">
        <v>190</v>
      </c>
      <c r="C513" s="149" t="str">
        <f t="shared" si="324"/>
        <v/>
      </c>
      <c r="D513" s="150" t="str">
        <f>IF(Data!F508="","",Data!F508)</f>
        <v/>
      </c>
      <c r="E513" s="151" t="str">
        <f>IF(Data!H508="","",Data!H508)</f>
        <v/>
      </c>
      <c r="F513" s="152" t="str">
        <f>IF(Data!I508="","",Data!I508)</f>
        <v/>
      </c>
      <c r="G513" s="153"/>
      <c r="H513" s="154"/>
      <c r="I513" s="154"/>
      <c r="J513" s="154"/>
      <c r="K513" s="154"/>
      <c r="L513" s="154"/>
      <c r="M513" s="154"/>
      <c r="N513" s="155"/>
      <c r="O513" s="157" t="str">
        <f t="shared" si="325"/>
        <v/>
      </c>
      <c r="P513" s="154"/>
      <c r="Q513" s="156"/>
      <c r="R513" s="157" t="str">
        <f t="shared" si="326"/>
        <v/>
      </c>
      <c r="S513" s="159" t="str">
        <f>IF(R513="","",IF(R513&gt;Data2!$C$12,Data2!$D$11,IF(R513&gt;Data2!$C$13,Data2!$D$12,IF(R513&gt;Data2!$C$14,Data2!$D$13,Data2!$D$14))))</f>
        <v/>
      </c>
      <c r="T513" s="144">
        <f t="shared" si="327"/>
        <v>0</v>
      </c>
      <c r="U513" s="144">
        <f t="shared" si="328"/>
        <v>0</v>
      </c>
      <c r="V513" s="144" t="str">
        <f t="shared" si="340"/>
        <v>Mulai berkembang</v>
      </c>
      <c r="W513" s="144" t="str">
        <f t="shared" si="341"/>
        <v>Mulai berkembang</v>
      </c>
      <c r="X513" s="144" t="e">
        <f t="shared" si="331"/>
        <v>#N/A</v>
      </c>
      <c r="Y513" s="145" t="e">
        <f t="shared" si="332"/>
        <v>#N/A</v>
      </c>
      <c r="Z513" s="218" t="str">
        <f>IF('PA-Non'!O401&lt;&gt;"",'PA-Non'!O401,IFERROR("Mempunyai kemampuan yang " &amp;IF(V513=W513,PROPER(W513)&amp;" dalam kompetensi "&amp;VLOOKUP(X513,$G$532:$I$539,3)&amp;" dan kompetensi "&amp;VLOOKUP(Y513,$G$532:$I$539,3),PROPER(V513)&amp;" dalam kompetensi "&amp;VLOOKUP(X513,$G$532:$I$539,3)&amp;" dan memiliki kemampuan yang "&amp;W513&amp;" pada kompetensi "&amp;VLOOKUP(Y513,$G$532:$I$539,3)),""))</f>
        <v/>
      </c>
      <c r="AA513" s="153"/>
      <c r="AB513" s="154"/>
      <c r="AC513" s="154"/>
      <c r="AD513" s="154"/>
      <c r="AE513" s="154"/>
      <c r="AF513" s="154"/>
      <c r="AG513" s="154"/>
      <c r="AH513" s="155"/>
      <c r="AI513" s="220" t="str">
        <f t="shared" si="333"/>
        <v/>
      </c>
      <c r="AJ513" s="160" t="str">
        <f>IF(AI513="","",IF(AI513&gt;Data2!$C$12,Data2!$D$11,IF(AI513&gt;Data2!$C$13,Data2!$D$12,IF(AI513&gt;Data2!$C$14,Data2!$D$13,Data2!$D$14))))</f>
        <v/>
      </c>
      <c r="AK513" s="146">
        <f t="shared" si="334"/>
        <v>0</v>
      </c>
      <c r="AL513" s="146">
        <f t="shared" si="335"/>
        <v>0</v>
      </c>
      <c r="AM513" s="147" t="str">
        <f t="shared" si="342"/>
        <v>Mulai meningkat</v>
      </c>
      <c r="AN513" s="147" t="str">
        <f t="shared" si="343"/>
        <v>Mulai meningkat</v>
      </c>
      <c r="AO513" s="146" t="e">
        <f t="shared" si="338"/>
        <v>#N/A</v>
      </c>
      <c r="AP513" s="148" t="e">
        <f t="shared" si="339"/>
        <v>#N/A</v>
      </c>
      <c r="AQ513" s="158" t="str">
        <f>IF('PA-Non'!V401&lt;&gt;"",'PA-Non'!V401,IFERROR("Mempunyai keterampilan yang "&amp;IF(AM513=AN513,PROPER(AN513)&amp;" dalam kompetensi "&amp;VLOOKUP(AO513,$AA$532:$AC$539,3)&amp;", demikian juga dalam kompetensi "&amp;VLOOKUP(AP513,$AA$532:$AC$539,3),PROPER(AM513)&amp;" dalam kompetensi "&amp;VLOOKUP(AO513,$AA$532:$AC$539,3)&amp;" dan "&amp;AN513&amp;" pada kompetensi "&amp;VLOOKUP(AP513,$AA$532:$AC$539,3)),""))</f>
        <v/>
      </c>
      <c r="AR513" s="188"/>
    </row>
    <row r="514" spans="2:44" ht="27.9" customHeight="1" thickBot="1" x14ac:dyDescent="0.35">
      <c r="B514" s="226" t="s">
        <v>190</v>
      </c>
      <c r="C514" s="149" t="str">
        <f t="shared" ref="C514:C529" si="344">IF(E514="","",C513+1)</f>
        <v/>
      </c>
      <c r="D514" s="150" t="str">
        <f>IF(Data!F509="","",Data!F509)</f>
        <v/>
      </c>
      <c r="E514" s="151" t="str">
        <f>IF(Data!H509="","",Data!H509)</f>
        <v/>
      </c>
      <c r="F514" s="152" t="str">
        <f>IF(Data!I509="","",Data!I509)</f>
        <v/>
      </c>
      <c r="G514" s="153"/>
      <c r="H514" s="154"/>
      <c r="I514" s="154"/>
      <c r="J514" s="154"/>
      <c r="K514" s="154"/>
      <c r="L514" s="154"/>
      <c r="M514" s="154"/>
      <c r="N514" s="155"/>
      <c r="O514" s="157" t="str">
        <f t="shared" si="325"/>
        <v/>
      </c>
      <c r="P514" s="154"/>
      <c r="Q514" s="156"/>
      <c r="R514" s="157" t="str">
        <f t="shared" si="326"/>
        <v/>
      </c>
      <c r="S514" s="159" t="str">
        <f>IF(R514="","",IF(R514&gt;Data2!$C$12,Data2!$D$11,IF(R514&gt;Data2!$C$13,Data2!$D$12,IF(R514&gt;Data2!$C$14,Data2!$D$13,Data2!$D$14))))</f>
        <v/>
      </c>
      <c r="T514" s="144">
        <f t="shared" si="327"/>
        <v>0</v>
      </c>
      <c r="U514" s="144">
        <f t="shared" si="328"/>
        <v>0</v>
      </c>
      <c r="V514" s="144" t="str">
        <f t="shared" si="340"/>
        <v>Mulai berkembang</v>
      </c>
      <c r="W514" s="144" t="str">
        <f t="shared" si="341"/>
        <v>Mulai berkembang</v>
      </c>
      <c r="X514" s="144" t="e">
        <f t="shared" si="331"/>
        <v>#N/A</v>
      </c>
      <c r="Y514" s="145" t="e">
        <f t="shared" si="332"/>
        <v>#N/A</v>
      </c>
      <c r="Z514" s="218" t="str">
        <f>IF('PA-Non'!O402&lt;&gt;"",'PA-Non'!O402,IFERROR("Mempunyai kemampuan yang " &amp;IF(V514=W514,PROPER(W514)&amp;" dalam kompetensi "&amp;VLOOKUP(X514,$G$532:$I$539,3)&amp;" dan kompetensi "&amp;VLOOKUP(Y514,$G$532:$I$539,3),PROPER(V514)&amp;" dalam kompetensi "&amp;VLOOKUP(X514,$G$532:$I$539,3)&amp;" dan memiliki kemampuan yang "&amp;W514&amp;" pada kompetensi "&amp;VLOOKUP(Y514,$G$532:$I$539,3)),""))</f>
        <v/>
      </c>
      <c r="AA514" s="153"/>
      <c r="AB514" s="154"/>
      <c r="AC514" s="154"/>
      <c r="AD514" s="154"/>
      <c r="AE514" s="154"/>
      <c r="AF514" s="154"/>
      <c r="AG514" s="154"/>
      <c r="AH514" s="155"/>
      <c r="AI514" s="220" t="str">
        <f t="shared" si="333"/>
        <v/>
      </c>
      <c r="AJ514" s="160" t="str">
        <f>IF(AI514="","",IF(AI514&gt;Data2!$C$12,Data2!$D$11,IF(AI514&gt;Data2!$C$13,Data2!$D$12,IF(AI514&gt;Data2!$C$14,Data2!$D$13,Data2!$D$14))))</f>
        <v/>
      </c>
      <c r="AK514" s="146">
        <f t="shared" si="334"/>
        <v>0</v>
      </c>
      <c r="AL514" s="146">
        <f t="shared" si="335"/>
        <v>0</v>
      </c>
      <c r="AM514" s="147" t="str">
        <f t="shared" si="342"/>
        <v>Mulai meningkat</v>
      </c>
      <c r="AN514" s="147" t="str">
        <f t="shared" si="343"/>
        <v>Mulai meningkat</v>
      </c>
      <c r="AO514" s="146" t="e">
        <f t="shared" si="338"/>
        <v>#N/A</v>
      </c>
      <c r="AP514" s="148" t="e">
        <f t="shared" si="339"/>
        <v>#N/A</v>
      </c>
      <c r="AQ514" s="158" t="str">
        <f>IF('PA-Non'!V402&lt;&gt;"",'PA-Non'!V402,IFERROR("Mempunyai keterampilan yang "&amp;IF(AM514=AN514,PROPER(AN514)&amp;" dalam kompetensi "&amp;VLOOKUP(AO514,$AA$532:$AC$539,3)&amp;", demikian juga dalam kompetensi "&amp;VLOOKUP(AP514,$AA$532:$AC$539,3),PROPER(AM514)&amp;" dalam kompetensi "&amp;VLOOKUP(AO514,$AA$532:$AC$539,3)&amp;" dan "&amp;AN514&amp;" pada kompetensi "&amp;VLOOKUP(AP514,$AA$532:$AC$539,3)),""))</f>
        <v/>
      </c>
      <c r="AR514" s="188"/>
    </row>
    <row r="515" spans="2:44" ht="27.9" customHeight="1" thickBot="1" x14ac:dyDescent="0.35">
      <c r="B515" s="226" t="s">
        <v>190</v>
      </c>
      <c r="C515" s="149" t="str">
        <f t="shared" si="344"/>
        <v/>
      </c>
      <c r="D515" s="150" t="str">
        <f>IF(Data!F510="","",Data!F510)</f>
        <v/>
      </c>
      <c r="E515" s="151" t="str">
        <f>IF(Data!H510="","",Data!H510)</f>
        <v/>
      </c>
      <c r="F515" s="152" t="str">
        <f>IF(Data!I510="","",Data!I510)</f>
        <v/>
      </c>
      <c r="G515" s="153"/>
      <c r="H515" s="154"/>
      <c r="I515" s="154"/>
      <c r="J515" s="154"/>
      <c r="K515" s="154"/>
      <c r="L515" s="154"/>
      <c r="M515" s="154"/>
      <c r="N515" s="155"/>
      <c r="O515" s="157" t="str">
        <f t="shared" ref="O515:O529" si="345">IF(COUNT(G515:N515)&lt;3,"",ROUND(SUM(G515:N515)/$O$6,0))</f>
        <v/>
      </c>
      <c r="P515" s="154"/>
      <c r="Q515" s="156"/>
      <c r="R515" s="157" t="str">
        <f t="shared" ref="R515:R529" si="346">IFERROR(IF(OR(P515="",Q515=""),"",ROUND(((O515*$O$8)+(P515*$P$8)+(Q515*$Q$8))/$Q$6,0)),"")</f>
        <v/>
      </c>
      <c r="S515" s="159" t="str">
        <f>IF(R515="","",IF(R515&gt;Data2!$C$12,Data2!$D$11,IF(R515&gt;Data2!$C$13,Data2!$D$12,IF(R515&gt;Data2!$C$14,Data2!$D$13,Data2!$D$14))))</f>
        <v/>
      </c>
      <c r="T515" s="144">
        <f t="shared" ref="T515:T529" si="347">MAX(G515:N515)</f>
        <v>0</v>
      </c>
      <c r="U515" s="144">
        <f t="shared" ref="U515:U529" si="348">MIN(G515:N515)</f>
        <v>0</v>
      </c>
      <c r="V515" s="144" t="str">
        <f t="shared" si="340"/>
        <v>Mulai berkembang</v>
      </c>
      <c r="W515" s="144" t="str">
        <f t="shared" si="341"/>
        <v>Mulai berkembang</v>
      </c>
      <c r="X515" s="144" t="e">
        <f t="shared" ref="X515:X529" si="349">MATCH(T515,G515:N515,0)</f>
        <v>#N/A</v>
      </c>
      <c r="Y515" s="145" t="e">
        <f t="shared" ref="Y515:Y529" si="350">MATCH(U515,G515:N515,0)</f>
        <v>#N/A</v>
      </c>
      <c r="Z515" s="218" t="str">
        <f>IF('PA-Non'!O403&lt;&gt;"",'PA-Non'!O403,IFERROR("Mempunyai kemampuan yang " &amp;IF(V515=W515,PROPER(W515)&amp;" dalam kompetensi "&amp;VLOOKUP(X515,$G$532:$I$539,3)&amp;" dan kompetensi "&amp;VLOOKUP(Y515,$G$532:$I$539,3),PROPER(V515)&amp;" dalam kompetensi "&amp;VLOOKUP(X515,$G$532:$I$539,3)&amp;" dan memiliki kemampuan yang "&amp;W515&amp;" pada kompetensi "&amp;VLOOKUP(Y515,$G$532:$I$539,3)),""))</f>
        <v/>
      </c>
      <c r="AA515" s="153"/>
      <c r="AB515" s="154"/>
      <c r="AC515" s="154"/>
      <c r="AD515" s="154"/>
      <c r="AE515" s="154"/>
      <c r="AF515" s="154"/>
      <c r="AG515" s="154"/>
      <c r="AH515" s="155"/>
      <c r="AI515" s="220" t="str">
        <f t="shared" ref="AI515:AI529" si="351">IF(COUNT(AA515:AH515)&lt;3,"",ROUND(((AA515*$AA$8)+(AB515*$AB$8)+(AC515*$AC$8)+(AD515*$AD$8)+(AE515*$AE$8)+(AF515*$AF$8)+(AG515*$AG$8)+(AH515*$AH$8))/$AI$6,0))</f>
        <v/>
      </c>
      <c r="AJ515" s="160" t="str">
        <f>IF(AI515="","",IF(AI515&gt;Data2!$C$12,Data2!$D$11,IF(AI515&gt;Data2!$C$13,Data2!$D$12,IF(AI515&gt;Data2!$C$14,Data2!$D$13,Data2!$D$14))))</f>
        <v/>
      </c>
      <c r="AK515" s="146">
        <f t="shared" ref="AK515:AK529" si="352">MAX(AA515:AH515)</f>
        <v>0</v>
      </c>
      <c r="AL515" s="146">
        <f t="shared" ref="AL515:AL529" si="353">MIN(AA515:AH515)</f>
        <v>0</v>
      </c>
      <c r="AM515" s="147" t="str">
        <f t="shared" si="342"/>
        <v>Mulai meningkat</v>
      </c>
      <c r="AN515" s="147" t="str">
        <f t="shared" si="343"/>
        <v>Mulai meningkat</v>
      </c>
      <c r="AO515" s="146" t="e">
        <f t="shared" ref="AO515:AO529" si="354">MATCH(AK515,AA515:AH515,0)</f>
        <v>#N/A</v>
      </c>
      <c r="AP515" s="148" t="e">
        <f t="shared" ref="AP515:AP529" si="355">MATCH(AL515,AA515:AH515,0)</f>
        <v>#N/A</v>
      </c>
      <c r="AQ515" s="158" t="str">
        <f>IF('PA-Non'!V403&lt;&gt;"",'PA-Non'!V403,IFERROR("Mempunyai keterampilan yang "&amp;IF(AM515=AN515,PROPER(AN515)&amp;" dalam kompetensi "&amp;VLOOKUP(AO515,$AA$532:$AC$539,3)&amp;", demikian juga dalam kompetensi "&amp;VLOOKUP(AP515,$AA$532:$AC$539,3),PROPER(AM515)&amp;" dalam kompetensi "&amp;VLOOKUP(AO515,$AA$532:$AC$539,3)&amp;" dan "&amp;AN515&amp;" pada kompetensi "&amp;VLOOKUP(AP515,$AA$532:$AC$539,3)),""))</f>
        <v/>
      </c>
      <c r="AR515" s="188"/>
    </row>
    <row r="516" spans="2:44" ht="27.9" customHeight="1" thickBot="1" x14ac:dyDescent="0.35">
      <c r="B516" s="226" t="s">
        <v>190</v>
      </c>
      <c r="C516" s="149" t="str">
        <f t="shared" si="344"/>
        <v/>
      </c>
      <c r="D516" s="150" t="str">
        <f>IF(Data!F511="","",Data!F511)</f>
        <v/>
      </c>
      <c r="E516" s="151" t="str">
        <f>IF(Data!H511="","",Data!H511)</f>
        <v/>
      </c>
      <c r="F516" s="152" t="str">
        <f>IF(Data!I511="","",Data!I511)</f>
        <v/>
      </c>
      <c r="G516" s="153"/>
      <c r="H516" s="154"/>
      <c r="I516" s="154"/>
      <c r="J516" s="154"/>
      <c r="K516" s="154"/>
      <c r="L516" s="154"/>
      <c r="M516" s="154"/>
      <c r="N516" s="155"/>
      <c r="O516" s="157" t="str">
        <f t="shared" si="345"/>
        <v/>
      </c>
      <c r="P516" s="154"/>
      <c r="Q516" s="156"/>
      <c r="R516" s="157" t="str">
        <f t="shared" si="346"/>
        <v/>
      </c>
      <c r="S516" s="159" t="str">
        <f>IF(R516="","",IF(R516&gt;Data2!$C$12,Data2!$D$11,IF(R516&gt;Data2!$C$13,Data2!$D$12,IF(R516&gt;Data2!$C$14,Data2!$D$13,Data2!$D$14))))</f>
        <v/>
      </c>
      <c r="T516" s="144">
        <f t="shared" si="347"/>
        <v>0</v>
      </c>
      <c r="U516" s="144">
        <f t="shared" si="348"/>
        <v>0</v>
      </c>
      <c r="V516" s="144" t="str">
        <f t="shared" si="340"/>
        <v>Mulai berkembang</v>
      </c>
      <c r="W516" s="144" t="str">
        <f t="shared" si="341"/>
        <v>Mulai berkembang</v>
      </c>
      <c r="X516" s="144" t="e">
        <f t="shared" si="349"/>
        <v>#N/A</v>
      </c>
      <c r="Y516" s="145" t="e">
        <f t="shared" si="350"/>
        <v>#N/A</v>
      </c>
      <c r="Z516" s="218" t="str">
        <f>IF('PA-Non'!O404&lt;&gt;"",'PA-Non'!O404,IFERROR("Mempunyai kemampuan yang " &amp;IF(V516=W516,PROPER(W516)&amp;" dalam kompetensi "&amp;VLOOKUP(X516,$G$532:$I$539,3)&amp;" dan kompetensi "&amp;VLOOKUP(Y516,$G$532:$I$539,3),PROPER(V516)&amp;" dalam kompetensi "&amp;VLOOKUP(X516,$G$532:$I$539,3)&amp;" dan memiliki kemampuan yang "&amp;W516&amp;" pada kompetensi "&amp;VLOOKUP(Y516,$G$532:$I$539,3)),""))</f>
        <v/>
      </c>
      <c r="AA516" s="153"/>
      <c r="AB516" s="154"/>
      <c r="AC516" s="154"/>
      <c r="AD516" s="154"/>
      <c r="AE516" s="154"/>
      <c r="AF516" s="154"/>
      <c r="AG516" s="154"/>
      <c r="AH516" s="155"/>
      <c r="AI516" s="220" t="str">
        <f t="shared" si="351"/>
        <v/>
      </c>
      <c r="AJ516" s="160" t="str">
        <f>IF(AI516="","",IF(AI516&gt;Data2!$C$12,Data2!$D$11,IF(AI516&gt;Data2!$C$13,Data2!$D$12,IF(AI516&gt;Data2!$C$14,Data2!$D$13,Data2!$D$14))))</f>
        <v/>
      </c>
      <c r="AK516" s="146">
        <f t="shared" si="352"/>
        <v>0</v>
      </c>
      <c r="AL516" s="146">
        <f t="shared" si="353"/>
        <v>0</v>
      </c>
      <c r="AM516" s="147" t="str">
        <f t="shared" si="342"/>
        <v>Mulai meningkat</v>
      </c>
      <c r="AN516" s="147" t="str">
        <f t="shared" si="343"/>
        <v>Mulai meningkat</v>
      </c>
      <c r="AO516" s="146" t="e">
        <f t="shared" si="354"/>
        <v>#N/A</v>
      </c>
      <c r="AP516" s="148" t="e">
        <f t="shared" si="355"/>
        <v>#N/A</v>
      </c>
      <c r="AQ516" s="158" t="str">
        <f>IF('PA-Non'!V404&lt;&gt;"",'PA-Non'!V404,IFERROR("Mempunyai keterampilan yang "&amp;IF(AM516=AN516,PROPER(AN516)&amp;" dalam kompetensi "&amp;VLOOKUP(AO516,$AA$532:$AC$539,3)&amp;", demikian juga dalam kompetensi "&amp;VLOOKUP(AP516,$AA$532:$AC$539,3),PROPER(AM516)&amp;" dalam kompetensi "&amp;VLOOKUP(AO516,$AA$532:$AC$539,3)&amp;" dan "&amp;AN516&amp;" pada kompetensi "&amp;VLOOKUP(AP516,$AA$532:$AC$539,3)),""))</f>
        <v/>
      </c>
      <c r="AR516" s="188"/>
    </row>
    <row r="517" spans="2:44" ht="27.9" customHeight="1" thickBot="1" x14ac:dyDescent="0.35">
      <c r="B517" s="226" t="s">
        <v>190</v>
      </c>
      <c r="C517" s="149" t="str">
        <f t="shared" si="344"/>
        <v/>
      </c>
      <c r="D517" s="150" t="str">
        <f>IF(Data!F512="","",Data!F512)</f>
        <v/>
      </c>
      <c r="E517" s="151" t="str">
        <f>IF(Data!H512="","",Data!H512)</f>
        <v/>
      </c>
      <c r="F517" s="152" t="str">
        <f>IF(Data!I512="","",Data!I512)</f>
        <v/>
      </c>
      <c r="G517" s="153"/>
      <c r="H517" s="154"/>
      <c r="I517" s="154"/>
      <c r="J517" s="154"/>
      <c r="K517" s="154"/>
      <c r="L517" s="154"/>
      <c r="M517" s="154"/>
      <c r="N517" s="155"/>
      <c r="O517" s="157" t="str">
        <f t="shared" si="345"/>
        <v/>
      </c>
      <c r="P517" s="154"/>
      <c r="Q517" s="156"/>
      <c r="R517" s="157" t="str">
        <f t="shared" si="346"/>
        <v/>
      </c>
      <c r="S517" s="159" t="str">
        <f>IF(R517="","",IF(R517&gt;Data2!$C$12,Data2!$D$11,IF(R517&gt;Data2!$C$13,Data2!$D$12,IF(R517&gt;Data2!$C$14,Data2!$D$13,Data2!$D$14))))</f>
        <v/>
      </c>
      <c r="T517" s="144">
        <f t="shared" si="347"/>
        <v>0</v>
      </c>
      <c r="U517" s="144">
        <f t="shared" si="348"/>
        <v>0</v>
      </c>
      <c r="V517" s="144" t="str">
        <f t="shared" si="340"/>
        <v>Mulai berkembang</v>
      </c>
      <c r="W517" s="144" t="str">
        <f t="shared" si="341"/>
        <v>Mulai berkembang</v>
      </c>
      <c r="X517" s="144" t="e">
        <f t="shared" si="349"/>
        <v>#N/A</v>
      </c>
      <c r="Y517" s="145" t="e">
        <f t="shared" si="350"/>
        <v>#N/A</v>
      </c>
      <c r="Z517" s="218" t="str">
        <f>IF('PA-Non'!O405&lt;&gt;"",'PA-Non'!O405,IFERROR("Mempunyai kemampuan yang " &amp;IF(V517=W517,PROPER(W517)&amp;" dalam kompetensi "&amp;VLOOKUP(X517,$G$532:$I$539,3)&amp;" dan kompetensi "&amp;VLOOKUP(Y517,$G$532:$I$539,3),PROPER(V517)&amp;" dalam kompetensi "&amp;VLOOKUP(X517,$G$532:$I$539,3)&amp;" dan memiliki kemampuan yang "&amp;W517&amp;" pada kompetensi "&amp;VLOOKUP(Y517,$G$532:$I$539,3)),""))</f>
        <v/>
      </c>
      <c r="AA517" s="153"/>
      <c r="AB517" s="154"/>
      <c r="AC517" s="154"/>
      <c r="AD517" s="154"/>
      <c r="AE517" s="154"/>
      <c r="AF517" s="154"/>
      <c r="AG517" s="154"/>
      <c r="AH517" s="155"/>
      <c r="AI517" s="220" t="str">
        <f t="shared" si="351"/>
        <v/>
      </c>
      <c r="AJ517" s="160" t="str">
        <f>IF(AI517="","",IF(AI517&gt;Data2!$C$12,Data2!$D$11,IF(AI517&gt;Data2!$C$13,Data2!$D$12,IF(AI517&gt;Data2!$C$14,Data2!$D$13,Data2!$D$14))))</f>
        <v/>
      </c>
      <c r="AK517" s="146">
        <f t="shared" si="352"/>
        <v>0</v>
      </c>
      <c r="AL517" s="146">
        <f t="shared" si="353"/>
        <v>0</v>
      </c>
      <c r="AM517" s="147" t="str">
        <f t="shared" si="342"/>
        <v>Mulai meningkat</v>
      </c>
      <c r="AN517" s="147" t="str">
        <f t="shared" si="343"/>
        <v>Mulai meningkat</v>
      </c>
      <c r="AO517" s="146" t="e">
        <f t="shared" si="354"/>
        <v>#N/A</v>
      </c>
      <c r="AP517" s="148" t="e">
        <f t="shared" si="355"/>
        <v>#N/A</v>
      </c>
      <c r="AQ517" s="158" t="str">
        <f>IF('PA-Non'!V405&lt;&gt;"",'PA-Non'!V405,IFERROR("Mempunyai keterampilan yang "&amp;IF(AM517=AN517,PROPER(AN517)&amp;" dalam kompetensi "&amp;VLOOKUP(AO517,$AA$532:$AC$539,3)&amp;", demikian juga dalam kompetensi "&amp;VLOOKUP(AP517,$AA$532:$AC$539,3),PROPER(AM517)&amp;" dalam kompetensi "&amp;VLOOKUP(AO517,$AA$532:$AC$539,3)&amp;" dan "&amp;AN517&amp;" pada kompetensi "&amp;VLOOKUP(AP517,$AA$532:$AC$539,3)),""))</f>
        <v/>
      </c>
      <c r="AR517" s="188"/>
    </row>
    <row r="518" spans="2:44" ht="27.9" customHeight="1" thickBot="1" x14ac:dyDescent="0.35">
      <c r="B518" s="226" t="s">
        <v>190</v>
      </c>
      <c r="C518" s="149" t="str">
        <f t="shared" si="344"/>
        <v/>
      </c>
      <c r="D518" s="150" t="str">
        <f>IF(Data!F513="","",Data!F513)</f>
        <v/>
      </c>
      <c r="E518" s="151" t="str">
        <f>IF(Data!H513="","",Data!H513)</f>
        <v/>
      </c>
      <c r="F518" s="152" t="str">
        <f>IF(Data!I513="","",Data!I513)</f>
        <v/>
      </c>
      <c r="G518" s="153"/>
      <c r="H518" s="154"/>
      <c r="I518" s="154"/>
      <c r="J518" s="154"/>
      <c r="K518" s="154"/>
      <c r="L518" s="154"/>
      <c r="M518" s="154"/>
      <c r="N518" s="155"/>
      <c r="O518" s="157" t="str">
        <f t="shared" si="345"/>
        <v/>
      </c>
      <c r="P518" s="154"/>
      <c r="Q518" s="156"/>
      <c r="R518" s="157" t="str">
        <f t="shared" si="346"/>
        <v/>
      </c>
      <c r="S518" s="159" t="str">
        <f>IF(R518="","",IF(R518&gt;Data2!$C$12,Data2!$D$11,IF(R518&gt;Data2!$C$13,Data2!$D$12,IF(R518&gt;Data2!$C$14,Data2!$D$13,Data2!$D$14))))</f>
        <v/>
      </c>
      <c r="T518" s="144">
        <f t="shared" si="347"/>
        <v>0</v>
      </c>
      <c r="U518" s="144">
        <f t="shared" si="348"/>
        <v>0</v>
      </c>
      <c r="V518" s="144" t="str">
        <f t="shared" si="340"/>
        <v>Mulai berkembang</v>
      </c>
      <c r="W518" s="144" t="str">
        <f t="shared" si="341"/>
        <v>Mulai berkembang</v>
      </c>
      <c r="X518" s="144" t="e">
        <f t="shared" si="349"/>
        <v>#N/A</v>
      </c>
      <c r="Y518" s="145" t="e">
        <f t="shared" si="350"/>
        <v>#N/A</v>
      </c>
      <c r="Z518" s="218" t="str">
        <f>IF('PA-Non'!O406&lt;&gt;"",'PA-Non'!O406,IFERROR("Mempunyai kemampuan yang " &amp;IF(V518=W518,PROPER(W518)&amp;" dalam kompetensi "&amp;VLOOKUP(X518,$G$532:$I$539,3)&amp;" dan kompetensi "&amp;VLOOKUP(Y518,$G$532:$I$539,3),PROPER(V518)&amp;" dalam kompetensi "&amp;VLOOKUP(X518,$G$532:$I$539,3)&amp;" dan memiliki kemampuan yang "&amp;W518&amp;" pada kompetensi "&amp;VLOOKUP(Y518,$G$532:$I$539,3)),""))</f>
        <v/>
      </c>
      <c r="AA518" s="153"/>
      <c r="AB518" s="154"/>
      <c r="AC518" s="154"/>
      <c r="AD518" s="154"/>
      <c r="AE518" s="154"/>
      <c r="AF518" s="154"/>
      <c r="AG518" s="154"/>
      <c r="AH518" s="155"/>
      <c r="AI518" s="220" t="str">
        <f t="shared" si="351"/>
        <v/>
      </c>
      <c r="AJ518" s="160" t="str">
        <f>IF(AI518="","",IF(AI518&gt;Data2!$C$12,Data2!$D$11,IF(AI518&gt;Data2!$C$13,Data2!$D$12,IF(AI518&gt;Data2!$C$14,Data2!$D$13,Data2!$D$14))))</f>
        <v/>
      </c>
      <c r="AK518" s="146">
        <f t="shared" si="352"/>
        <v>0</v>
      </c>
      <c r="AL518" s="146">
        <f t="shared" si="353"/>
        <v>0</v>
      </c>
      <c r="AM518" s="147" t="str">
        <f t="shared" si="342"/>
        <v>Mulai meningkat</v>
      </c>
      <c r="AN518" s="147" t="str">
        <f t="shared" si="343"/>
        <v>Mulai meningkat</v>
      </c>
      <c r="AO518" s="146" t="e">
        <f t="shared" si="354"/>
        <v>#N/A</v>
      </c>
      <c r="AP518" s="148" t="e">
        <f t="shared" si="355"/>
        <v>#N/A</v>
      </c>
      <c r="AQ518" s="158" t="str">
        <f>IF('PA-Non'!V406&lt;&gt;"",'PA-Non'!V406,IFERROR("Mempunyai keterampilan yang "&amp;IF(AM518=AN518,PROPER(AN518)&amp;" dalam kompetensi "&amp;VLOOKUP(AO518,$AA$532:$AC$539,3)&amp;", demikian juga dalam kompetensi "&amp;VLOOKUP(AP518,$AA$532:$AC$539,3),PROPER(AM518)&amp;" dalam kompetensi "&amp;VLOOKUP(AO518,$AA$532:$AC$539,3)&amp;" dan "&amp;AN518&amp;" pada kompetensi "&amp;VLOOKUP(AP518,$AA$532:$AC$539,3)),""))</f>
        <v/>
      </c>
      <c r="AR518" s="188"/>
    </row>
    <row r="519" spans="2:44" ht="27.9" customHeight="1" thickBot="1" x14ac:dyDescent="0.35">
      <c r="B519" s="226" t="s">
        <v>190</v>
      </c>
      <c r="C519" s="149" t="str">
        <f t="shared" si="344"/>
        <v/>
      </c>
      <c r="D519" s="150" t="str">
        <f>IF(Data!F514="","",Data!F514)</f>
        <v/>
      </c>
      <c r="E519" s="151" t="str">
        <f>IF(Data!H514="","",Data!H514)</f>
        <v/>
      </c>
      <c r="F519" s="152" t="str">
        <f>IF(Data!I514="","",Data!I514)</f>
        <v/>
      </c>
      <c r="G519" s="153"/>
      <c r="H519" s="154"/>
      <c r="I519" s="154"/>
      <c r="J519" s="154"/>
      <c r="K519" s="154"/>
      <c r="L519" s="154"/>
      <c r="M519" s="154"/>
      <c r="N519" s="155"/>
      <c r="O519" s="157" t="str">
        <f t="shared" si="345"/>
        <v/>
      </c>
      <c r="P519" s="154"/>
      <c r="Q519" s="156"/>
      <c r="R519" s="157" t="str">
        <f t="shared" si="346"/>
        <v/>
      </c>
      <c r="S519" s="159" t="str">
        <f>IF(R519="","",IF(R519&gt;Data2!$C$12,Data2!$D$11,IF(R519&gt;Data2!$C$13,Data2!$D$12,IF(R519&gt;Data2!$C$14,Data2!$D$13,Data2!$D$14))))</f>
        <v/>
      </c>
      <c r="T519" s="144">
        <f t="shared" si="347"/>
        <v>0</v>
      </c>
      <c r="U519" s="144">
        <f t="shared" si="348"/>
        <v>0</v>
      </c>
      <c r="V519" s="144" t="str">
        <f t="shared" si="340"/>
        <v>Mulai berkembang</v>
      </c>
      <c r="W519" s="144" t="str">
        <f t="shared" si="341"/>
        <v>Mulai berkembang</v>
      </c>
      <c r="X519" s="144" t="e">
        <f t="shared" si="349"/>
        <v>#N/A</v>
      </c>
      <c r="Y519" s="145" t="e">
        <f t="shared" si="350"/>
        <v>#N/A</v>
      </c>
      <c r="Z519" s="218" t="str">
        <f>IF('PA-Non'!O407&lt;&gt;"",'PA-Non'!O407,IFERROR("Mempunyai kemampuan yang " &amp;IF(V519=W519,PROPER(W519)&amp;" dalam kompetensi "&amp;VLOOKUP(X519,$G$532:$I$539,3)&amp;" dan kompetensi "&amp;VLOOKUP(Y519,$G$532:$I$539,3),PROPER(V519)&amp;" dalam kompetensi "&amp;VLOOKUP(X519,$G$532:$I$539,3)&amp;" dan memiliki kemampuan yang "&amp;W519&amp;" pada kompetensi "&amp;VLOOKUP(Y519,$G$532:$I$539,3)),""))</f>
        <v/>
      </c>
      <c r="AA519" s="153"/>
      <c r="AB519" s="154"/>
      <c r="AC519" s="154"/>
      <c r="AD519" s="154"/>
      <c r="AE519" s="154"/>
      <c r="AF519" s="154"/>
      <c r="AG519" s="154"/>
      <c r="AH519" s="155"/>
      <c r="AI519" s="220" t="str">
        <f t="shared" si="351"/>
        <v/>
      </c>
      <c r="AJ519" s="160" t="str">
        <f>IF(AI519="","",IF(AI519&gt;Data2!$C$12,Data2!$D$11,IF(AI519&gt;Data2!$C$13,Data2!$D$12,IF(AI519&gt;Data2!$C$14,Data2!$D$13,Data2!$D$14))))</f>
        <v/>
      </c>
      <c r="AK519" s="146">
        <f t="shared" si="352"/>
        <v>0</v>
      </c>
      <c r="AL519" s="146">
        <f t="shared" si="353"/>
        <v>0</v>
      </c>
      <c r="AM519" s="147" t="str">
        <f t="shared" si="342"/>
        <v>Mulai meningkat</v>
      </c>
      <c r="AN519" s="147" t="str">
        <f t="shared" si="343"/>
        <v>Mulai meningkat</v>
      </c>
      <c r="AO519" s="146" t="e">
        <f t="shared" si="354"/>
        <v>#N/A</v>
      </c>
      <c r="AP519" s="148" t="e">
        <f t="shared" si="355"/>
        <v>#N/A</v>
      </c>
      <c r="AQ519" s="158" t="str">
        <f>IF('PA-Non'!V407&lt;&gt;"",'PA-Non'!V407,IFERROR("Mempunyai keterampilan yang "&amp;IF(AM519=AN519,PROPER(AN519)&amp;" dalam kompetensi "&amp;VLOOKUP(AO519,$AA$532:$AC$539,3)&amp;", demikian juga dalam kompetensi "&amp;VLOOKUP(AP519,$AA$532:$AC$539,3),PROPER(AM519)&amp;" dalam kompetensi "&amp;VLOOKUP(AO519,$AA$532:$AC$539,3)&amp;" dan "&amp;AN519&amp;" pada kompetensi "&amp;VLOOKUP(AP519,$AA$532:$AC$539,3)),""))</f>
        <v/>
      </c>
      <c r="AR519" s="188"/>
    </row>
    <row r="520" spans="2:44" ht="27.9" customHeight="1" thickBot="1" x14ac:dyDescent="0.35">
      <c r="B520" s="226" t="s">
        <v>190</v>
      </c>
      <c r="C520" s="149" t="str">
        <f t="shared" si="344"/>
        <v/>
      </c>
      <c r="D520" s="150" t="str">
        <f>IF(Data!F515="","",Data!F515)</f>
        <v/>
      </c>
      <c r="E520" s="151" t="str">
        <f>IF(Data!H515="","",Data!H515)</f>
        <v/>
      </c>
      <c r="F520" s="152" t="str">
        <f>IF(Data!I515="","",Data!I515)</f>
        <v/>
      </c>
      <c r="G520" s="153"/>
      <c r="H520" s="154"/>
      <c r="I520" s="154"/>
      <c r="J520" s="154"/>
      <c r="K520" s="154"/>
      <c r="L520" s="154"/>
      <c r="M520" s="154"/>
      <c r="N520" s="155"/>
      <c r="O520" s="157" t="str">
        <f t="shared" si="345"/>
        <v/>
      </c>
      <c r="P520" s="154"/>
      <c r="Q520" s="156"/>
      <c r="R520" s="157" t="str">
        <f t="shared" si="346"/>
        <v/>
      </c>
      <c r="S520" s="159" t="str">
        <f>IF(R520="","",IF(R520&gt;Data2!$C$12,Data2!$D$11,IF(R520&gt;Data2!$C$13,Data2!$D$12,IF(R520&gt;Data2!$C$14,Data2!$D$13,Data2!$D$14))))</f>
        <v/>
      </c>
      <c r="T520" s="144">
        <f t="shared" si="347"/>
        <v>0</v>
      </c>
      <c r="U520" s="144">
        <f t="shared" si="348"/>
        <v>0</v>
      </c>
      <c r="V520" s="144" t="str">
        <f t="shared" si="340"/>
        <v>Mulai berkembang</v>
      </c>
      <c r="W520" s="144" t="str">
        <f t="shared" si="341"/>
        <v>Mulai berkembang</v>
      </c>
      <c r="X520" s="144" t="e">
        <f t="shared" si="349"/>
        <v>#N/A</v>
      </c>
      <c r="Y520" s="145" t="e">
        <f t="shared" si="350"/>
        <v>#N/A</v>
      </c>
      <c r="Z520" s="218" t="str">
        <f>IF('PA-Non'!O408&lt;&gt;"",'PA-Non'!O408,IFERROR("Mempunyai kemampuan yang " &amp;IF(V520=W520,PROPER(W520)&amp;" dalam kompetensi "&amp;VLOOKUP(X520,$G$532:$I$539,3)&amp;" dan kompetensi "&amp;VLOOKUP(Y520,$G$532:$I$539,3),PROPER(V520)&amp;" dalam kompetensi "&amp;VLOOKUP(X520,$G$532:$I$539,3)&amp;" dan memiliki kemampuan yang "&amp;W520&amp;" pada kompetensi "&amp;VLOOKUP(Y520,$G$532:$I$539,3)),""))</f>
        <v/>
      </c>
      <c r="AA520" s="153"/>
      <c r="AB520" s="154"/>
      <c r="AC520" s="154"/>
      <c r="AD520" s="154"/>
      <c r="AE520" s="154"/>
      <c r="AF520" s="154"/>
      <c r="AG520" s="154"/>
      <c r="AH520" s="155"/>
      <c r="AI520" s="220" t="str">
        <f t="shared" si="351"/>
        <v/>
      </c>
      <c r="AJ520" s="160" t="str">
        <f>IF(AI520="","",IF(AI520&gt;Data2!$C$12,Data2!$D$11,IF(AI520&gt;Data2!$C$13,Data2!$D$12,IF(AI520&gt;Data2!$C$14,Data2!$D$13,Data2!$D$14))))</f>
        <v/>
      </c>
      <c r="AK520" s="146">
        <f t="shared" si="352"/>
        <v>0</v>
      </c>
      <c r="AL520" s="146">
        <f t="shared" si="353"/>
        <v>0</v>
      </c>
      <c r="AM520" s="147" t="str">
        <f t="shared" si="342"/>
        <v>Mulai meningkat</v>
      </c>
      <c r="AN520" s="147" t="str">
        <f t="shared" si="343"/>
        <v>Mulai meningkat</v>
      </c>
      <c r="AO520" s="146" t="e">
        <f t="shared" si="354"/>
        <v>#N/A</v>
      </c>
      <c r="AP520" s="148" t="e">
        <f t="shared" si="355"/>
        <v>#N/A</v>
      </c>
      <c r="AQ520" s="158" t="str">
        <f>IF('PA-Non'!V408&lt;&gt;"",'PA-Non'!V408,IFERROR("Mempunyai keterampilan yang "&amp;IF(AM520=AN520,PROPER(AN520)&amp;" dalam kompetensi "&amp;VLOOKUP(AO520,$AA$532:$AC$539,3)&amp;", demikian juga dalam kompetensi "&amp;VLOOKUP(AP520,$AA$532:$AC$539,3),PROPER(AM520)&amp;" dalam kompetensi "&amp;VLOOKUP(AO520,$AA$532:$AC$539,3)&amp;" dan "&amp;AN520&amp;" pada kompetensi "&amp;VLOOKUP(AP520,$AA$532:$AC$539,3)),""))</f>
        <v/>
      </c>
      <c r="AR520" s="188"/>
    </row>
    <row r="521" spans="2:44" ht="27.9" customHeight="1" thickBot="1" x14ac:dyDescent="0.35">
      <c r="B521" s="226" t="s">
        <v>190</v>
      </c>
      <c r="C521" s="149" t="str">
        <f t="shared" si="344"/>
        <v/>
      </c>
      <c r="D521" s="150" t="str">
        <f>IF(Data!F516="","",Data!F516)</f>
        <v/>
      </c>
      <c r="E521" s="151" t="str">
        <f>IF(Data!H516="","",Data!H516)</f>
        <v/>
      </c>
      <c r="F521" s="152" t="str">
        <f>IF(Data!I516="","",Data!I516)</f>
        <v/>
      </c>
      <c r="G521" s="153"/>
      <c r="H521" s="154"/>
      <c r="I521" s="154"/>
      <c r="J521" s="154"/>
      <c r="K521" s="154"/>
      <c r="L521" s="154"/>
      <c r="M521" s="154"/>
      <c r="N521" s="155"/>
      <c r="O521" s="157" t="str">
        <f t="shared" si="345"/>
        <v/>
      </c>
      <c r="P521" s="154"/>
      <c r="Q521" s="156"/>
      <c r="R521" s="157" t="str">
        <f t="shared" si="346"/>
        <v/>
      </c>
      <c r="S521" s="159" t="str">
        <f>IF(R521="","",IF(R521&gt;Data2!$C$12,Data2!$D$11,IF(R521&gt;Data2!$C$13,Data2!$D$12,IF(R521&gt;Data2!$C$14,Data2!$D$13,Data2!$D$14))))</f>
        <v/>
      </c>
      <c r="T521" s="144">
        <f t="shared" si="347"/>
        <v>0</v>
      </c>
      <c r="U521" s="144">
        <f t="shared" si="348"/>
        <v>0</v>
      </c>
      <c r="V521" s="144" t="str">
        <f t="shared" si="340"/>
        <v>Mulai berkembang</v>
      </c>
      <c r="W521" s="144" t="str">
        <f t="shared" si="341"/>
        <v>Mulai berkembang</v>
      </c>
      <c r="X521" s="144" t="e">
        <f t="shared" si="349"/>
        <v>#N/A</v>
      </c>
      <c r="Y521" s="145" t="e">
        <f t="shared" si="350"/>
        <v>#N/A</v>
      </c>
      <c r="Z521" s="218" t="str">
        <f>IF('PA-Non'!O409&lt;&gt;"",'PA-Non'!O409,IFERROR("Mempunyai kemampuan yang " &amp;IF(V521=W521,PROPER(W521)&amp;" dalam kompetensi "&amp;VLOOKUP(X521,$G$532:$I$539,3)&amp;" dan kompetensi "&amp;VLOOKUP(Y521,$G$532:$I$539,3),PROPER(V521)&amp;" dalam kompetensi "&amp;VLOOKUP(X521,$G$532:$I$539,3)&amp;" dan memiliki kemampuan yang "&amp;W521&amp;" pada kompetensi "&amp;VLOOKUP(Y521,$G$532:$I$539,3)),""))</f>
        <v/>
      </c>
      <c r="AA521" s="153"/>
      <c r="AB521" s="154"/>
      <c r="AC521" s="154"/>
      <c r="AD521" s="154"/>
      <c r="AE521" s="154"/>
      <c r="AF521" s="154"/>
      <c r="AG521" s="154"/>
      <c r="AH521" s="155"/>
      <c r="AI521" s="220" t="str">
        <f t="shared" si="351"/>
        <v/>
      </c>
      <c r="AJ521" s="160" t="str">
        <f>IF(AI521="","",IF(AI521&gt;Data2!$C$12,Data2!$D$11,IF(AI521&gt;Data2!$C$13,Data2!$D$12,IF(AI521&gt;Data2!$C$14,Data2!$D$13,Data2!$D$14))))</f>
        <v/>
      </c>
      <c r="AK521" s="146">
        <f t="shared" si="352"/>
        <v>0</v>
      </c>
      <c r="AL521" s="146">
        <f t="shared" si="353"/>
        <v>0</v>
      </c>
      <c r="AM521" s="147" t="str">
        <f t="shared" si="342"/>
        <v>Mulai meningkat</v>
      </c>
      <c r="AN521" s="147" t="str">
        <f t="shared" si="343"/>
        <v>Mulai meningkat</v>
      </c>
      <c r="AO521" s="146" t="e">
        <f t="shared" si="354"/>
        <v>#N/A</v>
      </c>
      <c r="AP521" s="148" t="e">
        <f t="shared" si="355"/>
        <v>#N/A</v>
      </c>
      <c r="AQ521" s="158" t="str">
        <f>IF('PA-Non'!V409&lt;&gt;"",'PA-Non'!V409,IFERROR("Mempunyai keterampilan yang "&amp;IF(AM521=AN521,PROPER(AN521)&amp;" dalam kompetensi "&amp;VLOOKUP(AO521,$AA$532:$AC$539,3)&amp;", demikian juga dalam kompetensi "&amp;VLOOKUP(AP521,$AA$532:$AC$539,3),PROPER(AM521)&amp;" dalam kompetensi "&amp;VLOOKUP(AO521,$AA$532:$AC$539,3)&amp;" dan "&amp;AN521&amp;" pada kompetensi "&amp;VLOOKUP(AP521,$AA$532:$AC$539,3)),""))</f>
        <v/>
      </c>
      <c r="AR521" s="188"/>
    </row>
    <row r="522" spans="2:44" ht="27.9" customHeight="1" thickBot="1" x14ac:dyDescent="0.35">
      <c r="B522" s="226" t="s">
        <v>190</v>
      </c>
      <c r="C522" s="149" t="str">
        <f t="shared" si="344"/>
        <v/>
      </c>
      <c r="D522" s="150" t="str">
        <f>IF(Data!F517="","",Data!F517)</f>
        <v/>
      </c>
      <c r="E522" s="151" t="str">
        <f>IF(Data!H517="","",Data!H517)</f>
        <v/>
      </c>
      <c r="F522" s="152" t="str">
        <f>IF(Data!I517="","",Data!I517)</f>
        <v/>
      </c>
      <c r="G522" s="153"/>
      <c r="H522" s="154"/>
      <c r="I522" s="154"/>
      <c r="J522" s="154"/>
      <c r="K522" s="154"/>
      <c r="L522" s="154"/>
      <c r="M522" s="154"/>
      <c r="N522" s="155"/>
      <c r="O522" s="157" t="str">
        <f t="shared" si="345"/>
        <v/>
      </c>
      <c r="P522" s="154"/>
      <c r="Q522" s="156"/>
      <c r="R522" s="157" t="str">
        <f t="shared" si="346"/>
        <v/>
      </c>
      <c r="S522" s="159" t="str">
        <f>IF(R522="","",IF(R522&gt;Data2!$C$12,Data2!$D$11,IF(R522&gt;Data2!$C$13,Data2!$D$12,IF(R522&gt;Data2!$C$14,Data2!$D$13,Data2!$D$14))))</f>
        <v/>
      </c>
      <c r="T522" s="144">
        <f t="shared" si="347"/>
        <v>0</v>
      </c>
      <c r="U522" s="144">
        <f t="shared" si="348"/>
        <v>0</v>
      </c>
      <c r="V522" s="144" t="str">
        <f t="shared" si="340"/>
        <v>Mulai berkembang</v>
      </c>
      <c r="W522" s="144" t="str">
        <f t="shared" si="341"/>
        <v>Mulai berkembang</v>
      </c>
      <c r="X522" s="144" t="e">
        <f t="shared" si="349"/>
        <v>#N/A</v>
      </c>
      <c r="Y522" s="145" t="e">
        <f t="shared" si="350"/>
        <v>#N/A</v>
      </c>
      <c r="Z522" s="218" t="str">
        <f>IF('PA-Non'!O410&lt;&gt;"",'PA-Non'!O410,IFERROR("Mempunyai kemampuan yang " &amp;IF(V522=W522,PROPER(W522)&amp;" dalam kompetensi "&amp;VLOOKUP(X522,$G$532:$I$539,3)&amp;" dan kompetensi "&amp;VLOOKUP(Y522,$G$532:$I$539,3),PROPER(V522)&amp;" dalam kompetensi "&amp;VLOOKUP(X522,$G$532:$I$539,3)&amp;" dan memiliki kemampuan yang "&amp;W522&amp;" pada kompetensi "&amp;VLOOKUP(Y522,$G$532:$I$539,3)),""))</f>
        <v/>
      </c>
      <c r="AA522" s="153"/>
      <c r="AB522" s="154"/>
      <c r="AC522" s="154"/>
      <c r="AD522" s="154"/>
      <c r="AE522" s="154"/>
      <c r="AF522" s="154"/>
      <c r="AG522" s="154"/>
      <c r="AH522" s="155"/>
      <c r="AI522" s="220" t="str">
        <f t="shared" si="351"/>
        <v/>
      </c>
      <c r="AJ522" s="160" t="str">
        <f>IF(AI522="","",IF(AI522&gt;Data2!$C$12,Data2!$D$11,IF(AI522&gt;Data2!$C$13,Data2!$D$12,IF(AI522&gt;Data2!$C$14,Data2!$D$13,Data2!$D$14))))</f>
        <v/>
      </c>
      <c r="AK522" s="146">
        <f t="shared" si="352"/>
        <v>0</v>
      </c>
      <c r="AL522" s="146">
        <f t="shared" si="353"/>
        <v>0</v>
      </c>
      <c r="AM522" s="147" t="str">
        <f t="shared" si="342"/>
        <v>Mulai meningkat</v>
      </c>
      <c r="AN522" s="147" t="str">
        <f t="shared" si="343"/>
        <v>Mulai meningkat</v>
      </c>
      <c r="AO522" s="146" t="e">
        <f t="shared" si="354"/>
        <v>#N/A</v>
      </c>
      <c r="AP522" s="148" t="e">
        <f t="shared" si="355"/>
        <v>#N/A</v>
      </c>
      <c r="AQ522" s="158" t="str">
        <f>IF('PA-Non'!V410&lt;&gt;"",'PA-Non'!V410,IFERROR("Mempunyai keterampilan yang "&amp;IF(AM522=AN522,PROPER(AN522)&amp;" dalam kompetensi "&amp;VLOOKUP(AO522,$AA$532:$AC$539,3)&amp;", demikian juga dalam kompetensi "&amp;VLOOKUP(AP522,$AA$532:$AC$539,3),PROPER(AM522)&amp;" dalam kompetensi "&amp;VLOOKUP(AO522,$AA$532:$AC$539,3)&amp;" dan "&amp;AN522&amp;" pada kompetensi "&amp;VLOOKUP(AP522,$AA$532:$AC$539,3)),""))</f>
        <v/>
      </c>
      <c r="AR522" s="188"/>
    </row>
    <row r="523" spans="2:44" ht="27.9" customHeight="1" thickBot="1" x14ac:dyDescent="0.35">
      <c r="B523" s="226" t="s">
        <v>190</v>
      </c>
      <c r="C523" s="149" t="str">
        <f t="shared" si="344"/>
        <v/>
      </c>
      <c r="D523" s="150" t="str">
        <f>IF(Data!F518="","",Data!F518)</f>
        <v/>
      </c>
      <c r="E523" s="151" t="str">
        <f>IF(Data!H518="","",Data!H518)</f>
        <v/>
      </c>
      <c r="F523" s="152" t="str">
        <f>IF(Data!I518="","",Data!I518)</f>
        <v/>
      </c>
      <c r="G523" s="153"/>
      <c r="H523" s="154"/>
      <c r="I523" s="154"/>
      <c r="J523" s="154"/>
      <c r="K523" s="154"/>
      <c r="L523" s="154"/>
      <c r="M523" s="154"/>
      <c r="N523" s="155"/>
      <c r="O523" s="157" t="str">
        <f t="shared" si="345"/>
        <v/>
      </c>
      <c r="P523" s="154"/>
      <c r="Q523" s="156"/>
      <c r="R523" s="157" t="str">
        <f t="shared" si="346"/>
        <v/>
      </c>
      <c r="S523" s="159" t="str">
        <f>IF(R523="","",IF(R523&gt;Data2!$C$12,Data2!$D$11,IF(R523&gt;Data2!$C$13,Data2!$D$12,IF(R523&gt;Data2!$C$14,Data2!$D$13,Data2!$D$14))))</f>
        <v/>
      </c>
      <c r="T523" s="144">
        <f t="shared" si="347"/>
        <v>0</v>
      </c>
      <c r="U523" s="144">
        <f t="shared" si="348"/>
        <v>0</v>
      </c>
      <c r="V523" s="144" t="str">
        <f t="shared" si="340"/>
        <v>Mulai berkembang</v>
      </c>
      <c r="W523" s="144" t="str">
        <f t="shared" si="341"/>
        <v>Mulai berkembang</v>
      </c>
      <c r="X523" s="144" t="e">
        <f t="shared" si="349"/>
        <v>#N/A</v>
      </c>
      <c r="Y523" s="145" t="e">
        <f t="shared" si="350"/>
        <v>#N/A</v>
      </c>
      <c r="Z523" s="218" t="str">
        <f>IF('PA-Non'!O411&lt;&gt;"",'PA-Non'!O411,IFERROR("Mempunyai kemampuan yang " &amp;IF(V523=W523,PROPER(W523)&amp;" dalam kompetensi "&amp;VLOOKUP(X523,$G$532:$I$539,3)&amp;" dan kompetensi "&amp;VLOOKUP(Y523,$G$532:$I$539,3),PROPER(V523)&amp;" dalam kompetensi "&amp;VLOOKUP(X523,$G$532:$I$539,3)&amp;" dan memiliki kemampuan yang "&amp;W523&amp;" pada kompetensi "&amp;VLOOKUP(Y523,$G$532:$I$539,3)),""))</f>
        <v/>
      </c>
      <c r="AA523" s="153"/>
      <c r="AB523" s="154"/>
      <c r="AC523" s="154"/>
      <c r="AD523" s="154"/>
      <c r="AE523" s="154"/>
      <c r="AF523" s="154"/>
      <c r="AG523" s="154"/>
      <c r="AH523" s="155"/>
      <c r="AI523" s="220" t="str">
        <f t="shared" si="351"/>
        <v/>
      </c>
      <c r="AJ523" s="160" t="str">
        <f>IF(AI523="","",IF(AI523&gt;Data2!$C$12,Data2!$D$11,IF(AI523&gt;Data2!$C$13,Data2!$D$12,IF(AI523&gt;Data2!$C$14,Data2!$D$13,Data2!$D$14))))</f>
        <v/>
      </c>
      <c r="AK523" s="146">
        <f t="shared" si="352"/>
        <v>0</v>
      </c>
      <c r="AL523" s="146">
        <f t="shared" si="353"/>
        <v>0</v>
      </c>
      <c r="AM523" s="147" t="str">
        <f t="shared" si="342"/>
        <v>Mulai meningkat</v>
      </c>
      <c r="AN523" s="147" t="str">
        <f t="shared" si="343"/>
        <v>Mulai meningkat</v>
      </c>
      <c r="AO523" s="146" t="e">
        <f t="shared" si="354"/>
        <v>#N/A</v>
      </c>
      <c r="AP523" s="148" t="e">
        <f t="shared" si="355"/>
        <v>#N/A</v>
      </c>
      <c r="AQ523" s="158" t="str">
        <f>IF('PA-Non'!V411&lt;&gt;"",'PA-Non'!V411,IFERROR("Mempunyai keterampilan yang "&amp;IF(AM523=AN523,PROPER(AN523)&amp;" dalam kompetensi "&amp;VLOOKUP(AO523,$AA$532:$AC$539,3)&amp;", demikian juga dalam kompetensi "&amp;VLOOKUP(AP523,$AA$532:$AC$539,3),PROPER(AM523)&amp;" dalam kompetensi "&amp;VLOOKUP(AO523,$AA$532:$AC$539,3)&amp;" dan "&amp;AN523&amp;" pada kompetensi "&amp;VLOOKUP(AP523,$AA$532:$AC$539,3)),""))</f>
        <v/>
      </c>
      <c r="AR523" s="188"/>
    </row>
    <row r="524" spans="2:44" ht="27.9" customHeight="1" thickBot="1" x14ac:dyDescent="0.35">
      <c r="B524" s="226" t="s">
        <v>190</v>
      </c>
      <c r="C524" s="149" t="str">
        <f t="shared" si="344"/>
        <v/>
      </c>
      <c r="D524" s="150" t="str">
        <f>IF(Data!F519="","",Data!F519)</f>
        <v/>
      </c>
      <c r="E524" s="151" t="str">
        <f>IF(Data!H519="","",Data!H519)</f>
        <v/>
      </c>
      <c r="F524" s="152" t="str">
        <f>IF(Data!I519="","",Data!I519)</f>
        <v/>
      </c>
      <c r="G524" s="153"/>
      <c r="H524" s="154"/>
      <c r="I524" s="154"/>
      <c r="J524" s="154"/>
      <c r="K524" s="154"/>
      <c r="L524" s="154"/>
      <c r="M524" s="154"/>
      <c r="N524" s="155"/>
      <c r="O524" s="157" t="str">
        <f t="shared" si="345"/>
        <v/>
      </c>
      <c r="P524" s="154"/>
      <c r="Q524" s="156"/>
      <c r="R524" s="157" t="str">
        <f t="shared" si="346"/>
        <v/>
      </c>
      <c r="S524" s="159" t="str">
        <f>IF(R524="","",IF(R524&gt;Data2!$C$12,Data2!$D$11,IF(R524&gt;Data2!$C$13,Data2!$D$12,IF(R524&gt;Data2!$C$14,Data2!$D$13,Data2!$D$14))))</f>
        <v/>
      </c>
      <c r="T524" s="144">
        <f t="shared" si="347"/>
        <v>0</v>
      </c>
      <c r="U524" s="144">
        <f t="shared" si="348"/>
        <v>0</v>
      </c>
      <c r="V524" s="144" t="str">
        <f t="shared" si="340"/>
        <v>Mulai berkembang</v>
      </c>
      <c r="W524" s="144" t="str">
        <f t="shared" si="341"/>
        <v>Mulai berkembang</v>
      </c>
      <c r="X524" s="144" t="e">
        <f t="shared" si="349"/>
        <v>#N/A</v>
      </c>
      <c r="Y524" s="145" t="e">
        <f t="shared" si="350"/>
        <v>#N/A</v>
      </c>
      <c r="Z524" s="218" t="str">
        <f>IF('PA-Non'!O412&lt;&gt;"",'PA-Non'!O412,IFERROR("Mempunyai kemampuan yang " &amp;IF(V524=W524,PROPER(W524)&amp;" dalam kompetensi "&amp;VLOOKUP(X524,$G$532:$I$539,3)&amp;" dan kompetensi "&amp;VLOOKUP(Y524,$G$532:$I$539,3),PROPER(V524)&amp;" dalam kompetensi "&amp;VLOOKUP(X524,$G$532:$I$539,3)&amp;" dan memiliki kemampuan yang "&amp;W524&amp;" pada kompetensi "&amp;VLOOKUP(Y524,$G$532:$I$539,3)),""))</f>
        <v/>
      </c>
      <c r="AA524" s="153"/>
      <c r="AB524" s="154"/>
      <c r="AC524" s="154"/>
      <c r="AD524" s="154"/>
      <c r="AE524" s="154"/>
      <c r="AF524" s="154"/>
      <c r="AG524" s="154"/>
      <c r="AH524" s="155"/>
      <c r="AI524" s="220" t="str">
        <f t="shared" si="351"/>
        <v/>
      </c>
      <c r="AJ524" s="160" t="str">
        <f>IF(AI524="","",IF(AI524&gt;Data2!$C$12,Data2!$D$11,IF(AI524&gt;Data2!$C$13,Data2!$D$12,IF(AI524&gt;Data2!$C$14,Data2!$D$13,Data2!$D$14))))</f>
        <v/>
      </c>
      <c r="AK524" s="146">
        <f t="shared" si="352"/>
        <v>0</v>
      </c>
      <c r="AL524" s="146">
        <f t="shared" si="353"/>
        <v>0</v>
      </c>
      <c r="AM524" s="147" t="str">
        <f t="shared" si="342"/>
        <v>Mulai meningkat</v>
      </c>
      <c r="AN524" s="147" t="str">
        <f t="shared" si="343"/>
        <v>Mulai meningkat</v>
      </c>
      <c r="AO524" s="146" t="e">
        <f t="shared" si="354"/>
        <v>#N/A</v>
      </c>
      <c r="AP524" s="148" t="e">
        <f t="shared" si="355"/>
        <v>#N/A</v>
      </c>
      <c r="AQ524" s="158" t="str">
        <f>IF('PA-Non'!V412&lt;&gt;"",'PA-Non'!V412,IFERROR("Mempunyai keterampilan yang "&amp;IF(AM524=AN524,PROPER(AN524)&amp;" dalam kompetensi "&amp;VLOOKUP(AO524,$AA$532:$AC$539,3)&amp;", demikian juga dalam kompetensi "&amp;VLOOKUP(AP524,$AA$532:$AC$539,3),PROPER(AM524)&amp;" dalam kompetensi "&amp;VLOOKUP(AO524,$AA$532:$AC$539,3)&amp;" dan "&amp;AN524&amp;" pada kompetensi "&amp;VLOOKUP(AP524,$AA$532:$AC$539,3)),""))</f>
        <v/>
      </c>
      <c r="AR524" s="188"/>
    </row>
    <row r="525" spans="2:44" ht="27.9" customHeight="1" thickBot="1" x14ac:dyDescent="0.35">
      <c r="B525" s="226" t="s">
        <v>190</v>
      </c>
      <c r="C525" s="149" t="str">
        <f t="shared" si="344"/>
        <v/>
      </c>
      <c r="D525" s="150" t="str">
        <f>IF(Data!F520="","",Data!F520)</f>
        <v/>
      </c>
      <c r="E525" s="151" t="str">
        <f>IF(Data!H520="","",Data!H520)</f>
        <v/>
      </c>
      <c r="F525" s="152" t="str">
        <f>IF(Data!I520="","",Data!I520)</f>
        <v/>
      </c>
      <c r="G525" s="153"/>
      <c r="H525" s="154"/>
      <c r="I525" s="154"/>
      <c r="J525" s="154"/>
      <c r="K525" s="154"/>
      <c r="L525" s="154"/>
      <c r="M525" s="154"/>
      <c r="N525" s="155"/>
      <c r="O525" s="157" t="str">
        <f t="shared" si="345"/>
        <v/>
      </c>
      <c r="P525" s="154"/>
      <c r="Q525" s="156"/>
      <c r="R525" s="157" t="str">
        <f t="shared" si="346"/>
        <v/>
      </c>
      <c r="S525" s="159" t="str">
        <f>IF(R525="","",IF(R525&gt;Data2!$C$12,Data2!$D$11,IF(R525&gt;Data2!$C$13,Data2!$D$12,IF(R525&gt;Data2!$C$14,Data2!$D$13,Data2!$D$14))))</f>
        <v/>
      </c>
      <c r="T525" s="144">
        <f t="shared" si="347"/>
        <v>0</v>
      </c>
      <c r="U525" s="144">
        <f t="shared" si="348"/>
        <v>0</v>
      </c>
      <c r="V525" s="144" t="str">
        <f t="shared" si="340"/>
        <v>Mulai berkembang</v>
      </c>
      <c r="W525" s="144" t="str">
        <f t="shared" si="341"/>
        <v>Mulai berkembang</v>
      </c>
      <c r="X525" s="144" t="e">
        <f t="shared" si="349"/>
        <v>#N/A</v>
      </c>
      <c r="Y525" s="145" t="e">
        <f t="shared" si="350"/>
        <v>#N/A</v>
      </c>
      <c r="Z525" s="218" t="str">
        <f>IF('PA-Non'!O413&lt;&gt;"",'PA-Non'!O413,IFERROR("Mempunyai kemampuan yang " &amp;IF(V525=W525,PROPER(W525)&amp;" dalam kompetensi "&amp;VLOOKUP(X525,$G$532:$I$539,3)&amp;" dan kompetensi "&amp;VLOOKUP(Y525,$G$532:$I$539,3),PROPER(V525)&amp;" dalam kompetensi "&amp;VLOOKUP(X525,$G$532:$I$539,3)&amp;" dan memiliki kemampuan yang "&amp;W525&amp;" pada kompetensi "&amp;VLOOKUP(Y525,$G$532:$I$539,3)),""))</f>
        <v/>
      </c>
      <c r="AA525" s="153"/>
      <c r="AB525" s="154"/>
      <c r="AC525" s="154"/>
      <c r="AD525" s="154"/>
      <c r="AE525" s="154"/>
      <c r="AF525" s="154"/>
      <c r="AG525" s="154"/>
      <c r="AH525" s="155"/>
      <c r="AI525" s="220" t="str">
        <f t="shared" si="351"/>
        <v/>
      </c>
      <c r="AJ525" s="160" t="str">
        <f>IF(AI525="","",IF(AI525&gt;Data2!$C$12,Data2!$D$11,IF(AI525&gt;Data2!$C$13,Data2!$D$12,IF(AI525&gt;Data2!$C$14,Data2!$D$13,Data2!$D$14))))</f>
        <v/>
      </c>
      <c r="AK525" s="146">
        <f t="shared" si="352"/>
        <v>0</v>
      </c>
      <c r="AL525" s="146">
        <f t="shared" si="353"/>
        <v>0</v>
      </c>
      <c r="AM525" s="147" t="str">
        <f t="shared" si="342"/>
        <v>Mulai meningkat</v>
      </c>
      <c r="AN525" s="147" t="str">
        <f t="shared" si="343"/>
        <v>Mulai meningkat</v>
      </c>
      <c r="AO525" s="146" t="e">
        <f t="shared" si="354"/>
        <v>#N/A</v>
      </c>
      <c r="AP525" s="148" t="e">
        <f t="shared" si="355"/>
        <v>#N/A</v>
      </c>
      <c r="AQ525" s="158" t="str">
        <f>IF('PA-Non'!V413&lt;&gt;"",'PA-Non'!V413,IFERROR("Mempunyai keterampilan yang "&amp;IF(AM525=AN525,PROPER(AN525)&amp;" dalam kompetensi "&amp;VLOOKUP(AO525,$AA$532:$AC$539,3)&amp;", demikian juga dalam kompetensi "&amp;VLOOKUP(AP525,$AA$532:$AC$539,3),PROPER(AM525)&amp;" dalam kompetensi "&amp;VLOOKUP(AO525,$AA$532:$AC$539,3)&amp;" dan "&amp;AN525&amp;" pada kompetensi "&amp;VLOOKUP(AP525,$AA$532:$AC$539,3)),""))</f>
        <v/>
      </c>
      <c r="AR525" s="188"/>
    </row>
    <row r="526" spans="2:44" ht="27.9" customHeight="1" thickBot="1" x14ac:dyDescent="0.35">
      <c r="B526" s="226" t="s">
        <v>190</v>
      </c>
      <c r="C526" s="149" t="str">
        <f t="shared" si="344"/>
        <v/>
      </c>
      <c r="D526" s="150" t="str">
        <f>IF(Data!F521="","",Data!F521)</f>
        <v/>
      </c>
      <c r="E526" s="151" t="str">
        <f>IF(Data!H521="","",Data!H521)</f>
        <v/>
      </c>
      <c r="F526" s="152" t="str">
        <f>IF(Data!I521="","",Data!I521)</f>
        <v/>
      </c>
      <c r="G526" s="153"/>
      <c r="H526" s="154"/>
      <c r="I526" s="154"/>
      <c r="J526" s="154"/>
      <c r="K526" s="154"/>
      <c r="L526" s="154"/>
      <c r="M526" s="154"/>
      <c r="N526" s="155"/>
      <c r="O526" s="157" t="str">
        <f t="shared" si="345"/>
        <v/>
      </c>
      <c r="P526" s="154"/>
      <c r="Q526" s="156"/>
      <c r="R526" s="157" t="str">
        <f t="shared" si="346"/>
        <v/>
      </c>
      <c r="S526" s="159" t="str">
        <f>IF(R526="","",IF(R526&gt;Data2!$C$12,Data2!$D$11,IF(R526&gt;Data2!$C$13,Data2!$D$12,IF(R526&gt;Data2!$C$14,Data2!$D$13,Data2!$D$14))))</f>
        <v/>
      </c>
      <c r="T526" s="144">
        <f t="shared" si="347"/>
        <v>0</v>
      </c>
      <c r="U526" s="144">
        <f t="shared" si="348"/>
        <v>0</v>
      </c>
      <c r="V526" s="144" t="str">
        <f t="shared" si="340"/>
        <v>Mulai berkembang</v>
      </c>
      <c r="W526" s="144" t="str">
        <f t="shared" si="341"/>
        <v>Mulai berkembang</v>
      </c>
      <c r="X526" s="144" t="e">
        <f t="shared" si="349"/>
        <v>#N/A</v>
      </c>
      <c r="Y526" s="145" t="e">
        <f t="shared" si="350"/>
        <v>#N/A</v>
      </c>
      <c r="Z526" s="218" t="str">
        <f>IF('PA-Non'!O414&lt;&gt;"",'PA-Non'!O414,IFERROR("Mempunyai kemampuan yang " &amp;IF(V526=W526,PROPER(W526)&amp;" dalam kompetensi "&amp;VLOOKUP(X526,$G$532:$I$539,3)&amp;" dan kompetensi "&amp;VLOOKUP(Y526,$G$532:$I$539,3),PROPER(V526)&amp;" dalam kompetensi "&amp;VLOOKUP(X526,$G$532:$I$539,3)&amp;" dan memiliki kemampuan yang "&amp;W526&amp;" pada kompetensi "&amp;VLOOKUP(Y526,$G$532:$I$539,3)),""))</f>
        <v/>
      </c>
      <c r="AA526" s="153"/>
      <c r="AB526" s="154"/>
      <c r="AC526" s="154"/>
      <c r="AD526" s="154"/>
      <c r="AE526" s="154"/>
      <c r="AF526" s="154"/>
      <c r="AG526" s="154"/>
      <c r="AH526" s="155"/>
      <c r="AI526" s="220" t="str">
        <f t="shared" si="351"/>
        <v/>
      </c>
      <c r="AJ526" s="160" t="str">
        <f>IF(AI526="","",IF(AI526&gt;Data2!$C$12,Data2!$D$11,IF(AI526&gt;Data2!$C$13,Data2!$D$12,IF(AI526&gt;Data2!$C$14,Data2!$D$13,Data2!$D$14))))</f>
        <v/>
      </c>
      <c r="AK526" s="146">
        <f t="shared" si="352"/>
        <v>0</v>
      </c>
      <c r="AL526" s="146">
        <f t="shared" si="353"/>
        <v>0</v>
      </c>
      <c r="AM526" s="147" t="str">
        <f t="shared" si="342"/>
        <v>Mulai meningkat</v>
      </c>
      <c r="AN526" s="147" t="str">
        <f t="shared" si="343"/>
        <v>Mulai meningkat</v>
      </c>
      <c r="AO526" s="146" t="e">
        <f t="shared" si="354"/>
        <v>#N/A</v>
      </c>
      <c r="AP526" s="148" t="e">
        <f t="shared" si="355"/>
        <v>#N/A</v>
      </c>
      <c r="AQ526" s="158" t="str">
        <f>IF('PA-Non'!V414&lt;&gt;"",'PA-Non'!V414,IFERROR("Mempunyai keterampilan yang "&amp;IF(AM526=AN526,PROPER(AN526)&amp;" dalam kompetensi "&amp;VLOOKUP(AO526,$AA$532:$AC$539,3)&amp;", demikian juga dalam kompetensi "&amp;VLOOKUP(AP526,$AA$532:$AC$539,3),PROPER(AM526)&amp;" dalam kompetensi "&amp;VLOOKUP(AO526,$AA$532:$AC$539,3)&amp;" dan "&amp;AN526&amp;" pada kompetensi "&amp;VLOOKUP(AP526,$AA$532:$AC$539,3)),""))</f>
        <v/>
      </c>
      <c r="AR526" s="188"/>
    </row>
    <row r="527" spans="2:44" ht="27.9" customHeight="1" thickBot="1" x14ac:dyDescent="0.35">
      <c r="B527" s="226" t="s">
        <v>190</v>
      </c>
      <c r="C527" s="149" t="str">
        <f t="shared" si="344"/>
        <v/>
      </c>
      <c r="D527" s="150" t="str">
        <f>IF(Data!F522="","",Data!F522)</f>
        <v/>
      </c>
      <c r="E527" s="151" t="str">
        <f>IF(Data!H522="","",Data!H522)</f>
        <v/>
      </c>
      <c r="F527" s="152" t="str">
        <f>IF(Data!I522="","",Data!I522)</f>
        <v/>
      </c>
      <c r="G527" s="153"/>
      <c r="H527" s="154"/>
      <c r="I527" s="154"/>
      <c r="J527" s="154"/>
      <c r="K527" s="154"/>
      <c r="L527" s="154"/>
      <c r="M527" s="154"/>
      <c r="N527" s="155"/>
      <c r="O527" s="157" t="str">
        <f t="shared" si="345"/>
        <v/>
      </c>
      <c r="P527" s="154"/>
      <c r="Q527" s="156"/>
      <c r="R527" s="157" t="str">
        <f t="shared" si="346"/>
        <v/>
      </c>
      <c r="S527" s="159" t="str">
        <f>IF(R527="","",IF(R527&gt;Data2!$C$12,Data2!$D$11,IF(R527&gt;Data2!$C$13,Data2!$D$12,IF(R527&gt;Data2!$C$14,Data2!$D$13,Data2!$D$14))))</f>
        <v/>
      </c>
      <c r="T527" s="144">
        <f t="shared" si="347"/>
        <v>0</v>
      </c>
      <c r="U527" s="144">
        <f t="shared" si="348"/>
        <v>0</v>
      </c>
      <c r="V527" s="144" t="str">
        <f t="shared" si="340"/>
        <v>Mulai berkembang</v>
      </c>
      <c r="W527" s="144" t="str">
        <f t="shared" si="341"/>
        <v>Mulai berkembang</v>
      </c>
      <c r="X527" s="144" t="e">
        <f t="shared" si="349"/>
        <v>#N/A</v>
      </c>
      <c r="Y527" s="145" t="e">
        <f t="shared" si="350"/>
        <v>#N/A</v>
      </c>
      <c r="Z527" s="218" t="str">
        <f>IF('PA-Non'!O415&lt;&gt;"",'PA-Non'!O415,IFERROR("Mempunyai kemampuan yang " &amp;IF(V527=W527,PROPER(W527)&amp;" dalam kompetensi "&amp;VLOOKUP(X527,$G$532:$I$539,3)&amp;" dan kompetensi "&amp;VLOOKUP(Y527,$G$532:$I$539,3),PROPER(V527)&amp;" dalam kompetensi "&amp;VLOOKUP(X527,$G$532:$I$539,3)&amp;" dan memiliki kemampuan yang "&amp;W527&amp;" pada kompetensi "&amp;VLOOKUP(Y527,$G$532:$I$539,3)),""))</f>
        <v/>
      </c>
      <c r="AA527" s="153"/>
      <c r="AB527" s="154"/>
      <c r="AC527" s="154"/>
      <c r="AD527" s="154"/>
      <c r="AE527" s="154"/>
      <c r="AF527" s="154"/>
      <c r="AG527" s="154"/>
      <c r="AH527" s="155"/>
      <c r="AI527" s="220" t="str">
        <f t="shared" si="351"/>
        <v/>
      </c>
      <c r="AJ527" s="160" t="str">
        <f>IF(AI527="","",IF(AI527&gt;Data2!$C$12,Data2!$D$11,IF(AI527&gt;Data2!$C$13,Data2!$D$12,IF(AI527&gt;Data2!$C$14,Data2!$D$13,Data2!$D$14))))</f>
        <v/>
      </c>
      <c r="AK527" s="146">
        <f t="shared" si="352"/>
        <v>0</v>
      </c>
      <c r="AL527" s="146">
        <f t="shared" si="353"/>
        <v>0</v>
      </c>
      <c r="AM527" s="147" t="str">
        <f t="shared" si="342"/>
        <v>Mulai meningkat</v>
      </c>
      <c r="AN527" s="147" t="str">
        <f t="shared" si="343"/>
        <v>Mulai meningkat</v>
      </c>
      <c r="AO527" s="146" t="e">
        <f t="shared" si="354"/>
        <v>#N/A</v>
      </c>
      <c r="AP527" s="148" t="e">
        <f t="shared" si="355"/>
        <v>#N/A</v>
      </c>
      <c r="AQ527" s="158" t="str">
        <f>IF('PA-Non'!V415&lt;&gt;"",'PA-Non'!V415,IFERROR("Mempunyai keterampilan yang "&amp;IF(AM527=AN527,PROPER(AN527)&amp;" dalam kompetensi "&amp;VLOOKUP(AO527,$AA$532:$AC$539,3)&amp;", demikian juga dalam kompetensi "&amp;VLOOKUP(AP527,$AA$532:$AC$539,3),PROPER(AM527)&amp;" dalam kompetensi "&amp;VLOOKUP(AO527,$AA$532:$AC$539,3)&amp;" dan "&amp;AN527&amp;" pada kompetensi "&amp;VLOOKUP(AP527,$AA$532:$AC$539,3)),""))</f>
        <v/>
      </c>
      <c r="AR527" s="188"/>
    </row>
    <row r="528" spans="2:44" ht="27.9" customHeight="1" x14ac:dyDescent="0.3">
      <c r="B528" s="386" t="s">
        <v>190</v>
      </c>
      <c r="C528" s="387" t="str">
        <f t="shared" si="344"/>
        <v/>
      </c>
      <c r="D528" s="51" t="str">
        <f>IF(Data!F523="","",Data!F523)</f>
        <v/>
      </c>
      <c r="E528" s="91" t="str">
        <f>IF(Data!H523="","",Data!H523)</f>
        <v/>
      </c>
      <c r="F528" s="52" t="str">
        <f>IF(Data!I523="","",Data!I523)</f>
        <v/>
      </c>
      <c r="G528" s="388"/>
      <c r="H528" s="389"/>
      <c r="I528" s="389"/>
      <c r="J528" s="389"/>
      <c r="K528" s="389"/>
      <c r="L528" s="389"/>
      <c r="M528" s="389"/>
      <c r="N528" s="390"/>
      <c r="O528" s="391" t="str">
        <f t="shared" si="345"/>
        <v/>
      </c>
      <c r="P528" s="389"/>
      <c r="Q528" s="392"/>
      <c r="R528" s="391" t="str">
        <f t="shared" si="346"/>
        <v/>
      </c>
      <c r="S528" s="393" t="str">
        <f>IF(R528="","",IF(R528&gt;Data2!$C$12,Data2!$D$11,IF(R528&gt;Data2!$C$13,Data2!$D$12,IF(R528&gt;Data2!$C$14,Data2!$D$13,Data2!$D$14))))</f>
        <v/>
      </c>
      <c r="T528" s="394">
        <f t="shared" si="347"/>
        <v>0</v>
      </c>
      <c r="U528" s="394">
        <f t="shared" si="348"/>
        <v>0</v>
      </c>
      <c r="V528" s="394" t="str">
        <f t="shared" si="340"/>
        <v>Mulai berkembang</v>
      </c>
      <c r="W528" s="394" t="str">
        <f t="shared" si="341"/>
        <v>Mulai berkembang</v>
      </c>
      <c r="X528" s="394" t="e">
        <f t="shared" si="349"/>
        <v>#N/A</v>
      </c>
      <c r="Y528" s="395" t="e">
        <f t="shared" si="350"/>
        <v>#N/A</v>
      </c>
      <c r="Z528" s="396" t="str">
        <f>IF('PA-Non'!O416&lt;&gt;"",'PA-Non'!O416,IFERROR("Mempunyai kemampuan yang " &amp;IF(V528=W528,PROPER(W528)&amp;" dalam kompetensi "&amp;VLOOKUP(X528,$G$532:$I$539,3)&amp;" dan kompetensi "&amp;VLOOKUP(Y528,$G$532:$I$539,3),PROPER(V528)&amp;" dalam kompetensi "&amp;VLOOKUP(X528,$G$532:$I$539,3)&amp;" dan memiliki kemampuan yang "&amp;W528&amp;" pada kompetensi "&amp;VLOOKUP(Y528,$G$532:$I$539,3)),""))</f>
        <v/>
      </c>
      <c r="AA528" s="388"/>
      <c r="AB528" s="389"/>
      <c r="AC528" s="389"/>
      <c r="AD528" s="389"/>
      <c r="AE528" s="389"/>
      <c r="AF528" s="389"/>
      <c r="AG528" s="389"/>
      <c r="AH528" s="390"/>
      <c r="AI528" s="397" t="str">
        <f t="shared" si="351"/>
        <v/>
      </c>
      <c r="AJ528" s="398" t="str">
        <f>IF(AI528="","",IF(AI528&gt;Data2!$C$12,Data2!$D$11,IF(AI528&gt;Data2!$C$13,Data2!$D$12,IF(AI528&gt;Data2!$C$14,Data2!$D$13,Data2!$D$14))))</f>
        <v/>
      </c>
      <c r="AK528" s="399">
        <f t="shared" si="352"/>
        <v>0</v>
      </c>
      <c r="AL528" s="399">
        <f t="shared" si="353"/>
        <v>0</v>
      </c>
      <c r="AM528" s="400" t="str">
        <f t="shared" si="342"/>
        <v>Mulai meningkat</v>
      </c>
      <c r="AN528" s="400" t="str">
        <f t="shared" si="343"/>
        <v>Mulai meningkat</v>
      </c>
      <c r="AO528" s="399" t="e">
        <f t="shared" si="354"/>
        <v>#N/A</v>
      </c>
      <c r="AP528" s="401" t="e">
        <f t="shared" si="355"/>
        <v>#N/A</v>
      </c>
      <c r="AQ528" s="402" t="str">
        <f>IF('PA-Non'!V416&lt;&gt;"",'PA-Non'!V416,IFERROR("Mempunyai keterampilan yang "&amp;IF(AM528=AN528,PROPER(AN528)&amp;" dalam kompetensi "&amp;VLOOKUP(AO528,$AA$532:$AC$539,3)&amp;", demikian juga dalam kompetensi "&amp;VLOOKUP(AP528,$AA$532:$AC$539,3),PROPER(AM528)&amp;" dalam kompetensi "&amp;VLOOKUP(AO528,$AA$532:$AC$539,3)&amp;" dan "&amp;AN528&amp;" pada kompetensi "&amp;VLOOKUP(AP528,$AA$532:$AC$539,3)),""))</f>
        <v/>
      </c>
      <c r="AR528" s="188"/>
    </row>
    <row r="529" spans="2:44" ht="27.9" customHeight="1" thickBot="1" x14ac:dyDescent="0.35">
      <c r="B529" s="365" t="s">
        <v>190</v>
      </c>
      <c r="C529" s="366" t="str">
        <f t="shared" si="344"/>
        <v/>
      </c>
      <c r="D529" s="367" t="str">
        <f>IF(Data!F524="","",Data!F524)</f>
        <v/>
      </c>
      <c r="E529" s="368" t="str">
        <f>IF(Data!H524="","",Data!H524)</f>
        <v/>
      </c>
      <c r="F529" s="369" t="str">
        <f>IF(Data!I524="","",Data!I524)</f>
        <v/>
      </c>
      <c r="G529" s="370"/>
      <c r="H529" s="371"/>
      <c r="I529" s="371"/>
      <c r="J529" s="371"/>
      <c r="K529" s="371"/>
      <c r="L529" s="371"/>
      <c r="M529" s="371"/>
      <c r="N529" s="372"/>
      <c r="O529" s="373" t="str">
        <f t="shared" si="345"/>
        <v/>
      </c>
      <c r="P529" s="371"/>
      <c r="Q529" s="374"/>
      <c r="R529" s="373" t="str">
        <f t="shared" si="346"/>
        <v/>
      </c>
      <c r="S529" s="375" t="str">
        <f>IF(R529="","",IF(R529&gt;Data2!$C$12,Data2!$D$11,IF(R529&gt;Data2!$C$13,Data2!$D$12,IF(R529&gt;Data2!$C$14,Data2!$D$13,Data2!$D$14))))</f>
        <v/>
      </c>
      <c r="T529" s="404">
        <f t="shared" si="347"/>
        <v>0</v>
      </c>
      <c r="U529" s="404">
        <f t="shared" si="348"/>
        <v>0</v>
      </c>
      <c r="V529" s="404" t="str">
        <f t="shared" si="340"/>
        <v>Mulai berkembang</v>
      </c>
      <c r="W529" s="404" t="str">
        <f t="shared" si="341"/>
        <v>Mulai berkembang</v>
      </c>
      <c r="X529" s="404" t="e">
        <f t="shared" si="349"/>
        <v>#N/A</v>
      </c>
      <c r="Y529" s="405" t="e">
        <f t="shared" si="350"/>
        <v>#N/A</v>
      </c>
      <c r="Z529" s="376" t="str">
        <f>IF('PA-Non'!O417&lt;&gt;"",'PA-Non'!O417,IFERROR("Mempunyai kemampuan yang " &amp;IF(V529=W529,PROPER(W529)&amp;" dalam kompetensi "&amp;VLOOKUP(X529,$G$532:$I$539,3)&amp;" dan kompetensi "&amp;VLOOKUP(Y529,$G$532:$I$539,3),PROPER(V529)&amp;" dalam kompetensi "&amp;VLOOKUP(X529,$G$532:$I$539,3)&amp;" dan memiliki kemampuan yang "&amp;W529&amp;" pada kompetensi "&amp;VLOOKUP(Y529,$G$532:$I$539,3)),""))</f>
        <v/>
      </c>
      <c r="AA529" s="370"/>
      <c r="AB529" s="371"/>
      <c r="AC529" s="371"/>
      <c r="AD529" s="371"/>
      <c r="AE529" s="371"/>
      <c r="AF529" s="371"/>
      <c r="AG529" s="371"/>
      <c r="AH529" s="372"/>
      <c r="AI529" s="377" t="str">
        <f t="shared" si="351"/>
        <v/>
      </c>
      <c r="AJ529" s="378" t="str">
        <f>IF(AI529="","",IF(AI529&gt;Data2!$C$12,Data2!$D$11,IF(AI529&gt;Data2!$C$13,Data2!$D$12,IF(AI529&gt;Data2!$C$14,Data2!$D$13,Data2!$D$14))))</f>
        <v/>
      </c>
      <c r="AK529" s="406">
        <f t="shared" si="352"/>
        <v>0</v>
      </c>
      <c r="AL529" s="406">
        <f t="shared" si="353"/>
        <v>0</v>
      </c>
      <c r="AM529" s="407" t="str">
        <f t="shared" si="342"/>
        <v>Mulai meningkat</v>
      </c>
      <c r="AN529" s="407" t="str">
        <f t="shared" si="343"/>
        <v>Mulai meningkat</v>
      </c>
      <c r="AO529" s="406" t="e">
        <f t="shared" si="354"/>
        <v>#N/A</v>
      </c>
      <c r="AP529" s="408" t="e">
        <f t="shared" si="355"/>
        <v>#N/A</v>
      </c>
      <c r="AQ529" s="409" t="str">
        <f>IF('PA-Non'!V417&lt;&gt;"",'PA-Non'!V417,IFERROR("Mempunyai keterampilan yang "&amp;IF(AM529=AN529,PROPER(AN529)&amp;" dalam kompetensi "&amp;VLOOKUP(AO529,$AA$532:$AC$539,3)&amp;", demikian juga dalam kompetensi "&amp;VLOOKUP(AP529,$AA$532:$AC$539,3),PROPER(AM529)&amp;" dalam kompetensi "&amp;VLOOKUP(AO529,$AA$532:$AC$539,3)&amp;" dan "&amp;AN529&amp;" pada kompetensi "&amp;VLOOKUP(AP529,$AA$532:$AC$539,3)),""))</f>
        <v/>
      </c>
      <c r="AR529" s="188"/>
    </row>
    <row r="530" spans="2:44" x14ac:dyDescent="0.3">
      <c r="B530" s="217"/>
      <c r="C530" s="81">
        <v>1</v>
      </c>
      <c r="D530" s="81">
        <v>2</v>
      </c>
      <c r="E530" s="81">
        <v>3</v>
      </c>
      <c r="F530" s="81">
        <v>4</v>
      </c>
      <c r="G530" s="81">
        <v>5</v>
      </c>
      <c r="H530" s="81">
        <v>6</v>
      </c>
      <c r="I530" s="81">
        <v>7</v>
      </c>
      <c r="J530" s="81">
        <v>8</v>
      </c>
      <c r="K530" s="81">
        <v>9</v>
      </c>
      <c r="L530" s="81">
        <v>10</v>
      </c>
      <c r="M530" s="81">
        <v>11</v>
      </c>
      <c r="N530" s="81">
        <v>12</v>
      </c>
      <c r="O530" s="81">
        <v>13</v>
      </c>
      <c r="P530" s="81">
        <v>14</v>
      </c>
      <c r="Q530" s="81">
        <v>15</v>
      </c>
      <c r="R530" s="81">
        <v>16</v>
      </c>
      <c r="S530" s="81">
        <v>17</v>
      </c>
      <c r="T530" s="81">
        <v>18</v>
      </c>
      <c r="U530" s="81">
        <v>19</v>
      </c>
      <c r="V530" s="81">
        <v>20</v>
      </c>
      <c r="W530" s="81">
        <v>21</v>
      </c>
      <c r="X530" s="81">
        <v>22</v>
      </c>
      <c r="Y530" s="81">
        <v>23</v>
      </c>
      <c r="Z530" s="81">
        <v>24</v>
      </c>
      <c r="AA530" s="81">
        <v>25</v>
      </c>
      <c r="AB530" s="81">
        <v>26</v>
      </c>
      <c r="AC530" s="81">
        <v>27</v>
      </c>
      <c r="AD530" s="81">
        <v>28</v>
      </c>
      <c r="AE530" s="81">
        <v>29</v>
      </c>
      <c r="AF530" s="81">
        <v>30</v>
      </c>
      <c r="AG530" s="81">
        <v>31</v>
      </c>
      <c r="AH530" s="81">
        <v>32</v>
      </c>
      <c r="AI530" s="81">
        <v>33</v>
      </c>
      <c r="AJ530" s="81">
        <v>34</v>
      </c>
      <c r="AK530" s="81">
        <v>35</v>
      </c>
      <c r="AL530" s="81">
        <v>36</v>
      </c>
      <c r="AM530" s="81">
        <v>37</v>
      </c>
      <c r="AN530" s="81">
        <v>38</v>
      </c>
      <c r="AO530" s="81">
        <v>39</v>
      </c>
      <c r="AP530" s="81">
        <v>40</v>
      </c>
      <c r="AQ530" s="81">
        <v>41</v>
      </c>
      <c r="AR530" s="188"/>
    </row>
    <row r="531" spans="2:44" ht="18" customHeight="1" x14ac:dyDescent="0.3">
      <c r="B531" s="217" t="s">
        <v>150</v>
      </c>
      <c r="C531" s="27"/>
      <c r="D531" s="28"/>
      <c r="E531" s="27"/>
      <c r="F531" s="29"/>
      <c r="G531" s="88" t="s">
        <v>25</v>
      </c>
      <c r="H531" s="89" t="s">
        <v>26</v>
      </c>
      <c r="I531" s="524" t="s">
        <v>57</v>
      </c>
      <c r="J531" s="524"/>
      <c r="K531" s="524"/>
      <c r="L531" s="524"/>
      <c r="M531" s="524"/>
      <c r="N531" s="524"/>
      <c r="O531" s="524"/>
      <c r="P531" s="524"/>
      <c r="Q531" s="524"/>
      <c r="R531" s="524"/>
      <c r="S531" s="524"/>
      <c r="T531" s="524"/>
      <c r="U531" s="524"/>
      <c r="V531" s="524"/>
      <c r="W531" s="524"/>
      <c r="X531" s="524"/>
      <c r="Y531" s="524"/>
      <c r="Z531" s="524"/>
      <c r="AA531" s="75" t="s">
        <v>25</v>
      </c>
      <c r="AB531" s="76" t="s">
        <v>26</v>
      </c>
      <c r="AC531" s="483" t="s">
        <v>58</v>
      </c>
      <c r="AD531" s="483"/>
      <c r="AE531" s="483"/>
      <c r="AF531" s="483"/>
      <c r="AG531" s="483"/>
      <c r="AH531" s="483"/>
      <c r="AI531" s="483"/>
      <c r="AJ531" s="483"/>
      <c r="AK531" s="483"/>
      <c r="AL531" s="483"/>
      <c r="AM531" s="483"/>
      <c r="AN531" s="483"/>
      <c r="AO531" s="483"/>
      <c r="AP531" s="483"/>
      <c r="AQ531" s="483"/>
      <c r="AR531" s="188"/>
    </row>
    <row r="532" spans="2:44" ht="15.9" customHeight="1" x14ac:dyDescent="0.3">
      <c r="B532" s="217" t="s">
        <v>150</v>
      </c>
      <c r="C532" s="30"/>
      <c r="D532" s="30" t="s">
        <v>50</v>
      </c>
      <c r="E532" s="27"/>
      <c r="F532" s="72"/>
      <c r="G532" s="90">
        <v>1</v>
      </c>
      <c r="H532" s="78" t="s">
        <v>59</v>
      </c>
      <c r="I532" s="484" t="s">
        <v>182</v>
      </c>
      <c r="J532" s="484"/>
      <c r="K532" s="484"/>
      <c r="L532" s="484"/>
      <c r="M532" s="484"/>
      <c r="N532" s="484"/>
      <c r="O532" s="484"/>
      <c r="P532" s="484"/>
      <c r="Q532" s="484"/>
      <c r="R532" s="484"/>
      <c r="S532" s="484"/>
      <c r="T532" s="484"/>
      <c r="U532" s="484"/>
      <c r="V532" s="484"/>
      <c r="W532" s="484"/>
      <c r="X532" s="484"/>
      <c r="Y532" s="484"/>
      <c r="Z532" s="485"/>
      <c r="AA532" s="77">
        <v>1</v>
      </c>
      <c r="AB532" s="78" t="s">
        <v>67</v>
      </c>
      <c r="AC532" s="484" t="s">
        <v>185</v>
      </c>
      <c r="AD532" s="484"/>
      <c r="AE532" s="484"/>
      <c r="AF532" s="484"/>
      <c r="AG532" s="484"/>
      <c r="AH532" s="484"/>
      <c r="AI532" s="484"/>
      <c r="AJ532" s="484"/>
      <c r="AK532" s="484"/>
      <c r="AL532" s="484"/>
      <c r="AM532" s="484"/>
      <c r="AN532" s="484"/>
      <c r="AO532" s="484"/>
      <c r="AP532" s="484"/>
      <c r="AQ532" s="485"/>
      <c r="AR532" s="188"/>
    </row>
    <row r="533" spans="2:44" ht="15.9" customHeight="1" x14ac:dyDescent="0.3">
      <c r="B533" s="217" t="s">
        <v>150</v>
      </c>
      <c r="C533" s="27"/>
      <c r="D533" s="291" t="s">
        <v>51</v>
      </c>
      <c r="E533" s="292"/>
      <c r="F533" s="293"/>
      <c r="G533" s="90">
        <v>2</v>
      </c>
      <c r="H533" s="79" t="s">
        <v>60</v>
      </c>
      <c r="I533" s="484" t="s">
        <v>183</v>
      </c>
      <c r="J533" s="484"/>
      <c r="K533" s="484"/>
      <c r="L533" s="484"/>
      <c r="M533" s="484"/>
      <c r="N533" s="484"/>
      <c r="O533" s="484"/>
      <c r="P533" s="484"/>
      <c r="Q533" s="484"/>
      <c r="R533" s="484"/>
      <c r="S533" s="484"/>
      <c r="T533" s="484"/>
      <c r="U533" s="484"/>
      <c r="V533" s="484"/>
      <c r="W533" s="484"/>
      <c r="X533" s="484"/>
      <c r="Y533" s="484"/>
      <c r="Z533" s="485"/>
      <c r="AA533" s="77">
        <v>2</v>
      </c>
      <c r="AB533" s="79" t="s">
        <v>68</v>
      </c>
      <c r="AC533" s="484" t="s">
        <v>186</v>
      </c>
      <c r="AD533" s="484"/>
      <c r="AE533" s="484"/>
      <c r="AF533" s="484"/>
      <c r="AG533" s="484"/>
      <c r="AH533" s="484"/>
      <c r="AI533" s="484"/>
      <c r="AJ533" s="484"/>
      <c r="AK533" s="484"/>
      <c r="AL533" s="484"/>
      <c r="AM533" s="484"/>
      <c r="AN533" s="484"/>
      <c r="AO533" s="484"/>
      <c r="AP533" s="484"/>
      <c r="AQ533" s="485"/>
      <c r="AR533" s="188"/>
    </row>
    <row r="534" spans="2:44" ht="15.9" customHeight="1" x14ac:dyDescent="0.3">
      <c r="B534" s="217" t="s">
        <v>150</v>
      </c>
      <c r="C534" s="27"/>
      <c r="D534" s="294" t="s">
        <v>52</v>
      </c>
      <c r="E534" s="292"/>
      <c r="F534" s="293"/>
      <c r="G534" s="90">
        <v>3</v>
      </c>
      <c r="H534" s="79" t="s">
        <v>61</v>
      </c>
      <c r="I534" s="484" t="s">
        <v>184</v>
      </c>
      <c r="J534" s="484"/>
      <c r="K534" s="484"/>
      <c r="L534" s="484"/>
      <c r="M534" s="484"/>
      <c r="N534" s="484"/>
      <c r="O534" s="484"/>
      <c r="P534" s="484"/>
      <c r="Q534" s="484"/>
      <c r="R534" s="484"/>
      <c r="S534" s="484"/>
      <c r="T534" s="484"/>
      <c r="U534" s="484"/>
      <c r="V534" s="484"/>
      <c r="W534" s="484"/>
      <c r="X534" s="484"/>
      <c r="Y534" s="484"/>
      <c r="Z534" s="485"/>
      <c r="AA534" s="77">
        <v>3</v>
      </c>
      <c r="AB534" s="79" t="s">
        <v>69</v>
      </c>
      <c r="AC534" s="484" t="s">
        <v>187</v>
      </c>
      <c r="AD534" s="484"/>
      <c r="AE534" s="484"/>
      <c r="AF534" s="484"/>
      <c r="AG534" s="484"/>
      <c r="AH534" s="484"/>
      <c r="AI534" s="484"/>
      <c r="AJ534" s="484"/>
      <c r="AK534" s="484"/>
      <c r="AL534" s="484"/>
      <c r="AM534" s="484"/>
      <c r="AN534" s="484"/>
      <c r="AO534" s="484"/>
      <c r="AP534" s="484"/>
      <c r="AQ534" s="485"/>
      <c r="AR534" s="188"/>
    </row>
    <row r="535" spans="2:44" ht="15.9" customHeight="1" x14ac:dyDescent="0.3">
      <c r="B535" s="217" t="s">
        <v>150</v>
      </c>
      <c r="C535" s="27"/>
      <c r="D535" s="294" t="s">
        <v>53</v>
      </c>
      <c r="E535" s="292"/>
      <c r="F535" s="293"/>
      <c r="G535" s="90">
        <v>4</v>
      </c>
      <c r="H535" s="79" t="s">
        <v>62</v>
      </c>
      <c r="I535" s="484" t="s">
        <v>75</v>
      </c>
      <c r="J535" s="484"/>
      <c r="K535" s="484"/>
      <c r="L535" s="484"/>
      <c r="M535" s="484"/>
      <c r="N535" s="484"/>
      <c r="O535" s="484"/>
      <c r="P535" s="484"/>
      <c r="Q535" s="484"/>
      <c r="R535" s="484"/>
      <c r="S535" s="484"/>
      <c r="T535" s="484"/>
      <c r="U535" s="484"/>
      <c r="V535" s="484"/>
      <c r="W535" s="484"/>
      <c r="X535" s="484"/>
      <c r="Y535" s="484"/>
      <c r="Z535" s="485"/>
      <c r="AA535" s="77">
        <v>4</v>
      </c>
      <c r="AB535" s="79" t="s">
        <v>70</v>
      </c>
      <c r="AC535" s="484" t="s">
        <v>80</v>
      </c>
      <c r="AD535" s="484"/>
      <c r="AE535" s="484"/>
      <c r="AF535" s="484"/>
      <c r="AG535" s="484"/>
      <c r="AH535" s="484"/>
      <c r="AI535" s="484"/>
      <c r="AJ535" s="484"/>
      <c r="AK535" s="484"/>
      <c r="AL535" s="484"/>
      <c r="AM535" s="484"/>
      <c r="AN535" s="484"/>
      <c r="AO535" s="484"/>
      <c r="AP535" s="484"/>
      <c r="AQ535" s="485"/>
      <c r="AR535" s="188"/>
    </row>
    <row r="536" spans="2:44" ht="15.9" customHeight="1" x14ac:dyDescent="0.3">
      <c r="B536" s="217" t="s">
        <v>150</v>
      </c>
      <c r="C536" s="27"/>
      <c r="D536" s="27"/>
      <c r="E536" s="27"/>
      <c r="F536" s="72"/>
      <c r="G536" s="90">
        <v>5</v>
      </c>
      <c r="H536" s="79" t="s">
        <v>63</v>
      </c>
      <c r="I536" s="484" t="s">
        <v>76</v>
      </c>
      <c r="J536" s="484"/>
      <c r="K536" s="484"/>
      <c r="L536" s="484"/>
      <c r="M536" s="484"/>
      <c r="N536" s="484"/>
      <c r="O536" s="484"/>
      <c r="P536" s="484"/>
      <c r="Q536" s="484"/>
      <c r="R536" s="484"/>
      <c r="S536" s="484"/>
      <c r="T536" s="484"/>
      <c r="U536" s="484"/>
      <c r="V536" s="484"/>
      <c r="W536" s="484"/>
      <c r="X536" s="484"/>
      <c r="Y536" s="484"/>
      <c r="Z536" s="485"/>
      <c r="AA536" s="77">
        <v>5</v>
      </c>
      <c r="AB536" s="79" t="s">
        <v>71</v>
      </c>
      <c r="AC536" s="484" t="s">
        <v>81</v>
      </c>
      <c r="AD536" s="484"/>
      <c r="AE536" s="484"/>
      <c r="AF536" s="484"/>
      <c r="AG536" s="484"/>
      <c r="AH536" s="484"/>
      <c r="AI536" s="484"/>
      <c r="AJ536" s="484"/>
      <c r="AK536" s="484"/>
      <c r="AL536" s="484"/>
      <c r="AM536" s="484"/>
      <c r="AN536" s="484"/>
      <c r="AO536" s="484"/>
      <c r="AP536" s="484"/>
      <c r="AQ536" s="485"/>
      <c r="AR536" s="188"/>
    </row>
    <row r="537" spans="2:44" ht="15.9" customHeight="1" x14ac:dyDescent="0.3">
      <c r="B537" s="217" t="s">
        <v>150</v>
      </c>
      <c r="C537" s="27"/>
      <c r="D537" s="27"/>
      <c r="E537" s="27"/>
      <c r="F537" s="72"/>
      <c r="G537" s="90">
        <v>6</v>
      </c>
      <c r="H537" s="79" t="s">
        <v>64</v>
      </c>
      <c r="I537" s="484" t="s">
        <v>77</v>
      </c>
      <c r="J537" s="484"/>
      <c r="K537" s="484"/>
      <c r="L537" s="484"/>
      <c r="M537" s="484"/>
      <c r="N537" s="484"/>
      <c r="O537" s="484"/>
      <c r="P537" s="484"/>
      <c r="Q537" s="484"/>
      <c r="R537" s="484"/>
      <c r="S537" s="484"/>
      <c r="T537" s="484"/>
      <c r="U537" s="484"/>
      <c r="V537" s="484"/>
      <c r="W537" s="484"/>
      <c r="X537" s="484"/>
      <c r="Y537" s="484"/>
      <c r="Z537" s="485"/>
      <c r="AA537" s="77">
        <v>6</v>
      </c>
      <c r="AB537" s="79" t="s">
        <v>72</v>
      </c>
      <c r="AC537" s="484" t="s">
        <v>82</v>
      </c>
      <c r="AD537" s="484"/>
      <c r="AE537" s="484"/>
      <c r="AF537" s="484"/>
      <c r="AG537" s="484"/>
      <c r="AH537" s="484"/>
      <c r="AI537" s="484"/>
      <c r="AJ537" s="484"/>
      <c r="AK537" s="484"/>
      <c r="AL537" s="484"/>
      <c r="AM537" s="484"/>
      <c r="AN537" s="484"/>
      <c r="AO537" s="484"/>
      <c r="AP537" s="484"/>
      <c r="AQ537" s="485"/>
      <c r="AR537" s="188"/>
    </row>
    <row r="538" spans="2:44" ht="15.9" customHeight="1" x14ac:dyDescent="0.3">
      <c r="B538" s="217" t="s">
        <v>150</v>
      </c>
      <c r="C538" s="27"/>
      <c r="D538" s="27"/>
      <c r="E538" s="27"/>
      <c r="F538" s="72"/>
      <c r="G538" s="90">
        <v>7</v>
      </c>
      <c r="H538" s="79" t="s">
        <v>65</v>
      </c>
      <c r="I538" s="484" t="s">
        <v>78</v>
      </c>
      <c r="J538" s="484"/>
      <c r="K538" s="484"/>
      <c r="L538" s="484"/>
      <c r="M538" s="484"/>
      <c r="N538" s="484"/>
      <c r="O538" s="484"/>
      <c r="P538" s="484"/>
      <c r="Q538" s="484"/>
      <c r="R538" s="484"/>
      <c r="S538" s="484"/>
      <c r="T538" s="484"/>
      <c r="U538" s="484"/>
      <c r="V538" s="484"/>
      <c r="W538" s="484"/>
      <c r="X538" s="484"/>
      <c r="Y538" s="484"/>
      <c r="Z538" s="485"/>
      <c r="AA538" s="77">
        <v>7</v>
      </c>
      <c r="AB538" s="79" t="s">
        <v>73</v>
      </c>
      <c r="AC538" s="484" t="s">
        <v>83</v>
      </c>
      <c r="AD538" s="484"/>
      <c r="AE538" s="484"/>
      <c r="AF538" s="484"/>
      <c r="AG538" s="484"/>
      <c r="AH538" s="484"/>
      <c r="AI538" s="484"/>
      <c r="AJ538" s="484"/>
      <c r="AK538" s="484"/>
      <c r="AL538" s="484"/>
      <c r="AM538" s="484"/>
      <c r="AN538" s="484"/>
      <c r="AO538" s="484"/>
      <c r="AP538" s="484"/>
      <c r="AQ538" s="485"/>
      <c r="AR538" s="188"/>
    </row>
    <row r="539" spans="2:44" ht="15.75" customHeight="1" x14ac:dyDescent="0.3">
      <c r="B539" s="217" t="s">
        <v>150</v>
      </c>
      <c r="C539" s="27"/>
      <c r="D539" s="27"/>
      <c r="E539" s="27"/>
      <c r="F539" s="72"/>
      <c r="G539" s="90">
        <v>8</v>
      </c>
      <c r="H539" s="80" t="s">
        <v>66</v>
      </c>
      <c r="I539" s="486" t="s">
        <v>79</v>
      </c>
      <c r="J539" s="486"/>
      <c r="K539" s="486"/>
      <c r="L539" s="486"/>
      <c r="M539" s="486"/>
      <c r="N539" s="486"/>
      <c r="O539" s="486"/>
      <c r="P539" s="486"/>
      <c r="Q539" s="486"/>
      <c r="R539" s="486"/>
      <c r="S539" s="486"/>
      <c r="T539" s="486"/>
      <c r="U539" s="486"/>
      <c r="V539" s="486"/>
      <c r="W539" s="486"/>
      <c r="X539" s="486"/>
      <c r="Y539" s="486"/>
      <c r="Z539" s="487"/>
      <c r="AA539" s="77">
        <v>8</v>
      </c>
      <c r="AB539" s="80" t="s">
        <v>74</v>
      </c>
      <c r="AC539" s="486" t="s">
        <v>84</v>
      </c>
      <c r="AD539" s="486"/>
      <c r="AE539" s="486"/>
      <c r="AF539" s="486"/>
      <c r="AG539" s="486"/>
      <c r="AH539" s="486"/>
      <c r="AI539" s="486"/>
      <c r="AJ539" s="486"/>
      <c r="AK539" s="486"/>
      <c r="AL539" s="486"/>
      <c r="AM539" s="486"/>
      <c r="AN539" s="486"/>
      <c r="AO539" s="486"/>
      <c r="AP539" s="486"/>
      <c r="AQ539" s="487"/>
      <c r="AR539" s="188"/>
    </row>
    <row r="540" spans="2:44" ht="4.5" customHeight="1" x14ac:dyDescent="0.3">
      <c r="B540" s="217" t="s">
        <v>150</v>
      </c>
      <c r="C540" s="28"/>
      <c r="D540" s="73"/>
      <c r="E540" s="72"/>
      <c r="F540" s="72"/>
      <c r="G540" s="72"/>
      <c r="H540" s="72"/>
      <c r="I540" s="72"/>
      <c r="J540" s="72"/>
      <c r="K540" s="72"/>
      <c r="L540" s="72"/>
      <c r="M540" s="72"/>
      <c r="N540" s="72"/>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188"/>
    </row>
    <row r="541" spans="2:44" ht="4.5" customHeight="1" thickBot="1" x14ac:dyDescent="0.35">
      <c r="B541" s="217" t="s">
        <v>150</v>
      </c>
      <c r="C541" s="28"/>
      <c r="D541" s="73"/>
      <c r="E541" s="72"/>
      <c r="F541" s="72"/>
      <c r="G541" s="72"/>
      <c r="H541" s="72"/>
      <c r="I541" s="72"/>
      <c r="J541" s="72"/>
      <c r="K541" s="72"/>
      <c r="L541" s="72"/>
      <c r="M541" s="72"/>
      <c r="N541" s="72"/>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188"/>
    </row>
    <row r="542" spans="2:44" ht="15" thickBot="1" x14ac:dyDescent="0.35">
      <c r="B542" s="217" t="s">
        <v>150</v>
      </c>
      <c r="C542" s="30"/>
      <c r="D542" s="30" t="s">
        <v>131</v>
      </c>
      <c r="E542" s="32"/>
      <c r="F542" s="27"/>
      <c r="G542" s="525" t="s">
        <v>23</v>
      </c>
      <c r="H542" s="526"/>
      <c r="I542" s="526"/>
      <c r="J542" s="526"/>
      <c r="K542" s="526"/>
      <c r="L542" s="526"/>
      <c r="M542" s="526"/>
      <c r="N542" s="526"/>
      <c r="O542" s="526"/>
      <c r="P542" s="527"/>
      <c r="Q542" s="27"/>
      <c r="R542" s="27"/>
      <c r="S542" s="34"/>
      <c r="T542" s="34"/>
      <c r="U542" s="34"/>
      <c r="V542" s="34"/>
      <c r="W542" s="34"/>
      <c r="X542" s="34"/>
      <c r="Y542" s="34"/>
      <c r="Z542" s="34"/>
      <c r="AA542" s="545" t="s">
        <v>24</v>
      </c>
      <c r="AB542" s="546"/>
      <c r="AC542" s="546"/>
      <c r="AD542" s="546"/>
      <c r="AE542" s="546"/>
      <c r="AF542" s="546"/>
      <c r="AG542" s="546"/>
      <c r="AH542" s="546"/>
      <c r="AI542" s="546"/>
      <c r="AJ542" s="547"/>
      <c r="AK542" s="27"/>
      <c r="AL542" s="27"/>
      <c r="AM542" s="27"/>
      <c r="AN542" s="27"/>
      <c r="AO542" s="27"/>
      <c r="AP542" s="27"/>
      <c r="AQ542" s="27"/>
      <c r="AR542" s="188"/>
    </row>
    <row r="543" spans="2:44" ht="15" customHeight="1" x14ac:dyDescent="0.3">
      <c r="B543" s="217" t="s">
        <v>150</v>
      </c>
      <c r="C543" s="27"/>
      <c r="D543" s="31"/>
      <c r="E543" s="27"/>
      <c r="F543" s="27"/>
      <c r="G543" s="522" t="s">
        <v>19</v>
      </c>
      <c r="H543" s="523"/>
      <c r="I543" s="523"/>
      <c r="J543" s="488" t="s">
        <v>20</v>
      </c>
      <c r="K543" s="488"/>
      <c r="L543" s="488"/>
      <c r="M543" s="488"/>
      <c r="N543" s="488"/>
      <c r="O543" s="488"/>
      <c r="P543" s="489"/>
      <c r="Q543" s="27"/>
      <c r="R543" s="28"/>
      <c r="S543" s="35"/>
      <c r="T543" s="35"/>
      <c r="U543" s="35"/>
      <c r="V543" s="35"/>
      <c r="W543" s="35"/>
      <c r="X543" s="35"/>
      <c r="Y543" s="35"/>
      <c r="Z543" s="35"/>
      <c r="AA543" s="490" t="s">
        <v>19</v>
      </c>
      <c r="AB543" s="491"/>
      <c r="AC543" s="491"/>
      <c r="AD543" s="542" t="s">
        <v>20</v>
      </c>
      <c r="AE543" s="543"/>
      <c r="AF543" s="543"/>
      <c r="AG543" s="543"/>
      <c r="AH543" s="543"/>
      <c r="AI543" s="543"/>
      <c r="AJ543" s="544"/>
      <c r="AK543" s="27"/>
      <c r="AL543" s="27"/>
      <c r="AM543" s="27"/>
      <c r="AN543" s="27"/>
      <c r="AO543" s="27"/>
      <c r="AP543" s="27"/>
      <c r="AQ543" s="27"/>
      <c r="AR543" s="188"/>
    </row>
    <row r="544" spans="2:44" ht="15" customHeight="1" x14ac:dyDescent="0.3">
      <c r="B544" s="217" t="s">
        <v>150</v>
      </c>
      <c r="C544" s="27"/>
      <c r="D544" s="31"/>
      <c r="E544" s="27"/>
      <c r="F544" s="27"/>
      <c r="G544" s="230">
        <f>I545+1</f>
        <v>93</v>
      </c>
      <c r="H544" s="36" t="s">
        <v>5</v>
      </c>
      <c r="I544" s="310">
        <v>100</v>
      </c>
      <c r="J544" s="481" t="s">
        <v>162</v>
      </c>
      <c r="K544" s="481"/>
      <c r="L544" s="481"/>
      <c r="M544" s="481"/>
      <c r="N544" s="481"/>
      <c r="O544" s="481"/>
      <c r="P544" s="482"/>
      <c r="Q544" s="27"/>
      <c r="R544" s="28"/>
      <c r="S544" s="35"/>
      <c r="T544" s="35"/>
      <c r="U544" s="35"/>
      <c r="V544" s="35"/>
      <c r="W544" s="35"/>
      <c r="X544" s="35"/>
      <c r="Y544" s="35"/>
      <c r="Z544" s="35"/>
      <c r="AA544" s="230">
        <f>AC545+1</f>
        <v>93</v>
      </c>
      <c r="AB544" s="36" t="s">
        <v>5</v>
      </c>
      <c r="AC544" s="310">
        <v>100</v>
      </c>
      <c r="AD544" s="481" t="s">
        <v>162</v>
      </c>
      <c r="AE544" s="481"/>
      <c r="AF544" s="481"/>
      <c r="AG544" s="481"/>
      <c r="AH544" s="481"/>
      <c r="AI544" s="481"/>
      <c r="AJ544" s="482"/>
      <c r="AK544" s="27"/>
      <c r="AL544" s="27"/>
      <c r="AM544" s="27"/>
      <c r="AN544" s="27"/>
      <c r="AO544" s="27"/>
      <c r="AP544" s="27"/>
      <c r="AQ544" s="27"/>
      <c r="AR544" s="188"/>
    </row>
    <row r="545" spans="2:44" ht="15" customHeight="1" x14ac:dyDescent="0.3">
      <c r="B545" s="217" t="s">
        <v>150</v>
      </c>
      <c r="C545" s="27"/>
      <c r="D545" s="31"/>
      <c r="E545" s="27"/>
      <c r="F545" s="27"/>
      <c r="G545" s="230">
        <f>I546+1</f>
        <v>86</v>
      </c>
      <c r="H545" s="36" t="s">
        <v>5</v>
      </c>
      <c r="I545" s="310">
        <f>ROUNDDOWN(I546+(I544-G546)/3,0)</f>
        <v>92</v>
      </c>
      <c r="J545" s="481" t="s">
        <v>148</v>
      </c>
      <c r="K545" s="481"/>
      <c r="L545" s="481"/>
      <c r="M545" s="481"/>
      <c r="N545" s="481"/>
      <c r="O545" s="481"/>
      <c r="P545" s="482"/>
      <c r="Q545" s="27"/>
      <c r="R545" s="28"/>
      <c r="S545" s="35"/>
      <c r="T545" s="35"/>
      <c r="U545" s="35"/>
      <c r="V545" s="35"/>
      <c r="W545" s="35"/>
      <c r="X545" s="35"/>
      <c r="Y545" s="35"/>
      <c r="Z545" s="35"/>
      <c r="AA545" s="230">
        <f>AC546+1</f>
        <v>86</v>
      </c>
      <c r="AB545" s="36" t="s">
        <v>5</v>
      </c>
      <c r="AC545" s="310">
        <f>ROUNDDOWN(AC546+(AC544-AA546)/3,0)</f>
        <v>92</v>
      </c>
      <c r="AD545" s="481" t="s">
        <v>148</v>
      </c>
      <c r="AE545" s="481"/>
      <c r="AF545" s="481"/>
      <c r="AG545" s="481"/>
      <c r="AH545" s="481"/>
      <c r="AI545" s="481"/>
      <c r="AJ545" s="482"/>
      <c r="AK545" s="27"/>
      <c r="AL545" s="27"/>
      <c r="AM545" s="27"/>
      <c r="AN545" s="27"/>
      <c r="AO545" s="27"/>
      <c r="AP545" s="27"/>
      <c r="AQ545" s="27"/>
      <c r="AR545" s="188"/>
    </row>
    <row r="546" spans="2:44" ht="12.75" customHeight="1" x14ac:dyDescent="0.3">
      <c r="B546" s="217" t="s">
        <v>150</v>
      </c>
      <c r="C546" s="27"/>
      <c r="D546" s="33"/>
      <c r="E546" s="27"/>
      <c r="F546" s="27"/>
      <c r="G546" s="309">
        <f>D3</f>
        <v>78</v>
      </c>
      <c r="H546" s="36" t="s">
        <v>5</v>
      </c>
      <c r="I546" s="310">
        <f>ROUNDDOWN(G546+($AC$544-G546)/3,0)</f>
        <v>85</v>
      </c>
      <c r="J546" s="481" t="s">
        <v>163</v>
      </c>
      <c r="K546" s="481"/>
      <c r="L546" s="481"/>
      <c r="M546" s="481"/>
      <c r="N546" s="481"/>
      <c r="O546" s="481"/>
      <c r="P546" s="482"/>
      <c r="Q546" s="74"/>
      <c r="R546" s="28"/>
      <c r="S546" s="35"/>
      <c r="T546" s="35"/>
      <c r="U546" s="35"/>
      <c r="V546" s="35"/>
      <c r="W546" s="35"/>
      <c r="X546" s="35"/>
      <c r="Y546" s="35"/>
      <c r="Z546" s="35"/>
      <c r="AA546" s="309">
        <f>D3</f>
        <v>78</v>
      </c>
      <c r="AB546" s="36" t="s">
        <v>5</v>
      </c>
      <c r="AC546" s="310">
        <f>ROUNDDOWN(AA546+($AC$544-AA546)/3,0)</f>
        <v>85</v>
      </c>
      <c r="AD546" s="481" t="s">
        <v>165</v>
      </c>
      <c r="AE546" s="481"/>
      <c r="AF546" s="481"/>
      <c r="AG546" s="481"/>
      <c r="AH546" s="481"/>
      <c r="AI546" s="481"/>
      <c r="AJ546" s="482"/>
      <c r="AK546" s="27"/>
      <c r="AL546" s="27"/>
      <c r="AM546" s="27"/>
      <c r="AN546" s="27"/>
      <c r="AO546" s="27"/>
      <c r="AP546" s="27"/>
      <c r="AQ546" s="27"/>
      <c r="AR546" s="188"/>
    </row>
    <row r="547" spans="2:44" ht="15" thickBot="1" x14ac:dyDescent="0.35">
      <c r="B547" s="217" t="s">
        <v>150</v>
      </c>
      <c r="C547" s="27"/>
      <c r="D547" s="28"/>
      <c r="E547" s="27"/>
      <c r="F547" s="27"/>
      <c r="G547" s="231">
        <v>0</v>
      </c>
      <c r="H547" s="232" t="s">
        <v>5</v>
      </c>
      <c r="I547" s="311">
        <f>G546-1</f>
        <v>77</v>
      </c>
      <c r="J547" s="500" t="s">
        <v>164</v>
      </c>
      <c r="K547" s="501"/>
      <c r="L547" s="501"/>
      <c r="M547" s="501"/>
      <c r="N547" s="501"/>
      <c r="O547" s="501"/>
      <c r="P547" s="502"/>
      <c r="Q547" s="27"/>
      <c r="R547" s="28"/>
      <c r="S547" s="27"/>
      <c r="T547" s="27"/>
      <c r="U547" s="27"/>
      <c r="V547" s="27"/>
      <c r="W547" s="27"/>
      <c r="X547" s="27"/>
      <c r="Y547" s="27"/>
      <c r="Z547" s="27"/>
      <c r="AA547" s="231">
        <v>0</v>
      </c>
      <c r="AB547" s="232" t="s">
        <v>5</v>
      </c>
      <c r="AC547" s="311">
        <f>AA546-1</f>
        <v>77</v>
      </c>
      <c r="AD547" s="481" t="s">
        <v>166</v>
      </c>
      <c r="AE547" s="481"/>
      <c r="AF547" s="481"/>
      <c r="AG547" s="481"/>
      <c r="AH547" s="481"/>
      <c r="AI547" s="481"/>
      <c r="AJ547" s="482"/>
      <c r="AK547" s="27"/>
      <c r="AL547" s="27"/>
      <c r="AM547" s="27"/>
      <c r="AN547" s="27"/>
      <c r="AO547" s="27"/>
      <c r="AP547" s="27"/>
      <c r="AQ547" s="27"/>
      <c r="AR547" s="188"/>
    </row>
    <row r="548" spans="2:44" x14ac:dyDescent="0.3">
      <c r="B548" s="217"/>
      <c r="C548" s="217"/>
      <c r="D548" s="228"/>
      <c r="E548" s="217"/>
      <c r="F548" s="217"/>
      <c r="G548" s="316"/>
      <c r="H548" s="317"/>
      <c r="I548" s="318"/>
      <c r="J548" s="319"/>
      <c r="K548" s="319"/>
      <c r="L548" s="319"/>
      <c r="M548" s="319"/>
      <c r="N548" s="319"/>
      <c r="O548" s="319"/>
      <c r="P548" s="319"/>
      <c r="Q548" s="217"/>
      <c r="R548" s="228"/>
      <c r="S548" s="217"/>
      <c r="T548" s="217"/>
      <c r="U548" s="217"/>
      <c r="V548" s="217"/>
      <c r="W548" s="217"/>
      <c r="X548" s="217"/>
      <c r="Y548" s="217"/>
      <c r="Z548" s="217"/>
      <c r="AA548" s="316"/>
      <c r="AB548" s="317"/>
      <c r="AC548" s="318"/>
      <c r="AD548" s="319"/>
      <c r="AE548" s="319"/>
      <c r="AF548" s="319"/>
      <c r="AG548" s="319"/>
      <c r="AH548" s="319"/>
      <c r="AI548" s="319"/>
      <c r="AJ548" s="319"/>
      <c r="AK548" s="217"/>
      <c r="AL548" s="217"/>
      <c r="AM548" s="217"/>
      <c r="AN548" s="217"/>
      <c r="AO548" s="217"/>
      <c r="AP548" s="217"/>
      <c r="AQ548" s="217"/>
      <c r="AR548" s="188"/>
    </row>
    <row r="549" spans="2:44" hidden="1" x14ac:dyDescent="0.3">
      <c r="B549" s="217"/>
      <c r="C549" s="217"/>
      <c r="D549" s="228"/>
      <c r="E549" s="217"/>
      <c r="F549" s="217"/>
      <c r="G549" s="316"/>
      <c r="H549" s="317"/>
      <c r="I549" s="318"/>
      <c r="J549" s="319"/>
      <c r="K549" s="319"/>
      <c r="L549" s="319"/>
      <c r="M549" s="319"/>
      <c r="N549" s="319"/>
      <c r="O549" s="319"/>
      <c r="P549" s="319"/>
      <c r="Q549" s="217"/>
      <c r="R549" s="228"/>
      <c r="S549" s="217"/>
      <c r="T549" s="217"/>
      <c r="U549" s="217"/>
      <c r="V549" s="217"/>
      <c r="W549" s="217"/>
      <c r="X549" s="217"/>
      <c r="Y549" s="217"/>
      <c r="Z549" s="217"/>
      <c r="AA549" s="316"/>
      <c r="AB549" s="317"/>
      <c r="AC549" s="318"/>
      <c r="AD549" s="319"/>
      <c r="AE549" s="319"/>
      <c r="AF549" s="319"/>
      <c r="AG549" s="319"/>
      <c r="AH549" s="319"/>
      <c r="AI549" s="319"/>
      <c r="AJ549" s="319"/>
      <c r="AK549" s="217"/>
      <c r="AL549" s="217"/>
      <c r="AM549" s="217"/>
      <c r="AN549" s="217"/>
      <c r="AO549" s="217"/>
      <c r="AP549" s="217"/>
      <c r="AQ549" s="217"/>
      <c r="AR549" s="188"/>
    </row>
    <row r="550" spans="2:44" hidden="1" x14ac:dyDescent="0.3">
      <c r="B550" s="217"/>
      <c r="C550" s="217"/>
      <c r="D550" s="228"/>
      <c r="E550" s="217"/>
      <c r="F550" s="217"/>
      <c r="G550" s="316"/>
      <c r="H550" s="317"/>
      <c r="I550" s="318"/>
      <c r="J550" s="319"/>
      <c r="K550" s="319"/>
      <c r="L550" s="319"/>
      <c r="M550" s="319"/>
      <c r="N550" s="319"/>
      <c r="O550" s="319"/>
      <c r="P550" s="319"/>
      <c r="Q550" s="217"/>
      <c r="R550" s="228"/>
      <c r="S550" s="217"/>
      <c r="T550" s="217"/>
      <c r="U550" s="217"/>
      <c r="V550" s="217"/>
      <c r="W550" s="217"/>
      <c r="X550" s="217"/>
      <c r="Y550" s="217"/>
      <c r="Z550" s="217"/>
      <c r="AA550" s="316"/>
      <c r="AB550" s="317"/>
      <c r="AC550" s="318"/>
      <c r="AD550" s="319"/>
      <c r="AE550" s="319"/>
      <c r="AF550" s="319"/>
      <c r="AG550" s="319"/>
      <c r="AH550" s="319"/>
      <c r="AI550" s="319"/>
      <c r="AJ550" s="319"/>
      <c r="AK550" s="217"/>
      <c r="AL550" s="217"/>
      <c r="AM550" s="217"/>
      <c r="AN550" s="217"/>
      <c r="AO550" s="217"/>
      <c r="AP550" s="217"/>
      <c r="AQ550" s="217"/>
      <c r="AR550" s="188"/>
    </row>
    <row r="551" spans="2:44" hidden="1" x14ac:dyDescent="0.3">
      <c r="B551" s="217"/>
      <c r="C551" s="217"/>
      <c r="D551" s="228"/>
      <c r="E551" s="217"/>
      <c r="F551" s="217"/>
      <c r="G551" s="316"/>
      <c r="H551" s="317"/>
      <c r="I551" s="318"/>
      <c r="J551" s="319"/>
      <c r="K551" s="319"/>
      <c r="L551" s="319"/>
      <c r="M551" s="319"/>
      <c r="N551" s="319"/>
      <c r="O551" s="319"/>
      <c r="P551" s="319"/>
      <c r="Q551" s="217"/>
      <c r="R551" s="228"/>
      <c r="S551" s="217"/>
      <c r="T551" s="217"/>
      <c r="U551" s="217"/>
      <c r="V551" s="217"/>
      <c r="W551" s="217"/>
      <c r="X551" s="217"/>
      <c r="Y551" s="217"/>
      <c r="Z551" s="217"/>
      <c r="AA551" s="316"/>
      <c r="AB551" s="317"/>
      <c r="AC551" s="318"/>
      <c r="AD551" s="319"/>
      <c r="AE551" s="319"/>
      <c r="AF551" s="319"/>
      <c r="AG551" s="319"/>
      <c r="AH551" s="319"/>
      <c r="AI551" s="319"/>
      <c r="AJ551" s="319"/>
      <c r="AK551" s="217"/>
      <c r="AL551" s="217"/>
      <c r="AM551" s="217"/>
      <c r="AN551" s="217"/>
      <c r="AO551" s="217"/>
      <c r="AP551" s="217"/>
      <c r="AQ551" s="217"/>
      <c r="AR551" s="188"/>
    </row>
    <row r="552" spans="2:44" hidden="1" x14ac:dyDescent="0.3">
      <c r="B552" s="217"/>
      <c r="C552" s="217"/>
      <c r="D552" s="228"/>
      <c r="E552" s="217"/>
      <c r="F552" s="217"/>
      <c r="G552" s="316"/>
      <c r="H552" s="317"/>
      <c r="I552" s="318"/>
      <c r="J552" s="319"/>
      <c r="K552" s="319"/>
      <c r="L552" s="319"/>
      <c r="M552" s="319"/>
      <c r="N552" s="319"/>
      <c r="O552" s="319"/>
      <c r="P552" s="319"/>
      <c r="Q552" s="217"/>
      <c r="R552" s="228"/>
      <c r="S552" s="217"/>
      <c r="T552" s="217"/>
      <c r="U552" s="217"/>
      <c r="V552" s="217"/>
      <c r="W552" s="217"/>
      <c r="X552" s="217"/>
      <c r="Y552" s="217"/>
      <c r="Z552" s="217"/>
      <c r="AA552" s="316"/>
      <c r="AB552" s="317"/>
      <c r="AC552" s="318"/>
      <c r="AD552" s="319"/>
      <c r="AE552" s="319"/>
      <c r="AF552" s="319"/>
      <c r="AG552" s="319"/>
      <c r="AH552" s="319"/>
      <c r="AI552" s="319"/>
      <c r="AJ552" s="319"/>
      <c r="AK552" s="217"/>
      <c r="AL552" s="217"/>
      <c r="AM552" s="217"/>
      <c r="AN552" s="217"/>
      <c r="AO552" s="217"/>
      <c r="AP552" s="217"/>
      <c r="AQ552" s="217"/>
      <c r="AR552" s="188"/>
    </row>
    <row r="553" spans="2:44" hidden="1" x14ac:dyDescent="0.3">
      <c r="B553" s="217"/>
      <c r="C553" s="217"/>
      <c r="D553" s="228"/>
      <c r="E553" s="217"/>
      <c r="F553" s="217"/>
      <c r="G553" s="316"/>
      <c r="H553" s="317"/>
      <c r="I553" s="318"/>
      <c r="J553" s="319"/>
      <c r="K553" s="319"/>
      <c r="L553" s="319"/>
      <c r="M553" s="319"/>
      <c r="N553" s="319"/>
      <c r="O553" s="319"/>
      <c r="P553" s="319"/>
      <c r="Q553" s="217"/>
      <c r="R553" s="228"/>
      <c r="S553" s="217"/>
      <c r="T553" s="217"/>
      <c r="U553" s="217"/>
      <c r="V553" s="217"/>
      <c r="W553" s="217"/>
      <c r="X553" s="217"/>
      <c r="Y553" s="217"/>
      <c r="Z553" s="217"/>
      <c r="AA553" s="316"/>
      <c r="AB553" s="317"/>
      <c r="AC553" s="318"/>
      <c r="AD553" s="319"/>
      <c r="AE553" s="319"/>
      <c r="AF553" s="319"/>
      <c r="AG553" s="319"/>
      <c r="AH553" s="319"/>
      <c r="AI553" s="319"/>
      <c r="AJ553" s="319"/>
      <c r="AK553" s="217"/>
      <c r="AL553" s="217"/>
      <c r="AM553" s="217"/>
      <c r="AN553" s="217"/>
      <c r="AO553" s="217"/>
      <c r="AP553" s="217"/>
      <c r="AQ553" s="217"/>
      <c r="AR553" s="188"/>
    </row>
    <row r="554" spans="2:44" hidden="1" x14ac:dyDescent="0.3">
      <c r="B554" s="217"/>
      <c r="C554" s="217"/>
      <c r="D554" s="228"/>
      <c r="E554" s="217"/>
      <c r="F554" s="217"/>
      <c r="G554" s="316"/>
      <c r="H554" s="317"/>
      <c r="I554" s="318"/>
      <c r="J554" s="319"/>
      <c r="K554" s="319"/>
      <c r="L554" s="319"/>
      <c r="M554" s="319"/>
      <c r="N554" s="319"/>
      <c r="O554" s="319"/>
      <c r="P554" s="319"/>
      <c r="Q554" s="217"/>
      <c r="R554" s="228"/>
      <c r="S554" s="217"/>
      <c r="T554" s="217"/>
      <c r="U554" s="217"/>
      <c r="V554" s="217"/>
      <c r="W554" s="217"/>
      <c r="X554" s="217"/>
      <c r="Y554" s="217"/>
      <c r="Z554" s="217"/>
      <c r="AA554" s="316"/>
      <c r="AB554" s="317"/>
      <c r="AC554" s="318"/>
      <c r="AD554" s="319"/>
      <c r="AE554" s="319"/>
      <c r="AF554" s="319"/>
      <c r="AG554" s="319"/>
      <c r="AH554" s="319"/>
      <c r="AI554" s="319"/>
      <c r="AJ554" s="319"/>
      <c r="AK554" s="217"/>
      <c r="AL554" s="217"/>
      <c r="AM554" s="217"/>
      <c r="AN554" s="217"/>
      <c r="AO554" s="217"/>
      <c r="AP554" s="217"/>
      <c r="AQ554" s="217"/>
      <c r="AR554" s="188"/>
    </row>
    <row r="555" spans="2:44" hidden="1" x14ac:dyDescent="0.3">
      <c r="B555" s="217"/>
      <c r="C555" s="217"/>
      <c r="D555" s="228"/>
      <c r="E555" s="217"/>
      <c r="F555" s="217"/>
      <c r="G555" s="316"/>
      <c r="H555" s="317"/>
      <c r="I555" s="318"/>
      <c r="J555" s="319"/>
      <c r="K555" s="319"/>
      <c r="L555" s="319"/>
      <c r="M555" s="319"/>
      <c r="N555" s="319"/>
      <c r="O555" s="319"/>
      <c r="P555" s="319"/>
      <c r="Q555" s="217"/>
      <c r="R555" s="228"/>
      <c r="S555" s="217"/>
      <c r="T555" s="217"/>
      <c r="U555" s="217"/>
      <c r="V555" s="217"/>
      <c r="W555" s="217"/>
      <c r="X555" s="217"/>
      <c r="Y555" s="217"/>
      <c r="Z555" s="217"/>
      <c r="AA555" s="316"/>
      <c r="AB555" s="317"/>
      <c r="AC555" s="318"/>
      <c r="AD555" s="319"/>
      <c r="AE555" s="319"/>
      <c r="AF555" s="319"/>
      <c r="AG555" s="319"/>
      <c r="AH555" s="319"/>
      <c r="AI555" s="319"/>
      <c r="AJ555" s="319"/>
      <c r="AK555" s="217"/>
      <c r="AL555" s="217"/>
      <c r="AM555" s="217"/>
      <c r="AN555" s="217"/>
      <c r="AO555" s="217"/>
      <c r="AP555" s="217"/>
      <c r="AQ555" s="217"/>
      <c r="AR555" s="188"/>
    </row>
    <row r="556" spans="2:44" ht="15" hidden="1" thickBot="1" x14ac:dyDescent="0.35">
      <c r="B556" s="217"/>
      <c r="C556" s="320" t="s">
        <v>54</v>
      </c>
      <c r="D556" s="228"/>
      <c r="E556" s="217"/>
      <c r="F556" s="217"/>
      <c r="G556" s="507" t="s">
        <v>55</v>
      </c>
      <c r="H556" s="508"/>
      <c r="I556" s="503" t="s">
        <v>121</v>
      </c>
      <c r="J556" s="504"/>
      <c r="K556" s="504"/>
      <c r="L556" s="504"/>
      <c r="M556" s="504"/>
      <c r="N556" s="504"/>
      <c r="O556" s="504"/>
      <c r="P556" s="505"/>
      <c r="Q556" s="217"/>
      <c r="R556" s="228"/>
      <c r="S556" s="217"/>
      <c r="T556" s="217"/>
      <c r="U556" s="217"/>
      <c r="V556" s="217"/>
      <c r="W556" s="217"/>
      <c r="X556" s="217"/>
      <c r="Y556" s="217"/>
      <c r="Z556" s="217"/>
      <c r="AA556" s="507" t="s">
        <v>55</v>
      </c>
      <c r="AB556" s="508"/>
      <c r="AC556" s="503" t="s">
        <v>121</v>
      </c>
      <c r="AD556" s="504"/>
      <c r="AE556" s="504"/>
      <c r="AF556" s="504"/>
      <c r="AG556" s="504"/>
      <c r="AH556" s="504"/>
      <c r="AI556" s="506"/>
      <c r="AJ556" s="217"/>
      <c r="AK556" s="217"/>
      <c r="AL556" s="217"/>
      <c r="AM556" s="217"/>
      <c r="AN556" s="217"/>
      <c r="AO556" s="217"/>
      <c r="AP556" s="217"/>
      <c r="AQ556" s="217"/>
      <c r="AR556" s="188"/>
    </row>
    <row r="557" spans="2:44" hidden="1" x14ac:dyDescent="0.3">
      <c r="G557" s="497" t="s">
        <v>23</v>
      </c>
      <c r="H557" s="498"/>
      <c r="I557" s="498"/>
      <c r="J557" s="498"/>
      <c r="K557" s="498"/>
      <c r="L557" s="498"/>
      <c r="M557" s="498"/>
      <c r="N557" s="498"/>
      <c r="O557" s="498"/>
      <c r="P557" s="499"/>
      <c r="AA557" s="496" t="s">
        <v>24</v>
      </c>
      <c r="AB557" s="496"/>
      <c r="AC557" s="496"/>
      <c r="AD557" s="496"/>
      <c r="AE557" s="496"/>
      <c r="AF557" s="496"/>
      <c r="AG557" s="496"/>
      <c r="AH557" s="496"/>
      <c r="AI557" s="496"/>
    </row>
    <row r="558" spans="2:44" hidden="1" x14ac:dyDescent="0.3">
      <c r="G558" s="495" t="s">
        <v>19</v>
      </c>
      <c r="H558" s="495"/>
      <c r="I558" s="495"/>
      <c r="J558" s="496" t="s">
        <v>20</v>
      </c>
      <c r="K558" s="496"/>
      <c r="L558" s="496"/>
      <c r="M558" s="496"/>
      <c r="N558" s="496"/>
      <c r="O558" s="496"/>
      <c r="P558" s="496"/>
      <c r="AA558" s="495" t="s">
        <v>19</v>
      </c>
      <c r="AB558" s="495"/>
      <c r="AC558" s="495"/>
      <c r="AD558" s="496" t="s">
        <v>20</v>
      </c>
      <c r="AE558" s="496"/>
      <c r="AF558" s="496"/>
      <c r="AG558" s="496"/>
      <c r="AH558" s="496"/>
      <c r="AI558" s="496"/>
    </row>
    <row r="559" spans="2:44" hidden="1" x14ac:dyDescent="0.3">
      <c r="D559" s="2"/>
      <c r="G559" s="10">
        <f>IF($I$556="SAMA DENGAN DATA",Data2!A5,G544)</f>
        <v>93</v>
      </c>
      <c r="H559" s="7" t="s">
        <v>5</v>
      </c>
      <c r="I559" s="10">
        <f>IF($I$556="SAMA DENGAN DATA",Data2!C5,I544)</f>
        <v>100</v>
      </c>
      <c r="J559" s="509" t="str">
        <f>IF($I$556="SAMA DENGAN DATA",Data2!D5,J544)</f>
        <v>Sangat baik</v>
      </c>
      <c r="K559" s="509"/>
      <c r="L559" s="509"/>
      <c r="M559" s="509"/>
      <c r="N559" s="509"/>
      <c r="O559" s="509"/>
      <c r="P559" s="509"/>
      <c r="R559" s="2"/>
      <c r="AA559" s="10">
        <f>IF($AC$556="SAMA DENGAN DATA",Data2!A5,AA544)</f>
        <v>93</v>
      </c>
      <c r="AB559" s="7" t="s">
        <v>5</v>
      </c>
      <c r="AC559" s="10">
        <f>IF($AC$556="SAMA DENGAN DATA",Data2!C5,AC544)</f>
        <v>100</v>
      </c>
      <c r="AD559" s="511" t="str">
        <f>IF($AC$556="SAMA DENGAN DATA",Data2!D5,AD544)</f>
        <v>Sangat baik</v>
      </c>
      <c r="AE559" s="512"/>
      <c r="AF559" s="512"/>
      <c r="AG559" s="512"/>
      <c r="AH559" s="512"/>
      <c r="AI559" s="512"/>
    </row>
    <row r="560" spans="2:44" hidden="1" x14ac:dyDescent="0.3">
      <c r="D560" s="2"/>
      <c r="G560" s="10">
        <f>IF($I$556="SAMA DENGAN DATA",Data2!A6,G545)</f>
        <v>86</v>
      </c>
      <c r="H560" s="7" t="s">
        <v>5</v>
      </c>
      <c r="I560" s="10">
        <f>IF($I$556="SAMA DENGAN DATA",Data2!C6,I545)</f>
        <v>92</v>
      </c>
      <c r="J560" s="509" t="str">
        <f>IF($I$556="SAMA DENGAN DATA",Data2!D6,J545)</f>
        <v>Baik</v>
      </c>
      <c r="K560" s="509"/>
      <c r="L560" s="509"/>
      <c r="M560" s="509"/>
      <c r="N560" s="509"/>
      <c r="O560" s="509"/>
      <c r="P560" s="509"/>
      <c r="AA560" s="10">
        <f>IF($AC$556="SAMA DENGAN DATA",Data2!A6,AA545)</f>
        <v>86</v>
      </c>
      <c r="AB560" s="7" t="s">
        <v>5</v>
      </c>
      <c r="AC560" s="10">
        <f>IF($AC$556="SAMA DENGAN DATA",Data2!C6,AC545)</f>
        <v>92</v>
      </c>
      <c r="AD560" s="511" t="str">
        <f>IF($AC$556="SAMA DENGAN DATA",Data2!D6,AD545)</f>
        <v>Baik</v>
      </c>
      <c r="AE560" s="512"/>
      <c r="AF560" s="512"/>
      <c r="AG560" s="512"/>
      <c r="AH560" s="512"/>
      <c r="AI560" s="512"/>
    </row>
    <row r="561" spans="4:35" hidden="1" x14ac:dyDescent="0.3">
      <c r="D561" s="2"/>
      <c r="G561" s="10">
        <f>IF($I$556="SAMA DENGAN DATA",Data2!A7,G546)</f>
        <v>78</v>
      </c>
      <c r="H561" s="7" t="s">
        <v>5</v>
      </c>
      <c r="I561" s="10">
        <f>IF($I$556="SAMA DENGAN DATA",Data2!C7,I546)</f>
        <v>85</v>
      </c>
      <c r="J561" s="509" t="str">
        <f>IF($I$556="SAMA DENGAN DATA",Data2!D7,J546)</f>
        <v>Cukup menguasai</v>
      </c>
      <c r="K561" s="509"/>
      <c r="L561" s="509"/>
      <c r="M561" s="509"/>
      <c r="N561" s="509"/>
      <c r="O561" s="509"/>
      <c r="P561" s="509"/>
      <c r="AA561" s="10">
        <f>IF($AC$556="SAMA DENGAN DATA",Data2!A7,AA546)</f>
        <v>78</v>
      </c>
      <c r="AB561" s="7" t="s">
        <v>5</v>
      </c>
      <c r="AC561" s="10">
        <f>IF($AC$556="SAMA DENGAN DATA",Data2!C7,AC546)</f>
        <v>85</v>
      </c>
      <c r="AD561" s="511" t="str">
        <f>IF($AC$556="SAMA DENGAN DATA",Data2!D7,AD546)</f>
        <v>Cukup</v>
      </c>
      <c r="AE561" s="512"/>
      <c r="AF561" s="512"/>
      <c r="AG561" s="512"/>
      <c r="AH561" s="512"/>
      <c r="AI561" s="512"/>
    </row>
    <row r="562" spans="4:35" hidden="1" x14ac:dyDescent="0.3">
      <c r="D562" s="2"/>
      <c r="G562" s="10">
        <f>IF($I$556="SAMA DENGAN DATA",Data2!A8,G547)</f>
        <v>0</v>
      </c>
      <c r="H562" s="7" t="s">
        <v>5</v>
      </c>
      <c r="I562" s="10">
        <f>IF($I$556="SAMA DENGAN DATA",Data2!C8,I547)</f>
        <v>77</v>
      </c>
      <c r="J562" s="509" t="str">
        <f>IF($I$556="SAMA DENGAN DATA",Data2!D8,J547)</f>
        <v>Mulai berkembang</v>
      </c>
      <c r="K562" s="509"/>
      <c r="L562" s="509"/>
      <c r="M562" s="509"/>
      <c r="N562" s="509"/>
      <c r="O562" s="509"/>
      <c r="P562" s="509"/>
      <c r="AA562" s="10">
        <f>IF($AC$556="SAMA DENGAN DATA",Data2!A8,AA547)</f>
        <v>0</v>
      </c>
      <c r="AB562" s="7" t="s">
        <v>5</v>
      </c>
      <c r="AC562" s="10">
        <f>IF($AC$556="SAMA DENGAN DATA",Data2!C8,AC547)</f>
        <v>77</v>
      </c>
      <c r="AD562" s="511" t="str">
        <f>IF($AC$556="SAMA DENGAN DATA",Data2!D8,AD547)</f>
        <v>Mulai meningkat</v>
      </c>
      <c r="AE562" s="512"/>
      <c r="AF562" s="512"/>
      <c r="AG562" s="512"/>
      <c r="AH562" s="512"/>
      <c r="AI562" s="512"/>
    </row>
    <row r="566" spans="4:35" hidden="1" x14ac:dyDescent="0.3">
      <c r="D566" s="2"/>
      <c r="AA566" s="11"/>
      <c r="AB566" s="8"/>
      <c r="AC566" s="11"/>
      <c r="AD566" s="510"/>
      <c r="AE566" s="510"/>
      <c r="AF566" s="510"/>
      <c r="AG566" s="510"/>
      <c r="AH566" s="510"/>
      <c r="AI566" s="510"/>
    </row>
    <row r="567" spans="4:35" hidden="1" x14ac:dyDescent="0.3">
      <c r="D567" s="2"/>
      <c r="AA567" s="11"/>
      <c r="AB567" s="8"/>
      <c r="AC567" s="11"/>
      <c r="AD567" s="510"/>
      <c r="AE567" s="510"/>
      <c r="AF567" s="510"/>
      <c r="AG567" s="510"/>
      <c r="AH567" s="510"/>
      <c r="AI567" s="510"/>
    </row>
    <row r="568" spans="4:35" hidden="1" x14ac:dyDescent="0.3">
      <c r="D568" s="2"/>
      <c r="AA568" s="11"/>
      <c r="AB568" s="8"/>
      <c r="AC568" s="11"/>
      <c r="AD568" s="71"/>
      <c r="AE568" s="71"/>
      <c r="AF568" s="71"/>
      <c r="AG568" s="71"/>
      <c r="AH568" s="71"/>
      <c r="AI568" s="71"/>
    </row>
    <row r="569" spans="4:35" hidden="1" x14ac:dyDescent="0.3">
      <c r="D569" s="2"/>
      <c r="AA569" s="11"/>
      <c r="AB569" s="8"/>
      <c r="AC569" s="11"/>
      <c r="AD569" s="71"/>
      <c r="AE569" s="71"/>
      <c r="AF569" s="71"/>
      <c r="AG569" s="71"/>
      <c r="AH569" s="71"/>
      <c r="AI569" s="71"/>
    </row>
    <row r="570" spans="4:35" x14ac:dyDescent="0.3"/>
  </sheetData>
  <sheetProtection selectLockedCells="1" autoFilter="0"/>
  <autoFilter ref="A9:B547" xr:uid="{00000000-0009-0000-0000-000004000000}"/>
  <mergeCells count="76">
    <mergeCell ref="E2:F3"/>
    <mergeCell ref="G5:J5"/>
    <mergeCell ref="K5:S5"/>
    <mergeCell ref="AA5:AD5"/>
    <mergeCell ref="G556:H556"/>
    <mergeCell ref="I538:Z538"/>
    <mergeCell ref="G7:N7"/>
    <mergeCell ref="X8:Y8"/>
    <mergeCell ref="Z7:Z8"/>
    <mergeCell ref="AD543:AJ543"/>
    <mergeCell ref="AA542:AJ542"/>
    <mergeCell ref="AJ7:AJ8"/>
    <mergeCell ref="AC534:AQ534"/>
    <mergeCell ref="AC535:AQ535"/>
    <mergeCell ref="AC536:AQ536"/>
    <mergeCell ref="AC537:AQ537"/>
    <mergeCell ref="G4:S4"/>
    <mergeCell ref="G543:I543"/>
    <mergeCell ref="I531:Z531"/>
    <mergeCell ref="I532:Z532"/>
    <mergeCell ref="I533:Z533"/>
    <mergeCell ref="I534:Z534"/>
    <mergeCell ref="I535:Z535"/>
    <mergeCell ref="G542:P542"/>
    <mergeCell ref="R7:R8"/>
    <mergeCell ref="I536:Z536"/>
    <mergeCell ref="I537:Z537"/>
    <mergeCell ref="AO8:AP8"/>
    <mergeCell ref="S7:S8"/>
    <mergeCell ref="V8:W8"/>
    <mergeCell ref="C5:D5"/>
    <mergeCell ref="E5:F5"/>
    <mergeCell ref="C7:C8"/>
    <mergeCell ref="D7:D8"/>
    <mergeCell ref="E7:E8"/>
    <mergeCell ref="F7:F8"/>
    <mergeCell ref="AE5:AJ5"/>
    <mergeCell ref="AI7:AI8"/>
    <mergeCell ref="J560:P560"/>
    <mergeCell ref="AD567:AI567"/>
    <mergeCell ref="AD559:AI559"/>
    <mergeCell ref="AD560:AI560"/>
    <mergeCell ref="AD561:AI561"/>
    <mergeCell ref="AD562:AI562"/>
    <mergeCell ref="AD566:AI566"/>
    <mergeCell ref="J561:P561"/>
    <mergeCell ref="J562:P562"/>
    <mergeCell ref="J559:P559"/>
    <mergeCell ref="AA558:AC558"/>
    <mergeCell ref="AD558:AI558"/>
    <mergeCell ref="AA557:AI557"/>
    <mergeCell ref="J545:P545"/>
    <mergeCell ref="G558:I558"/>
    <mergeCell ref="J558:P558"/>
    <mergeCell ref="G557:P557"/>
    <mergeCell ref="J546:P546"/>
    <mergeCell ref="J547:P547"/>
    <mergeCell ref="I556:P556"/>
    <mergeCell ref="AC556:AI556"/>
    <mergeCell ref="AA556:AB556"/>
    <mergeCell ref="B7:B8"/>
    <mergeCell ref="AD544:AJ544"/>
    <mergeCell ref="AD545:AJ545"/>
    <mergeCell ref="AD546:AJ546"/>
    <mergeCell ref="AD547:AJ547"/>
    <mergeCell ref="J544:P544"/>
    <mergeCell ref="AC531:AQ531"/>
    <mergeCell ref="AC532:AQ532"/>
    <mergeCell ref="I539:Z539"/>
    <mergeCell ref="J543:P543"/>
    <mergeCell ref="AA543:AC543"/>
    <mergeCell ref="AC533:AQ533"/>
    <mergeCell ref="AC538:AQ538"/>
    <mergeCell ref="AC539:AQ539"/>
    <mergeCell ref="AQ7:AQ8"/>
    <mergeCell ref="AM8:AN8"/>
  </mergeCells>
  <conditionalFormatting sqref="I556">
    <cfRule type="expression" dxfId="286" priority="683">
      <formula>$I$556="TIDAK SAMA DGN DATA"</formula>
    </cfRule>
  </conditionalFormatting>
  <conditionalFormatting sqref="AC556">
    <cfRule type="expression" dxfId="285" priority="680">
      <formula>$AC$556="TIDAK SAMA DGN DATA"</formula>
    </cfRule>
  </conditionalFormatting>
  <conditionalFormatting sqref="C10:F10 H10:Z10 T11:Z89 AJ10:AQ89 H11:O89 AB10:AH89 T331:Z368 AJ330:AQ368 H331:O368 AB330:AH368">
    <cfRule type="expression" dxfId="284" priority="673">
      <formula>AND($C10&lt;&gt;"",$C11="")</formula>
    </cfRule>
    <cfRule type="expression" dxfId="283" priority="674">
      <formula>$C10=""</formula>
    </cfRule>
  </conditionalFormatting>
  <conditionalFormatting sqref="AI10:AI89 AI330:AI368">
    <cfRule type="cellIs" dxfId="282" priority="532" operator="lessThan">
      <formula>$D$3</formula>
    </cfRule>
    <cfRule type="expression" dxfId="281" priority="537">
      <formula>AND($C10&lt;&gt;"",$C11="")</formula>
    </cfRule>
    <cfRule type="expression" dxfId="280" priority="538">
      <formula>$C10=""</formula>
    </cfRule>
  </conditionalFormatting>
  <conditionalFormatting sqref="P11:S89 C11:F89">
    <cfRule type="expression" dxfId="279" priority="2961">
      <formula>AND($C11&lt;&gt;"",#REF!="")</formula>
    </cfRule>
    <cfRule type="expression" dxfId="278" priority="2962">
      <formula>$C11=""</formula>
    </cfRule>
  </conditionalFormatting>
  <conditionalFormatting sqref="R10:R89">
    <cfRule type="cellIs" dxfId="277" priority="533" operator="lessThan">
      <formula>$D$3</formula>
    </cfRule>
  </conditionalFormatting>
  <conditionalFormatting sqref="G10:N89 AA11:AH89 G330:N368 AA331:AH368">
    <cfRule type="expression" dxfId="276" priority="525">
      <formula>AND($B10&lt;&gt;"",$B11="")</formula>
    </cfRule>
    <cfRule type="expression" dxfId="275" priority="526">
      <formula>$B10=""</formula>
    </cfRule>
  </conditionalFormatting>
  <conditionalFormatting sqref="G10:N10">
    <cfRule type="expression" dxfId="274" priority="524">
      <formula>COUNTIF($F10:$M10,G10)&gt;1</formula>
    </cfRule>
  </conditionalFormatting>
  <conditionalFormatting sqref="G11:N89">
    <cfRule type="expression" dxfId="273" priority="519">
      <formula>COUNTIF($F11:$M11,G11)&gt;1</formula>
    </cfRule>
  </conditionalFormatting>
  <conditionalFormatting sqref="AA10:AH10">
    <cfRule type="expression" dxfId="272" priority="517">
      <formula>AND($B10&lt;&gt;"",$B11="")</formula>
    </cfRule>
    <cfRule type="expression" dxfId="271" priority="518">
      <formula>$B10=""</formula>
    </cfRule>
  </conditionalFormatting>
  <conditionalFormatting sqref="AA10:AH10">
    <cfRule type="expression" dxfId="270" priority="516">
      <formula>COUNTIF($F10:$M10,AA10)&gt;1</formula>
    </cfRule>
  </conditionalFormatting>
  <conditionalFormatting sqref="AA542 AA543:AD543">
    <cfRule type="expression" dxfId="269" priority="4190">
      <formula>$AC$556="SAMA DENGAN DATA"</formula>
    </cfRule>
  </conditionalFormatting>
  <conditionalFormatting sqref="Q546 AA547:AJ555 AD545:AJ555 AA544:AJ544 AA545:AC546 G542:P555">
    <cfRule type="expression" dxfId="268" priority="4192">
      <formula>$I$556="SAMA DENGAN DATA"</formula>
    </cfRule>
  </conditionalFormatting>
  <conditionalFormatting sqref="AA11:AH89">
    <cfRule type="expression" dxfId="267" priority="498">
      <formula>COUNTIF($F11:$M11,AA11)&gt;1</formula>
    </cfRule>
  </conditionalFormatting>
  <conditionalFormatting sqref="Z10:Z89">
    <cfRule type="expression" dxfId="266" priority="495">
      <formula>AND($O10="",$R10="")</formula>
    </cfRule>
  </conditionalFormatting>
  <conditionalFormatting sqref="Z11:Z89">
    <cfRule type="expression" dxfId="265" priority="494">
      <formula>AND($O$10="",$R$10="")</formula>
    </cfRule>
  </conditionalFormatting>
  <conditionalFormatting sqref="AQ10:AQ89">
    <cfRule type="expression" dxfId="264" priority="493">
      <formula>$AI10=""</formula>
    </cfRule>
  </conditionalFormatting>
  <conditionalFormatting sqref="AQ11">
    <cfRule type="expression" dxfId="263" priority="491">
      <formula>AND($C11&lt;&gt;"",$C12="")</formula>
    </cfRule>
    <cfRule type="expression" dxfId="262" priority="492">
      <formula>$C11=""</formula>
    </cfRule>
  </conditionalFormatting>
  <conditionalFormatting sqref="AQ11">
    <cfRule type="expression" dxfId="261" priority="490">
      <formula>$AI10=""</formula>
    </cfRule>
  </conditionalFormatting>
  <conditionalFormatting sqref="C90:F90 H90:Z90 T91:Z129 AJ90:AQ129 H91:O129 AB90:AH129">
    <cfRule type="expression" dxfId="260" priority="317">
      <formula>AND($C90&lt;&gt;"",$C91="")</formula>
    </cfRule>
    <cfRule type="expression" dxfId="259" priority="318">
      <formula>$C90=""</formula>
    </cfRule>
  </conditionalFormatting>
  <conditionalFormatting sqref="AI90:AI129">
    <cfRule type="cellIs" dxfId="258" priority="311" operator="lessThan">
      <formula>$D$3</formula>
    </cfRule>
    <cfRule type="expression" dxfId="257" priority="313">
      <formula>AND($C90&lt;&gt;"",$C91="")</formula>
    </cfRule>
    <cfRule type="expression" dxfId="256" priority="314">
      <formula>$C90=""</formula>
    </cfRule>
  </conditionalFormatting>
  <conditionalFormatting sqref="P91:S129 C91:F129">
    <cfRule type="expression" dxfId="255" priority="319">
      <formula>AND($C91&lt;&gt;"",#REF!="")</formula>
    </cfRule>
    <cfRule type="expression" dxfId="254" priority="320">
      <formula>$C91=""</formula>
    </cfRule>
  </conditionalFormatting>
  <conditionalFormatting sqref="R90:R129">
    <cfRule type="cellIs" dxfId="253" priority="312" operator="lessThan">
      <formula>$D$3</formula>
    </cfRule>
  </conditionalFormatting>
  <conditionalFormatting sqref="G90:N129 AA91:AH129">
    <cfRule type="expression" dxfId="252" priority="309">
      <formula>AND($B90&lt;&gt;"",$B91="")</formula>
    </cfRule>
    <cfRule type="expression" dxfId="251" priority="310">
      <formula>$B90=""</formula>
    </cfRule>
  </conditionalFormatting>
  <conditionalFormatting sqref="G90:N90">
    <cfRule type="expression" dxfId="250" priority="308">
      <formula>COUNTIF($F90:$M90,G90)&gt;1</formula>
    </cfRule>
  </conditionalFormatting>
  <conditionalFormatting sqref="G91:N129">
    <cfRule type="expression" dxfId="249" priority="307">
      <formula>COUNTIF($F91:$M91,G91)&gt;1</formula>
    </cfRule>
  </conditionalFormatting>
  <conditionalFormatting sqref="AA90:AH90">
    <cfRule type="expression" dxfId="248" priority="305">
      <formula>AND($B90&lt;&gt;"",$B91="")</formula>
    </cfRule>
    <cfRule type="expression" dxfId="247" priority="306">
      <formula>$B90=""</formula>
    </cfRule>
  </conditionalFormatting>
  <conditionalFormatting sqref="AA90:AH90">
    <cfRule type="expression" dxfId="246" priority="304">
      <formula>COUNTIF($F90:$M90,AA90)&gt;1</formula>
    </cfRule>
  </conditionalFormatting>
  <conditionalFormatting sqref="AA91:AH129">
    <cfRule type="expression" dxfId="245" priority="303">
      <formula>COUNTIF($F91:$M91,AA91)&gt;1</formula>
    </cfRule>
  </conditionalFormatting>
  <conditionalFormatting sqref="Z90:Z129">
    <cfRule type="expression" dxfId="244" priority="302">
      <formula>AND($O90="",$R90="")</formula>
    </cfRule>
  </conditionalFormatting>
  <conditionalFormatting sqref="Z91:Z129">
    <cfRule type="expression" dxfId="243" priority="301">
      <formula>AND($O$10="",$R$10="")</formula>
    </cfRule>
  </conditionalFormatting>
  <conditionalFormatting sqref="AQ90:AQ129">
    <cfRule type="expression" dxfId="242" priority="300">
      <formula>$AI90=""</formula>
    </cfRule>
  </conditionalFormatting>
  <conditionalFormatting sqref="AQ91">
    <cfRule type="expression" dxfId="241" priority="298">
      <formula>AND($C91&lt;&gt;"",$C92="")</formula>
    </cfRule>
    <cfRule type="expression" dxfId="240" priority="299">
      <formula>$C91=""</formula>
    </cfRule>
  </conditionalFormatting>
  <conditionalFormatting sqref="AQ91">
    <cfRule type="expression" dxfId="239" priority="297">
      <formula>$AI90=""</formula>
    </cfRule>
  </conditionalFormatting>
  <conditionalFormatting sqref="C170:F170 H170:Z170 T171:Z209 AJ170:AQ209 H171:O209 AB170:AH209">
    <cfRule type="expression" dxfId="238" priority="293">
      <formula>AND($C170&lt;&gt;"",$C171="")</formula>
    </cfRule>
    <cfRule type="expression" dxfId="237" priority="294">
      <formula>$C170=""</formula>
    </cfRule>
  </conditionalFormatting>
  <conditionalFormatting sqref="AI170:AI209">
    <cfRule type="cellIs" dxfId="236" priority="287" operator="lessThan">
      <formula>$D$3</formula>
    </cfRule>
    <cfRule type="expression" dxfId="235" priority="289">
      <formula>AND($C170&lt;&gt;"",$C171="")</formula>
    </cfRule>
    <cfRule type="expression" dxfId="234" priority="290">
      <formula>$C170=""</formula>
    </cfRule>
  </conditionalFormatting>
  <conditionalFormatting sqref="P171:S209 C171:F209">
    <cfRule type="expression" dxfId="233" priority="295">
      <formula>AND($C171&lt;&gt;"",#REF!="")</formula>
    </cfRule>
    <cfRule type="expression" dxfId="232" priority="296">
      <formula>$C171=""</formula>
    </cfRule>
  </conditionalFormatting>
  <conditionalFormatting sqref="R170:R209">
    <cfRule type="cellIs" dxfId="231" priority="288" operator="lessThan">
      <formula>$D$3</formula>
    </cfRule>
  </conditionalFormatting>
  <conditionalFormatting sqref="G170:N209 AA171:AH209">
    <cfRule type="expression" dxfId="230" priority="285">
      <formula>AND($B170&lt;&gt;"",$B171="")</formula>
    </cfRule>
    <cfRule type="expression" dxfId="229" priority="286">
      <formula>$B170=""</formula>
    </cfRule>
  </conditionalFormatting>
  <conditionalFormatting sqref="G170:N170">
    <cfRule type="expression" dxfId="228" priority="284">
      <formula>COUNTIF($F170:$M170,G170)&gt;1</formula>
    </cfRule>
  </conditionalFormatting>
  <conditionalFormatting sqref="G171:N209">
    <cfRule type="expression" dxfId="227" priority="283">
      <formula>COUNTIF($F171:$M171,G171)&gt;1</formula>
    </cfRule>
  </conditionalFormatting>
  <conditionalFormatting sqref="AA170:AH170">
    <cfRule type="expression" dxfId="226" priority="281">
      <formula>AND($B170&lt;&gt;"",$B171="")</formula>
    </cfRule>
    <cfRule type="expression" dxfId="225" priority="282">
      <formula>$B170=""</formula>
    </cfRule>
  </conditionalFormatting>
  <conditionalFormatting sqref="AA170:AH170">
    <cfRule type="expression" dxfId="224" priority="280">
      <formula>COUNTIF($F170:$M170,AA170)&gt;1</formula>
    </cfRule>
  </conditionalFormatting>
  <conditionalFormatting sqref="AA171:AH209">
    <cfRule type="expression" dxfId="223" priority="279">
      <formula>COUNTIF($F171:$M171,AA171)&gt;1</formula>
    </cfRule>
  </conditionalFormatting>
  <conditionalFormatting sqref="Z170:Z209">
    <cfRule type="expression" dxfId="222" priority="278">
      <formula>AND($O170="",$R170="")</formula>
    </cfRule>
  </conditionalFormatting>
  <conditionalFormatting sqref="Z171:Z209">
    <cfRule type="expression" dxfId="221" priority="277">
      <formula>AND($O$10="",$R$10="")</formula>
    </cfRule>
  </conditionalFormatting>
  <conditionalFormatting sqref="AQ170:AQ209">
    <cfRule type="expression" dxfId="220" priority="276">
      <formula>$AI170=""</formula>
    </cfRule>
  </conditionalFormatting>
  <conditionalFormatting sqref="AQ171">
    <cfRule type="expression" dxfId="219" priority="274">
      <formula>AND($C171&lt;&gt;"",$C172="")</formula>
    </cfRule>
    <cfRule type="expression" dxfId="218" priority="275">
      <formula>$C171=""</formula>
    </cfRule>
  </conditionalFormatting>
  <conditionalFormatting sqref="AQ171">
    <cfRule type="expression" dxfId="217" priority="273">
      <formula>$AI170=""</formula>
    </cfRule>
  </conditionalFormatting>
  <conditionalFormatting sqref="C250:F250 H250:Z250 T251:Z289 AJ250:AQ289 H251:O289 AB250:AH289">
    <cfRule type="expression" dxfId="216" priority="269">
      <formula>AND($C250&lt;&gt;"",$C251="")</formula>
    </cfRule>
    <cfRule type="expression" dxfId="215" priority="270">
      <formula>$C250=""</formula>
    </cfRule>
  </conditionalFormatting>
  <conditionalFormatting sqref="AI250:AI289">
    <cfRule type="cellIs" dxfId="214" priority="263" operator="lessThan">
      <formula>$D$3</formula>
    </cfRule>
    <cfRule type="expression" dxfId="213" priority="265">
      <formula>AND($C250&lt;&gt;"",$C251="")</formula>
    </cfRule>
    <cfRule type="expression" dxfId="212" priority="266">
      <formula>$C250=""</formula>
    </cfRule>
  </conditionalFormatting>
  <conditionalFormatting sqref="P251:S289 C251:F289">
    <cfRule type="expression" dxfId="211" priority="271">
      <formula>AND($C251&lt;&gt;"",#REF!="")</formula>
    </cfRule>
    <cfRule type="expression" dxfId="210" priority="272">
      <formula>$C251=""</formula>
    </cfRule>
  </conditionalFormatting>
  <conditionalFormatting sqref="R250:R289">
    <cfRule type="cellIs" dxfId="209" priority="264" operator="lessThan">
      <formula>$D$3</formula>
    </cfRule>
  </conditionalFormatting>
  <conditionalFormatting sqref="G250:N289 AA251:AH289">
    <cfRule type="expression" dxfId="208" priority="261">
      <formula>AND($B250&lt;&gt;"",$B251="")</formula>
    </cfRule>
    <cfRule type="expression" dxfId="207" priority="262">
      <formula>$B250=""</formula>
    </cfRule>
  </conditionalFormatting>
  <conditionalFormatting sqref="G250:N250">
    <cfRule type="expression" dxfId="206" priority="260">
      <formula>COUNTIF($F250:$M250,G250)&gt;1</formula>
    </cfRule>
  </conditionalFormatting>
  <conditionalFormatting sqref="G251:N289">
    <cfRule type="expression" dxfId="205" priority="259">
      <formula>COUNTIF($F251:$M251,G251)&gt;1</formula>
    </cfRule>
  </conditionalFormatting>
  <conditionalFormatting sqref="AA250:AH250">
    <cfRule type="expression" dxfId="204" priority="257">
      <formula>AND($B250&lt;&gt;"",$B251="")</formula>
    </cfRule>
    <cfRule type="expression" dxfId="203" priority="258">
      <formula>$B250=""</formula>
    </cfRule>
  </conditionalFormatting>
  <conditionalFormatting sqref="AA250:AH250">
    <cfRule type="expression" dxfId="202" priority="256">
      <formula>COUNTIF($F250:$M250,AA250)&gt;1</formula>
    </cfRule>
  </conditionalFormatting>
  <conditionalFormatting sqref="AA251:AH289">
    <cfRule type="expression" dxfId="201" priority="255">
      <formula>COUNTIF($F251:$M251,AA251)&gt;1</formula>
    </cfRule>
  </conditionalFormatting>
  <conditionalFormatting sqref="Z250:Z289">
    <cfRule type="expression" dxfId="200" priority="254">
      <formula>AND($O250="",$R250="")</formula>
    </cfRule>
  </conditionalFormatting>
  <conditionalFormatting sqref="Z251:Z289">
    <cfRule type="expression" dxfId="199" priority="253">
      <formula>AND($O$10="",$R$10="")</formula>
    </cfRule>
  </conditionalFormatting>
  <conditionalFormatting sqref="AQ250:AQ289">
    <cfRule type="expression" dxfId="198" priority="252">
      <formula>$AI250=""</formula>
    </cfRule>
  </conditionalFormatting>
  <conditionalFormatting sqref="AQ251">
    <cfRule type="expression" dxfId="197" priority="250">
      <formula>AND($C251&lt;&gt;"",$C252="")</formula>
    </cfRule>
    <cfRule type="expression" dxfId="196" priority="251">
      <formula>$C251=""</formula>
    </cfRule>
  </conditionalFormatting>
  <conditionalFormatting sqref="AQ251">
    <cfRule type="expression" dxfId="195" priority="249">
      <formula>$AI250=""</formula>
    </cfRule>
  </conditionalFormatting>
  <conditionalFormatting sqref="C330:F330 H330:Z330">
    <cfRule type="expression" dxfId="194" priority="245">
      <formula>AND($C330&lt;&gt;"",$C331="")</formula>
    </cfRule>
    <cfRule type="expression" dxfId="193" priority="246">
      <formula>$C330=""</formula>
    </cfRule>
  </conditionalFormatting>
  <conditionalFormatting sqref="P331:S369 C331:F369">
    <cfRule type="expression" dxfId="192" priority="247">
      <formula>AND($C331&lt;&gt;"",#REF!="")</formula>
    </cfRule>
    <cfRule type="expression" dxfId="191" priority="248">
      <formula>$C331=""</formula>
    </cfRule>
  </conditionalFormatting>
  <conditionalFormatting sqref="R330:R369">
    <cfRule type="cellIs" dxfId="190" priority="240" operator="lessThan">
      <formula>$D$3</formula>
    </cfRule>
  </conditionalFormatting>
  <conditionalFormatting sqref="G330:N330">
    <cfRule type="expression" dxfId="189" priority="236">
      <formula>COUNTIF($F330:$M330,G330)&gt;1</formula>
    </cfRule>
  </conditionalFormatting>
  <conditionalFormatting sqref="G331:N369">
    <cfRule type="expression" dxfId="188" priority="235">
      <formula>COUNTIF($F331:$M331,G331)&gt;1</formula>
    </cfRule>
  </conditionalFormatting>
  <conditionalFormatting sqref="AA330:AH330">
    <cfRule type="expression" dxfId="187" priority="233">
      <formula>AND($B330&lt;&gt;"",$B331="")</formula>
    </cfRule>
    <cfRule type="expression" dxfId="186" priority="234">
      <formula>$B330=""</formula>
    </cfRule>
  </conditionalFormatting>
  <conditionalFormatting sqref="AA330:AH330">
    <cfRule type="expression" dxfId="185" priority="232">
      <formula>COUNTIF($F330:$M330,AA330)&gt;1</formula>
    </cfRule>
  </conditionalFormatting>
  <conditionalFormatting sqref="AA331:AH369">
    <cfRule type="expression" dxfId="184" priority="231">
      <formula>COUNTIF($F331:$M331,AA331)&gt;1</formula>
    </cfRule>
  </conditionalFormatting>
  <conditionalFormatting sqref="Z330:Z369">
    <cfRule type="expression" dxfId="183" priority="230">
      <formula>AND($O330="",$R330="")</formula>
    </cfRule>
  </conditionalFormatting>
  <conditionalFormatting sqref="Z331:Z369">
    <cfRule type="expression" dxfId="182" priority="229">
      <formula>AND($O$10="",$R$10="")</formula>
    </cfRule>
  </conditionalFormatting>
  <conditionalFormatting sqref="AQ330:AQ369">
    <cfRule type="expression" dxfId="181" priority="228">
      <formula>$AI330=""</formula>
    </cfRule>
  </conditionalFormatting>
  <conditionalFormatting sqref="AQ331">
    <cfRule type="expression" dxfId="180" priority="226">
      <formula>AND($C331&lt;&gt;"",$C332="")</formula>
    </cfRule>
    <cfRule type="expression" dxfId="179" priority="227">
      <formula>$C331=""</formula>
    </cfRule>
  </conditionalFormatting>
  <conditionalFormatting sqref="AQ331">
    <cfRule type="expression" dxfId="178" priority="225">
      <formula>$AI330=""</formula>
    </cfRule>
  </conditionalFormatting>
  <conditionalFormatting sqref="T130:Z169 AJ130:AQ169 H130:O169 AB130:AH169">
    <cfRule type="expression" dxfId="177" priority="197">
      <formula>AND($C130&lt;&gt;"",$C131="")</formula>
    </cfRule>
    <cfRule type="expression" dxfId="176" priority="198">
      <formula>$C130=""</formula>
    </cfRule>
  </conditionalFormatting>
  <conditionalFormatting sqref="AI130:AI169">
    <cfRule type="cellIs" dxfId="175" priority="191" operator="lessThan">
      <formula>$D$3</formula>
    </cfRule>
    <cfRule type="expression" dxfId="174" priority="193">
      <formula>AND($C130&lt;&gt;"",$C131="")</formula>
    </cfRule>
    <cfRule type="expression" dxfId="173" priority="194">
      <formula>$C130=""</formula>
    </cfRule>
  </conditionalFormatting>
  <conditionalFormatting sqref="P130:S169 C130:F169">
    <cfRule type="expression" dxfId="172" priority="199">
      <formula>AND($C130&lt;&gt;"",#REF!="")</formula>
    </cfRule>
    <cfRule type="expression" dxfId="171" priority="200">
      <formula>$C130=""</formula>
    </cfRule>
  </conditionalFormatting>
  <conditionalFormatting sqref="R130:R169">
    <cfRule type="cellIs" dxfId="170" priority="192" operator="lessThan">
      <formula>$D$3</formula>
    </cfRule>
  </conditionalFormatting>
  <conditionalFormatting sqref="G130:N169 AA130:AH169">
    <cfRule type="expression" dxfId="169" priority="189">
      <formula>AND($B130&lt;&gt;"",$B131="")</formula>
    </cfRule>
    <cfRule type="expression" dxfId="168" priority="190">
      <formula>$B130=""</formula>
    </cfRule>
  </conditionalFormatting>
  <conditionalFormatting sqref="G130:N169">
    <cfRule type="expression" dxfId="167" priority="188">
      <formula>COUNTIF($F130:$M130,G130)&gt;1</formula>
    </cfRule>
  </conditionalFormatting>
  <conditionalFormatting sqref="AA130:AH169">
    <cfRule type="expression" dxfId="166" priority="187">
      <formula>COUNTIF($F130:$M130,AA130)&gt;1</formula>
    </cfRule>
  </conditionalFormatting>
  <conditionalFormatting sqref="Z130:Z169">
    <cfRule type="expression" dxfId="165" priority="186">
      <formula>AND($O130="",$R130="")</formula>
    </cfRule>
  </conditionalFormatting>
  <conditionalFormatting sqref="Z130:Z169">
    <cfRule type="expression" dxfId="164" priority="185">
      <formula>AND($O$10="",$R$10="")</formula>
    </cfRule>
  </conditionalFormatting>
  <conditionalFormatting sqref="AQ130:AQ169">
    <cfRule type="expression" dxfId="163" priority="184">
      <formula>$AI130=""</formula>
    </cfRule>
  </conditionalFormatting>
  <conditionalFormatting sqref="T210:Z249 AJ210:AQ249 H210:O249 AB210:AH249">
    <cfRule type="expression" dxfId="162" priority="180">
      <formula>AND($C210&lt;&gt;"",$C211="")</formula>
    </cfRule>
    <cfRule type="expression" dxfId="161" priority="181">
      <formula>$C210=""</formula>
    </cfRule>
  </conditionalFormatting>
  <conditionalFormatting sqref="AI210:AI249">
    <cfRule type="cellIs" dxfId="160" priority="174" operator="lessThan">
      <formula>$D$3</formula>
    </cfRule>
    <cfRule type="expression" dxfId="159" priority="176">
      <formula>AND($C210&lt;&gt;"",$C211="")</formula>
    </cfRule>
    <cfRule type="expression" dxfId="158" priority="177">
      <formula>$C210=""</formula>
    </cfRule>
  </conditionalFormatting>
  <conditionalFormatting sqref="P210:S249 C210:F249">
    <cfRule type="expression" dxfId="157" priority="182">
      <formula>AND($C210&lt;&gt;"",#REF!="")</formula>
    </cfRule>
    <cfRule type="expression" dxfId="156" priority="183">
      <formula>$C210=""</formula>
    </cfRule>
  </conditionalFormatting>
  <conditionalFormatting sqref="R210:R249">
    <cfRule type="cellIs" dxfId="155" priority="175" operator="lessThan">
      <formula>$D$3</formula>
    </cfRule>
  </conditionalFormatting>
  <conditionalFormatting sqref="G210:N249 AA210:AH249">
    <cfRule type="expression" dxfId="154" priority="172">
      <formula>AND($B210&lt;&gt;"",$B211="")</formula>
    </cfRule>
    <cfRule type="expression" dxfId="153" priority="173">
      <formula>$B210=""</formula>
    </cfRule>
  </conditionalFormatting>
  <conditionalFormatting sqref="G210:N249">
    <cfRule type="expression" dxfId="152" priority="171">
      <formula>COUNTIF($F210:$M210,G210)&gt;1</formula>
    </cfRule>
  </conditionalFormatting>
  <conditionalFormatting sqref="AA210:AH249">
    <cfRule type="expression" dxfId="151" priority="170">
      <formula>COUNTIF($F210:$M210,AA210)&gt;1</formula>
    </cfRule>
  </conditionalFormatting>
  <conditionalFormatting sqref="Z210:Z249">
    <cfRule type="expression" dxfId="150" priority="169">
      <formula>AND($O210="",$R210="")</formula>
    </cfRule>
  </conditionalFormatting>
  <conditionalFormatting sqref="Z210:Z249">
    <cfRule type="expression" dxfId="149" priority="168">
      <formula>AND($O$10="",$R$10="")</formula>
    </cfRule>
  </conditionalFormatting>
  <conditionalFormatting sqref="AQ210:AQ249">
    <cfRule type="expression" dxfId="148" priority="167">
      <formula>$AI210=""</formula>
    </cfRule>
  </conditionalFormatting>
  <conditionalFormatting sqref="T290:Z329 AJ290:AQ329 H290:O329 AB290:AH329">
    <cfRule type="expression" dxfId="147" priority="163">
      <formula>AND($C290&lt;&gt;"",$C291="")</formula>
    </cfRule>
    <cfRule type="expression" dxfId="146" priority="164">
      <formula>$C290=""</formula>
    </cfRule>
  </conditionalFormatting>
  <conditionalFormatting sqref="AI290:AI329">
    <cfRule type="cellIs" dxfId="145" priority="157" operator="lessThan">
      <formula>$D$3</formula>
    </cfRule>
    <cfRule type="expression" dxfId="144" priority="159">
      <formula>AND($C290&lt;&gt;"",$C291="")</formula>
    </cfRule>
    <cfRule type="expression" dxfId="143" priority="160">
      <formula>$C290=""</formula>
    </cfRule>
  </conditionalFormatting>
  <conditionalFormatting sqref="P290:S329 C290:F329">
    <cfRule type="expression" dxfId="142" priority="165">
      <formula>AND($C290&lt;&gt;"",#REF!="")</formula>
    </cfRule>
    <cfRule type="expression" dxfId="141" priority="166">
      <formula>$C290=""</formula>
    </cfRule>
  </conditionalFormatting>
  <conditionalFormatting sqref="R290:R329">
    <cfRule type="cellIs" dxfId="140" priority="158" operator="lessThan">
      <formula>$D$3</formula>
    </cfRule>
  </conditionalFormatting>
  <conditionalFormatting sqref="G290:N329 AA290:AH329">
    <cfRule type="expression" dxfId="139" priority="155">
      <formula>AND($B290&lt;&gt;"",$B291="")</formula>
    </cfRule>
    <cfRule type="expression" dxfId="138" priority="156">
      <formula>$B290=""</formula>
    </cfRule>
  </conditionalFormatting>
  <conditionalFormatting sqref="G290:N329">
    <cfRule type="expression" dxfId="137" priority="154">
      <formula>COUNTIF($F290:$M290,G290)&gt;1</formula>
    </cfRule>
  </conditionalFormatting>
  <conditionalFormatting sqref="AA290:AH329">
    <cfRule type="expression" dxfId="136" priority="153">
      <formula>COUNTIF($F290:$M290,AA290)&gt;1</formula>
    </cfRule>
  </conditionalFormatting>
  <conditionalFormatting sqref="Z290:Z329">
    <cfRule type="expression" dxfId="135" priority="152">
      <formula>AND($O290="",$R290="")</formula>
    </cfRule>
  </conditionalFormatting>
  <conditionalFormatting sqref="Z290:Z329">
    <cfRule type="expression" dxfId="134" priority="151">
      <formula>AND($O$10="",$R$10="")</formula>
    </cfRule>
  </conditionalFormatting>
  <conditionalFormatting sqref="AQ290:AQ329">
    <cfRule type="expression" dxfId="133" priority="150">
      <formula>$AI290=""</formula>
    </cfRule>
  </conditionalFormatting>
  <conditionalFormatting sqref="T369:Z369 AJ369:AQ369 H369:O369 AB369:AH369">
    <cfRule type="expression" dxfId="132" priority="4201">
      <formula>AND($C369&lt;&gt;"",$C450="")</formula>
    </cfRule>
    <cfRule type="expression" dxfId="131" priority="4202">
      <formula>$C369=""</formula>
    </cfRule>
  </conditionalFormatting>
  <conditionalFormatting sqref="AI369">
    <cfRule type="cellIs" dxfId="130" priority="4218" operator="lessThan">
      <formula>$D$3</formula>
    </cfRule>
    <cfRule type="expression" dxfId="129" priority="4219">
      <formula>AND($C369&lt;&gt;"",$C450="")</formula>
    </cfRule>
    <cfRule type="expression" dxfId="128" priority="4220">
      <formula>$C369=""</formula>
    </cfRule>
  </conditionalFormatting>
  <conditionalFormatting sqref="G369:N369 AA369:AH369">
    <cfRule type="expression" dxfId="127" priority="4223">
      <formula>AND($B369&lt;&gt;"",$B450="")</formula>
    </cfRule>
    <cfRule type="expression" dxfId="126" priority="4224">
      <formula>$B369=""</formula>
    </cfRule>
  </conditionalFormatting>
  <conditionalFormatting sqref="T411:Z448 AJ410:AQ448 H411:O448 AB410:AH448">
    <cfRule type="expression" dxfId="125" priority="88">
      <formula>AND($C410&lt;&gt;"",$C411="")</formula>
    </cfRule>
    <cfRule type="expression" dxfId="124" priority="89">
      <formula>$C410=""</formula>
    </cfRule>
  </conditionalFormatting>
  <conditionalFormatting sqref="AI410:AI448">
    <cfRule type="cellIs" dxfId="123" priority="83" operator="lessThan">
      <formula>$D$3</formula>
    </cfRule>
    <cfRule type="expression" dxfId="122" priority="84">
      <formula>AND($C410&lt;&gt;"",$C411="")</formula>
    </cfRule>
    <cfRule type="expression" dxfId="121" priority="85">
      <formula>$C410=""</formula>
    </cfRule>
  </conditionalFormatting>
  <conditionalFormatting sqref="G410:N448 AA411:AH448">
    <cfRule type="expression" dxfId="120" priority="81">
      <formula>AND($B410&lt;&gt;"",$B411="")</formula>
    </cfRule>
    <cfRule type="expression" dxfId="119" priority="82">
      <formula>$B410=""</formula>
    </cfRule>
  </conditionalFormatting>
  <conditionalFormatting sqref="C410:F410 H410:Z410">
    <cfRule type="expression" dxfId="118" priority="77">
      <formula>AND($C410&lt;&gt;"",$C411="")</formula>
    </cfRule>
    <cfRule type="expression" dxfId="117" priority="78">
      <formula>$C410=""</formula>
    </cfRule>
  </conditionalFormatting>
  <conditionalFormatting sqref="P411:S449 C411:F449">
    <cfRule type="expression" dxfId="116" priority="79">
      <formula>AND($C411&lt;&gt;"",#REF!="")</formula>
    </cfRule>
    <cfRule type="expression" dxfId="115" priority="80">
      <formula>$C411=""</formula>
    </cfRule>
  </conditionalFormatting>
  <conditionalFormatting sqref="R410:R449">
    <cfRule type="cellIs" dxfId="114" priority="76" operator="lessThan">
      <formula>$D$3</formula>
    </cfRule>
  </conditionalFormatting>
  <conditionalFormatting sqref="G410:N410">
    <cfRule type="expression" dxfId="113" priority="75">
      <formula>COUNTIF($F410:$M410,G410)&gt;1</formula>
    </cfRule>
  </conditionalFormatting>
  <conditionalFormatting sqref="G411:N449">
    <cfRule type="expression" dxfId="112" priority="74">
      <formula>COUNTIF($F411:$M411,G411)&gt;1</formula>
    </cfRule>
  </conditionalFormatting>
  <conditionalFormatting sqref="AA410:AH410">
    <cfRule type="expression" dxfId="111" priority="72">
      <formula>AND($B410&lt;&gt;"",$B411="")</formula>
    </cfRule>
    <cfRule type="expression" dxfId="110" priority="73">
      <formula>$B410=""</formula>
    </cfRule>
  </conditionalFormatting>
  <conditionalFormatting sqref="AA410:AH410">
    <cfRule type="expression" dxfId="109" priority="71">
      <formula>COUNTIF($F410:$M410,AA410)&gt;1</formula>
    </cfRule>
  </conditionalFormatting>
  <conditionalFormatting sqref="AA411:AH449">
    <cfRule type="expression" dxfId="108" priority="70">
      <formula>COUNTIF($F411:$M411,AA411)&gt;1</formula>
    </cfRule>
  </conditionalFormatting>
  <conditionalFormatting sqref="Z410:Z449">
    <cfRule type="expression" dxfId="107" priority="69">
      <formula>AND($O410="",$R410="")</formula>
    </cfRule>
  </conditionalFormatting>
  <conditionalFormatting sqref="Z411:Z449">
    <cfRule type="expression" dxfId="106" priority="68">
      <formula>AND($O$10="",$R$10="")</formula>
    </cfRule>
  </conditionalFormatting>
  <conditionalFormatting sqref="AQ410:AQ449">
    <cfRule type="expression" dxfId="105" priority="67">
      <formula>$AI410=""</formula>
    </cfRule>
  </conditionalFormatting>
  <conditionalFormatting sqref="AQ411">
    <cfRule type="expression" dxfId="104" priority="65">
      <formula>AND($C411&lt;&gt;"",$C412="")</formula>
    </cfRule>
    <cfRule type="expression" dxfId="103" priority="66">
      <formula>$C411=""</formula>
    </cfRule>
  </conditionalFormatting>
  <conditionalFormatting sqref="AQ411">
    <cfRule type="expression" dxfId="102" priority="64">
      <formula>$AI410=""</formula>
    </cfRule>
  </conditionalFormatting>
  <conditionalFormatting sqref="T370:Z409 AJ370:AQ409 H370:O409 AB370:AH409">
    <cfRule type="expression" dxfId="101" priority="60">
      <formula>AND($C370&lt;&gt;"",$C371="")</formula>
    </cfRule>
    <cfRule type="expression" dxfId="100" priority="61">
      <formula>$C370=""</formula>
    </cfRule>
  </conditionalFormatting>
  <conditionalFormatting sqref="AI370:AI409">
    <cfRule type="cellIs" dxfId="99" priority="56" operator="lessThan">
      <formula>$D$3</formula>
    </cfRule>
    <cfRule type="expression" dxfId="98" priority="58">
      <formula>AND($C370&lt;&gt;"",$C371="")</formula>
    </cfRule>
    <cfRule type="expression" dxfId="97" priority="59">
      <formula>$C370=""</formula>
    </cfRule>
  </conditionalFormatting>
  <conditionalFormatting sqref="P370:S409 C370:F409">
    <cfRule type="expression" dxfId="96" priority="62">
      <formula>AND($C370&lt;&gt;"",#REF!="")</formula>
    </cfRule>
    <cfRule type="expression" dxfId="95" priority="63">
      <formula>$C370=""</formula>
    </cfRule>
  </conditionalFormatting>
  <conditionalFormatting sqref="R370:R409">
    <cfRule type="cellIs" dxfId="94" priority="57" operator="lessThan">
      <formula>$D$3</formula>
    </cfRule>
  </conditionalFormatting>
  <conditionalFormatting sqref="G370:N409 AA370:AH409">
    <cfRule type="expression" dxfId="93" priority="54">
      <formula>AND($B370&lt;&gt;"",$B371="")</formula>
    </cfRule>
    <cfRule type="expression" dxfId="92" priority="55">
      <formula>$B370=""</formula>
    </cfRule>
  </conditionalFormatting>
  <conditionalFormatting sqref="G370:N409">
    <cfRule type="expression" dxfId="91" priority="53">
      <formula>COUNTIF($F370:$M370,G370)&gt;1</formula>
    </cfRule>
  </conditionalFormatting>
  <conditionalFormatting sqref="AA370:AH409">
    <cfRule type="expression" dxfId="90" priority="52">
      <formula>COUNTIF($F370:$M370,AA370)&gt;1</formula>
    </cfRule>
  </conditionalFormatting>
  <conditionalFormatting sqref="Z370:Z409">
    <cfRule type="expression" dxfId="89" priority="51">
      <formula>AND($O370="",$R370="")</formula>
    </cfRule>
  </conditionalFormatting>
  <conditionalFormatting sqref="Z370:Z409">
    <cfRule type="expression" dxfId="88" priority="50">
      <formula>AND($O$10="",$R$10="")</formula>
    </cfRule>
  </conditionalFormatting>
  <conditionalFormatting sqref="AQ370:AQ409">
    <cfRule type="expression" dxfId="87" priority="49">
      <formula>$AI370=""</formula>
    </cfRule>
  </conditionalFormatting>
  <conditionalFormatting sqref="T449:Z449 AJ449:AQ449 H449:O449 AB449:AH449">
    <cfRule type="expression" dxfId="86" priority="90">
      <formula>AND($C449&lt;&gt;"",$C530="")</formula>
    </cfRule>
    <cfRule type="expression" dxfId="85" priority="91">
      <formula>$C449=""</formula>
    </cfRule>
  </conditionalFormatting>
  <conditionalFormatting sqref="AI449">
    <cfRule type="cellIs" dxfId="84" priority="92" operator="lessThan">
      <formula>$D$3</formula>
    </cfRule>
    <cfRule type="expression" dxfId="83" priority="93">
      <formula>AND($C449&lt;&gt;"",$C530="")</formula>
    </cfRule>
    <cfRule type="expression" dxfId="82" priority="94">
      <formula>$C449=""</formula>
    </cfRule>
  </conditionalFormatting>
  <conditionalFormatting sqref="G449:N449 AA449:AH449">
    <cfRule type="expression" dxfId="81" priority="95">
      <formula>AND($B449&lt;&gt;"",$B530="")</formula>
    </cfRule>
    <cfRule type="expression" dxfId="80" priority="96">
      <formula>$B449=""</formula>
    </cfRule>
  </conditionalFormatting>
  <conditionalFormatting sqref="T491:Z528 AJ490:AQ528 H491:O528 AB490:AH528">
    <cfRule type="expression" dxfId="79" priority="40">
      <formula>AND($C490&lt;&gt;"",$C491="")</formula>
    </cfRule>
    <cfRule type="expression" dxfId="78" priority="41">
      <formula>$C490=""</formula>
    </cfRule>
  </conditionalFormatting>
  <conditionalFormatting sqref="AI490:AI528">
    <cfRule type="cellIs" dxfId="77" priority="35" operator="lessThan">
      <formula>$D$3</formula>
    </cfRule>
    <cfRule type="expression" dxfId="76" priority="36">
      <formula>AND($C490&lt;&gt;"",$C491="")</formula>
    </cfRule>
    <cfRule type="expression" dxfId="75" priority="37">
      <formula>$C490=""</formula>
    </cfRule>
  </conditionalFormatting>
  <conditionalFormatting sqref="G490:N528 AA491:AH528">
    <cfRule type="expression" dxfId="74" priority="33">
      <formula>AND($B490&lt;&gt;"",$B491="")</formula>
    </cfRule>
    <cfRule type="expression" dxfId="73" priority="34">
      <formula>$B490=""</formula>
    </cfRule>
  </conditionalFormatting>
  <conditionalFormatting sqref="C490:F490 H490:Z490">
    <cfRule type="expression" dxfId="72" priority="29">
      <formula>AND($C490&lt;&gt;"",$C491="")</formula>
    </cfRule>
    <cfRule type="expression" dxfId="71" priority="30">
      <formula>$C490=""</formula>
    </cfRule>
  </conditionalFormatting>
  <conditionalFormatting sqref="P491:S529 C491:F529">
    <cfRule type="expression" dxfId="70" priority="31">
      <formula>AND($C491&lt;&gt;"",#REF!="")</formula>
    </cfRule>
    <cfRule type="expression" dxfId="69" priority="32">
      <formula>$C491=""</formula>
    </cfRule>
  </conditionalFormatting>
  <conditionalFormatting sqref="R490:R529">
    <cfRule type="cellIs" dxfId="68" priority="28" operator="lessThan">
      <formula>$D$3</formula>
    </cfRule>
  </conditionalFormatting>
  <conditionalFormatting sqref="G490:N490">
    <cfRule type="expression" dxfId="67" priority="27">
      <formula>COUNTIF($F490:$M490,G490)&gt;1</formula>
    </cfRule>
  </conditionalFormatting>
  <conditionalFormatting sqref="G491:N529">
    <cfRule type="expression" dxfId="66" priority="26">
      <formula>COUNTIF($F491:$M491,G491)&gt;1</formula>
    </cfRule>
  </conditionalFormatting>
  <conditionalFormatting sqref="AA490:AH490">
    <cfRule type="expression" dxfId="65" priority="24">
      <formula>AND($B490&lt;&gt;"",$B491="")</formula>
    </cfRule>
    <cfRule type="expression" dxfId="64" priority="25">
      <formula>$B490=""</formula>
    </cfRule>
  </conditionalFormatting>
  <conditionalFormatting sqref="AA490:AH490">
    <cfRule type="expression" dxfId="63" priority="23">
      <formula>COUNTIF($F490:$M490,AA490)&gt;1</formula>
    </cfRule>
  </conditionalFormatting>
  <conditionalFormatting sqref="AA491:AH529">
    <cfRule type="expression" dxfId="62" priority="22">
      <formula>COUNTIF($F491:$M491,AA491)&gt;1</formula>
    </cfRule>
  </conditionalFormatting>
  <conditionalFormatting sqref="Z490:Z529">
    <cfRule type="expression" dxfId="61" priority="21">
      <formula>AND($O490="",$R490="")</formula>
    </cfRule>
  </conditionalFormatting>
  <conditionalFormatting sqref="Z491:Z529">
    <cfRule type="expression" dxfId="60" priority="20">
      <formula>AND($O$10="",$R$10="")</formula>
    </cfRule>
  </conditionalFormatting>
  <conditionalFormatting sqref="AQ490:AQ529">
    <cfRule type="expression" dxfId="59" priority="19">
      <formula>$AI490=""</formula>
    </cfRule>
  </conditionalFormatting>
  <conditionalFormatting sqref="AQ491">
    <cfRule type="expression" dxfId="58" priority="17">
      <formula>AND($C491&lt;&gt;"",$C492="")</formula>
    </cfRule>
    <cfRule type="expression" dxfId="57" priority="18">
      <formula>$C491=""</formula>
    </cfRule>
  </conditionalFormatting>
  <conditionalFormatting sqref="AQ491">
    <cfRule type="expression" dxfId="56" priority="16">
      <formula>$AI490=""</formula>
    </cfRule>
  </conditionalFormatting>
  <conditionalFormatting sqref="T450:Z489 AJ450:AQ489 H450:O489 AB450:AH489">
    <cfRule type="expression" dxfId="55" priority="12">
      <formula>AND($C450&lt;&gt;"",$C451="")</formula>
    </cfRule>
    <cfRule type="expression" dxfId="54" priority="13">
      <formula>$C450=""</formula>
    </cfRule>
  </conditionalFormatting>
  <conditionalFormatting sqref="AI450:AI489">
    <cfRule type="cellIs" dxfId="53" priority="8" operator="lessThan">
      <formula>$D$3</formula>
    </cfRule>
    <cfRule type="expression" dxfId="52" priority="10">
      <formula>AND($C450&lt;&gt;"",$C451="")</formula>
    </cfRule>
    <cfRule type="expression" dxfId="51" priority="11">
      <formula>$C450=""</formula>
    </cfRule>
  </conditionalFormatting>
  <conditionalFormatting sqref="P450:S489 C450:F489">
    <cfRule type="expression" dxfId="50" priority="14">
      <formula>AND($C450&lt;&gt;"",#REF!="")</formula>
    </cfRule>
    <cfRule type="expression" dxfId="49" priority="15">
      <formula>$C450=""</formula>
    </cfRule>
  </conditionalFormatting>
  <conditionalFormatting sqref="R450:R489">
    <cfRule type="cellIs" dxfId="48" priority="9" operator="lessThan">
      <formula>$D$3</formula>
    </cfRule>
  </conditionalFormatting>
  <conditionalFormatting sqref="G450:N489 AA450:AH489">
    <cfRule type="expression" dxfId="47" priority="6">
      <formula>AND($B450&lt;&gt;"",$B451="")</formula>
    </cfRule>
    <cfRule type="expression" dxfId="46" priority="7">
      <formula>$B450=""</formula>
    </cfRule>
  </conditionalFormatting>
  <conditionalFormatting sqref="G450:N489">
    <cfRule type="expression" dxfId="45" priority="5">
      <formula>COUNTIF($F450:$M450,G450)&gt;1</formula>
    </cfRule>
  </conditionalFormatting>
  <conditionalFormatting sqref="AA450:AH489">
    <cfRule type="expression" dxfId="44" priority="4">
      <formula>COUNTIF($F450:$M450,AA450)&gt;1</formula>
    </cfRule>
  </conditionalFormatting>
  <conditionalFormatting sqref="Z450:Z489">
    <cfRule type="expression" dxfId="43" priority="3">
      <formula>AND($O450="",$R450="")</formula>
    </cfRule>
  </conditionalFormatting>
  <conditionalFormatting sqref="Z450:Z489">
    <cfRule type="expression" dxfId="42" priority="2">
      <formula>AND($O$10="",$R$10="")</formula>
    </cfRule>
  </conditionalFormatting>
  <conditionalFormatting sqref="AQ450:AQ489">
    <cfRule type="expression" dxfId="41" priority="1">
      <formula>$AI450=""</formula>
    </cfRule>
  </conditionalFormatting>
  <conditionalFormatting sqref="T529:Z529 AJ529:AQ529 H529:O529 AB529:AH529">
    <cfRule type="expression" dxfId="40" priority="42">
      <formula>AND($C529&lt;&gt;"",$C610="")</formula>
    </cfRule>
    <cfRule type="expression" dxfId="39" priority="43">
      <formula>$C529=""</formula>
    </cfRule>
  </conditionalFormatting>
  <conditionalFormatting sqref="AI529">
    <cfRule type="cellIs" dxfId="38" priority="44" operator="lessThan">
      <formula>$D$3</formula>
    </cfRule>
    <cfRule type="expression" dxfId="37" priority="45">
      <formula>AND($C529&lt;&gt;"",$C610="")</formula>
    </cfRule>
    <cfRule type="expression" dxfId="36" priority="46">
      <formula>$C529=""</formula>
    </cfRule>
  </conditionalFormatting>
  <conditionalFormatting sqref="G529:N529 AA529:AH529">
    <cfRule type="expression" dxfId="35" priority="47">
      <formula>AND($B529&lt;&gt;"",$B610="")</formula>
    </cfRule>
    <cfRule type="expression" dxfId="34" priority="48">
      <formula>$B529=""</formula>
    </cfRule>
  </conditionalFormatting>
  <dataValidations count="7">
    <dataValidation allowBlank="1" showInputMessage="1" showErrorMessage="1" prompt="Bobot Nilai" sqref="O8:Q9 O6:Q6 AI6" xr:uid="{00000000-0002-0000-0400-000000000000}"/>
    <dataValidation allowBlank="1" showInputMessage="1" showErrorMessage="1" promptTitle="Tulis Bobot Nilai" prompt="Berupa Nilai Praktik, Portofolio atau Proyek._x000a_Bobot Praktik disarankan lebih tinggi" sqref="AA8:AH9" xr:uid="{00000000-0002-0000-0400-000001000000}"/>
    <dataValidation type="list" allowBlank="1" showInputMessage="1" showErrorMessage="1" sqref="I556 AC556" xr:uid="{00000000-0002-0000-0400-000002000000}">
      <formula1>"SAMA DENGAN DATA,TIDAK SAMA DGN DATA"</formula1>
    </dataValidation>
    <dataValidation allowBlank="1" showInputMessage="1" showErrorMessage="1" prompt="Rata-rata Harian" sqref="O7 AI7" xr:uid="{00000000-0002-0000-0400-000003000000}"/>
    <dataValidation type="whole" allowBlank="1" showInputMessage="1" showErrorMessage="1" errorTitle="Petunjuk" error="Nilai 0-100" sqref="P10:Q529" xr:uid="{00000000-0002-0000-0400-000004000000}">
      <formula1>0</formula1>
      <formula2>100</formula2>
    </dataValidation>
    <dataValidation type="custom" allowBlank="1" showInputMessage="1" showErrorMessage="1" errorTitle="Petunjuk" error="Nilai 0-100 dan jika angkanya_x000a_sama tambahkan koma 1-4._x000a_Misalnya 75 dan 75,1." sqref="G10:N529" xr:uid="{00000000-0002-0000-0400-000005000000}">
      <formula1>AND(G10&gt;0,G10&lt;=100,COUNTIF($G10:$N10,G10)=1)</formula1>
    </dataValidation>
    <dataValidation type="custom" allowBlank="1" showInputMessage="1" showErrorMessage="1" errorTitle="Petunjuk" error="Nilai 0-100 dan jika angkanya_x000a_sama tambahkan koma 1-4._x000a_Misalnya 75 dan 75,1." sqref="AA10:AH529" xr:uid="{00000000-0002-0000-0400-000006000000}">
      <formula1>AND(AA10&gt;0,AA10&lt;=100,COUNTIF($AA10:$AH10,AA10)=1)</formula1>
    </dataValidation>
  </dataValidations>
  <pageMargins left="0.70866141732283472" right="0.43307086614173229" top="0.25" bottom="0.31496062992125984" header="0.19685039370078741" footer="0.23622047244094491"/>
  <pageSetup paperSize="9" orientation="landscape" blackAndWhite="1" horizontalDpi="4294967293" verticalDpi="4294967293" r:id="rId1"/>
  <colBreaks count="2" manualBreakCount="2">
    <brk id="26" max="1048575" man="1"/>
    <brk id="43"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541" id="{51496669-7C10-4587-AE5B-A32D4C710555}">
            <xm:f>'PA-Non'!V10&lt;&gt;""</xm:f>
            <x14:dxf>
              <font>
                <b val="0"/>
                <i val="0"/>
                <color rgb="FFC00000"/>
              </font>
            </x14:dxf>
          </x14:cfRule>
          <xm:sqref>AQ10:AQ529</xm:sqref>
        </x14:conditionalFormatting>
        <x14:conditionalFormatting xmlns:xm="http://schemas.microsoft.com/office/excel/2006/main">
          <x14:cfRule type="expression" priority="542" id="{9AD1824B-50A3-4F19-8318-B7229F820A18}">
            <xm:f>'PA-Non'!G10&lt;&gt;""</xm:f>
            <x14:dxf>
              <font>
                <b val="0"/>
                <i val="0"/>
                <color rgb="FFC00000"/>
              </font>
            </x14:dxf>
          </x14:cfRule>
          <xm:sqref>Z10:Z529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FF0000"/>
  </sheetPr>
  <dimension ref="A1:N591"/>
  <sheetViews>
    <sheetView showGridLines="0" zoomScale="90" zoomScaleNormal="90" workbookViewId="0">
      <pane xSplit="7" ySplit="10" topLeftCell="H11" activePane="bottomRight" state="frozen"/>
      <selection pane="topRight" activeCell="H1" sqref="H1"/>
      <selection pane="bottomLeft" activeCell="A11" sqref="A11"/>
      <selection pane="bottomRight"/>
    </sheetView>
  </sheetViews>
  <sheetFormatPr defaultColWidth="0" defaultRowHeight="0" customHeight="1" zeroHeight="1" x14ac:dyDescent="0.3"/>
  <cols>
    <col min="1" max="1" width="3" style="13" customWidth="1"/>
    <col min="2" max="2" width="4.44140625" style="13" bestFit="1" customWidth="1"/>
    <col min="3" max="3" width="8.5546875" style="104" customWidth="1"/>
    <col min="4" max="4" width="25.88671875" style="13" customWidth="1"/>
    <col min="5" max="5" width="3.109375" style="13" customWidth="1"/>
    <col min="6" max="6" width="6.44140625" style="13" customWidth="1"/>
    <col min="7" max="7" width="1.109375" style="13" hidden="1" customWidth="1"/>
    <col min="8" max="9" width="4.109375" style="104" customWidth="1"/>
    <col min="10" max="10" width="36.44140625" style="104" customWidth="1"/>
    <col min="11" max="12" width="4.109375" style="104" customWidth="1"/>
    <col min="13" max="13" width="36.44140625" style="104" customWidth="1"/>
    <col min="14" max="14" width="3.6640625" style="13" customWidth="1"/>
    <col min="15" max="16384" width="9.109375" style="13" hidden="1"/>
  </cols>
  <sheetData>
    <row r="1" spans="1:14" s="97" customFormat="1" ht="19.5" customHeight="1" x14ac:dyDescent="0.3">
      <c r="A1" s="238"/>
      <c r="B1" s="238"/>
      <c r="C1" s="238"/>
      <c r="D1" s="244"/>
      <c r="E1" s="244"/>
      <c r="F1" s="244"/>
      <c r="G1" s="244"/>
      <c r="H1" s="244"/>
      <c r="I1" s="244"/>
      <c r="J1" s="244"/>
      <c r="K1" s="251"/>
      <c r="L1" s="251"/>
      <c r="M1" s="251"/>
      <c r="N1" s="238"/>
    </row>
    <row r="2" spans="1:14" s="97" customFormat="1" ht="25.5" customHeight="1" x14ac:dyDescent="0.3">
      <c r="A2" s="238"/>
      <c r="C2" s="98"/>
      <c r="H2" s="98"/>
      <c r="I2" s="98"/>
      <c r="J2" s="98"/>
      <c r="K2" s="99" t="s">
        <v>86</v>
      </c>
      <c r="L2" s="99"/>
      <c r="M2" s="99"/>
      <c r="N2" s="238"/>
    </row>
    <row r="3" spans="1:14" s="97" customFormat="1" ht="13.8" x14ac:dyDescent="0.3">
      <c r="A3" s="238"/>
      <c r="H3" s="98"/>
      <c r="I3" s="98"/>
      <c r="J3" s="98"/>
      <c r="K3" s="98"/>
      <c r="L3" s="98"/>
      <c r="M3" s="98"/>
      <c r="N3" s="238"/>
    </row>
    <row r="4" spans="1:14" s="100" customFormat="1" ht="18.75" customHeight="1" x14ac:dyDescent="0.3">
      <c r="A4" s="239"/>
      <c r="C4" s="101"/>
      <c r="I4" s="236" t="s">
        <v>132</v>
      </c>
      <c r="K4" s="102" t="s">
        <v>41</v>
      </c>
      <c r="L4" s="278">
        <f>Data!C6</f>
        <v>0</v>
      </c>
      <c r="M4" s="102"/>
      <c r="N4" s="239"/>
    </row>
    <row r="5" spans="1:14" s="93" customFormat="1" ht="18.75" customHeight="1" x14ac:dyDescent="0.3">
      <c r="A5" s="240"/>
      <c r="C5" s="94"/>
      <c r="D5" s="94"/>
      <c r="I5" s="237" t="s">
        <v>119</v>
      </c>
      <c r="K5" s="102" t="s">
        <v>41</v>
      </c>
      <c r="L5" s="278" t="str">
        <f>Data!C7</f>
        <v>Nama Anda</v>
      </c>
      <c r="M5" s="176"/>
      <c r="N5" s="240"/>
    </row>
    <row r="6" spans="1:14" s="103" customFormat="1" ht="15.75" customHeight="1" thickBot="1" x14ac:dyDescent="0.35">
      <c r="A6" s="241"/>
      <c r="B6" s="95"/>
      <c r="C6" s="95"/>
      <c r="D6" s="95"/>
      <c r="E6" s="96"/>
      <c r="F6" s="96"/>
      <c r="G6" s="96"/>
      <c r="H6" s="177"/>
      <c r="I6" s="177"/>
      <c r="J6" s="177"/>
      <c r="K6" s="177"/>
      <c r="L6" s="177"/>
      <c r="M6" s="177"/>
      <c r="N6" s="241"/>
    </row>
    <row r="7" spans="1:14" ht="18.75" customHeight="1" x14ac:dyDescent="0.3">
      <c r="A7" s="242"/>
      <c r="B7" s="561" t="s">
        <v>0</v>
      </c>
      <c r="C7" s="564" t="s">
        <v>36</v>
      </c>
      <c r="D7" s="567" t="s">
        <v>2</v>
      </c>
      <c r="E7" s="569" t="s">
        <v>18</v>
      </c>
      <c r="F7" s="558" t="s">
        <v>128</v>
      </c>
      <c r="G7" s="198"/>
      <c r="H7" s="556" t="s">
        <v>34</v>
      </c>
      <c r="I7" s="557"/>
      <c r="J7" s="557"/>
      <c r="K7" s="553" t="s">
        <v>35</v>
      </c>
      <c r="L7" s="554"/>
      <c r="M7" s="555"/>
      <c r="N7" s="242"/>
    </row>
    <row r="8" spans="1:14" ht="21" customHeight="1" thickBot="1" x14ac:dyDescent="0.35">
      <c r="A8" s="242"/>
      <c r="B8" s="562"/>
      <c r="C8" s="565"/>
      <c r="D8" s="559"/>
      <c r="E8" s="570"/>
      <c r="F8" s="559"/>
      <c r="G8" s="199"/>
      <c r="H8" s="572">
        <f>L4</f>
        <v>0</v>
      </c>
      <c r="I8" s="573"/>
      <c r="J8" s="574"/>
      <c r="K8" s="550">
        <f>H8</f>
        <v>0</v>
      </c>
      <c r="L8" s="551"/>
      <c r="M8" s="552"/>
      <c r="N8" s="242"/>
    </row>
    <row r="9" spans="1:14" ht="15.9" customHeight="1" thickBot="1" x14ac:dyDescent="0.35">
      <c r="A9" s="242"/>
      <c r="B9" s="563"/>
      <c r="C9" s="566"/>
      <c r="D9" s="568"/>
      <c r="E9" s="571"/>
      <c r="F9" s="560"/>
      <c r="G9" s="200"/>
      <c r="H9" s="183" t="s">
        <v>114</v>
      </c>
      <c r="I9" s="183" t="s">
        <v>85</v>
      </c>
      <c r="J9" s="183" t="s">
        <v>31</v>
      </c>
      <c r="K9" s="184" t="s">
        <v>114</v>
      </c>
      <c r="L9" s="184" t="s">
        <v>85</v>
      </c>
      <c r="M9" s="184" t="s">
        <v>31</v>
      </c>
      <c r="N9" s="242"/>
    </row>
    <row r="10" spans="1:14" ht="15.9" customHeight="1" thickBot="1" x14ac:dyDescent="0.35">
      <c r="A10" s="242"/>
      <c r="B10" s="423">
        <v>1</v>
      </c>
      <c r="C10" s="245">
        <v>2</v>
      </c>
      <c r="D10" s="246">
        <v>3</v>
      </c>
      <c r="E10" s="245">
        <v>4</v>
      </c>
      <c r="F10" s="422"/>
      <c r="G10" s="245"/>
      <c r="H10" s="246">
        <v>5</v>
      </c>
      <c r="I10" s="245">
        <v>6</v>
      </c>
      <c r="J10" s="246">
        <v>7</v>
      </c>
      <c r="K10" s="246">
        <v>41</v>
      </c>
      <c r="L10" s="245">
        <v>42</v>
      </c>
      <c r="M10" s="246">
        <v>43</v>
      </c>
      <c r="N10" s="242"/>
    </row>
    <row r="11" spans="1:14" ht="15" customHeight="1" x14ac:dyDescent="0.3">
      <c r="A11" s="242"/>
      <c r="B11" s="424">
        <f>Data!E5</f>
        <v>1</v>
      </c>
      <c r="C11" s="247" t="str">
        <f>IF(Data!F5="","",Data!F5)</f>
        <v>03503</v>
      </c>
      <c r="D11" s="248" t="str">
        <f>IF(Data!H5="","",Data!H5)</f>
        <v>Achmad Bachtiar Nasir</v>
      </c>
      <c r="E11" s="247" t="str">
        <f>IF(Data!I5="","",Data!I5)</f>
        <v>Laki-laki</v>
      </c>
      <c r="F11" s="249" t="str">
        <f>Data!J5</f>
        <v>VIII-A</v>
      </c>
      <c r="G11" s="197"/>
      <c r="H11" s="180" t="str">
        <f>IF(PA!R10="","",PA!R10)</f>
        <v/>
      </c>
      <c r="I11" s="181" t="str">
        <f>IF(PA!S10="","",PA!S10)</f>
        <v/>
      </c>
      <c r="J11" s="187" t="str">
        <f>IF(PA!Z10="","",PA!Z10)</f>
        <v/>
      </c>
      <c r="K11" s="181" t="str">
        <f>IF(PA!AI10="","",PA!AI10)</f>
        <v/>
      </c>
      <c r="L11" s="181" t="str">
        <f>IF(PA!AJ10="","",PA!AJ10)</f>
        <v/>
      </c>
      <c r="M11" s="187" t="str">
        <f>IF(PA!AQ10="","",PA!AQ10)</f>
        <v/>
      </c>
      <c r="N11" s="243">
        <v>1</v>
      </c>
    </row>
    <row r="12" spans="1:14" ht="15" customHeight="1" x14ac:dyDescent="0.3">
      <c r="A12" s="242"/>
      <c r="B12" s="424">
        <f>Data!E6</f>
        <v>2</v>
      </c>
      <c r="C12" s="249" t="str">
        <f>IF(Data!F6="","",Data!F6)</f>
        <v>03505</v>
      </c>
      <c r="D12" s="250" t="str">
        <f>IF(Data!H6="","",Data!H6)</f>
        <v>Achmad Kadaffa Aprilio</v>
      </c>
      <c r="E12" s="249" t="str">
        <f>IF(Data!I6="","",Data!I6)</f>
        <v>Laki-laki</v>
      </c>
      <c r="F12" s="249" t="str">
        <f>Data!J6</f>
        <v>VIII-A</v>
      </c>
      <c r="G12" s="197"/>
      <c r="H12" s="178" t="str">
        <f>IF(PA!R11="","",PA!R11)</f>
        <v/>
      </c>
      <c r="I12" s="179" t="str">
        <f>IF(PA!S11="","",PA!S11)</f>
        <v/>
      </c>
      <c r="J12" s="182" t="str">
        <f>IF(PA!Z11="","",PA!Z11)</f>
        <v/>
      </c>
      <c r="K12" s="179" t="str">
        <f>IF(PA!AI11="","",PA!AI11)</f>
        <v/>
      </c>
      <c r="L12" s="179" t="str">
        <f>IF(PA!AJ11="","",PA!AJ11)</f>
        <v/>
      </c>
      <c r="M12" s="182" t="str">
        <f>IF(PA!AQ11="","",PA!AQ11)</f>
        <v/>
      </c>
      <c r="N12" s="242">
        <v>2</v>
      </c>
    </row>
    <row r="13" spans="1:14" ht="15" customHeight="1" x14ac:dyDescent="0.3">
      <c r="A13" s="242"/>
      <c r="B13" s="424">
        <f>Data!E7</f>
        <v>3</v>
      </c>
      <c r="C13" s="249" t="str">
        <f>IF(Data!F7="","",Data!F7)</f>
        <v>03511</v>
      </c>
      <c r="D13" s="250" t="str">
        <f>IF(Data!H7="","",Data!H7)</f>
        <v>Ahmad Afkhar Syauqi Asy Syamil</v>
      </c>
      <c r="E13" s="249" t="str">
        <f>IF(Data!I7="","",Data!I7)</f>
        <v>Laki-laki</v>
      </c>
      <c r="F13" s="249" t="str">
        <f>Data!J7</f>
        <v>VIII-A</v>
      </c>
      <c r="G13" s="197"/>
      <c r="H13" s="178" t="str">
        <f>IF(PA!R12="","",PA!R12)</f>
        <v/>
      </c>
      <c r="I13" s="179" t="str">
        <f>IF(PA!S12="","",PA!S12)</f>
        <v/>
      </c>
      <c r="J13" s="182" t="str">
        <f>IF(PA!Z12="","",PA!Z12)</f>
        <v/>
      </c>
      <c r="K13" s="179" t="str">
        <f>IF(PA!AI12="","",PA!AI12)</f>
        <v/>
      </c>
      <c r="L13" s="179" t="str">
        <f>IF(PA!AJ12="","",PA!AJ12)</f>
        <v/>
      </c>
      <c r="M13" s="182" t="str">
        <f>IF(PA!AQ12="","",PA!AQ12)</f>
        <v/>
      </c>
      <c r="N13" s="242"/>
    </row>
    <row r="14" spans="1:14" ht="15" customHeight="1" x14ac:dyDescent="0.3">
      <c r="A14" s="242"/>
      <c r="B14" s="424">
        <f>Data!E8</f>
        <v>4</v>
      </c>
      <c r="C14" s="249" t="str">
        <f>IF(Data!F8="","",Data!F8)</f>
        <v>03516</v>
      </c>
      <c r="D14" s="250" t="str">
        <f>IF(Data!H8="","",Data!H8)</f>
        <v>Ahmad Fathan El Raihan Wafi</v>
      </c>
      <c r="E14" s="249" t="str">
        <f>IF(Data!I8="","",Data!I8)</f>
        <v>Laki-laki</v>
      </c>
      <c r="F14" s="249" t="str">
        <f>Data!J8</f>
        <v>VIII-A</v>
      </c>
      <c r="G14" s="197"/>
      <c r="H14" s="178" t="str">
        <f>IF(PA!R13="","",PA!R13)</f>
        <v/>
      </c>
      <c r="I14" s="179" t="str">
        <f>IF(PA!S13="","",PA!S13)</f>
        <v/>
      </c>
      <c r="J14" s="182" t="str">
        <f>IF(PA!Z13="","",PA!Z13)</f>
        <v/>
      </c>
      <c r="K14" s="179" t="str">
        <f>IF(PA!AI13="","",PA!AI13)</f>
        <v/>
      </c>
      <c r="L14" s="179" t="str">
        <f>IF(PA!AJ13="","",PA!AJ13)</f>
        <v/>
      </c>
      <c r="M14" s="182" t="str">
        <f>IF(PA!AQ13="","",PA!AQ13)</f>
        <v/>
      </c>
      <c r="N14" s="242"/>
    </row>
    <row r="15" spans="1:14" ht="15" customHeight="1" x14ac:dyDescent="0.3">
      <c r="A15" s="242"/>
      <c r="B15" s="424">
        <f>Data!E9</f>
        <v>5</v>
      </c>
      <c r="C15" s="249" t="str">
        <f>IF(Data!F9="","",Data!F9)</f>
        <v>03517</v>
      </c>
      <c r="D15" s="250" t="str">
        <f>IF(Data!H9="","",Data!H9)</f>
        <v>Ahmad Firdaus Nurrohman Bayhaqiy</v>
      </c>
      <c r="E15" s="249" t="str">
        <f>IF(Data!I9="","",Data!I9)</f>
        <v>Laki-laki</v>
      </c>
      <c r="F15" s="249" t="str">
        <f>Data!J9</f>
        <v>VIII-A</v>
      </c>
      <c r="G15" s="197"/>
      <c r="H15" s="178" t="str">
        <f>IF(PA!R14="","",PA!R14)</f>
        <v/>
      </c>
      <c r="I15" s="179" t="str">
        <f>IF(PA!S14="","",PA!S14)</f>
        <v/>
      </c>
      <c r="J15" s="182" t="str">
        <f>IF(PA!Z14="","",PA!Z14)</f>
        <v/>
      </c>
      <c r="K15" s="179" t="str">
        <f>IF(PA!AI14="","",PA!AI14)</f>
        <v/>
      </c>
      <c r="L15" s="179" t="str">
        <f>IF(PA!AJ14="","",PA!AJ14)</f>
        <v/>
      </c>
      <c r="M15" s="182" t="str">
        <f>IF(PA!AQ14="","",PA!AQ14)</f>
        <v/>
      </c>
      <c r="N15" s="242"/>
    </row>
    <row r="16" spans="1:14" ht="15" customHeight="1" x14ac:dyDescent="0.3">
      <c r="A16" s="242"/>
      <c r="B16" s="424">
        <f>Data!E10</f>
        <v>6</v>
      </c>
      <c r="C16" s="249" t="str">
        <f>IF(Data!F10="","",Data!F10)</f>
        <v>03518</v>
      </c>
      <c r="D16" s="250" t="str">
        <f>IF(Data!H10="","",Data!H10)</f>
        <v>Ahmad Haqqikul Fahmi</v>
      </c>
      <c r="E16" s="249" t="str">
        <f>IF(Data!I10="","",Data!I10)</f>
        <v>Laki-laki</v>
      </c>
      <c r="F16" s="249" t="str">
        <f>Data!J10</f>
        <v>VIII-A</v>
      </c>
      <c r="G16" s="197"/>
      <c r="H16" s="178" t="str">
        <f>IF(PA!R15="","",PA!R15)</f>
        <v/>
      </c>
      <c r="I16" s="179" t="str">
        <f>IF(PA!S15="","",PA!S15)</f>
        <v/>
      </c>
      <c r="J16" s="182" t="str">
        <f>IF(PA!Z15="","",PA!Z15)</f>
        <v/>
      </c>
      <c r="K16" s="179" t="str">
        <f>IF(PA!AI15="","",PA!AI15)</f>
        <v/>
      </c>
      <c r="L16" s="179" t="str">
        <f>IF(PA!AJ15="","",PA!AJ15)</f>
        <v/>
      </c>
      <c r="M16" s="182" t="str">
        <f>IF(PA!AQ15="","",PA!AQ15)</f>
        <v/>
      </c>
      <c r="N16" s="242"/>
    </row>
    <row r="17" spans="1:14" ht="15" customHeight="1" x14ac:dyDescent="0.3">
      <c r="A17" s="242"/>
      <c r="B17" s="424">
        <f>Data!E11</f>
        <v>7</v>
      </c>
      <c r="C17" s="249" t="str">
        <f>IF(Data!F11="","",Data!F11)</f>
        <v>03519</v>
      </c>
      <c r="D17" s="250" t="str">
        <f>IF(Data!H11="","",Data!H11)</f>
        <v>Ahmad Ihsanul Fauzan</v>
      </c>
      <c r="E17" s="249" t="str">
        <f>IF(Data!I11="","",Data!I11)</f>
        <v>Laki-laki</v>
      </c>
      <c r="F17" s="249" t="str">
        <f>Data!J11</f>
        <v>VIII-A</v>
      </c>
      <c r="G17" s="197"/>
      <c r="H17" s="178" t="str">
        <f>IF(PA!R16="","",PA!R16)</f>
        <v/>
      </c>
      <c r="I17" s="179" t="str">
        <f>IF(PA!S16="","",PA!S16)</f>
        <v/>
      </c>
      <c r="J17" s="182" t="str">
        <f>IF(PA!Z16="","",PA!Z16)</f>
        <v/>
      </c>
      <c r="K17" s="179" t="str">
        <f>IF(PA!AI16="","",PA!AI16)</f>
        <v/>
      </c>
      <c r="L17" s="179" t="str">
        <f>IF(PA!AJ16="","",PA!AJ16)</f>
        <v/>
      </c>
      <c r="M17" s="182" t="str">
        <f>IF(PA!AQ16="","",PA!AQ16)</f>
        <v/>
      </c>
      <c r="N17" s="242"/>
    </row>
    <row r="18" spans="1:14" ht="15" customHeight="1" x14ac:dyDescent="0.3">
      <c r="A18" s="242"/>
      <c r="B18" s="424">
        <f>Data!E12</f>
        <v>8</v>
      </c>
      <c r="C18" s="249" t="str">
        <f>IF(Data!F12="","",Data!F12)</f>
        <v>03525</v>
      </c>
      <c r="D18" s="250" t="str">
        <f>IF(Data!H12="","",Data!H12)</f>
        <v>Ahmad Rizky Rusdyanto</v>
      </c>
      <c r="E18" s="249" t="str">
        <f>IF(Data!I12="","",Data!I12)</f>
        <v>Laki-laki</v>
      </c>
      <c r="F18" s="249" t="str">
        <f>Data!J12</f>
        <v>VIII-A</v>
      </c>
      <c r="G18" s="197"/>
      <c r="H18" s="178" t="str">
        <f>IF(PA!R17="","",PA!R17)</f>
        <v/>
      </c>
      <c r="I18" s="179" t="str">
        <f>IF(PA!S17="","",PA!S17)</f>
        <v/>
      </c>
      <c r="J18" s="182" t="str">
        <f>IF(PA!Z17="","",PA!Z17)</f>
        <v/>
      </c>
      <c r="K18" s="179" t="str">
        <f>IF(PA!AI17="","",PA!AI17)</f>
        <v/>
      </c>
      <c r="L18" s="179" t="str">
        <f>IF(PA!AJ17="","",PA!AJ17)</f>
        <v/>
      </c>
      <c r="M18" s="182" t="str">
        <f>IF(PA!AQ17="","",PA!AQ17)</f>
        <v/>
      </c>
      <c r="N18" s="242"/>
    </row>
    <row r="19" spans="1:14" ht="15" customHeight="1" x14ac:dyDescent="0.3">
      <c r="A19" s="242"/>
      <c r="B19" s="424">
        <f>Data!E13</f>
        <v>9</v>
      </c>
      <c r="C19" s="249" t="str">
        <f>IF(Data!F13="","",Data!F13)</f>
        <v>03533</v>
      </c>
      <c r="D19" s="250" t="str">
        <f>IF(Data!H13="","",Data!H13)</f>
        <v>Arya Daniswara</v>
      </c>
      <c r="E19" s="249" t="str">
        <f>IF(Data!I13="","",Data!I13)</f>
        <v>Laki-laki</v>
      </c>
      <c r="F19" s="249" t="str">
        <f>Data!J13</f>
        <v>VIII-A</v>
      </c>
      <c r="G19" s="197"/>
      <c r="H19" s="178" t="str">
        <f>IF(PA!R18="","",PA!R18)</f>
        <v/>
      </c>
      <c r="I19" s="179" t="str">
        <f>IF(PA!S18="","",PA!S18)</f>
        <v/>
      </c>
      <c r="J19" s="182" t="str">
        <f>IF(PA!Z18="","",PA!Z18)</f>
        <v/>
      </c>
      <c r="K19" s="179" t="str">
        <f>IF(PA!AI18="","",PA!AI18)</f>
        <v/>
      </c>
      <c r="L19" s="179" t="str">
        <f>IF(PA!AJ18="","",PA!AJ18)</f>
        <v/>
      </c>
      <c r="M19" s="182" t="str">
        <f>IF(PA!AQ18="","",PA!AQ18)</f>
        <v/>
      </c>
      <c r="N19" s="242"/>
    </row>
    <row r="20" spans="1:14" ht="15" customHeight="1" x14ac:dyDescent="0.3">
      <c r="A20" s="242"/>
      <c r="B20" s="424">
        <f>Data!E14</f>
        <v>10</v>
      </c>
      <c r="C20" s="249" t="str">
        <f>IF(Data!F14="","",Data!F14)</f>
        <v>03536</v>
      </c>
      <c r="D20" s="250" t="str">
        <f>IF(Data!H14="","",Data!H14)</f>
        <v>Azzam Reyhan Arifin</v>
      </c>
      <c r="E20" s="249" t="str">
        <f>IF(Data!I14="","",Data!I14)</f>
        <v>Laki-laki</v>
      </c>
      <c r="F20" s="249" t="str">
        <f>Data!J14</f>
        <v>VIII-A</v>
      </c>
      <c r="G20" s="197"/>
      <c r="H20" s="178" t="str">
        <f>IF(PA!R19="","",PA!R19)</f>
        <v/>
      </c>
      <c r="I20" s="179" t="str">
        <f>IF(PA!S19="","",PA!S19)</f>
        <v/>
      </c>
      <c r="J20" s="182" t="str">
        <f>IF(PA!Z19="","",PA!Z19)</f>
        <v/>
      </c>
      <c r="K20" s="179" t="str">
        <f>IF(PA!AI19="","",PA!AI19)</f>
        <v/>
      </c>
      <c r="L20" s="179" t="str">
        <f>IF(PA!AJ19="","",PA!AJ19)</f>
        <v/>
      </c>
      <c r="M20" s="182" t="str">
        <f>IF(PA!AQ19="","",PA!AQ19)</f>
        <v/>
      </c>
      <c r="N20" s="242"/>
    </row>
    <row r="21" spans="1:14" ht="15" customHeight="1" x14ac:dyDescent="0.3">
      <c r="A21" s="242"/>
      <c r="B21" s="424">
        <f>Data!E15</f>
        <v>11</v>
      </c>
      <c r="C21" s="249" t="str">
        <f>IF(Data!F15="","",Data!F15)</f>
        <v>03541</v>
      </c>
      <c r="D21" s="250" t="str">
        <f>IF(Data!H15="","",Data!H15)</f>
        <v>Elvico Fahri Dwi Ramadhan</v>
      </c>
      <c r="E21" s="249" t="str">
        <f>IF(Data!I15="","",Data!I15)</f>
        <v>Laki-laki</v>
      </c>
      <c r="F21" s="249" t="str">
        <f>Data!J15</f>
        <v>VIII-A</v>
      </c>
      <c r="G21" s="197"/>
      <c r="H21" s="178" t="str">
        <f>IF(PA!R20="","",PA!R20)</f>
        <v/>
      </c>
      <c r="I21" s="179" t="str">
        <f>IF(PA!S20="","",PA!S20)</f>
        <v/>
      </c>
      <c r="J21" s="182" t="str">
        <f>IF(PA!Z20="","",PA!Z20)</f>
        <v/>
      </c>
      <c r="K21" s="179" t="str">
        <f>IF(PA!AI20="","",PA!AI20)</f>
        <v/>
      </c>
      <c r="L21" s="179" t="str">
        <f>IF(PA!AJ20="","",PA!AJ20)</f>
        <v/>
      </c>
      <c r="M21" s="182" t="str">
        <f>IF(PA!AQ20="","",PA!AQ20)</f>
        <v/>
      </c>
      <c r="N21" s="242"/>
    </row>
    <row r="22" spans="1:14" ht="15" customHeight="1" x14ac:dyDescent="0.3">
      <c r="A22" s="242"/>
      <c r="B22" s="424">
        <f>Data!E16</f>
        <v>12</v>
      </c>
      <c r="C22" s="249" t="str">
        <f>IF(Data!F16="","",Data!F16)</f>
        <v>03545</v>
      </c>
      <c r="D22" s="250" t="str">
        <f>IF(Data!H16="","",Data!H16)</f>
        <v>Gesang Dwi Permana</v>
      </c>
      <c r="E22" s="249" t="str">
        <f>IF(Data!I16="","",Data!I16)</f>
        <v>Laki-laki</v>
      </c>
      <c r="F22" s="249" t="str">
        <f>Data!J16</f>
        <v>VIII-A</v>
      </c>
      <c r="G22" s="197"/>
      <c r="H22" s="178" t="str">
        <f>IF(PA!R21="","",PA!R21)</f>
        <v/>
      </c>
      <c r="I22" s="179" t="str">
        <f>IF(PA!S21="","",PA!S21)</f>
        <v/>
      </c>
      <c r="J22" s="182" t="str">
        <f>IF(PA!Z21="","",PA!Z21)</f>
        <v/>
      </c>
      <c r="K22" s="179" t="str">
        <f>IF(PA!AI21="","",PA!AI21)</f>
        <v/>
      </c>
      <c r="L22" s="179" t="str">
        <f>IF(PA!AJ21="","",PA!AJ21)</f>
        <v/>
      </c>
      <c r="M22" s="182" t="str">
        <f>IF(PA!AQ21="","",PA!AQ21)</f>
        <v/>
      </c>
      <c r="N22" s="242"/>
    </row>
    <row r="23" spans="1:14" ht="15" customHeight="1" x14ac:dyDescent="0.3">
      <c r="A23" s="242"/>
      <c r="B23" s="424">
        <f>Data!E17</f>
        <v>13</v>
      </c>
      <c r="C23" s="249" t="str">
        <f>IF(Data!F17="","",Data!F17)</f>
        <v>03550</v>
      </c>
      <c r="D23" s="250" t="str">
        <f>IF(Data!H17="","",Data!H17)</f>
        <v>Kafka Shafy Zafarani</v>
      </c>
      <c r="E23" s="249" t="str">
        <f>IF(Data!I17="","",Data!I17)</f>
        <v>Laki-laki</v>
      </c>
      <c r="F23" s="249" t="str">
        <f>Data!J17</f>
        <v>VIII-A</v>
      </c>
      <c r="G23" s="197"/>
      <c r="H23" s="178" t="str">
        <f>IF(PA!R22="","",PA!R22)</f>
        <v/>
      </c>
      <c r="I23" s="179" t="str">
        <f>IF(PA!S22="","",PA!S22)</f>
        <v/>
      </c>
      <c r="J23" s="182" t="str">
        <f>IF(PA!Z22="","",PA!Z22)</f>
        <v/>
      </c>
      <c r="K23" s="179" t="str">
        <f>IF(PA!AI22="","",PA!AI22)</f>
        <v/>
      </c>
      <c r="L23" s="179" t="str">
        <f>IF(PA!AJ22="","",PA!AJ22)</f>
        <v/>
      </c>
      <c r="M23" s="182" t="str">
        <f>IF(PA!AQ22="","",PA!AQ22)</f>
        <v/>
      </c>
      <c r="N23" s="242"/>
    </row>
    <row r="24" spans="1:14" ht="15" customHeight="1" x14ac:dyDescent="0.3">
      <c r="A24" s="242"/>
      <c r="B24" s="424">
        <f>Data!E18</f>
        <v>14</v>
      </c>
      <c r="C24" s="249" t="str">
        <f>IF(Data!F18="","",Data!F18)</f>
        <v>03552</v>
      </c>
      <c r="D24" s="250" t="str">
        <f>IF(Data!H18="","",Data!H18)</f>
        <v>Laits Rosyid Al-Barr</v>
      </c>
      <c r="E24" s="249" t="str">
        <f>IF(Data!I18="","",Data!I18)</f>
        <v>Laki-laki</v>
      </c>
      <c r="F24" s="249" t="str">
        <f>Data!J18</f>
        <v>VIII-A</v>
      </c>
      <c r="G24" s="197"/>
      <c r="H24" s="178" t="str">
        <f>IF(PA!R23="","",PA!R23)</f>
        <v/>
      </c>
      <c r="I24" s="179" t="str">
        <f>IF(PA!S23="","",PA!S23)</f>
        <v/>
      </c>
      <c r="J24" s="182" t="str">
        <f>IF(PA!Z23="","",PA!Z23)</f>
        <v/>
      </c>
      <c r="K24" s="179" t="str">
        <f>IF(PA!AI23="","",PA!AI23)</f>
        <v/>
      </c>
      <c r="L24" s="179" t="str">
        <f>IF(PA!AJ23="","",PA!AJ23)</f>
        <v/>
      </c>
      <c r="M24" s="182" t="str">
        <f>IF(PA!AQ23="","",PA!AQ23)</f>
        <v/>
      </c>
      <c r="N24" s="242"/>
    </row>
    <row r="25" spans="1:14" ht="15" customHeight="1" x14ac:dyDescent="0.3">
      <c r="A25" s="242"/>
      <c r="B25" s="424">
        <f>Data!E19</f>
        <v>15</v>
      </c>
      <c r="C25" s="249" t="str">
        <f>IF(Data!F19="","",Data!F19)</f>
        <v>03554</v>
      </c>
      <c r="D25" s="250" t="str">
        <f>IF(Data!H19="","",Data!H19)</f>
        <v>M Hanan Qomarudin</v>
      </c>
      <c r="E25" s="249" t="str">
        <f>IF(Data!I19="","",Data!I19)</f>
        <v>Laki-laki</v>
      </c>
      <c r="F25" s="249" t="str">
        <f>Data!J19</f>
        <v>VIII-A</v>
      </c>
      <c r="G25" s="197"/>
      <c r="H25" s="178" t="str">
        <f>IF(PA!R24="","",PA!R24)</f>
        <v/>
      </c>
      <c r="I25" s="179" t="str">
        <f>IF(PA!S24="","",PA!S24)</f>
        <v/>
      </c>
      <c r="J25" s="182" t="str">
        <f>IF(PA!Z24="","",PA!Z24)</f>
        <v/>
      </c>
      <c r="K25" s="179" t="str">
        <f>IF(PA!AI24="","",PA!AI24)</f>
        <v/>
      </c>
      <c r="L25" s="179" t="str">
        <f>IF(PA!AJ24="","",PA!AJ24)</f>
        <v/>
      </c>
      <c r="M25" s="182" t="str">
        <f>IF(PA!AQ24="","",PA!AQ24)</f>
        <v/>
      </c>
      <c r="N25" s="242"/>
    </row>
    <row r="26" spans="1:14" ht="15" customHeight="1" x14ac:dyDescent="0.3">
      <c r="A26" s="242"/>
      <c r="B26" s="424">
        <f>Data!E20</f>
        <v>16</v>
      </c>
      <c r="C26" s="249" t="str">
        <f>IF(Data!F20="","",Data!F20)</f>
        <v>03559</v>
      </c>
      <c r="D26" s="250" t="str">
        <f>IF(Data!H20="","",Data!H20)</f>
        <v>Moch. Zafi An Nafi'</v>
      </c>
      <c r="E26" s="249" t="str">
        <f>IF(Data!I20="","",Data!I20)</f>
        <v>Laki-laki</v>
      </c>
      <c r="F26" s="249" t="str">
        <f>Data!J20</f>
        <v>VIII-A</v>
      </c>
      <c r="G26" s="197"/>
      <c r="H26" s="178" t="str">
        <f>IF(PA!R25="","",PA!R25)</f>
        <v/>
      </c>
      <c r="I26" s="179" t="str">
        <f>IF(PA!S25="","",PA!S25)</f>
        <v/>
      </c>
      <c r="J26" s="182" t="str">
        <f>IF(PA!Z25="","",PA!Z25)</f>
        <v/>
      </c>
      <c r="K26" s="179" t="str">
        <f>IF(PA!AI25="","",PA!AI25)</f>
        <v/>
      </c>
      <c r="L26" s="179" t="str">
        <f>IF(PA!AJ25="","",PA!AJ25)</f>
        <v/>
      </c>
      <c r="M26" s="182" t="str">
        <f>IF(PA!AQ25="","",PA!AQ25)</f>
        <v/>
      </c>
      <c r="N26" s="242"/>
    </row>
    <row r="27" spans="1:14" ht="15" customHeight="1" x14ac:dyDescent="0.3">
      <c r="A27" s="242"/>
      <c r="B27" s="424">
        <f>Data!E21</f>
        <v>17</v>
      </c>
      <c r="C27" s="249" t="str">
        <f>IF(Data!F21="","",Data!F21)</f>
        <v>03561</v>
      </c>
      <c r="D27" s="250" t="str">
        <f>IF(Data!H21="","",Data!H21)</f>
        <v>Mohamad Afton Farizul Umam</v>
      </c>
      <c r="E27" s="249" t="str">
        <f>IF(Data!I21="","",Data!I21)</f>
        <v>Laki-laki</v>
      </c>
      <c r="F27" s="249" t="str">
        <f>Data!J21</f>
        <v>VIII-A</v>
      </c>
      <c r="G27" s="197"/>
      <c r="H27" s="178" t="str">
        <f>IF(PA!R26="","",PA!R26)</f>
        <v/>
      </c>
      <c r="I27" s="179" t="str">
        <f>IF(PA!S26="","",PA!S26)</f>
        <v/>
      </c>
      <c r="J27" s="182" t="str">
        <f>IF(PA!Z26="","",PA!Z26)</f>
        <v/>
      </c>
      <c r="K27" s="179" t="str">
        <f>IF(PA!AI26="","",PA!AI26)</f>
        <v/>
      </c>
      <c r="L27" s="179" t="str">
        <f>IF(PA!AJ26="","",PA!AJ26)</f>
        <v/>
      </c>
      <c r="M27" s="182" t="str">
        <f>IF(PA!AQ26="","",PA!AQ26)</f>
        <v/>
      </c>
      <c r="N27" s="242"/>
    </row>
    <row r="28" spans="1:14" ht="15" customHeight="1" x14ac:dyDescent="0.3">
      <c r="A28" s="242"/>
      <c r="B28" s="424">
        <f>Data!E22</f>
        <v>18</v>
      </c>
      <c r="C28" s="249" t="str">
        <f>IF(Data!F22="","",Data!F22)</f>
        <v>03572</v>
      </c>
      <c r="D28" s="250" t="str">
        <f>IF(Data!H22="","",Data!H22)</f>
        <v>Muhammad Alif Al Faruq</v>
      </c>
      <c r="E28" s="249" t="str">
        <f>IF(Data!I22="","",Data!I22)</f>
        <v>Laki-laki</v>
      </c>
      <c r="F28" s="249" t="str">
        <f>Data!J22</f>
        <v>VIII-A</v>
      </c>
      <c r="G28" s="197"/>
      <c r="H28" s="178" t="str">
        <f>IF(PA!R27="","",PA!R27)</f>
        <v/>
      </c>
      <c r="I28" s="179" t="str">
        <f>IF(PA!S27="","",PA!S27)</f>
        <v/>
      </c>
      <c r="J28" s="182" t="str">
        <f>IF(PA!Z27="","",PA!Z27)</f>
        <v/>
      </c>
      <c r="K28" s="179" t="str">
        <f>IF(PA!AI27="","",PA!AI27)</f>
        <v/>
      </c>
      <c r="L28" s="179" t="str">
        <f>IF(PA!AJ27="","",PA!AJ27)</f>
        <v/>
      </c>
      <c r="M28" s="182" t="str">
        <f>IF(PA!AQ27="","",PA!AQ27)</f>
        <v/>
      </c>
      <c r="N28" s="242"/>
    </row>
    <row r="29" spans="1:14" ht="15" customHeight="1" x14ac:dyDescent="0.3">
      <c r="A29" s="242"/>
      <c r="B29" s="424">
        <f>Data!E23</f>
        <v>19</v>
      </c>
      <c r="C29" s="249" t="str">
        <f>IF(Data!F23="","",Data!F23)</f>
        <v>03575</v>
      </c>
      <c r="D29" s="250" t="str">
        <f>IF(Data!H23="","",Data!H23)</f>
        <v>Muhammad Azka Afandi</v>
      </c>
      <c r="E29" s="249" t="str">
        <f>IF(Data!I23="","",Data!I23)</f>
        <v>Laki-laki</v>
      </c>
      <c r="F29" s="249" t="str">
        <f>Data!J23</f>
        <v>VIII-A</v>
      </c>
      <c r="G29" s="197"/>
      <c r="H29" s="178" t="str">
        <f>IF(PA!R28="","",PA!R28)</f>
        <v/>
      </c>
      <c r="I29" s="179" t="str">
        <f>IF(PA!S28="","",PA!S28)</f>
        <v/>
      </c>
      <c r="J29" s="182" t="str">
        <f>IF(PA!Z28="","",PA!Z28)</f>
        <v/>
      </c>
      <c r="K29" s="179" t="str">
        <f>IF(PA!AI28="","",PA!AI28)</f>
        <v/>
      </c>
      <c r="L29" s="179" t="str">
        <f>IF(PA!AJ28="","",PA!AJ28)</f>
        <v/>
      </c>
      <c r="M29" s="182" t="str">
        <f>IF(PA!AQ28="","",PA!AQ28)</f>
        <v/>
      </c>
      <c r="N29" s="242"/>
    </row>
    <row r="30" spans="1:14" ht="15" customHeight="1" x14ac:dyDescent="0.3">
      <c r="A30" s="242"/>
      <c r="B30" s="424">
        <f>Data!E24</f>
        <v>20</v>
      </c>
      <c r="C30" s="249" t="str">
        <f>IF(Data!F24="","",Data!F24)</f>
        <v>03576</v>
      </c>
      <c r="D30" s="250" t="str">
        <f>IF(Data!H24="","",Data!H24)</f>
        <v>Muhammad Azzam Sholahuddin Askari</v>
      </c>
      <c r="E30" s="249" t="str">
        <f>IF(Data!I24="","",Data!I24)</f>
        <v>Laki-laki</v>
      </c>
      <c r="F30" s="249" t="str">
        <f>Data!J24</f>
        <v>VIII-A</v>
      </c>
      <c r="G30" s="197"/>
      <c r="H30" s="178" t="str">
        <f>IF(PA!R29="","",PA!R29)</f>
        <v/>
      </c>
      <c r="I30" s="179" t="str">
        <f>IF(PA!S29="","",PA!S29)</f>
        <v/>
      </c>
      <c r="J30" s="182" t="str">
        <f>IF(PA!Z29="","",PA!Z29)</f>
        <v/>
      </c>
      <c r="K30" s="179" t="str">
        <f>IF(PA!AI29="","",PA!AI29)</f>
        <v/>
      </c>
      <c r="L30" s="179" t="str">
        <f>IF(PA!AJ29="","",PA!AJ29)</f>
        <v/>
      </c>
      <c r="M30" s="182" t="str">
        <f>IF(PA!AQ29="","",PA!AQ29)</f>
        <v/>
      </c>
      <c r="N30" s="242"/>
    </row>
    <row r="31" spans="1:14" ht="15" customHeight="1" x14ac:dyDescent="0.3">
      <c r="A31" s="242"/>
      <c r="B31" s="424">
        <f>Data!E25</f>
        <v>21</v>
      </c>
      <c r="C31" s="249" t="str">
        <f>IF(Data!F25="","",Data!F25)</f>
        <v>03578</v>
      </c>
      <c r="D31" s="250" t="str">
        <f>IF(Data!H25="","",Data!H25)</f>
        <v>Muhammad Dzaky Alif Al-Abiyu</v>
      </c>
      <c r="E31" s="249" t="str">
        <f>IF(Data!I25="","",Data!I25)</f>
        <v>Laki-laki</v>
      </c>
      <c r="F31" s="249" t="str">
        <f>Data!J25</f>
        <v>VIII-A</v>
      </c>
      <c r="G31" s="197"/>
      <c r="H31" s="178" t="str">
        <f>IF(PA!R30="","",PA!R30)</f>
        <v/>
      </c>
      <c r="I31" s="179" t="str">
        <f>IF(PA!S30="","",PA!S30)</f>
        <v/>
      </c>
      <c r="J31" s="182" t="str">
        <f>IF(PA!Z30="","",PA!Z30)</f>
        <v/>
      </c>
      <c r="K31" s="179" t="str">
        <f>IF(PA!AI30="","",PA!AI30)</f>
        <v/>
      </c>
      <c r="L31" s="179" t="str">
        <f>IF(PA!AJ30="","",PA!AJ30)</f>
        <v/>
      </c>
      <c r="M31" s="182" t="str">
        <f>IF(PA!AQ30="","",PA!AQ30)</f>
        <v/>
      </c>
      <c r="N31" s="242"/>
    </row>
    <row r="32" spans="1:14" ht="15" customHeight="1" x14ac:dyDescent="0.3">
      <c r="A32" s="242"/>
      <c r="B32" s="424">
        <f>Data!E26</f>
        <v>22</v>
      </c>
      <c r="C32" s="249" t="str">
        <f>IF(Data!F26="","",Data!F26)</f>
        <v>03581</v>
      </c>
      <c r="D32" s="250" t="str">
        <f>IF(Data!H26="","",Data!H26)</f>
        <v>Muhammad Hubby Izzul Haq</v>
      </c>
      <c r="E32" s="249" t="str">
        <f>IF(Data!I26="","",Data!I26)</f>
        <v>Laki-laki</v>
      </c>
      <c r="F32" s="249" t="str">
        <f>Data!J26</f>
        <v>VIII-A</v>
      </c>
      <c r="G32" s="197"/>
      <c r="H32" s="178" t="str">
        <f>IF(PA!R31="","",PA!R31)</f>
        <v/>
      </c>
      <c r="I32" s="179" t="str">
        <f>IF(PA!S31="","",PA!S31)</f>
        <v/>
      </c>
      <c r="J32" s="182" t="str">
        <f>IF(PA!Z31="","",PA!Z31)</f>
        <v/>
      </c>
      <c r="K32" s="179" t="str">
        <f>IF(PA!AI31="","",PA!AI31)</f>
        <v/>
      </c>
      <c r="L32" s="179" t="str">
        <f>IF(PA!AJ31="","",PA!AJ31)</f>
        <v/>
      </c>
      <c r="M32" s="182" t="str">
        <f>IF(PA!AQ31="","",PA!AQ31)</f>
        <v/>
      </c>
      <c r="N32" s="242"/>
    </row>
    <row r="33" spans="1:14" ht="15" customHeight="1" x14ac:dyDescent="0.3">
      <c r="A33" s="242"/>
      <c r="B33" s="424">
        <f>Data!E27</f>
        <v>23</v>
      </c>
      <c r="C33" s="249" t="str">
        <f>IF(Data!F27="","",Data!F27)</f>
        <v>03582</v>
      </c>
      <c r="D33" s="250" t="str">
        <f>IF(Data!H27="","",Data!H27)</f>
        <v>Muhammad Ibnu 'Athoillah Masykur</v>
      </c>
      <c r="E33" s="249" t="str">
        <f>IF(Data!I27="","",Data!I27)</f>
        <v>Laki-laki</v>
      </c>
      <c r="F33" s="249" t="str">
        <f>Data!J27</f>
        <v>VIII-A</v>
      </c>
      <c r="G33" s="197"/>
      <c r="H33" s="178" t="str">
        <f>IF(PA!R32="","",PA!R32)</f>
        <v/>
      </c>
      <c r="I33" s="179" t="str">
        <f>IF(PA!S32="","",PA!S32)</f>
        <v/>
      </c>
      <c r="J33" s="182" t="str">
        <f>IF(PA!Z32="","",PA!Z32)</f>
        <v/>
      </c>
      <c r="K33" s="179" t="str">
        <f>IF(PA!AI32="","",PA!AI32)</f>
        <v/>
      </c>
      <c r="L33" s="179" t="str">
        <f>IF(PA!AJ32="","",PA!AJ32)</f>
        <v/>
      </c>
      <c r="M33" s="182" t="str">
        <f>IF(PA!AQ32="","",PA!AQ32)</f>
        <v/>
      </c>
      <c r="N33" s="242"/>
    </row>
    <row r="34" spans="1:14" ht="15" customHeight="1" x14ac:dyDescent="0.3">
      <c r="A34" s="242"/>
      <c r="B34" s="424">
        <f>Data!E28</f>
        <v>24</v>
      </c>
      <c r="C34" s="249" t="str">
        <f>IF(Data!F28="","",Data!F28)</f>
        <v>03584</v>
      </c>
      <c r="D34" s="250" t="str">
        <f>IF(Data!H28="","",Data!H28)</f>
        <v>Muhammad Iqbal Baha Rizki</v>
      </c>
      <c r="E34" s="249" t="str">
        <f>IF(Data!I28="","",Data!I28)</f>
        <v>Laki-laki</v>
      </c>
      <c r="F34" s="249" t="str">
        <f>Data!J28</f>
        <v>VIII-A</v>
      </c>
      <c r="G34" s="197"/>
      <c r="H34" s="178" t="str">
        <f>IF(PA!R33="","",PA!R33)</f>
        <v/>
      </c>
      <c r="I34" s="179" t="str">
        <f>IF(PA!S33="","",PA!S33)</f>
        <v/>
      </c>
      <c r="J34" s="182" t="str">
        <f>IF(PA!Z33="","",PA!Z33)</f>
        <v/>
      </c>
      <c r="K34" s="179" t="str">
        <f>IF(PA!AI33="","",PA!AI33)</f>
        <v/>
      </c>
      <c r="L34" s="179" t="str">
        <f>IF(PA!AJ33="","",PA!AJ33)</f>
        <v/>
      </c>
      <c r="M34" s="182" t="str">
        <f>IF(PA!AQ33="","",PA!AQ33)</f>
        <v/>
      </c>
      <c r="N34" s="242"/>
    </row>
    <row r="35" spans="1:14" ht="15" customHeight="1" x14ac:dyDescent="0.3">
      <c r="A35" s="242"/>
      <c r="B35" s="424">
        <f>Data!E29</f>
        <v>25</v>
      </c>
      <c r="C35" s="249" t="str">
        <f>IF(Data!F29="","",Data!F29)</f>
        <v>03590</v>
      </c>
      <c r="D35" s="250" t="str">
        <f>IF(Data!H29="","",Data!H29)</f>
        <v>Muhammad Keysha Ahsin Nafsaka</v>
      </c>
      <c r="E35" s="249" t="str">
        <f>IF(Data!I29="","",Data!I29)</f>
        <v>Laki-laki</v>
      </c>
      <c r="F35" s="249" t="str">
        <f>Data!J29</f>
        <v>VIII-A</v>
      </c>
      <c r="G35" s="197"/>
      <c r="H35" s="178" t="str">
        <f>IF(PA!R34="","",PA!R34)</f>
        <v/>
      </c>
      <c r="I35" s="179" t="str">
        <f>IF(PA!S34="","",PA!S34)</f>
        <v/>
      </c>
      <c r="J35" s="182" t="str">
        <f>IF(PA!Z34="","",PA!Z34)</f>
        <v/>
      </c>
      <c r="K35" s="179" t="str">
        <f>IF(PA!AI34="","",PA!AI34)</f>
        <v/>
      </c>
      <c r="L35" s="179" t="str">
        <f>IF(PA!AJ34="","",PA!AJ34)</f>
        <v/>
      </c>
      <c r="M35" s="182" t="str">
        <f>IF(PA!AQ34="","",PA!AQ34)</f>
        <v/>
      </c>
      <c r="N35" s="242"/>
    </row>
    <row r="36" spans="1:14" ht="15" customHeight="1" x14ac:dyDescent="0.3">
      <c r="A36" s="242"/>
      <c r="B36" s="424">
        <f>Data!E30</f>
        <v>26</v>
      </c>
      <c r="C36" s="249" t="str">
        <f>IF(Data!F30="","",Data!F30)</f>
        <v>03592</v>
      </c>
      <c r="D36" s="250" t="str">
        <f>IF(Data!H30="","",Data!H30)</f>
        <v>Muhammad Khozinatul Asrori</v>
      </c>
      <c r="E36" s="249" t="str">
        <f>IF(Data!I30="","",Data!I30)</f>
        <v>Laki-laki</v>
      </c>
      <c r="F36" s="249" t="str">
        <f>Data!J30</f>
        <v>VIII-A</v>
      </c>
      <c r="G36" s="197"/>
      <c r="H36" s="178" t="str">
        <f>IF(PA!R35="","",PA!R35)</f>
        <v/>
      </c>
      <c r="I36" s="179" t="str">
        <f>IF(PA!S35="","",PA!S35)</f>
        <v/>
      </c>
      <c r="J36" s="182" t="str">
        <f>IF(PA!Z35="","",PA!Z35)</f>
        <v/>
      </c>
      <c r="K36" s="179" t="str">
        <f>IF(PA!AI35="","",PA!AI35)</f>
        <v/>
      </c>
      <c r="L36" s="179" t="str">
        <f>IF(PA!AJ35="","",PA!AJ35)</f>
        <v/>
      </c>
      <c r="M36" s="182" t="str">
        <f>IF(PA!AQ35="","",PA!AQ35)</f>
        <v/>
      </c>
      <c r="N36" s="242"/>
    </row>
    <row r="37" spans="1:14" ht="15" customHeight="1" x14ac:dyDescent="0.3">
      <c r="A37" s="242"/>
      <c r="B37" s="424">
        <f>Data!E31</f>
        <v>27</v>
      </c>
      <c r="C37" s="249" t="str">
        <f>IF(Data!F31="","",Data!F31)</f>
        <v>03593</v>
      </c>
      <c r="D37" s="250" t="str">
        <f>IF(Data!H31="","",Data!H31)</f>
        <v>Muhammad Ma'ruf Rizky</v>
      </c>
      <c r="E37" s="249" t="str">
        <f>IF(Data!I31="","",Data!I31)</f>
        <v>Laki-laki</v>
      </c>
      <c r="F37" s="249" t="str">
        <f>Data!J31</f>
        <v>VIII-A</v>
      </c>
      <c r="G37" s="197"/>
      <c r="H37" s="178" t="str">
        <f>IF(PA!R36="","",PA!R36)</f>
        <v/>
      </c>
      <c r="I37" s="179" t="str">
        <f>IF(PA!S36="","",PA!S36)</f>
        <v/>
      </c>
      <c r="J37" s="182" t="str">
        <f>IF(PA!Z36="","",PA!Z36)</f>
        <v/>
      </c>
      <c r="K37" s="179" t="str">
        <f>IF(PA!AI36="","",PA!AI36)</f>
        <v/>
      </c>
      <c r="L37" s="179" t="str">
        <f>IF(PA!AJ36="","",PA!AJ36)</f>
        <v/>
      </c>
      <c r="M37" s="182" t="str">
        <f>IF(PA!AQ36="","",PA!AQ36)</f>
        <v/>
      </c>
      <c r="N37" s="242"/>
    </row>
    <row r="38" spans="1:14" ht="15" customHeight="1" x14ac:dyDescent="0.3">
      <c r="A38" s="242"/>
      <c r="B38" s="424">
        <f>Data!E32</f>
        <v>28</v>
      </c>
      <c r="C38" s="249" t="str">
        <f>IF(Data!F32="","",Data!F32)</f>
        <v>03604</v>
      </c>
      <c r="D38" s="250" t="str">
        <f>IF(Data!H32="","",Data!H32)</f>
        <v>Naufal Muqoddam Rafif</v>
      </c>
      <c r="E38" s="249" t="str">
        <f>IF(Data!I32="","",Data!I32)</f>
        <v>Laki-laki</v>
      </c>
      <c r="F38" s="249" t="str">
        <f>Data!J32</f>
        <v>VIII-A</v>
      </c>
      <c r="G38" s="197"/>
      <c r="H38" s="178" t="str">
        <f>IF(PA!R37="","",PA!R37)</f>
        <v/>
      </c>
      <c r="I38" s="179" t="str">
        <f>IF(PA!S37="","",PA!S37)</f>
        <v/>
      </c>
      <c r="J38" s="182" t="str">
        <f>IF(PA!Z37="","",PA!Z37)</f>
        <v/>
      </c>
      <c r="K38" s="179" t="str">
        <f>IF(PA!AI37="","",PA!AI37)</f>
        <v/>
      </c>
      <c r="L38" s="179" t="str">
        <f>IF(PA!AJ37="","",PA!AJ37)</f>
        <v/>
      </c>
      <c r="M38" s="182" t="str">
        <f>IF(PA!AQ37="","",PA!AQ37)</f>
        <v/>
      </c>
      <c r="N38" s="242"/>
    </row>
    <row r="39" spans="1:14" ht="15" customHeight="1" x14ac:dyDescent="0.3">
      <c r="A39" s="242"/>
      <c r="B39" s="424">
        <f>Data!E33</f>
        <v>29</v>
      </c>
      <c r="C39" s="249" t="str">
        <f>IF(Data!F33="","",Data!F33)</f>
        <v>03607</v>
      </c>
      <c r="D39" s="250" t="str">
        <f>IF(Data!H33="","",Data!H33)</f>
        <v>Oziel Bagas Nugroho</v>
      </c>
      <c r="E39" s="249" t="str">
        <f>IF(Data!I33="","",Data!I33)</f>
        <v>Laki-laki</v>
      </c>
      <c r="F39" s="249" t="str">
        <f>Data!J33</f>
        <v>VIII-A</v>
      </c>
      <c r="G39" s="197"/>
      <c r="H39" s="178" t="str">
        <f>IF(PA!R38="","",PA!R38)</f>
        <v/>
      </c>
      <c r="I39" s="179" t="str">
        <f>IF(PA!S38="","",PA!S38)</f>
        <v/>
      </c>
      <c r="J39" s="182" t="str">
        <f>IF(PA!Z38="","",PA!Z38)</f>
        <v/>
      </c>
      <c r="K39" s="179" t="str">
        <f>IF(PA!AI38="","",PA!AI38)</f>
        <v/>
      </c>
      <c r="L39" s="179" t="str">
        <f>IF(PA!AJ38="","",PA!AJ38)</f>
        <v/>
      </c>
      <c r="M39" s="182" t="str">
        <f>IF(PA!AQ38="","",PA!AQ38)</f>
        <v/>
      </c>
      <c r="N39" s="242"/>
    </row>
    <row r="40" spans="1:14" ht="15" customHeight="1" x14ac:dyDescent="0.3">
      <c r="A40" s="242"/>
      <c r="B40" s="424">
        <f>Data!E34</f>
        <v>30</v>
      </c>
      <c r="C40" s="249" t="str">
        <f>IF(Data!F34="","",Data!F34)</f>
        <v>03611</v>
      </c>
      <c r="D40" s="250" t="str">
        <f>IF(Data!H34="","",Data!H34)</f>
        <v>Rafka Ahmad Agus Prasetiyo</v>
      </c>
      <c r="E40" s="249" t="str">
        <f>IF(Data!I34="","",Data!I34)</f>
        <v>Laki-laki</v>
      </c>
      <c r="F40" s="249" t="str">
        <f>Data!J34</f>
        <v>VIII-A</v>
      </c>
      <c r="G40" s="197"/>
      <c r="H40" s="178" t="str">
        <f>IF(PA!R39="","",PA!R39)</f>
        <v/>
      </c>
      <c r="I40" s="179" t="str">
        <f>IF(PA!S39="","",PA!S39)</f>
        <v/>
      </c>
      <c r="J40" s="182" t="str">
        <f>IF(PA!Z39="","",PA!Z39)</f>
        <v/>
      </c>
      <c r="K40" s="179" t="str">
        <f>IF(PA!AI39="","",PA!AI39)</f>
        <v/>
      </c>
      <c r="L40" s="179" t="str">
        <f>IF(PA!AJ39="","",PA!AJ39)</f>
        <v/>
      </c>
      <c r="M40" s="182" t="str">
        <f>IF(PA!AQ39="","",PA!AQ39)</f>
        <v/>
      </c>
      <c r="N40" s="242"/>
    </row>
    <row r="41" spans="1:14" ht="15" customHeight="1" x14ac:dyDescent="0.3">
      <c r="A41" s="242"/>
      <c r="B41" s="424">
        <f>Data!E35</f>
        <v>31</v>
      </c>
      <c r="C41" s="249" t="str">
        <f>IF(Data!F35="","",Data!F35)</f>
        <v>03614</v>
      </c>
      <c r="D41" s="250" t="str">
        <f>IF(Data!H35="","",Data!H35)</f>
        <v>Reyza Azka Kristiansyah</v>
      </c>
      <c r="E41" s="249" t="str">
        <f>IF(Data!I35="","",Data!I35)</f>
        <v>Laki-laki</v>
      </c>
      <c r="F41" s="249" t="str">
        <f>Data!J35</f>
        <v>VIII-A</v>
      </c>
      <c r="G41" s="197"/>
      <c r="H41" s="178" t="str">
        <f>IF(PA!R40="","",PA!R40)</f>
        <v/>
      </c>
      <c r="I41" s="179" t="str">
        <f>IF(PA!S40="","",PA!S40)</f>
        <v/>
      </c>
      <c r="J41" s="182" t="str">
        <f>IF(PA!Z40="","",PA!Z40)</f>
        <v/>
      </c>
      <c r="K41" s="179" t="str">
        <f>IF(PA!AI40="","",PA!AI40)</f>
        <v/>
      </c>
      <c r="L41" s="179" t="str">
        <f>IF(PA!AJ40="","",PA!AJ40)</f>
        <v/>
      </c>
      <c r="M41" s="182" t="str">
        <f>IF(PA!AQ40="","",PA!AQ40)</f>
        <v/>
      </c>
      <c r="N41" s="242"/>
    </row>
    <row r="42" spans="1:14" ht="15" customHeight="1" x14ac:dyDescent="0.3">
      <c r="A42" s="242"/>
      <c r="B42" s="424">
        <f>Data!E36</f>
        <v>32</v>
      </c>
      <c r="C42" s="249" t="str">
        <f>IF(Data!F36="","",Data!F36)</f>
        <v>03623</v>
      </c>
      <c r="D42" s="250" t="str">
        <f>IF(Data!H36="","",Data!H36)</f>
        <v>Yazid Ali Rohmatulloh</v>
      </c>
      <c r="E42" s="249" t="str">
        <f>IF(Data!I36="","",Data!I36)</f>
        <v>Laki-laki</v>
      </c>
      <c r="F42" s="249" t="str">
        <f>Data!J36</f>
        <v>VIII-A</v>
      </c>
      <c r="G42" s="197"/>
      <c r="H42" s="178" t="str">
        <f>IF(PA!R41="","",PA!R41)</f>
        <v/>
      </c>
      <c r="I42" s="179" t="str">
        <f>IF(PA!S41="","",PA!S41)</f>
        <v/>
      </c>
      <c r="J42" s="182" t="str">
        <f>IF(PA!Z41="","",PA!Z41)</f>
        <v/>
      </c>
      <c r="K42" s="179" t="str">
        <f>IF(PA!AI41="","",PA!AI41)</f>
        <v/>
      </c>
      <c r="L42" s="179" t="str">
        <f>IF(PA!AJ41="","",PA!AJ41)</f>
        <v/>
      </c>
      <c r="M42" s="182" t="str">
        <f>IF(PA!AQ41="","",PA!AQ41)</f>
        <v/>
      </c>
      <c r="N42" s="242"/>
    </row>
    <row r="43" spans="1:14" ht="15" customHeight="1" x14ac:dyDescent="0.3">
      <c r="A43" s="242"/>
      <c r="B43" s="424">
        <f>Data!E37</f>
        <v>33</v>
      </c>
      <c r="C43" s="249" t="str">
        <f>IF(Data!F37="","",Data!F37)</f>
        <v/>
      </c>
      <c r="D43" s="250" t="str">
        <f>IF(Data!H37="","",Data!H37)</f>
        <v/>
      </c>
      <c r="E43" s="249" t="str">
        <f>IF(Data!I37="","",Data!I37)</f>
        <v/>
      </c>
      <c r="F43" s="249" t="str">
        <f>Data!J37</f>
        <v>VIII-A</v>
      </c>
      <c r="G43" s="197"/>
      <c r="H43" s="178" t="str">
        <f>IF(PA!R42="","",PA!R42)</f>
        <v/>
      </c>
      <c r="I43" s="179" t="str">
        <f>IF(PA!S42="","",PA!S42)</f>
        <v/>
      </c>
      <c r="J43" s="182" t="str">
        <f>IF(PA!Z42="","",PA!Z42)</f>
        <v/>
      </c>
      <c r="K43" s="179" t="str">
        <f>IF(PA!AI42="","",PA!AI42)</f>
        <v/>
      </c>
      <c r="L43" s="179" t="str">
        <f>IF(PA!AJ42="","",PA!AJ42)</f>
        <v/>
      </c>
      <c r="M43" s="182" t="str">
        <f>IF(PA!AQ42="","",PA!AQ42)</f>
        <v/>
      </c>
      <c r="N43" s="242"/>
    </row>
    <row r="44" spans="1:14" ht="15" customHeight="1" x14ac:dyDescent="0.3">
      <c r="A44" s="242"/>
      <c r="B44" s="424">
        <f>Data!E38</f>
        <v>34</v>
      </c>
      <c r="C44" s="249" t="str">
        <f>IF(Data!F38="","",Data!F38)</f>
        <v/>
      </c>
      <c r="D44" s="250" t="str">
        <f>IF(Data!H38="","",Data!H38)</f>
        <v/>
      </c>
      <c r="E44" s="249" t="str">
        <f>IF(Data!I38="","",Data!I38)</f>
        <v/>
      </c>
      <c r="F44" s="249" t="str">
        <f>Data!J38</f>
        <v>VIII-A</v>
      </c>
      <c r="G44" s="197"/>
      <c r="H44" s="178" t="str">
        <f>IF(PA!R43="","",PA!R43)</f>
        <v/>
      </c>
      <c r="I44" s="179" t="str">
        <f>IF(PA!S43="","",PA!S43)</f>
        <v/>
      </c>
      <c r="J44" s="182" t="str">
        <f>IF(PA!Z43="","",PA!Z43)</f>
        <v/>
      </c>
      <c r="K44" s="179" t="str">
        <f>IF(PA!AI43="","",PA!AI43)</f>
        <v/>
      </c>
      <c r="L44" s="179" t="str">
        <f>IF(PA!AJ43="","",PA!AJ43)</f>
        <v/>
      </c>
      <c r="M44" s="182" t="str">
        <f>IF(PA!AQ43="","",PA!AQ43)</f>
        <v/>
      </c>
      <c r="N44" s="242"/>
    </row>
    <row r="45" spans="1:14" ht="15" customHeight="1" x14ac:dyDescent="0.3">
      <c r="A45" s="242"/>
      <c r="B45" s="424">
        <f>Data!E39</f>
        <v>35</v>
      </c>
      <c r="C45" s="249" t="str">
        <f>IF(Data!F39="","",Data!F39)</f>
        <v/>
      </c>
      <c r="D45" s="250" t="str">
        <f>IF(Data!H39="","",Data!H39)</f>
        <v/>
      </c>
      <c r="E45" s="249" t="str">
        <f>IF(Data!I39="","",Data!I39)</f>
        <v/>
      </c>
      <c r="F45" s="249" t="str">
        <f>Data!J39</f>
        <v>VIII-A</v>
      </c>
      <c r="G45" s="197"/>
      <c r="H45" s="178" t="str">
        <f>IF(PA!R44="","",PA!R44)</f>
        <v/>
      </c>
      <c r="I45" s="179" t="str">
        <f>IF(PA!S44="","",PA!S44)</f>
        <v/>
      </c>
      <c r="J45" s="182" t="str">
        <f>IF(PA!Z44="","",PA!Z44)</f>
        <v/>
      </c>
      <c r="K45" s="179" t="str">
        <f>IF(PA!AI44="","",PA!AI44)</f>
        <v/>
      </c>
      <c r="L45" s="179" t="str">
        <f>IF(PA!AJ44="","",PA!AJ44)</f>
        <v/>
      </c>
      <c r="M45" s="182" t="str">
        <f>IF(PA!AQ44="","",PA!AQ44)</f>
        <v/>
      </c>
      <c r="N45" s="242"/>
    </row>
    <row r="46" spans="1:14" ht="15" customHeight="1" x14ac:dyDescent="0.3">
      <c r="A46" s="242"/>
      <c r="B46" s="424">
        <f>Data!E40</f>
        <v>36</v>
      </c>
      <c r="C46" s="249" t="str">
        <f>IF(Data!F40="","",Data!F40)</f>
        <v/>
      </c>
      <c r="D46" s="250" t="str">
        <f>IF(Data!H40="","",Data!H40)</f>
        <v/>
      </c>
      <c r="E46" s="249" t="str">
        <f>IF(Data!I40="","",Data!I40)</f>
        <v/>
      </c>
      <c r="F46" s="249" t="str">
        <f>Data!J40</f>
        <v>VIII-A</v>
      </c>
      <c r="G46" s="197"/>
      <c r="H46" s="178" t="str">
        <f>IF(PA!R45="","",PA!R45)</f>
        <v/>
      </c>
      <c r="I46" s="179" t="str">
        <f>IF(PA!S45="","",PA!S45)</f>
        <v/>
      </c>
      <c r="J46" s="182" t="str">
        <f>IF(PA!Z45="","",PA!Z45)</f>
        <v/>
      </c>
      <c r="K46" s="179" t="str">
        <f>IF(PA!AI45="","",PA!AI45)</f>
        <v/>
      </c>
      <c r="L46" s="179" t="str">
        <f>IF(PA!AJ45="","",PA!AJ45)</f>
        <v/>
      </c>
      <c r="M46" s="182" t="str">
        <f>IF(PA!AQ45="","",PA!AQ45)</f>
        <v/>
      </c>
      <c r="N46" s="242"/>
    </row>
    <row r="47" spans="1:14" ht="15" customHeight="1" x14ac:dyDescent="0.3">
      <c r="A47" s="242"/>
      <c r="B47" s="424">
        <f>Data!E41</f>
        <v>37</v>
      </c>
      <c r="C47" s="249" t="str">
        <f>IF(Data!F41="","",Data!F41)</f>
        <v/>
      </c>
      <c r="D47" s="250" t="str">
        <f>IF(Data!H41="","",Data!H41)</f>
        <v/>
      </c>
      <c r="E47" s="249" t="str">
        <f>IF(Data!I41="","",Data!I41)</f>
        <v/>
      </c>
      <c r="F47" s="249" t="str">
        <f>Data!J41</f>
        <v>VIII-A</v>
      </c>
      <c r="G47" s="197"/>
      <c r="H47" s="178" t="str">
        <f>IF(PA!R46="","",PA!R46)</f>
        <v/>
      </c>
      <c r="I47" s="179" t="str">
        <f>IF(PA!S46="","",PA!S46)</f>
        <v/>
      </c>
      <c r="J47" s="182" t="str">
        <f>IF(PA!Z46="","",PA!Z46)</f>
        <v/>
      </c>
      <c r="K47" s="179" t="str">
        <f>IF(PA!AI46="","",PA!AI46)</f>
        <v/>
      </c>
      <c r="L47" s="179" t="str">
        <f>IF(PA!AJ46="","",PA!AJ46)</f>
        <v/>
      </c>
      <c r="M47" s="182" t="str">
        <f>IF(PA!AQ46="","",PA!AQ46)</f>
        <v/>
      </c>
      <c r="N47" s="242"/>
    </row>
    <row r="48" spans="1:14" ht="15" customHeight="1" x14ac:dyDescent="0.3">
      <c r="A48" s="242"/>
      <c r="B48" s="424">
        <f>Data!E42</f>
        <v>38</v>
      </c>
      <c r="C48" s="249" t="str">
        <f>IF(Data!F42="","",Data!F42)</f>
        <v/>
      </c>
      <c r="D48" s="250" t="str">
        <f>IF(Data!H42="","",Data!H42)</f>
        <v/>
      </c>
      <c r="E48" s="249" t="str">
        <f>IF(Data!I42="","",Data!I42)</f>
        <v/>
      </c>
      <c r="F48" s="249" t="str">
        <f>Data!J42</f>
        <v>VIII-A</v>
      </c>
      <c r="G48" s="197"/>
      <c r="H48" s="178" t="str">
        <f>IF(PA!R47="","",PA!R47)</f>
        <v/>
      </c>
      <c r="I48" s="179" t="str">
        <f>IF(PA!S47="","",PA!S47)</f>
        <v/>
      </c>
      <c r="J48" s="182" t="str">
        <f>IF(PA!Z47="","",PA!Z47)</f>
        <v/>
      </c>
      <c r="K48" s="179" t="str">
        <f>IF(PA!AI47="","",PA!AI47)</f>
        <v/>
      </c>
      <c r="L48" s="179" t="str">
        <f>IF(PA!AJ47="","",PA!AJ47)</f>
        <v/>
      </c>
      <c r="M48" s="182" t="str">
        <f>IF(PA!AQ47="","",PA!AQ47)</f>
        <v/>
      </c>
      <c r="N48" s="242"/>
    </row>
    <row r="49" spans="1:14" ht="15" customHeight="1" x14ac:dyDescent="0.3">
      <c r="A49" s="242"/>
      <c r="B49" s="424">
        <f>Data!E43</f>
        <v>39</v>
      </c>
      <c r="C49" s="249" t="str">
        <f>IF(Data!F43="","",Data!F43)</f>
        <v/>
      </c>
      <c r="D49" s="250" t="str">
        <f>IF(Data!H43="","",Data!H43)</f>
        <v/>
      </c>
      <c r="E49" s="249" t="str">
        <f>IF(Data!I43="","",Data!I43)</f>
        <v/>
      </c>
      <c r="F49" s="249" t="str">
        <f>Data!J43</f>
        <v>VIII-A</v>
      </c>
      <c r="G49" s="197"/>
      <c r="H49" s="178" t="str">
        <f>IF(PA!R48="","",PA!R48)</f>
        <v/>
      </c>
      <c r="I49" s="179" t="str">
        <f>IF(PA!S48="","",PA!S48)</f>
        <v/>
      </c>
      <c r="J49" s="182" t="str">
        <f>IF(PA!Z48="","",PA!Z48)</f>
        <v/>
      </c>
      <c r="K49" s="179" t="str">
        <f>IF(PA!AI48="","",PA!AI48)</f>
        <v/>
      </c>
      <c r="L49" s="179" t="str">
        <f>IF(PA!AJ48="","",PA!AJ48)</f>
        <v/>
      </c>
      <c r="M49" s="182" t="str">
        <f>IF(PA!AQ48="","",PA!AQ48)</f>
        <v/>
      </c>
      <c r="N49" s="242"/>
    </row>
    <row r="50" spans="1:14" ht="15" customHeight="1" thickBot="1" x14ac:dyDescent="0.35">
      <c r="A50" s="242"/>
      <c r="B50" s="429">
        <f>Data!E44</f>
        <v>40</v>
      </c>
      <c r="C50" s="430" t="str">
        <f>IF(Data!F44="","",Data!F44)</f>
        <v/>
      </c>
      <c r="D50" s="431" t="str">
        <f>IF(Data!H44="","",Data!H44)</f>
        <v/>
      </c>
      <c r="E50" s="430" t="str">
        <f>IF(Data!I44="","",Data!I44)</f>
        <v/>
      </c>
      <c r="F50" s="430" t="str">
        <f>Data!J44</f>
        <v>VIII-A</v>
      </c>
      <c r="G50" s="432"/>
      <c r="H50" s="433" t="str">
        <f>IF(PA!R49="","",PA!R49)</f>
        <v/>
      </c>
      <c r="I50" s="434" t="str">
        <f>IF(PA!S49="","",PA!S49)</f>
        <v/>
      </c>
      <c r="J50" s="435" t="str">
        <f>IF(PA!Z49="","",PA!Z49)</f>
        <v/>
      </c>
      <c r="K50" s="434" t="str">
        <f>IF(PA!AI49="","",PA!AI49)</f>
        <v/>
      </c>
      <c r="L50" s="434" t="str">
        <f>IF(PA!AJ49="","",PA!AJ49)</f>
        <v/>
      </c>
      <c r="M50" s="435" t="str">
        <f>IF(PA!AQ49="","",PA!AQ49)</f>
        <v/>
      </c>
      <c r="N50" s="242"/>
    </row>
    <row r="51" spans="1:14" ht="15" customHeight="1" thickTop="1" x14ac:dyDescent="0.3">
      <c r="A51" s="242"/>
      <c r="B51" s="426">
        <f>Data!E45</f>
        <v>1</v>
      </c>
      <c r="C51" s="427" t="str">
        <f>IF(Data!F45="","",Data!F45)</f>
        <v>03501</v>
      </c>
      <c r="D51" s="428" t="str">
        <f>IF(Data!H45="","",Data!H45)</f>
        <v>Ach. Fajruddhuha Ramadhan</v>
      </c>
      <c r="E51" s="427" t="str">
        <f>IF(Data!I45="","",Data!I45)</f>
        <v>Laki-laki</v>
      </c>
      <c r="F51" s="427" t="str">
        <f>Data!J45</f>
        <v>VIII-B</v>
      </c>
      <c r="G51" s="197"/>
      <c r="H51" s="180" t="str">
        <f>IF(PA!R50="","",PA!R50)</f>
        <v/>
      </c>
      <c r="I51" s="181" t="str">
        <f>IF(PA!S50="","",PA!S50)</f>
        <v/>
      </c>
      <c r="J51" s="187" t="str">
        <f>IF(PA!Z50="","",PA!Z50)</f>
        <v/>
      </c>
      <c r="K51" s="181" t="str">
        <f>IF(PA!AI50="","",PA!AI50)</f>
        <v/>
      </c>
      <c r="L51" s="181" t="str">
        <f>IF(PA!AJ50="","",PA!AJ50)</f>
        <v/>
      </c>
      <c r="M51" s="187" t="str">
        <f>IF(PA!AQ50="","",PA!AQ50)</f>
        <v/>
      </c>
      <c r="N51" s="242"/>
    </row>
    <row r="52" spans="1:14" ht="15" customHeight="1" x14ac:dyDescent="0.3">
      <c r="A52" s="242"/>
      <c r="B52" s="424">
        <f>Data!E46</f>
        <v>2</v>
      </c>
      <c r="C52" s="249" t="str">
        <f>IF(Data!F46="","",Data!F46)</f>
        <v>03504</v>
      </c>
      <c r="D52" s="250" t="str">
        <f>IF(Data!H46="","",Data!H46)</f>
        <v>Achmad Fatkhur Rozi</v>
      </c>
      <c r="E52" s="249" t="str">
        <f>IF(Data!I46="","",Data!I46)</f>
        <v>Laki-laki</v>
      </c>
      <c r="F52" s="249" t="str">
        <f>Data!J46</f>
        <v>VIII-B</v>
      </c>
      <c r="G52" s="197"/>
      <c r="H52" s="178" t="str">
        <f>IF(PA!R51="","",PA!R51)</f>
        <v/>
      </c>
      <c r="I52" s="179" t="str">
        <f>IF(PA!S51="","",PA!S51)</f>
        <v/>
      </c>
      <c r="J52" s="182" t="str">
        <f>IF(PA!Z51="","",PA!Z51)</f>
        <v/>
      </c>
      <c r="K52" s="179" t="str">
        <f>IF(PA!AI51="","",PA!AI51)</f>
        <v/>
      </c>
      <c r="L52" s="179" t="str">
        <f>IF(PA!AJ51="","",PA!AJ51)</f>
        <v/>
      </c>
      <c r="M52" s="182" t="str">
        <f>IF(PA!AQ51="","",PA!AQ51)</f>
        <v/>
      </c>
      <c r="N52" s="242"/>
    </row>
    <row r="53" spans="1:14" ht="15" customHeight="1" x14ac:dyDescent="0.3">
      <c r="A53" s="242"/>
      <c r="B53" s="424">
        <f>Data!E47</f>
        <v>3</v>
      </c>
      <c r="C53" s="249" t="str">
        <f>IF(Data!F47="","",Data!F47)</f>
        <v>03507</v>
      </c>
      <c r="D53" s="250" t="str">
        <f>IF(Data!H47="","",Data!H47)</f>
        <v>Afwan Minan Rohman</v>
      </c>
      <c r="E53" s="249" t="str">
        <f>IF(Data!I47="","",Data!I47)</f>
        <v>Laki-laki</v>
      </c>
      <c r="F53" s="249" t="str">
        <f>Data!J47</f>
        <v>VIII-B</v>
      </c>
      <c r="G53" s="197"/>
      <c r="H53" s="178" t="str">
        <f>IF(PA!R52="","",PA!R52)</f>
        <v/>
      </c>
      <c r="I53" s="179" t="str">
        <f>IF(PA!S52="","",PA!S52)</f>
        <v/>
      </c>
      <c r="J53" s="182" t="str">
        <f>IF(PA!Z52="","",PA!Z52)</f>
        <v/>
      </c>
      <c r="K53" s="179" t="str">
        <f>IF(PA!AI52="","",PA!AI52)</f>
        <v/>
      </c>
      <c r="L53" s="179" t="str">
        <f>IF(PA!AJ52="","",PA!AJ52)</f>
        <v/>
      </c>
      <c r="M53" s="182" t="str">
        <f>IF(PA!AQ52="","",PA!AQ52)</f>
        <v/>
      </c>
      <c r="N53" s="242"/>
    </row>
    <row r="54" spans="1:14" ht="15" customHeight="1" x14ac:dyDescent="0.3">
      <c r="A54" s="242"/>
      <c r="B54" s="424">
        <f>Data!E48</f>
        <v>4</v>
      </c>
      <c r="C54" s="249" t="str">
        <f>IF(Data!F48="","",Data!F48)</f>
        <v>03508</v>
      </c>
      <c r="D54" s="250" t="str">
        <f>IF(Data!H48="","",Data!H48)</f>
        <v>Ahdaniel Jamil Fiddin</v>
      </c>
      <c r="E54" s="249" t="str">
        <f>IF(Data!I48="","",Data!I48)</f>
        <v>Laki-laki</v>
      </c>
      <c r="F54" s="249" t="str">
        <f>Data!J48</f>
        <v>VIII-B</v>
      </c>
      <c r="G54" s="197"/>
      <c r="H54" s="178" t="str">
        <f>IF(PA!R53="","",PA!R53)</f>
        <v/>
      </c>
      <c r="I54" s="179" t="str">
        <f>IF(PA!S53="","",PA!S53)</f>
        <v/>
      </c>
      <c r="J54" s="182" t="str">
        <f>IF(PA!Z53="","",PA!Z53)</f>
        <v/>
      </c>
      <c r="K54" s="179" t="str">
        <f>IF(PA!AI53="","",PA!AI53)</f>
        <v/>
      </c>
      <c r="L54" s="179" t="str">
        <f>IF(PA!AJ53="","",PA!AJ53)</f>
        <v/>
      </c>
      <c r="M54" s="182" t="str">
        <f>IF(PA!AQ53="","",PA!AQ53)</f>
        <v/>
      </c>
      <c r="N54" s="242"/>
    </row>
    <row r="55" spans="1:14" ht="15" customHeight="1" x14ac:dyDescent="0.3">
      <c r="A55" s="242"/>
      <c r="B55" s="424">
        <f>Data!E49</f>
        <v>5</v>
      </c>
      <c r="C55" s="249" t="str">
        <f>IF(Data!F49="","",Data!F49)</f>
        <v>03509</v>
      </c>
      <c r="D55" s="250" t="str">
        <f>IF(Data!H49="","",Data!H49)</f>
        <v>Ahmad Abiya Nur Na'im</v>
      </c>
      <c r="E55" s="249" t="str">
        <f>IF(Data!I49="","",Data!I49)</f>
        <v>Laki-laki</v>
      </c>
      <c r="F55" s="249" t="str">
        <f>Data!J49</f>
        <v>VIII-B</v>
      </c>
      <c r="G55" s="197"/>
      <c r="H55" s="178" t="str">
        <f>IF(PA!R54="","",PA!R54)</f>
        <v/>
      </c>
      <c r="I55" s="179" t="str">
        <f>IF(PA!S54="","",PA!S54)</f>
        <v/>
      </c>
      <c r="J55" s="182" t="str">
        <f>IF(PA!Z54="","",PA!Z54)</f>
        <v/>
      </c>
      <c r="K55" s="179" t="str">
        <f>IF(PA!AI54="","",PA!AI54)</f>
        <v/>
      </c>
      <c r="L55" s="179" t="str">
        <f>IF(PA!AJ54="","",PA!AJ54)</f>
        <v/>
      </c>
      <c r="M55" s="182" t="str">
        <f>IF(PA!AQ54="","",PA!AQ54)</f>
        <v/>
      </c>
      <c r="N55" s="242"/>
    </row>
    <row r="56" spans="1:14" ht="15" customHeight="1" x14ac:dyDescent="0.3">
      <c r="A56" s="242"/>
      <c r="B56" s="424">
        <f>Data!E50</f>
        <v>6</v>
      </c>
      <c r="C56" s="249" t="str">
        <f>IF(Data!F50="","",Data!F50)</f>
        <v>03520</v>
      </c>
      <c r="D56" s="250" t="str">
        <f>IF(Data!H50="","",Data!H50)</f>
        <v>Ahmad Iqbal Maulana</v>
      </c>
      <c r="E56" s="249" t="str">
        <f>IF(Data!I50="","",Data!I50)</f>
        <v>Laki-laki</v>
      </c>
      <c r="F56" s="249" t="str">
        <f>Data!J50</f>
        <v>VIII-B</v>
      </c>
      <c r="G56" s="197"/>
      <c r="H56" s="178" t="str">
        <f>IF(PA!R55="","",PA!R55)</f>
        <v/>
      </c>
      <c r="I56" s="179" t="str">
        <f>IF(PA!S55="","",PA!S55)</f>
        <v/>
      </c>
      <c r="J56" s="182" t="str">
        <f>IF(PA!Z55="","",PA!Z55)</f>
        <v/>
      </c>
      <c r="K56" s="179" t="str">
        <f>IF(PA!AI55="","",PA!AI55)</f>
        <v/>
      </c>
      <c r="L56" s="179" t="str">
        <f>IF(PA!AJ55="","",PA!AJ55)</f>
        <v/>
      </c>
      <c r="M56" s="182" t="str">
        <f>IF(PA!AQ55="","",PA!AQ55)</f>
        <v/>
      </c>
      <c r="N56" s="242"/>
    </row>
    <row r="57" spans="1:14" ht="15" customHeight="1" x14ac:dyDescent="0.3">
      <c r="A57" s="242"/>
      <c r="B57" s="424">
        <f>Data!E51</f>
        <v>7</v>
      </c>
      <c r="C57" s="249" t="str">
        <f>IF(Data!F51="","",Data!F51)</f>
        <v>03522</v>
      </c>
      <c r="D57" s="250" t="str">
        <f>IF(Data!H51="","",Data!H51)</f>
        <v>Ahmad Nafis An Nafi'</v>
      </c>
      <c r="E57" s="249" t="str">
        <f>IF(Data!I51="","",Data!I51)</f>
        <v>Laki-laki</v>
      </c>
      <c r="F57" s="249" t="str">
        <f>Data!J51</f>
        <v>VIII-B</v>
      </c>
      <c r="G57" s="197"/>
      <c r="H57" s="178" t="str">
        <f>IF(PA!R56="","",PA!R56)</f>
        <v/>
      </c>
      <c r="I57" s="179" t="str">
        <f>IF(PA!S56="","",PA!S56)</f>
        <v/>
      </c>
      <c r="J57" s="182" t="str">
        <f>IF(PA!Z56="","",PA!Z56)</f>
        <v/>
      </c>
      <c r="K57" s="179" t="str">
        <f>IF(PA!AI56="","",PA!AI56)</f>
        <v/>
      </c>
      <c r="L57" s="179" t="str">
        <f>IF(PA!AJ56="","",PA!AJ56)</f>
        <v/>
      </c>
      <c r="M57" s="182" t="str">
        <f>IF(PA!AQ56="","",PA!AQ56)</f>
        <v/>
      </c>
      <c r="N57" s="242"/>
    </row>
    <row r="58" spans="1:14" ht="15" customHeight="1" x14ac:dyDescent="0.3">
      <c r="A58" s="242"/>
      <c r="B58" s="424">
        <f>Data!E52</f>
        <v>8</v>
      </c>
      <c r="C58" s="249" t="str">
        <f>IF(Data!F52="","",Data!F52)</f>
        <v>03523</v>
      </c>
      <c r="D58" s="250" t="str">
        <f>IF(Data!H52="","",Data!H52)</f>
        <v>Ahmad Naufal Miftakhul Ulum</v>
      </c>
      <c r="E58" s="249" t="str">
        <f>IF(Data!I52="","",Data!I52)</f>
        <v>Laki-laki</v>
      </c>
      <c r="F58" s="249" t="str">
        <f>Data!J52</f>
        <v>VIII-B</v>
      </c>
      <c r="G58" s="197"/>
      <c r="H58" s="178" t="str">
        <f>IF(PA!R57="","",PA!R57)</f>
        <v/>
      </c>
      <c r="I58" s="179" t="str">
        <f>IF(PA!S57="","",PA!S57)</f>
        <v/>
      </c>
      <c r="J58" s="182" t="str">
        <f>IF(PA!Z57="","",PA!Z57)</f>
        <v/>
      </c>
      <c r="K58" s="179" t="str">
        <f>IF(PA!AI57="","",PA!AI57)</f>
        <v/>
      </c>
      <c r="L58" s="179" t="str">
        <f>IF(PA!AJ57="","",PA!AJ57)</f>
        <v/>
      </c>
      <c r="M58" s="182" t="str">
        <f>IF(PA!AQ57="","",PA!AQ57)</f>
        <v/>
      </c>
      <c r="N58" s="242"/>
    </row>
    <row r="59" spans="1:14" ht="15" customHeight="1" x14ac:dyDescent="0.3">
      <c r="A59" s="242"/>
      <c r="B59" s="424">
        <f>Data!E53</f>
        <v>9</v>
      </c>
      <c r="C59" s="249" t="str">
        <f>IF(Data!F53="","",Data!F53)</f>
        <v>03526</v>
      </c>
      <c r="D59" s="250" t="str">
        <f>IF(Data!H53="","",Data!H53)</f>
        <v>Ahmad Syauqi Mushoffa</v>
      </c>
      <c r="E59" s="249" t="str">
        <f>IF(Data!I53="","",Data!I53)</f>
        <v>Laki-laki</v>
      </c>
      <c r="F59" s="249" t="str">
        <f>Data!J53</f>
        <v>VIII-B</v>
      </c>
      <c r="G59" s="197"/>
      <c r="H59" s="178" t="str">
        <f>IF(PA!R58="","",PA!R58)</f>
        <v/>
      </c>
      <c r="I59" s="179" t="str">
        <f>IF(PA!S58="","",PA!S58)</f>
        <v/>
      </c>
      <c r="J59" s="182" t="str">
        <f>IF(PA!Z58="","",PA!Z58)</f>
        <v/>
      </c>
      <c r="K59" s="179" t="str">
        <f>IF(PA!AI58="","",PA!AI58)</f>
        <v/>
      </c>
      <c r="L59" s="179" t="str">
        <f>IF(PA!AJ58="","",PA!AJ58)</f>
        <v/>
      </c>
      <c r="M59" s="182" t="str">
        <f>IF(PA!AQ58="","",PA!AQ58)</f>
        <v/>
      </c>
      <c r="N59" s="242"/>
    </row>
    <row r="60" spans="1:14" ht="15" customHeight="1" x14ac:dyDescent="0.3">
      <c r="A60" s="242"/>
      <c r="B60" s="424">
        <f>Data!E54</f>
        <v>10</v>
      </c>
      <c r="C60" s="249" t="str">
        <f>IF(Data!F54="","",Data!F54)</f>
        <v>03531</v>
      </c>
      <c r="D60" s="250" t="str">
        <f>IF(Data!H54="","",Data!H54)</f>
        <v>Alvin Zakaria</v>
      </c>
      <c r="E60" s="249" t="str">
        <f>IF(Data!I54="","",Data!I54)</f>
        <v>Laki-laki</v>
      </c>
      <c r="F60" s="249" t="str">
        <f>Data!J54</f>
        <v>VIII-B</v>
      </c>
      <c r="G60" s="197"/>
      <c r="H60" s="178" t="str">
        <f>IF(PA!R59="","",PA!R59)</f>
        <v/>
      </c>
      <c r="I60" s="179" t="str">
        <f>IF(PA!S59="","",PA!S59)</f>
        <v/>
      </c>
      <c r="J60" s="182" t="str">
        <f>IF(PA!Z59="","",PA!Z59)</f>
        <v/>
      </c>
      <c r="K60" s="179" t="str">
        <f>IF(PA!AI59="","",PA!AI59)</f>
        <v/>
      </c>
      <c r="L60" s="179" t="str">
        <f>IF(PA!AJ59="","",PA!AJ59)</f>
        <v/>
      </c>
      <c r="M60" s="182" t="str">
        <f>IF(PA!AQ59="","",PA!AQ59)</f>
        <v/>
      </c>
      <c r="N60" s="242"/>
    </row>
    <row r="61" spans="1:14" ht="15" customHeight="1" x14ac:dyDescent="0.3">
      <c r="A61" s="242"/>
      <c r="B61" s="424">
        <f>Data!E55</f>
        <v>11</v>
      </c>
      <c r="C61" s="249" t="str">
        <f>IF(Data!F55="","",Data!F55)</f>
        <v>03534</v>
      </c>
      <c r="D61" s="250" t="str">
        <f>IF(Data!H55="","",Data!H55)</f>
        <v>Aufal Fadhol Al-Hariry</v>
      </c>
      <c r="E61" s="249" t="str">
        <f>IF(Data!I55="","",Data!I55)</f>
        <v>Laki-laki</v>
      </c>
      <c r="F61" s="249" t="str">
        <f>Data!J55</f>
        <v>VIII-B</v>
      </c>
      <c r="G61" s="197"/>
      <c r="H61" s="178" t="str">
        <f>IF(PA!R60="","",PA!R60)</f>
        <v/>
      </c>
      <c r="I61" s="179" t="str">
        <f>IF(PA!S60="","",PA!S60)</f>
        <v/>
      </c>
      <c r="J61" s="182" t="str">
        <f>IF(PA!Z60="","",PA!Z60)</f>
        <v/>
      </c>
      <c r="K61" s="179" t="str">
        <f>IF(PA!AI60="","",PA!AI60)</f>
        <v/>
      </c>
      <c r="L61" s="179" t="str">
        <f>IF(PA!AJ60="","",PA!AJ60)</f>
        <v/>
      </c>
      <c r="M61" s="182" t="str">
        <f>IF(PA!AQ60="","",PA!AQ60)</f>
        <v/>
      </c>
      <c r="N61" s="242"/>
    </row>
    <row r="62" spans="1:14" ht="15" customHeight="1" x14ac:dyDescent="0.3">
      <c r="A62" s="242"/>
      <c r="B62" s="424">
        <f>Data!E56</f>
        <v>12</v>
      </c>
      <c r="C62" s="249" t="str">
        <f>IF(Data!F56="","",Data!F56)</f>
        <v>03535</v>
      </c>
      <c r="D62" s="250" t="str">
        <f>IF(Data!H56="","",Data!H56)</f>
        <v>Azka Naufal Pratama</v>
      </c>
      <c r="E62" s="249" t="str">
        <f>IF(Data!I56="","",Data!I56)</f>
        <v>Laki-laki</v>
      </c>
      <c r="F62" s="249" t="str">
        <f>Data!J56</f>
        <v>VIII-B</v>
      </c>
      <c r="G62" s="197"/>
      <c r="H62" s="178" t="str">
        <f>IF(PA!R61="","",PA!R61)</f>
        <v/>
      </c>
      <c r="I62" s="179" t="str">
        <f>IF(PA!S61="","",PA!S61)</f>
        <v/>
      </c>
      <c r="J62" s="182" t="str">
        <f>IF(PA!Z61="","",PA!Z61)</f>
        <v/>
      </c>
      <c r="K62" s="179" t="str">
        <f>IF(PA!AI61="","",PA!AI61)</f>
        <v/>
      </c>
      <c r="L62" s="179" t="str">
        <f>IF(PA!AJ61="","",PA!AJ61)</f>
        <v/>
      </c>
      <c r="M62" s="182" t="str">
        <f>IF(PA!AQ61="","",PA!AQ61)</f>
        <v/>
      </c>
      <c r="N62" s="242"/>
    </row>
    <row r="63" spans="1:14" ht="15" customHeight="1" x14ac:dyDescent="0.3">
      <c r="A63" s="242"/>
      <c r="B63" s="424">
        <f>Data!E57</f>
        <v>13</v>
      </c>
      <c r="C63" s="249" t="str">
        <f>IF(Data!F57="","",Data!F57)</f>
        <v>03546</v>
      </c>
      <c r="D63" s="250" t="str">
        <f>IF(Data!H57="","",Data!H57)</f>
        <v>Ghyna Dzakiya Ucchaishthana</v>
      </c>
      <c r="E63" s="249" t="str">
        <f>IF(Data!I57="","",Data!I57)</f>
        <v>Laki-laki</v>
      </c>
      <c r="F63" s="249" t="str">
        <f>Data!J57</f>
        <v>VIII-B</v>
      </c>
      <c r="G63" s="197"/>
      <c r="H63" s="178" t="str">
        <f>IF(PA!R62="","",PA!R62)</f>
        <v/>
      </c>
      <c r="I63" s="179" t="str">
        <f>IF(PA!S62="","",PA!S62)</f>
        <v/>
      </c>
      <c r="J63" s="182" t="str">
        <f>IF(PA!Z62="","",PA!Z62)</f>
        <v/>
      </c>
      <c r="K63" s="179" t="str">
        <f>IF(PA!AI62="","",PA!AI62)</f>
        <v/>
      </c>
      <c r="L63" s="179" t="str">
        <f>IF(PA!AJ62="","",PA!AJ62)</f>
        <v/>
      </c>
      <c r="M63" s="182" t="str">
        <f>IF(PA!AQ62="","",PA!AQ62)</f>
        <v/>
      </c>
      <c r="N63" s="242"/>
    </row>
    <row r="64" spans="1:14" ht="15" customHeight="1" x14ac:dyDescent="0.3">
      <c r="A64" s="242"/>
      <c r="B64" s="424">
        <f>Data!E58</f>
        <v>14</v>
      </c>
      <c r="C64" s="249" t="str">
        <f>IF(Data!F58="","",Data!F58)</f>
        <v>03547</v>
      </c>
      <c r="D64" s="250" t="str">
        <f>IF(Data!H58="","",Data!H58)</f>
        <v>Gyo Ibnu Maskur</v>
      </c>
      <c r="E64" s="249" t="str">
        <f>IF(Data!I58="","",Data!I58)</f>
        <v>Laki-laki</v>
      </c>
      <c r="F64" s="249" t="str">
        <f>Data!J58</f>
        <v>VIII-B</v>
      </c>
      <c r="G64" s="197"/>
      <c r="H64" s="178" t="str">
        <f>IF(PA!R63="","",PA!R63)</f>
        <v/>
      </c>
      <c r="I64" s="179" t="str">
        <f>IF(PA!S63="","",PA!S63)</f>
        <v/>
      </c>
      <c r="J64" s="182" t="str">
        <f>IF(PA!Z63="","",PA!Z63)</f>
        <v/>
      </c>
      <c r="K64" s="179" t="str">
        <f>IF(PA!AI63="","",PA!AI63)</f>
        <v/>
      </c>
      <c r="L64" s="179" t="str">
        <f>IF(PA!AJ63="","",PA!AJ63)</f>
        <v/>
      </c>
      <c r="M64" s="182" t="str">
        <f>IF(PA!AQ63="","",PA!AQ63)</f>
        <v/>
      </c>
      <c r="N64" s="242"/>
    </row>
    <row r="65" spans="1:14" ht="15" customHeight="1" x14ac:dyDescent="0.3">
      <c r="A65" s="242"/>
      <c r="B65" s="424">
        <f>Data!E59</f>
        <v>15</v>
      </c>
      <c r="C65" s="249" t="str">
        <f>IF(Data!F59="","",Data!F59)</f>
        <v>03548</v>
      </c>
      <c r="D65" s="250" t="str">
        <f>IF(Data!H59="","",Data!H59)</f>
        <v>Hamizan Raihan Azka</v>
      </c>
      <c r="E65" s="249" t="str">
        <f>IF(Data!I59="","",Data!I59)</f>
        <v>Laki-laki</v>
      </c>
      <c r="F65" s="249" t="str">
        <f>Data!J59</f>
        <v>VIII-B</v>
      </c>
      <c r="G65" s="197"/>
      <c r="H65" s="178" t="str">
        <f>IF(PA!R64="","",PA!R64)</f>
        <v/>
      </c>
      <c r="I65" s="179" t="str">
        <f>IF(PA!S64="","",PA!S64)</f>
        <v/>
      </c>
      <c r="J65" s="182" t="str">
        <f>IF(PA!Z64="","",PA!Z64)</f>
        <v/>
      </c>
      <c r="K65" s="179" t="str">
        <f>IF(PA!AI64="","",PA!AI64)</f>
        <v/>
      </c>
      <c r="L65" s="179" t="str">
        <f>IF(PA!AJ64="","",PA!AJ64)</f>
        <v/>
      </c>
      <c r="M65" s="182" t="str">
        <f>IF(PA!AQ64="","",PA!AQ64)</f>
        <v/>
      </c>
      <c r="N65" s="242"/>
    </row>
    <row r="66" spans="1:14" ht="15" customHeight="1" x14ac:dyDescent="0.3">
      <c r="A66" s="242"/>
      <c r="B66" s="424">
        <f>Data!E60</f>
        <v>16</v>
      </c>
      <c r="C66" s="249" t="str">
        <f>IF(Data!F60="","",Data!F60)</f>
        <v>03549</v>
      </c>
      <c r="D66" s="250" t="str">
        <f>IF(Data!H60="","",Data!H60)</f>
        <v>Ja'Far Zainal Kafi Ma'Ruf</v>
      </c>
      <c r="E66" s="249" t="str">
        <f>IF(Data!I60="","",Data!I60)</f>
        <v>Laki-laki</v>
      </c>
      <c r="F66" s="249" t="str">
        <f>Data!J60</f>
        <v>VIII-B</v>
      </c>
      <c r="G66" s="197"/>
      <c r="H66" s="178" t="str">
        <f>IF(PA!R65="","",PA!R65)</f>
        <v/>
      </c>
      <c r="I66" s="179" t="str">
        <f>IF(PA!S65="","",PA!S65)</f>
        <v/>
      </c>
      <c r="J66" s="182" t="str">
        <f>IF(PA!Z65="","",PA!Z65)</f>
        <v/>
      </c>
      <c r="K66" s="179" t="str">
        <f>IF(PA!AI65="","",PA!AI65)</f>
        <v/>
      </c>
      <c r="L66" s="179" t="str">
        <f>IF(PA!AJ65="","",PA!AJ65)</f>
        <v/>
      </c>
      <c r="M66" s="182" t="str">
        <f>IF(PA!AQ65="","",PA!AQ65)</f>
        <v/>
      </c>
      <c r="N66" s="242"/>
    </row>
    <row r="67" spans="1:14" ht="15" customHeight="1" x14ac:dyDescent="0.3">
      <c r="A67" s="242"/>
      <c r="B67" s="424">
        <f>Data!E61</f>
        <v>17</v>
      </c>
      <c r="C67" s="249" t="str">
        <f>IF(Data!F61="","",Data!F61)</f>
        <v>03553</v>
      </c>
      <c r="D67" s="250" t="str">
        <f>IF(Data!H61="","",Data!H61)</f>
        <v>Luthfi Adhyaksa Tamam Ramadhan</v>
      </c>
      <c r="E67" s="249" t="str">
        <f>IF(Data!I61="","",Data!I61)</f>
        <v>Laki-laki</v>
      </c>
      <c r="F67" s="249" t="str">
        <f>Data!J61</f>
        <v>VIII-B</v>
      </c>
      <c r="G67" s="197"/>
      <c r="H67" s="178" t="str">
        <f>IF(PA!R66="","",PA!R66)</f>
        <v/>
      </c>
      <c r="I67" s="179" t="str">
        <f>IF(PA!S66="","",PA!S66)</f>
        <v/>
      </c>
      <c r="J67" s="182" t="str">
        <f>IF(PA!Z66="","",PA!Z66)</f>
        <v/>
      </c>
      <c r="K67" s="179" t="str">
        <f>IF(PA!AI66="","",PA!AI66)</f>
        <v/>
      </c>
      <c r="L67" s="179" t="str">
        <f>IF(PA!AJ66="","",PA!AJ66)</f>
        <v/>
      </c>
      <c r="M67" s="182" t="str">
        <f>IF(PA!AQ66="","",PA!AQ66)</f>
        <v/>
      </c>
      <c r="N67" s="242"/>
    </row>
    <row r="68" spans="1:14" ht="15" customHeight="1" x14ac:dyDescent="0.3">
      <c r="A68" s="242"/>
      <c r="B68" s="424">
        <f>Data!E62</f>
        <v>18</v>
      </c>
      <c r="C68" s="249" t="str">
        <f>IF(Data!F62="","",Data!F62)</f>
        <v>03556</v>
      </c>
      <c r="D68" s="250" t="str">
        <f>IF(Data!H62="","",Data!H62)</f>
        <v>M. Sa'id Abdullah</v>
      </c>
      <c r="E68" s="249" t="str">
        <f>IF(Data!I62="","",Data!I62)</f>
        <v>Laki-laki</v>
      </c>
      <c r="F68" s="249" t="str">
        <f>Data!J62</f>
        <v>VIII-B</v>
      </c>
      <c r="G68" s="197"/>
      <c r="H68" s="178" t="str">
        <f>IF(PA!R67="","",PA!R67)</f>
        <v/>
      </c>
      <c r="I68" s="179" t="str">
        <f>IF(PA!S67="","",PA!S67)</f>
        <v/>
      </c>
      <c r="J68" s="182" t="str">
        <f>IF(PA!Z67="","",PA!Z67)</f>
        <v/>
      </c>
      <c r="K68" s="179" t="str">
        <f>IF(PA!AI67="","",PA!AI67)</f>
        <v/>
      </c>
      <c r="L68" s="179" t="str">
        <f>IF(PA!AJ67="","",PA!AJ67)</f>
        <v/>
      </c>
      <c r="M68" s="182" t="str">
        <f>IF(PA!AQ67="","",PA!AQ67)</f>
        <v/>
      </c>
      <c r="N68" s="242"/>
    </row>
    <row r="69" spans="1:14" ht="15" customHeight="1" x14ac:dyDescent="0.3">
      <c r="A69" s="242"/>
      <c r="B69" s="424">
        <f>Data!E63</f>
        <v>19</v>
      </c>
      <c r="C69" s="249" t="str">
        <f>IF(Data!F63="","",Data!F63)</f>
        <v>03562</v>
      </c>
      <c r="D69" s="250" t="str">
        <f>IF(Data!H63="","",Data!H63)</f>
        <v>Mohamad Faiza Firjatulloh Azza</v>
      </c>
      <c r="E69" s="249" t="str">
        <f>IF(Data!I63="","",Data!I63)</f>
        <v>Laki-laki</v>
      </c>
      <c r="F69" s="249" t="str">
        <f>Data!J63</f>
        <v>VIII-B</v>
      </c>
      <c r="G69" s="197"/>
      <c r="H69" s="178" t="str">
        <f>IF(PA!R68="","",PA!R68)</f>
        <v/>
      </c>
      <c r="I69" s="179" t="str">
        <f>IF(PA!S68="","",PA!S68)</f>
        <v/>
      </c>
      <c r="J69" s="182" t="str">
        <f>IF(PA!Z68="","",PA!Z68)</f>
        <v/>
      </c>
      <c r="K69" s="179" t="str">
        <f>IF(PA!AI68="","",PA!AI68)</f>
        <v/>
      </c>
      <c r="L69" s="179" t="str">
        <f>IF(PA!AJ68="","",PA!AJ68)</f>
        <v/>
      </c>
      <c r="M69" s="182" t="str">
        <f>IF(PA!AQ68="","",PA!AQ68)</f>
        <v/>
      </c>
      <c r="N69" s="242"/>
    </row>
    <row r="70" spans="1:14" ht="15" customHeight="1" x14ac:dyDescent="0.3">
      <c r="A70" s="242"/>
      <c r="B70" s="424">
        <f>Data!E64</f>
        <v>20</v>
      </c>
      <c r="C70" s="249" t="str">
        <f>IF(Data!F64="","",Data!F64)</f>
        <v>03564</v>
      </c>
      <c r="D70" s="250" t="str">
        <f>IF(Data!H64="","",Data!H64)</f>
        <v>Mohammad Ammar Syihabuddin</v>
      </c>
      <c r="E70" s="249" t="str">
        <f>IF(Data!I64="","",Data!I64)</f>
        <v>Laki-laki</v>
      </c>
      <c r="F70" s="249" t="str">
        <f>Data!J64</f>
        <v>VIII-B</v>
      </c>
      <c r="G70" s="197"/>
      <c r="H70" s="178" t="str">
        <f>IF(PA!R69="","",PA!R69)</f>
        <v/>
      </c>
      <c r="I70" s="179" t="str">
        <f>IF(PA!S69="","",PA!S69)</f>
        <v/>
      </c>
      <c r="J70" s="182" t="str">
        <f>IF(PA!Z69="","",PA!Z69)</f>
        <v/>
      </c>
      <c r="K70" s="179" t="str">
        <f>IF(PA!AI69="","",PA!AI69)</f>
        <v/>
      </c>
      <c r="L70" s="179" t="str">
        <f>IF(PA!AJ69="","",PA!AJ69)</f>
        <v/>
      </c>
      <c r="M70" s="182" t="str">
        <f>IF(PA!AQ69="","",PA!AQ69)</f>
        <v/>
      </c>
      <c r="N70" s="242"/>
    </row>
    <row r="71" spans="1:14" ht="15" customHeight="1" x14ac:dyDescent="0.3">
      <c r="A71" s="242"/>
      <c r="B71" s="424">
        <f>Data!E65</f>
        <v>21</v>
      </c>
      <c r="C71" s="249" t="str">
        <f>IF(Data!F65="","",Data!F65)</f>
        <v>03570</v>
      </c>
      <c r="D71" s="250" t="str">
        <f>IF(Data!H65="","",Data!H65)</f>
        <v>Muhammad Adi Chandra Pratama</v>
      </c>
      <c r="E71" s="249" t="str">
        <f>IF(Data!I65="","",Data!I65)</f>
        <v>Laki-laki</v>
      </c>
      <c r="F71" s="249" t="str">
        <f>Data!J65</f>
        <v>VIII-B</v>
      </c>
      <c r="G71" s="197"/>
      <c r="H71" s="178" t="str">
        <f>IF(PA!R70="","",PA!R70)</f>
        <v/>
      </c>
      <c r="I71" s="179" t="str">
        <f>IF(PA!S70="","",PA!S70)</f>
        <v/>
      </c>
      <c r="J71" s="182" t="str">
        <f>IF(PA!Z70="","",PA!Z70)</f>
        <v/>
      </c>
      <c r="K71" s="179" t="str">
        <f>IF(PA!AI70="","",PA!AI70)</f>
        <v/>
      </c>
      <c r="L71" s="179" t="str">
        <f>IF(PA!AJ70="","",PA!AJ70)</f>
        <v/>
      </c>
      <c r="M71" s="182" t="str">
        <f>IF(PA!AQ70="","",PA!AQ70)</f>
        <v/>
      </c>
      <c r="N71" s="242"/>
    </row>
    <row r="72" spans="1:14" ht="15" customHeight="1" x14ac:dyDescent="0.3">
      <c r="A72" s="242"/>
      <c r="B72" s="424">
        <f>Data!E66</f>
        <v>22</v>
      </c>
      <c r="C72" s="249" t="str">
        <f>IF(Data!F66="","",Data!F66)</f>
        <v>03573</v>
      </c>
      <c r="D72" s="250" t="str">
        <f>IF(Data!H66="","",Data!H66)</f>
        <v>Muhammad Alif Rahman</v>
      </c>
      <c r="E72" s="249" t="str">
        <f>IF(Data!I66="","",Data!I66)</f>
        <v>Laki-laki</v>
      </c>
      <c r="F72" s="249" t="str">
        <f>Data!J66</f>
        <v>VIII-B</v>
      </c>
      <c r="G72" s="197"/>
      <c r="H72" s="178" t="str">
        <f>IF(PA!R71="","",PA!R71)</f>
        <v/>
      </c>
      <c r="I72" s="179" t="str">
        <f>IF(PA!S71="","",PA!S71)</f>
        <v/>
      </c>
      <c r="J72" s="182" t="str">
        <f>IF(PA!Z71="","",PA!Z71)</f>
        <v/>
      </c>
      <c r="K72" s="179" t="str">
        <f>IF(PA!AI71="","",PA!AI71)</f>
        <v/>
      </c>
      <c r="L72" s="179" t="str">
        <f>IF(PA!AJ71="","",PA!AJ71)</f>
        <v/>
      </c>
      <c r="M72" s="182" t="str">
        <f>IF(PA!AQ71="","",PA!AQ71)</f>
        <v/>
      </c>
      <c r="N72" s="242"/>
    </row>
    <row r="73" spans="1:14" ht="15" customHeight="1" x14ac:dyDescent="0.3">
      <c r="A73" s="242"/>
      <c r="B73" s="424">
        <f>Data!E67</f>
        <v>23</v>
      </c>
      <c r="C73" s="249" t="str">
        <f>IF(Data!F67="","",Data!F67)</f>
        <v>03579</v>
      </c>
      <c r="D73" s="250" t="str">
        <f>IF(Data!H67="","",Data!H67)</f>
        <v>Muhammad Fahri Setio Budi</v>
      </c>
      <c r="E73" s="249" t="str">
        <f>IF(Data!I67="","",Data!I67)</f>
        <v>Laki-laki</v>
      </c>
      <c r="F73" s="249" t="str">
        <f>Data!J67</f>
        <v>VIII-B</v>
      </c>
      <c r="G73" s="197"/>
      <c r="H73" s="178" t="str">
        <f>IF(PA!R72="","",PA!R72)</f>
        <v/>
      </c>
      <c r="I73" s="179" t="str">
        <f>IF(PA!S72="","",PA!S72)</f>
        <v/>
      </c>
      <c r="J73" s="182" t="str">
        <f>IF(PA!Z72="","",PA!Z72)</f>
        <v/>
      </c>
      <c r="K73" s="179" t="str">
        <f>IF(PA!AI72="","",PA!AI72)</f>
        <v/>
      </c>
      <c r="L73" s="179" t="str">
        <f>IF(PA!AJ72="","",PA!AJ72)</f>
        <v/>
      </c>
      <c r="M73" s="182" t="str">
        <f>IF(PA!AQ72="","",PA!AQ72)</f>
        <v/>
      </c>
      <c r="N73" s="242"/>
    </row>
    <row r="74" spans="1:14" ht="15" customHeight="1" x14ac:dyDescent="0.3">
      <c r="A74" s="242"/>
      <c r="B74" s="424">
        <f>Data!E68</f>
        <v>24</v>
      </c>
      <c r="C74" s="249" t="str">
        <f>IF(Data!F68="","",Data!F68)</f>
        <v>03580</v>
      </c>
      <c r="D74" s="250" t="str">
        <f>IF(Data!H68="","",Data!H68)</f>
        <v>Muhammad Fasil Raja</v>
      </c>
      <c r="E74" s="249" t="str">
        <f>IF(Data!I68="","",Data!I68)</f>
        <v>Laki-laki</v>
      </c>
      <c r="F74" s="249" t="str">
        <f>Data!J68</f>
        <v>VIII-B</v>
      </c>
      <c r="G74" s="197"/>
      <c r="H74" s="178" t="str">
        <f>IF(PA!R73="","",PA!R73)</f>
        <v/>
      </c>
      <c r="I74" s="179" t="str">
        <f>IF(PA!S73="","",PA!S73)</f>
        <v/>
      </c>
      <c r="J74" s="182" t="str">
        <f>IF(PA!Z73="","",PA!Z73)</f>
        <v/>
      </c>
      <c r="K74" s="179" t="str">
        <f>IF(PA!AI73="","",PA!AI73)</f>
        <v/>
      </c>
      <c r="L74" s="179" t="str">
        <f>IF(PA!AJ73="","",PA!AJ73)</f>
        <v/>
      </c>
      <c r="M74" s="182" t="str">
        <f>IF(PA!AQ73="","",PA!AQ73)</f>
        <v/>
      </c>
      <c r="N74" s="242"/>
    </row>
    <row r="75" spans="1:14" ht="15" customHeight="1" x14ac:dyDescent="0.3">
      <c r="A75" s="242"/>
      <c r="B75" s="424">
        <f>Data!E69</f>
        <v>25</v>
      </c>
      <c r="C75" s="249" t="str">
        <f>IF(Data!F69="","",Data!F69)</f>
        <v>03583</v>
      </c>
      <c r="D75" s="250" t="str">
        <f>IF(Data!H69="","",Data!H69)</f>
        <v>Muhammad Ilham Fahrizal</v>
      </c>
      <c r="E75" s="249" t="str">
        <f>IF(Data!I69="","",Data!I69)</f>
        <v>Laki-laki</v>
      </c>
      <c r="F75" s="249" t="str">
        <f>Data!J69</f>
        <v>VIII-B</v>
      </c>
      <c r="G75" s="197"/>
      <c r="H75" s="178" t="str">
        <f>IF(PA!R74="","",PA!R74)</f>
        <v/>
      </c>
      <c r="I75" s="179" t="str">
        <f>IF(PA!S74="","",PA!S74)</f>
        <v/>
      </c>
      <c r="J75" s="182" t="str">
        <f>IF(PA!Z74="","",PA!Z74)</f>
        <v/>
      </c>
      <c r="K75" s="179" t="str">
        <f>IF(PA!AI74="","",PA!AI74)</f>
        <v/>
      </c>
      <c r="L75" s="179" t="str">
        <f>IF(PA!AJ74="","",PA!AJ74)</f>
        <v/>
      </c>
      <c r="M75" s="182" t="str">
        <f>IF(PA!AQ74="","",PA!AQ74)</f>
        <v/>
      </c>
      <c r="N75" s="242"/>
    </row>
    <row r="76" spans="1:14" ht="15" customHeight="1" x14ac:dyDescent="0.3">
      <c r="A76" s="242"/>
      <c r="B76" s="424">
        <f>Data!E70</f>
        <v>26</v>
      </c>
      <c r="C76" s="249" t="str">
        <f>IF(Data!F70="","",Data!F70)</f>
        <v>03586</v>
      </c>
      <c r="D76" s="250" t="str">
        <f>IF(Data!H70="","",Data!H70)</f>
        <v>Muhammad Iqbal Habibi</v>
      </c>
      <c r="E76" s="249" t="str">
        <f>IF(Data!I70="","",Data!I70)</f>
        <v>Laki-laki</v>
      </c>
      <c r="F76" s="249" t="str">
        <f>Data!J70</f>
        <v>VIII-B</v>
      </c>
      <c r="G76" s="197"/>
      <c r="H76" s="178" t="str">
        <f>IF(PA!R75="","",PA!R75)</f>
        <v/>
      </c>
      <c r="I76" s="179" t="str">
        <f>IF(PA!S75="","",PA!S75)</f>
        <v/>
      </c>
      <c r="J76" s="182" t="str">
        <f>IF(PA!Z75="","",PA!Z75)</f>
        <v/>
      </c>
      <c r="K76" s="179" t="str">
        <f>IF(PA!AI75="","",PA!AI75)</f>
        <v/>
      </c>
      <c r="L76" s="179" t="str">
        <f>IF(PA!AJ75="","",PA!AJ75)</f>
        <v/>
      </c>
      <c r="M76" s="182" t="str">
        <f>IF(PA!AQ75="","",PA!AQ75)</f>
        <v/>
      </c>
      <c r="N76" s="242"/>
    </row>
    <row r="77" spans="1:14" ht="15" customHeight="1" x14ac:dyDescent="0.3">
      <c r="A77" s="242"/>
      <c r="B77" s="424">
        <f>Data!E71</f>
        <v>27</v>
      </c>
      <c r="C77" s="249" t="str">
        <f>IF(Data!F71="","",Data!F71)</f>
        <v>03599</v>
      </c>
      <c r="D77" s="250" t="str">
        <f>IF(Data!H71="","",Data!H71)</f>
        <v>Muhammad Raffandi</v>
      </c>
      <c r="E77" s="249" t="str">
        <f>IF(Data!I71="","",Data!I71)</f>
        <v>Laki-laki</v>
      </c>
      <c r="F77" s="249" t="str">
        <f>Data!J71</f>
        <v>VIII-B</v>
      </c>
      <c r="G77" s="197"/>
      <c r="H77" s="178" t="str">
        <f>IF(PA!R76="","",PA!R76)</f>
        <v/>
      </c>
      <c r="I77" s="179" t="str">
        <f>IF(PA!S76="","",PA!S76)</f>
        <v/>
      </c>
      <c r="J77" s="182" t="str">
        <f>IF(PA!Z76="","",PA!Z76)</f>
        <v/>
      </c>
      <c r="K77" s="179" t="str">
        <f>IF(PA!AI76="","",PA!AI76)</f>
        <v/>
      </c>
      <c r="L77" s="179" t="str">
        <f>IF(PA!AJ76="","",PA!AJ76)</f>
        <v/>
      </c>
      <c r="M77" s="182" t="str">
        <f>IF(PA!AQ76="","",PA!AQ76)</f>
        <v/>
      </c>
      <c r="N77" s="242"/>
    </row>
    <row r="78" spans="1:14" ht="15" customHeight="1" x14ac:dyDescent="0.3">
      <c r="A78" s="242"/>
      <c r="B78" s="424">
        <f>Data!E72</f>
        <v>28</v>
      </c>
      <c r="C78" s="249" t="str">
        <f>IF(Data!F72="","",Data!F72)</f>
        <v>03609</v>
      </c>
      <c r="D78" s="250" t="str">
        <f>IF(Data!H72="","",Data!H72)</f>
        <v>Raffa Ar Rasyid</v>
      </c>
      <c r="E78" s="249" t="str">
        <f>IF(Data!I72="","",Data!I72)</f>
        <v>Laki-laki</v>
      </c>
      <c r="F78" s="249" t="str">
        <f>Data!J72</f>
        <v>VIII-B</v>
      </c>
      <c r="G78" s="197"/>
      <c r="H78" s="178" t="str">
        <f>IF(PA!R77="","",PA!R77)</f>
        <v/>
      </c>
      <c r="I78" s="179" t="str">
        <f>IF(PA!S77="","",PA!S77)</f>
        <v/>
      </c>
      <c r="J78" s="182" t="str">
        <f>IF(PA!Z77="","",PA!Z77)</f>
        <v/>
      </c>
      <c r="K78" s="179" t="str">
        <f>IF(PA!AI77="","",PA!AI77)</f>
        <v/>
      </c>
      <c r="L78" s="179" t="str">
        <f>IF(PA!AJ77="","",PA!AJ77)</f>
        <v/>
      </c>
      <c r="M78" s="182" t="str">
        <f>IF(PA!AQ77="","",PA!AQ77)</f>
        <v/>
      </c>
      <c r="N78" s="242"/>
    </row>
    <row r="79" spans="1:14" ht="15" customHeight="1" x14ac:dyDescent="0.3">
      <c r="A79" s="242"/>
      <c r="B79" s="424">
        <f>Data!E73</f>
        <v>29</v>
      </c>
      <c r="C79" s="249" t="str">
        <f>IF(Data!F73="","",Data!F73)</f>
        <v>03613</v>
      </c>
      <c r="D79" s="250" t="str">
        <f>IF(Data!H73="","",Data!H73)</f>
        <v>Rayyandra Arfa Keanu Bagaskara</v>
      </c>
      <c r="E79" s="249" t="str">
        <f>IF(Data!I73="","",Data!I73)</f>
        <v>Laki-laki</v>
      </c>
      <c r="F79" s="249" t="str">
        <f>Data!J73</f>
        <v>VIII-B</v>
      </c>
      <c r="G79" s="197"/>
      <c r="H79" s="178" t="str">
        <f>IF(PA!R78="","",PA!R78)</f>
        <v/>
      </c>
      <c r="I79" s="179" t="str">
        <f>IF(PA!S78="","",PA!S78)</f>
        <v/>
      </c>
      <c r="J79" s="182" t="str">
        <f>IF(PA!Z78="","",PA!Z78)</f>
        <v/>
      </c>
      <c r="K79" s="179" t="str">
        <f>IF(PA!AI78="","",PA!AI78)</f>
        <v/>
      </c>
      <c r="L79" s="179" t="str">
        <f>IF(PA!AJ78="","",PA!AJ78)</f>
        <v/>
      </c>
      <c r="M79" s="182" t="str">
        <f>IF(PA!AQ78="","",PA!AQ78)</f>
        <v/>
      </c>
      <c r="N79" s="242"/>
    </row>
    <row r="80" spans="1:14" ht="15" customHeight="1" x14ac:dyDescent="0.3">
      <c r="A80" s="242"/>
      <c r="B80" s="424">
        <f>Data!E74</f>
        <v>30</v>
      </c>
      <c r="C80" s="249" t="str">
        <f>IF(Data!F74="","",Data!F74)</f>
        <v>03616</v>
      </c>
      <c r="D80" s="250" t="str">
        <f>IF(Data!H74="","",Data!H74)</f>
        <v>Shofiyul Azka Mubarok</v>
      </c>
      <c r="E80" s="249" t="str">
        <f>IF(Data!I74="","",Data!I74)</f>
        <v>Laki-laki</v>
      </c>
      <c r="F80" s="249" t="str">
        <f>Data!J74</f>
        <v>VIII-B</v>
      </c>
      <c r="G80" s="197"/>
      <c r="H80" s="178" t="str">
        <f>IF(PA!R79="","",PA!R79)</f>
        <v/>
      </c>
      <c r="I80" s="179" t="str">
        <f>IF(PA!S79="","",PA!S79)</f>
        <v/>
      </c>
      <c r="J80" s="182" t="str">
        <f>IF(PA!Z79="","",PA!Z79)</f>
        <v/>
      </c>
      <c r="K80" s="179" t="str">
        <f>IF(PA!AI79="","",PA!AI79)</f>
        <v/>
      </c>
      <c r="L80" s="179" t="str">
        <f>IF(PA!AJ79="","",PA!AJ79)</f>
        <v/>
      </c>
      <c r="M80" s="182" t="str">
        <f>IF(PA!AQ79="","",PA!AQ79)</f>
        <v/>
      </c>
      <c r="N80" s="242"/>
    </row>
    <row r="81" spans="1:14" ht="15" customHeight="1" x14ac:dyDescent="0.3">
      <c r="A81" s="242"/>
      <c r="B81" s="424">
        <f>Data!E75</f>
        <v>31</v>
      </c>
      <c r="C81" s="249" t="str">
        <f>IF(Data!F75="","",Data!F75)</f>
        <v>03617</v>
      </c>
      <c r="D81" s="250" t="str">
        <f>IF(Data!H75="","",Data!H75)</f>
        <v>Syarifuddin Zhafran</v>
      </c>
      <c r="E81" s="249" t="str">
        <f>IF(Data!I75="","",Data!I75)</f>
        <v>Laki-laki</v>
      </c>
      <c r="F81" s="249" t="str">
        <f>Data!J75</f>
        <v>VIII-B</v>
      </c>
      <c r="G81" s="197"/>
      <c r="H81" s="178" t="str">
        <f>IF(PA!R80="","",PA!R80)</f>
        <v/>
      </c>
      <c r="I81" s="179" t="str">
        <f>IF(PA!S80="","",PA!S80)</f>
        <v/>
      </c>
      <c r="J81" s="182" t="str">
        <f>IF(PA!Z80="","",PA!Z80)</f>
        <v/>
      </c>
      <c r="K81" s="179" t="str">
        <f>IF(PA!AI80="","",PA!AI80)</f>
        <v/>
      </c>
      <c r="L81" s="179" t="str">
        <f>IF(PA!AJ80="","",PA!AJ80)</f>
        <v/>
      </c>
      <c r="M81" s="182" t="str">
        <f>IF(PA!AQ80="","",PA!AQ80)</f>
        <v/>
      </c>
      <c r="N81" s="242"/>
    </row>
    <row r="82" spans="1:14" ht="15" customHeight="1" x14ac:dyDescent="0.3">
      <c r="A82" s="242"/>
      <c r="B82" s="424">
        <f>Data!E76</f>
        <v>32</v>
      </c>
      <c r="C82" s="249" t="str">
        <f>IF(Data!F76="","",Data!F76)</f>
        <v>03624</v>
      </c>
      <c r="D82" s="250" t="str">
        <f>IF(Data!H76="","",Data!H76)</f>
        <v>Yusril Mirza Farendra</v>
      </c>
      <c r="E82" s="249" t="str">
        <f>IF(Data!I76="","",Data!I76)</f>
        <v>Laki-laki</v>
      </c>
      <c r="F82" s="249" t="str">
        <f>Data!J76</f>
        <v>VIII-B</v>
      </c>
      <c r="G82" s="197"/>
      <c r="H82" s="178" t="str">
        <f>IF(PA!R81="","",PA!R81)</f>
        <v/>
      </c>
      <c r="I82" s="179" t="str">
        <f>IF(PA!S81="","",PA!S81)</f>
        <v/>
      </c>
      <c r="J82" s="182" t="str">
        <f>IF(PA!Z81="","",PA!Z81)</f>
        <v/>
      </c>
      <c r="K82" s="179" t="str">
        <f>IF(PA!AI81="","",PA!AI81)</f>
        <v/>
      </c>
      <c r="L82" s="179" t="str">
        <f>IF(PA!AJ81="","",PA!AJ81)</f>
        <v/>
      </c>
      <c r="M82" s="182" t="str">
        <f>IF(PA!AQ81="","",PA!AQ81)</f>
        <v/>
      </c>
      <c r="N82" s="242"/>
    </row>
    <row r="83" spans="1:14" ht="15" customHeight="1" x14ac:dyDescent="0.3">
      <c r="A83" s="242"/>
      <c r="B83" s="424">
        <f>Data!E77</f>
        <v>33</v>
      </c>
      <c r="C83" s="249" t="str">
        <f>IF(Data!F77="","",Data!F77)</f>
        <v>03626</v>
      </c>
      <c r="D83" s="250" t="str">
        <f>IF(Data!H77="","",Data!H77)</f>
        <v>Zulmi Fajar Habibie</v>
      </c>
      <c r="E83" s="249" t="str">
        <f>IF(Data!I77="","",Data!I77)</f>
        <v>Laki-laki</v>
      </c>
      <c r="F83" s="249" t="str">
        <f>Data!J77</f>
        <v>VIII-B</v>
      </c>
      <c r="G83" s="197"/>
      <c r="H83" s="178" t="str">
        <f>IF(PA!R82="","",PA!R82)</f>
        <v/>
      </c>
      <c r="I83" s="179" t="str">
        <f>IF(PA!S82="","",PA!S82)</f>
        <v/>
      </c>
      <c r="J83" s="182" t="str">
        <f>IF(PA!Z82="","",PA!Z82)</f>
        <v/>
      </c>
      <c r="K83" s="179" t="str">
        <f>IF(PA!AI82="","",PA!AI82)</f>
        <v/>
      </c>
      <c r="L83" s="179" t="str">
        <f>IF(PA!AJ82="","",PA!AJ82)</f>
        <v/>
      </c>
      <c r="M83" s="182" t="str">
        <f>IF(PA!AQ82="","",PA!AQ82)</f>
        <v/>
      </c>
      <c r="N83" s="242"/>
    </row>
    <row r="84" spans="1:14" ht="15" customHeight="1" x14ac:dyDescent="0.3">
      <c r="A84" s="242"/>
      <c r="B84" s="424">
        <f>Data!E78</f>
        <v>34</v>
      </c>
      <c r="C84" s="249" t="str">
        <f>IF(Data!F78="","",Data!F78)</f>
        <v>03755</v>
      </c>
      <c r="D84" s="250" t="str">
        <f>IF(Data!H78="","",Data!H78)</f>
        <v>Wafiq Azwar Abbasy</v>
      </c>
      <c r="E84" s="249" t="str">
        <f>IF(Data!I78="","",Data!I78)</f>
        <v>Laki-laki</v>
      </c>
      <c r="F84" s="249" t="str">
        <f>Data!J78</f>
        <v>VIII-B</v>
      </c>
      <c r="G84" s="197"/>
      <c r="H84" s="178" t="str">
        <f>IF(PA!R83="","",PA!R83)</f>
        <v/>
      </c>
      <c r="I84" s="179" t="str">
        <f>IF(PA!S83="","",PA!S83)</f>
        <v/>
      </c>
      <c r="J84" s="182" t="str">
        <f>IF(PA!Z83="","",PA!Z83)</f>
        <v/>
      </c>
      <c r="K84" s="179" t="str">
        <f>IF(PA!AI83="","",PA!AI83)</f>
        <v/>
      </c>
      <c r="L84" s="179" t="str">
        <f>IF(PA!AJ83="","",PA!AJ83)</f>
        <v/>
      </c>
      <c r="M84" s="182" t="str">
        <f>IF(PA!AQ83="","",PA!AQ83)</f>
        <v/>
      </c>
      <c r="N84" s="242"/>
    </row>
    <row r="85" spans="1:14" ht="15" customHeight="1" x14ac:dyDescent="0.3">
      <c r="A85" s="242"/>
      <c r="B85" s="424">
        <f>Data!E79</f>
        <v>35</v>
      </c>
      <c r="C85" s="249" t="str">
        <f>IF(Data!F79="","",Data!F79)</f>
        <v/>
      </c>
      <c r="D85" s="250" t="str">
        <f>IF(Data!H79="","",Data!H79)</f>
        <v/>
      </c>
      <c r="E85" s="249" t="str">
        <f>IF(Data!I79="","",Data!I79)</f>
        <v/>
      </c>
      <c r="F85" s="249" t="str">
        <f>Data!J79</f>
        <v>VIII-B</v>
      </c>
      <c r="G85" s="197"/>
      <c r="H85" s="178" t="str">
        <f>IF(PA!R84="","",PA!R84)</f>
        <v/>
      </c>
      <c r="I85" s="179" t="str">
        <f>IF(PA!S84="","",PA!S84)</f>
        <v/>
      </c>
      <c r="J85" s="182" t="str">
        <f>IF(PA!Z84="","",PA!Z84)</f>
        <v/>
      </c>
      <c r="K85" s="179" t="str">
        <f>IF(PA!AI84="","",PA!AI84)</f>
        <v/>
      </c>
      <c r="L85" s="179" t="str">
        <f>IF(PA!AJ84="","",PA!AJ84)</f>
        <v/>
      </c>
      <c r="M85" s="182" t="str">
        <f>IF(PA!AQ84="","",PA!AQ84)</f>
        <v/>
      </c>
      <c r="N85" s="242"/>
    </row>
    <row r="86" spans="1:14" ht="15" customHeight="1" x14ac:dyDescent="0.3">
      <c r="A86" s="242"/>
      <c r="B86" s="424">
        <f>Data!E80</f>
        <v>36</v>
      </c>
      <c r="C86" s="249" t="str">
        <f>IF(Data!F80="","",Data!F80)</f>
        <v/>
      </c>
      <c r="D86" s="250" t="str">
        <f>IF(Data!H80="","",Data!H80)</f>
        <v/>
      </c>
      <c r="E86" s="249" t="str">
        <f>IF(Data!I80="","",Data!I80)</f>
        <v/>
      </c>
      <c r="F86" s="249" t="str">
        <f>Data!J80</f>
        <v>VIII-B</v>
      </c>
      <c r="G86" s="197"/>
      <c r="H86" s="178" t="str">
        <f>IF(PA!R85="","",PA!R85)</f>
        <v/>
      </c>
      <c r="I86" s="179" t="str">
        <f>IF(PA!S85="","",PA!S85)</f>
        <v/>
      </c>
      <c r="J86" s="182" t="str">
        <f>IF(PA!Z85="","",PA!Z85)</f>
        <v/>
      </c>
      <c r="K86" s="179" t="str">
        <f>IF(PA!AI85="","",PA!AI85)</f>
        <v/>
      </c>
      <c r="L86" s="179" t="str">
        <f>IF(PA!AJ85="","",PA!AJ85)</f>
        <v/>
      </c>
      <c r="M86" s="182" t="str">
        <f>IF(PA!AQ85="","",PA!AQ85)</f>
        <v/>
      </c>
      <c r="N86" s="242"/>
    </row>
    <row r="87" spans="1:14" ht="15" customHeight="1" x14ac:dyDescent="0.3">
      <c r="A87" s="242"/>
      <c r="B87" s="424">
        <f>Data!E81</f>
        <v>37</v>
      </c>
      <c r="C87" s="249" t="str">
        <f>IF(Data!F81="","",Data!F81)</f>
        <v/>
      </c>
      <c r="D87" s="250" t="str">
        <f>IF(Data!H81="","",Data!H81)</f>
        <v/>
      </c>
      <c r="E87" s="249" t="str">
        <f>IF(Data!I81="","",Data!I81)</f>
        <v/>
      </c>
      <c r="F87" s="249" t="str">
        <f>Data!J81</f>
        <v>VIII-B</v>
      </c>
      <c r="G87" s="197"/>
      <c r="H87" s="178" t="str">
        <f>IF(PA!R86="","",PA!R86)</f>
        <v/>
      </c>
      <c r="I87" s="179" t="str">
        <f>IF(PA!S86="","",PA!S86)</f>
        <v/>
      </c>
      <c r="J87" s="182" t="str">
        <f>IF(PA!Z86="","",PA!Z86)</f>
        <v/>
      </c>
      <c r="K87" s="179" t="str">
        <f>IF(PA!AI86="","",PA!AI86)</f>
        <v/>
      </c>
      <c r="L87" s="179" t="str">
        <f>IF(PA!AJ86="","",PA!AJ86)</f>
        <v/>
      </c>
      <c r="M87" s="182" t="str">
        <f>IF(PA!AQ86="","",PA!AQ86)</f>
        <v/>
      </c>
      <c r="N87" s="242"/>
    </row>
    <row r="88" spans="1:14" ht="15" customHeight="1" x14ac:dyDescent="0.3">
      <c r="A88" s="242"/>
      <c r="B88" s="424">
        <f>Data!E82</f>
        <v>38</v>
      </c>
      <c r="C88" s="249" t="str">
        <f>IF(Data!F82="","",Data!F82)</f>
        <v/>
      </c>
      <c r="D88" s="250" t="str">
        <f>IF(Data!H82="","",Data!H82)</f>
        <v/>
      </c>
      <c r="E88" s="249" t="str">
        <f>IF(Data!I82="","",Data!I82)</f>
        <v/>
      </c>
      <c r="F88" s="249" t="str">
        <f>Data!J82</f>
        <v>VIII-B</v>
      </c>
      <c r="G88" s="197"/>
      <c r="H88" s="178" t="str">
        <f>IF(PA!R87="","",PA!R87)</f>
        <v/>
      </c>
      <c r="I88" s="179" t="str">
        <f>IF(PA!S87="","",PA!S87)</f>
        <v/>
      </c>
      <c r="J88" s="182" t="str">
        <f>IF(PA!Z87="","",PA!Z87)</f>
        <v/>
      </c>
      <c r="K88" s="179" t="str">
        <f>IF(PA!AI87="","",PA!AI87)</f>
        <v/>
      </c>
      <c r="L88" s="179" t="str">
        <f>IF(PA!AJ87="","",PA!AJ87)</f>
        <v/>
      </c>
      <c r="M88" s="182" t="str">
        <f>IF(PA!AQ87="","",PA!AQ87)</f>
        <v/>
      </c>
      <c r="N88" s="242"/>
    </row>
    <row r="89" spans="1:14" ht="15" customHeight="1" x14ac:dyDescent="0.3">
      <c r="A89" s="242"/>
      <c r="B89" s="424">
        <f>Data!E83</f>
        <v>39</v>
      </c>
      <c r="C89" s="249" t="str">
        <f>IF(Data!F83="","",Data!F83)</f>
        <v/>
      </c>
      <c r="D89" s="250" t="str">
        <f>IF(Data!H83="","",Data!H83)</f>
        <v/>
      </c>
      <c r="E89" s="249" t="str">
        <f>IF(Data!I83="","",Data!I83)</f>
        <v/>
      </c>
      <c r="F89" s="249" t="str">
        <f>Data!J83</f>
        <v>VIII-B</v>
      </c>
      <c r="G89" s="197"/>
      <c r="H89" s="178" t="str">
        <f>IF(PA!R88="","",PA!R88)</f>
        <v/>
      </c>
      <c r="I89" s="179" t="str">
        <f>IF(PA!S88="","",PA!S88)</f>
        <v/>
      </c>
      <c r="J89" s="182" t="str">
        <f>IF(PA!Z88="","",PA!Z88)</f>
        <v/>
      </c>
      <c r="K89" s="179" t="str">
        <f>IF(PA!AI88="","",PA!AI88)</f>
        <v/>
      </c>
      <c r="L89" s="179" t="str">
        <f>IF(PA!AJ88="","",PA!AJ88)</f>
        <v/>
      </c>
      <c r="M89" s="182" t="str">
        <f>IF(PA!AQ88="","",PA!AQ88)</f>
        <v/>
      </c>
      <c r="N89" s="242"/>
    </row>
    <row r="90" spans="1:14" ht="15" customHeight="1" thickBot="1" x14ac:dyDescent="0.35">
      <c r="A90" s="242"/>
      <c r="B90" s="429">
        <f>Data!E84</f>
        <v>40</v>
      </c>
      <c r="C90" s="430" t="str">
        <f>IF(Data!F84="","",Data!F84)</f>
        <v/>
      </c>
      <c r="D90" s="431" t="str">
        <f>IF(Data!H84="","",Data!H84)</f>
        <v/>
      </c>
      <c r="E90" s="430" t="str">
        <f>IF(Data!I84="","",Data!I84)</f>
        <v/>
      </c>
      <c r="F90" s="430" t="str">
        <f>Data!J84</f>
        <v>VIII-B</v>
      </c>
      <c r="G90" s="432"/>
      <c r="H90" s="433" t="str">
        <f>IF(PA!R89="","",PA!R89)</f>
        <v/>
      </c>
      <c r="I90" s="434" t="str">
        <f>IF(PA!S89="","",PA!S89)</f>
        <v/>
      </c>
      <c r="J90" s="435" t="str">
        <f>IF(PA!Z89="","",PA!Z89)</f>
        <v/>
      </c>
      <c r="K90" s="434" t="str">
        <f>IF(PA!AI89="","",PA!AI89)</f>
        <v/>
      </c>
      <c r="L90" s="434" t="str">
        <f>IF(PA!AJ89="","",PA!AJ89)</f>
        <v/>
      </c>
      <c r="M90" s="435" t="str">
        <f>IF(PA!AQ89="","",PA!AQ89)</f>
        <v/>
      </c>
      <c r="N90" s="242"/>
    </row>
    <row r="91" spans="1:14" ht="15" customHeight="1" thickTop="1" x14ac:dyDescent="0.3">
      <c r="A91" s="242"/>
      <c r="B91" s="426">
        <f>Data!E85</f>
        <v>1</v>
      </c>
      <c r="C91" s="427" t="str">
        <f>IF(Data!F85="","",Data!F85)</f>
        <v>03510</v>
      </c>
      <c r="D91" s="428" t="str">
        <f>IF(Data!H85="","",Data!H85)</f>
        <v>Ahmad Affan Abqory</v>
      </c>
      <c r="E91" s="427" t="str">
        <f>IF(Data!I85="","",Data!I85)</f>
        <v>Laki-laki</v>
      </c>
      <c r="F91" s="427" t="str">
        <f>Data!J85</f>
        <v>VIII-C</v>
      </c>
      <c r="G91" s="197"/>
      <c r="H91" s="180" t="str">
        <f>IF(PA!R90="","",PA!R90)</f>
        <v/>
      </c>
      <c r="I91" s="181" t="str">
        <f>IF(PA!S90="","",PA!S90)</f>
        <v/>
      </c>
      <c r="J91" s="187" t="str">
        <f>IF(PA!Z90="","",PA!Z90)</f>
        <v/>
      </c>
      <c r="K91" s="181" t="str">
        <f>IF(PA!AI90="","",PA!AI90)</f>
        <v/>
      </c>
      <c r="L91" s="181" t="str">
        <f>IF(PA!AJ90="","",PA!AJ90)</f>
        <v/>
      </c>
      <c r="M91" s="187" t="str">
        <f>IF(PA!AQ90="","",PA!AQ90)</f>
        <v/>
      </c>
      <c r="N91" s="242"/>
    </row>
    <row r="92" spans="1:14" ht="15" customHeight="1" x14ac:dyDescent="0.3">
      <c r="A92" s="242"/>
      <c r="B92" s="424">
        <f>Data!E86</f>
        <v>2</v>
      </c>
      <c r="C92" s="249" t="str">
        <f>IF(Data!F86="","",Data!F86)</f>
        <v>03514</v>
      </c>
      <c r="D92" s="250" t="str">
        <f>IF(Data!H86="","",Data!H86)</f>
        <v>Ahmad Alwi Abdul Azis</v>
      </c>
      <c r="E92" s="249" t="str">
        <f>IF(Data!I86="","",Data!I86)</f>
        <v>Laki-laki</v>
      </c>
      <c r="F92" s="249" t="str">
        <f>Data!J86</f>
        <v>VIII-C</v>
      </c>
      <c r="G92" s="197"/>
      <c r="H92" s="178" t="str">
        <f>IF(PA!R91="","",PA!R91)</f>
        <v/>
      </c>
      <c r="I92" s="179" t="str">
        <f>IF(PA!S91="","",PA!S91)</f>
        <v/>
      </c>
      <c r="J92" s="182" t="str">
        <f>IF(PA!Z91="","",PA!Z91)</f>
        <v/>
      </c>
      <c r="K92" s="179" t="str">
        <f>IF(PA!AI91="","",PA!AI91)</f>
        <v/>
      </c>
      <c r="L92" s="179" t="str">
        <f>IF(PA!AJ91="","",PA!AJ91)</f>
        <v/>
      </c>
      <c r="M92" s="182" t="str">
        <f>IF(PA!AQ91="","",PA!AQ91)</f>
        <v/>
      </c>
      <c r="N92" s="242"/>
    </row>
    <row r="93" spans="1:14" ht="15" customHeight="1" x14ac:dyDescent="0.3">
      <c r="A93" s="242"/>
      <c r="B93" s="424">
        <f>Data!E87</f>
        <v>3</v>
      </c>
      <c r="C93" s="249" t="str">
        <f>IF(Data!F87="","",Data!F87)</f>
        <v>03515</v>
      </c>
      <c r="D93" s="250" t="str">
        <f>IF(Data!H87="","",Data!H87)</f>
        <v>Ahmad Daris Ziham Almuqsith</v>
      </c>
      <c r="E93" s="249" t="str">
        <f>IF(Data!I87="","",Data!I87)</f>
        <v>Laki-laki</v>
      </c>
      <c r="F93" s="249" t="str">
        <f>Data!J87</f>
        <v>VIII-C</v>
      </c>
      <c r="G93" s="197"/>
      <c r="H93" s="178" t="str">
        <f>IF(PA!R92="","",PA!R92)</f>
        <v/>
      </c>
      <c r="I93" s="179" t="str">
        <f>IF(PA!S92="","",PA!S92)</f>
        <v/>
      </c>
      <c r="J93" s="182" t="str">
        <f>IF(PA!Z92="","",PA!Z92)</f>
        <v/>
      </c>
      <c r="K93" s="179" t="str">
        <f>IF(PA!AI92="","",PA!AI92)</f>
        <v/>
      </c>
      <c r="L93" s="179" t="str">
        <f>IF(PA!AJ92="","",PA!AJ92)</f>
        <v/>
      </c>
      <c r="M93" s="182" t="str">
        <f>IF(PA!AQ92="","",PA!AQ92)</f>
        <v/>
      </c>
      <c r="N93" s="242"/>
    </row>
    <row r="94" spans="1:14" ht="15" customHeight="1" x14ac:dyDescent="0.3">
      <c r="A94" s="242"/>
      <c r="B94" s="424">
        <f>Data!E88</f>
        <v>4</v>
      </c>
      <c r="C94" s="249" t="str">
        <f>IF(Data!F88="","",Data!F88)</f>
        <v>03521</v>
      </c>
      <c r="D94" s="250" t="str">
        <f>IF(Data!H88="","",Data!H88)</f>
        <v>Ahmad Julian Pasha Ramadhan</v>
      </c>
      <c r="E94" s="249" t="str">
        <f>IF(Data!I88="","",Data!I88)</f>
        <v>Laki-laki</v>
      </c>
      <c r="F94" s="249" t="str">
        <f>Data!J88</f>
        <v>VIII-C</v>
      </c>
      <c r="G94" s="197"/>
      <c r="H94" s="178" t="str">
        <f>IF(PA!R93="","",PA!R93)</f>
        <v/>
      </c>
      <c r="I94" s="179" t="str">
        <f>IF(PA!S93="","",PA!S93)</f>
        <v/>
      </c>
      <c r="J94" s="182" t="str">
        <f>IF(PA!Z93="","",PA!Z93)</f>
        <v/>
      </c>
      <c r="K94" s="179" t="str">
        <f>IF(PA!AI93="","",PA!AI93)</f>
        <v/>
      </c>
      <c r="L94" s="179" t="str">
        <f>IF(PA!AJ93="","",PA!AJ93)</f>
        <v/>
      </c>
      <c r="M94" s="182" t="str">
        <f>IF(PA!AQ93="","",PA!AQ93)</f>
        <v/>
      </c>
      <c r="N94" s="242"/>
    </row>
    <row r="95" spans="1:14" ht="15" customHeight="1" x14ac:dyDescent="0.3">
      <c r="A95" s="242"/>
      <c r="B95" s="424">
        <f>Data!E89</f>
        <v>5</v>
      </c>
      <c r="C95" s="249" t="str">
        <f>IF(Data!F89="","",Data!F89)</f>
        <v>03524</v>
      </c>
      <c r="D95" s="250" t="str">
        <f>IF(Data!H89="","",Data!H89)</f>
        <v>Ahmad Ridwan Alghoni</v>
      </c>
      <c r="E95" s="249" t="str">
        <f>IF(Data!I89="","",Data!I89)</f>
        <v>Laki-laki</v>
      </c>
      <c r="F95" s="249" t="str">
        <f>Data!J89</f>
        <v>VIII-C</v>
      </c>
      <c r="G95" s="197"/>
      <c r="H95" s="178" t="str">
        <f>IF(PA!R94="","",PA!R94)</f>
        <v/>
      </c>
      <c r="I95" s="179" t="str">
        <f>IF(PA!S94="","",PA!S94)</f>
        <v/>
      </c>
      <c r="J95" s="182" t="str">
        <f>IF(PA!Z94="","",PA!Z94)</f>
        <v/>
      </c>
      <c r="K95" s="179" t="str">
        <f>IF(PA!AI94="","",PA!AI94)</f>
        <v/>
      </c>
      <c r="L95" s="179" t="str">
        <f>IF(PA!AJ94="","",PA!AJ94)</f>
        <v/>
      </c>
      <c r="M95" s="182" t="str">
        <f>IF(PA!AQ94="","",PA!AQ94)</f>
        <v/>
      </c>
      <c r="N95" s="242"/>
    </row>
    <row r="96" spans="1:14" ht="15" customHeight="1" x14ac:dyDescent="0.3">
      <c r="A96" s="242"/>
      <c r="B96" s="424">
        <f>Data!E90</f>
        <v>6</v>
      </c>
      <c r="C96" s="249" t="str">
        <f>IF(Data!F90="","",Data!F90)</f>
        <v>03527</v>
      </c>
      <c r="D96" s="250" t="str">
        <f>IF(Data!H90="","",Data!H90)</f>
        <v>Airlangga Azzumar Bachtyar</v>
      </c>
      <c r="E96" s="249" t="str">
        <f>IF(Data!I90="","",Data!I90)</f>
        <v>Laki-laki</v>
      </c>
      <c r="F96" s="249" t="str">
        <f>Data!J90</f>
        <v>VIII-C</v>
      </c>
      <c r="G96" s="197"/>
      <c r="H96" s="178" t="str">
        <f>IF(PA!R95="","",PA!R95)</f>
        <v/>
      </c>
      <c r="I96" s="179" t="str">
        <f>IF(PA!S95="","",PA!S95)</f>
        <v/>
      </c>
      <c r="J96" s="182" t="str">
        <f>IF(PA!Z95="","",PA!Z95)</f>
        <v/>
      </c>
      <c r="K96" s="179" t="str">
        <f>IF(PA!AI95="","",PA!AI95)</f>
        <v/>
      </c>
      <c r="L96" s="179" t="str">
        <f>IF(PA!AJ95="","",PA!AJ95)</f>
        <v/>
      </c>
      <c r="M96" s="182" t="str">
        <f>IF(PA!AQ95="","",PA!AQ95)</f>
        <v/>
      </c>
      <c r="N96" s="242"/>
    </row>
    <row r="97" spans="1:14" ht="15" customHeight="1" x14ac:dyDescent="0.3">
      <c r="A97" s="242"/>
      <c r="B97" s="424">
        <f>Data!E91</f>
        <v>7</v>
      </c>
      <c r="C97" s="249" t="str">
        <f>IF(Data!F91="","",Data!F91)</f>
        <v>03528</v>
      </c>
      <c r="D97" s="250" t="str">
        <f>IF(Data!H91="","",Data!H91)</f>
        <v>Alizzal Danish Aditya Yoga Pratama</v>
      </c>
      <c r="E97" s="249" t="str">
        <f>IF(Data!I91="","",Data!I91)</f>
        <v>Laki-laki</v>
      </c>
      <c r="F97" s="249" t="str">
        <f>Data!J91</f>
        <v>VIII-C</v>
      </c>
      <c r="G97" s="197"/>
      <c r="H97" s="178" t="str">
        <f>IF(PA!R96="","",PA!R96)</f>
        <v/>
      </c>
      <c r="I97" s="179" t="str">
        <f>IF(PA!S96="","",PA!S96)</f>
        <v/>
      </c>
      <c r="J97" s="182" t="str">
        <f>IF(PA!Z96="","",PA!Z96)</f>
        <v/>
      </c>
      <c r="K97" s="179" t="str">
        <f>IF(PA!AI96="","",PA!AI96)</f>
        <v/>
      </c>
      <c r="L97" s="179" t="str">
        <f>IF(PA!AJ96="","",PA!AJ96)</f>
        <v/>
      </c>
      <c r="M97" s="182" t="str">
        <f>IF(PA!AQ96="","",PA!AQ96)</f>
        <v/>
      </c>
      <c r="N97" s="242"/>
    </row>
    <row r="98" spans="1:14" ht="15" customHeight="1" x14ac:dyDescent="0.3">
      <c r="A98" s="242"/>
      <c r="B98" s="424">
        <f>Data!E92</f>
        <v>8</v>
      </c>
      <c r="C98" s="249" t="str">
        <f>IF(Data!F92="","",Data!F92)</f>
        <v>03530</v>
      </c>
      <c r="D98" s="250" t="str">
        <f>IF(Data!H92="","",Data!H92)</f>
        <v>Alvian Rizki Auellio</v>
      </c>
      <c r="E98" s="249" t="str">
        <f>IF(Data!I92="","",Data!I92)</f>
        <v>Laki-laki</v>
      </c>
      <c r="F98" s="249" t="str">
        <f>Data!J92</f>
        <v>VIII-C</v>
      </c>
      <c r="G98" s="197"/>
      <c r="H98" s="178" t="str">
        <f>IF(PA!R97="","",PA!R97)</f>
        <v/>
      </c>
      <c r="I98" s="179" t="str">
        <f>IF(PA!S97="","",PA!S97)</f>
        <v/>
      </c>
      <c r="J98" s="182" t="str">
        <f>IF(PA!Z97="","",PA!Z97)</f>
        <v/>
      </c>
      <c r="K98" s="179" t="str">
        <f>IF(PA!AI97="","",PA!AI97)</f>
        <v/>
      </c>
      <c r="L98" s="179" t="str">
        <f>IF(PA!AJ97="","",PA!AJ97)</f>
        <v/>
      </c>
      <c r="M98" s="182" t="str">
        <f>IF(PA!AQ97="","",PA!AQ97)</f>
        <v/>
      </c>
      <c r="N98" s="242"/>
    </row>
    <row r="99" spans="1:14" ht="15" customHeight="1" x14ac:dyDescent="0.3">
      <c r="A99" s="242"/>
      <c r="B99" s="424">
        <f>Data!E93</f>
        <v>9</v>
      </c>
      <c r="C99" s="249" t="str">
        <f>IF(Data!F93="","",Data!F93)</f>
        <v>03532</v>
      </c>
      <c r="D99" s="250" t="str">
        <f>IF(Data!H93="","",Data!H93)</f>
        <v>Ananda Noval Dwi Syahputra</v>
      </c>
      <c r="E99" s="249" t="str">
        <f>IF(Data!I93="","",Data!I93)</f>
        <v>Laki-laki</v>
      </c>
      <c r="F99" s="249" t="str">
        <f>Data!J93</f>
        <v>VIII-C</v>
      </c>
      <c r="G99" s="197"/>
      <c r="H99" s="178" t="str">
        <f>IF(PA!R98="","",PA!R98)</f>
        <v/>
      </c>
      <c r="I99" s="179" t="str">
        <f>IF(PA!S98="","",PA!S98)</f>
        <v/>
      </c>
      <c r="J99" s="182" t="str">
        <f>IF(PA!Z98="","",PA!Z98)</f>
        <v/>
      </c>
      <c r="K99" s="179" t="str">
        <f>IF(PA!AI98="","",PA!AI98)</f>
        <v/>
      </c>
      <c r="L99" s="179" t="str">
        <f>IF(PA!AJ98="","",PA!AJ98)</f>
        <v/>
      </c>
      <c r="M99" s="182" t="str">
        <f>IF(PA!AQ98="","",PA!AQ98)</f>
        <v/>
      </c>
      <c r="N99" s="242"/>
    </row>
    <row r="100" spans="1:14" ht="15" customHeight="1" x14ac:dyDescent="0.3">
      <c r="A100" s="242"/>
      <c r="B100" s="424">
        <f>Data!E94</f>
        <v>10</v>
      </c>
      <c r="C100" s="249" t="str">
        <f>IF(Data!F94="","",Data!F94)</f>
        <v>03540</v>
      </c>
      <c r="D100" s="250" t="str">
        <f>IF(Data!H94="","",Data!H94)</f>
        <v>Dwi Bayu Rahardjo</v>
      </c>
      <c r="E100" s="249" t="str">
        <f>IF(Data!I94="","",Data!I94)</f>
        <v>Laki-laki</v>
      </c>
      <c r="F100" s="249" t="str">
        <f>Data!J94</f>
        <v>VIII-C</v>
      </c>
      <c r="G100" s="197"/>
      <c r="H100" s="178" t="str">
        <f>IF(PA!R99="","",PA!R99)</f>
        <v/>
      </c>
      <c r="I100" s="179" t="str">
        <f>IF(PA!S99="","",PA!S99)</f>
        <v/>
      </c>
      <c r="J100" s="182" t="str">
        <f>IF(PA!Z99="","",PA!Z99)</f>
        <v/>
      </c>
      <c r="K100" s="179" t="str">
        <f>IF(PA!AI99="","",PA!AI99)</f>
        <v/>
      </c>
      <c r="L100" s="179" t="str">
        <f>IF(PA!AJ99="","",PA!AJ99)</f>
        <v/>
      </c>
      <c r="M100" s="182" t="str">
        <f>IF(PA!AQ99="","",PA!AQ99)</f>
        <v/>
      </c>
      <c r="N100" s="242"/>
    </row>
    <row r="101" spans="1:14" ht="15" customHeight="1" x14ac:dyDescent="0.3">
      <c r="A101" s="242"/>
      <c r="B101" s="424">
        <f>Data!E95</f>
        <v>11</v>
      </c>
      <c r="C101" s="249" t="str">
        <f>IF(Data!F95="","",Data!F95)</f>
        <v>03543</v>
      </c>
      <c r="D101" s="250" t="str">
        <f>IF(Data!H95="","",Data!H95)</f>
        <v>Fajar Setyawan</v>
      </c>
      <c r="E101" s="249" t="str">
        <f>IF(Data!I95="","",Data!I95)</f>
        <v>Laki-laki</v>
      </c>
      <c r="F101" s="249" t="str">
        <f>Data!J95</f>
        <v>VIII-C</v>
      </c>
      <c r="G101" s="197"/>
      <c r="H101" s="178" t="str">
        <f>IF(PA!R100="","",PA!R100)</f>
        <v/>
      </c>
      <c r="I101" s="179" t="str">
        <f>IF(PA!S100="","",PA!S100)</f>
        <v/>
      </c>
      <c r="J101" s="182" t="str">
        <f>IF(PA!Z100="","",PA!Z100)</f>
        <v/>
      </c>
      <c r="K101" s="179" t="str">
        <f>IF(PA!AI100="","",PA!AI100)</f>
        <v/>
      </c>
      <c r="L101" s="179" t="str">
        <f>IF(PA!AJ100="","",PA!AJ100)</f>
        <v/>
      </c>
      <c r="M101" s="182" t="str">
        <f>IF(PA!AQ100="","",PA!AQ100)</f>
        <v/>
      </c>
      <c r="N101" s="242"/>
    </row>
    <row r="102" spans="1:14" ht="15" customHeight="1" x14ac:dyDescent="0.3">
      <c r="A102" s="242"/>
      <c r="B102" s="424">
        <f>Data!E96</f>
        <v>12</v>
      </c>
      <c r="C102" s="249" t="str">
        <f>IF(Data!F96="","",Data!F96)</f>
        <v>03544</v>
      </c>
      <c r="D102" s="250" t="str">
        <f>IF(Data!H96="","",Data!H96)</f>
        <v>Farizky Bagus Ady Pratama</v>
      </c>
      <c r="E102" s="249" t="str">
        <f>IF(Data!I96="","",Data!I96)</f>
        <v>Laki-laki</v>
      </c>
      <c r="F102" s="249" t="str">
        <f>Data!J96</f>
        <v>VIII-C</v>
      </c>
      <c r="G102" s="197"/>
      <c r="H102" s="178" t="str">
        <f>IF(PA!R101="","",PA!R101)</f>
        <v/>
      </c>
      <c r="I102" s="179" t="str">
        <f>IF(PA!S101="","",PA!S101)</f>
        <v/>
      </c>
      <c r="J102" s="182" t="str">
        <f>IF(PA!Z101="","",PA!Z101)</f>
        <v/>
      </c>
      <c r="K102" s="179" t="str">
        <f>IF(PA!AI101="","",PA!AI101)</f>
        <v/>
      </c>
      <c r="L102" s="179" t="str">
        <f>IF(PA!AJ101="","",PA!AJ101)</f>
        <v/>
      </c>
      <c r="M102" s="182" t="str">
        <f>IF(PA!AQ101="","",PA!AQ101)</f>
        <v/>
      </c>
      <c r="N102" s="242"/>
    </row>
    <row r="103" spans="1:14" ht="15" customHeight="1" x14ac:dyDescent="0.3">
      <c r="A103" s="242"/>
      <c r="B103" s="424">
        <f>Data!E97</f>
        <v>13</v>
      </c>
      <c r="C103" s="249" t="str">
        <f>IF(Data!F97="","",Data!F97)</f>
        <v>03555</v>
      </c>
      <c r="D103" s="250" t="str">
        <f>IF(Data!H97="","",Data!H97)</f>
        <v>M. Fito Wahyu Julianto</v>
      </c>
      <c r="E103" s="249" t="str">
        <f>IF(Data!I97="","",Data!I97)</f>
        <v>Laki-laki</v>
      </c>
      <c r="F103" s="249" t="str">
        <f>Data!J97</f>
        <v>VIII-C</v>
      </c>
      <c r="G103" s="197"/>
      <c r="H103" s="178" t="str">
        <f>IF(PA!R102="","",PA!R102)</f>
        <v/>
      </c>
      <c r="I103" s="179" t="str">
        <f>IF(PA!S102="","",PA!S102)</f>
        <v/>
      </c>
      <c r="J103" s="182" t="str">
        <f>IF(PA!Z102="","",PA!Z102)</f>
        <v/>
      </c>
      <c r="K103" s="179" t="str">
        <f>IF(PA!AI102="","",PA!AI102)</f>
        <v/>
      </c>
      <c r="L103" s="179" t="str">
        <f>IF(PA!AJ102="","",PA!AJ102)</f>
        <v/>
      </c>
      <c r="M103" s="182" t="str">
        <f>IF(PA!AQ102="","",PA!AQ102)</f>
        <v/>
      </c>
      <c r="N103" s="242"/>
    </row>
    <row r="104" spans="1:14" ht="15" customHeight="1" x14ac:dyDescent="0.3">
      <c r="A104" s="242"/>
      <c r="B104" s="424">
        <f>Data!E98</f>
        <v>14</v>
      </c>
      <c r="C104" s="249" t="str">
        <f>IF(Data!F98="","",Data!F98)</f>
        <v>03557</v>
      </c>
      <c r="D104" s="250" t="str">
        <f>IF(Data!H98="","",Data!H98)</f>
        <v>M. Zafiir Faza Ihsan</v>
      </c>
      <c r="E104" s="249" t="str">
        <f>IF(Data!I98="","",Data!I98)</f>
        <v>Laki-laki</v>
      </c>
      <c r="F104" s="249" t="str">
        <f>Data!J98</f>
        <v>VIII-C</v>
      </c>
      <c r="G104" s="197"/>
      <c r="H104" s="178" t="str">
        <f>IF(PA!R103="","",PA!R103)</f>
        <v/>
      </c>
      <c r="I104" s="179" t="str">
        <f>IF(PA!S103="","",PA!S103)</f>
        <v/>
      </c>
      <c r="J104" s="182" t="str">
        <f>IF(PA!Z103="","",PA!Z103)</f>
        <v/>
      </c>
      <c r="K104" s="179" t="str">
        <f>IF(PA!AI103="","",PA!AI103)</f>
        <v/>
      </c>
      <c r="L104" s="179" t="str">
        <f>IF(PA!AJ103="","",PA!AJ103)</f>
        <v/>
      </c>
      <c r="M104" s="182" t="str">
        <f>IF(PA!AQ103="","",PA!AQ103)</f>
        <v/>
      </c>
      <c r="N104" s="242"/>
    </row>
    <row r="105" spans="1:14" ht="15" customHeight="1" x14ac:dyDescent="0.3">
      <c r="A105" s="242"/>
      <c r="B105" s="424">
        <f>Data!E99</f>
        <v>15</v>
      </c>
      <c r="C105" s="249" t="str">
        <f>IF(Data!F99="","",Data!F99)</f>
        <v>03560</v>
      </c>
      <c r="D105" s="250" t="str">
        <f>IF(Data!H99="","",Data!H99)</f>
        <v>Moh. Luthfi Riza Pratama</v>
      </c>
      <c r="E105" s="249" t="str">
        <f>IF(Data!I99="","",Data!I99)</f>
        <v>Laki-laki</v>
      </c>
      <c r="F105" s="249" t="str">
        <f>Data!J99</f>
        <v>VIII-C</v>
      </c>
      <c r="G105" s="197"/>
      <c r="H105" s="178" t="str">
        <f>IF(PA!R104="","",PA!R104)</f>
        <v/>
      </c>
      <c r="I105" s="179" t="str">
        <f>IF(PA!S104="","",PA!S104)</f>
        <v/>
      </c>
      <c r="J105" s="182" t="str">
        <f>IF(PA!Z104="","",PA!Z104)</f>
        <v/>
      </c>
      <c r="K105" s="179" t="str">
        <f>IF(PA!AI104="","",PA!AI104)</f>
        <v/>
      </c>
      <c r="L105" s="179" t="str">
        <f>IF(PA!AJ104="","",PA!AJ104)</f>
        <v/>
      </c>
      <c r="M105" s="182" t="str">
        <f>IF(PA!AQ104="","",PA!AQ104)</f>
        <v/>
      </c>
      <c r="N105" s="242"/>
    </row>
    <row r="106" spans="1:14" ht="15" customHeight="1" x14ac:dyDescent="0.3">
      <c r="A106" s="242"/>
      <c r="B106" s="424">
        <f>Data!E100</f>
        <v>16</v>
      </c>
      <c r="C106" s="249" t="str">
        <f>IF(Data!F100="","",Data!F100)</f>
        <v>03563</v>
      </c>
      <c r="D106" s="250" t="str">
        <f>IF(Data!H100="","",Data!H100)</f>
        <v>Mohammad Agus Rouf</v>
      </c>
      <c r="E106" s="249" t="str">
        <f>IF(Data!I100="","",Data!I100)</f>
        <v>Laki-laki</v>
      </c>
      <c r="F106" s="249" t="str">
        <f>Data!J100</f>
        <v>VIII-C</v>
      </c>
      <c r="G106" s="197"/>
      <c r="H106" s="178" t="str">
        <f>IF(PA!R105="","",PA!R105)</f>
        <v/>
      </c>
      <c r="I106" s="179" t="str">
        <f>IF(PA!S105="","",PA!S105)</f>
        <v/>
      </c>
      <c r="J106" s="182" t="str">
        <f>IF(PA!Z105="","",PA!Z105)</f>
        <v/>
      </c>
      <c r="K106" s="179" t="str">
        <f>IF(PA!AI105="","",PA!AI105)</f>
        <v/>
      </c>
      <c r="L106" s="179" t="str">
        <f>IF(PA!AJ105="","",PA!AJ105)</f>
        <v/>
      </c>
      <c r="M106" s="182" t="str">
        <f>IF(PA!AQ105="","",PA!AQ105)</f>
        <v/>
      </c>
      <c r="N106" s="242"/>
    </row>
    <row r="107" spans="1:14" ht="15" customHeight="1" x14ac:dyDescent="0.3">
      <c r="A107" s="242"/>
      <c r="B107" s="424">
        <f>Data!E101</f>
        <v>17</v>
      </c>
      <c r="C107" s="249" t="str">
        <f>IF(Data!F101="","",Data!F101)</f>
        <v>03566</v>
      </c>
      <c r="D107" s="250" t="str">
        <f>IF(Data!H101="","",Data!H101)</f>
        <v>Mohammad Iqbal Nurfahmi</v>
      </c>
      <c r="E107" s="249" t="str">
        <f>IF(Data!I101="","",Data!I101)</f>
        <v>Laki-laki</v>
      </c>
      <c r="F107" s="249" t="str">
        <f>Data!J101</f>
        <v>VIII-C</v>
      </c>
      <c r="G107" s="197"/>
      <c r="H107" s="178" t="str">
        <f>IF(PA!R106="","",PA!R106)</f>
        <v/>
      </c>
      <c r="I107" s="179" t="str">
        <f>IF(PA!S106="","",PA!S106)</f>
        <v/>
      </c>
      <c r="J107" s="182" t="str">
        <f>IF(PA!Z106="","",PA!Z106)</f>
        <v/>
      </c>
      <c r="K107" s="179" t="str">
        <f>IF(PA!AI106="","",PA!AI106)</f>
        <v/>
      </c>
      <c r="L107" s="179" t="str">
        <f>IF(PA!AJ106="","",PA!AJ106)</f>
        <v/>
      </c>
      <c r="M107" s="182" t="str">
        <f>IF(PA!AQ106="","",PA!AQ106)</f>
        <v/>
      </c>
      <c r="N107" s="242"/>
    </row>
    <row r="108" spans="1:14" ht="15" customHeight="1" x14ac:dyDescent="0.3">
      <c r="A108" s="242"/>
      <c r="B108" s="424">
        <f>Data!E102</f>
        <v>18</v>
      </c>
      <c r="C108" s="249" t="str">
        <f>IF(Data!F102="","",Data!F102)</f>
        <v>03567</v>
      </c>
      <c r="D108" s="250" t="str">
        <f>IF(Data!H102="","",Data!H102)</f>
        <v>Mohammad Nuril Ilmi Al Hasan</v>
      </c>
      <c r="E108" s="249" t="str">
        <f>IF(Data!I102="","",Data!I102)</f>
        <v>Laki-laki</v>
      </c>
      <c r="F108" s="249" t="str">
        <f>Data!J102</f>
        <v>VIII-C</v>
      </c>
      <c r="G108" s="197"/>
      <c r="H108" s="178" t="str">
        <f>IF(PA!R107="","",PA!R107)</f>
        <v/>
      </c>
      <c r="I108" s="179" t="str">
        <f>IF(PA!S107="","",PA!S107)</f>
        <v/>
      </c>
      <c r="J108" s="182" t="str">
        <f>IF(PA!Z107="","",PA!Z107)</f>
        <v/>
      </c>
      <c r="K108" s="179" t="str">
        <f>IF(PA!AI107="","",PA!AI107)</f>
        <v/>
      </c>
      <c r="L108" s="179" t="str">
        <f>IF(PA!AJ107="","",PA!AJ107)</f>
        <v/>
      </c>
      <c r="M108" s="182" t="str">
        <f>IF(PA!AQ107="","",PA!AQ107)</f>
        <v/>
      </c>
      <c r="N108" s="242"/>
    </row>
    <row r="109" spans="1:14" ht="15" customHeight="1" x14ac:dyDescent="0.3">
      <c r="A109" s="242"/>
      <c r="B109" s="424">
        <f>Data!E103</f>
        <v>19</v>
      </c>
      <c r="C109" s="249" t="str">
        <f>IF(Data!F103="","",Data!F103)</f>
        <v>03569</v>
      </c>
      <c r="D109" s="250" t="str">
        <f>IF(Data!H103="","",Data!H103)</f>
        <v>Muhamad Saylendra Firguna</v>
      </c>
      <c r="E109" s="249" t="str">
        <f>IF(Data!I103="","",Data!I103)</f>
        <v>Laki-laki</v>
      </c>
      <c r="F109" s="249" t="str">
        <f>Data!J103</f>
        <v>VIII-C</v>
      </c>
      <c r="G109" s="197"/>
      <c r="H109" s="178" t="str">
        <f>IF(PA!R108="","",PA!R108)</f>
        <v/>
      </c>
      <c r="I109" s="179" t="str">
        <f>IF(PA!S108="","",PA!S108)</f>
        <v/>
      </c>
      <c r="J109" s="182" t="str">
        <f>IF(PA!Z108="","",PA!Z108)</f>
        <v/>
      </c>
      <c r="K109" s="179" t="str">
        <f>IF(PA!AI108="","",PA!AI108)</f>
        <v/>
      </c>
      <c r="L109" s="179" t="str">
        <f>IF(PA!AJ108="","",PA!AJ108)</f>
        <v/>
      </c>
      <c r="M109" s="182" t="str">
        <f>IF(PA!AQ108="","",PA!AQ108)</f>
        <v/>
      </c>
      <c r="N109" s="242"/>
    </row>
    <row r="110" spans="1:14" ht="15" customHeight="1" x14ac:dyDescent="0.3">
      <c r="A110" s="242"/>
      <c r="B110" s="424">
        <f>Data!E104</f>
        <v>20</v>
      </c>
      <c r="C110" s="249" t="str">
        <f>IF(Data!F104="","",Data!F104)</f>
        <v>03571</v>
      </c>
      <c r="D110" s="250" t="str">
        <f>IF(Data!H104="","",Data!H104)</f>
        <v>Muhammad Ahla Adibul Ihsan</v>
      </c>
      <c r="E110" s="249" t="str">
        <f>IF(Data!I104="","",Data!I104)</f>
        <v>Laki-laki</v>
      </c>
      <c r="F110" s="249" t="str">
        <f>Data!J104</f>
        <v>VIII-C</v>
      </c>
      <c r="G110" s="197"/>
      <c r="H110" s="178" t="str">
        <f>IF(PA!R109="","",PA!R109)</f>
        <v/>
      </c>
      <c r="I110" s="179" t="str">
        <f>IF(PA!S109="","",PA!S109)</f>
        <v/>
      </c>
      <c r="J110" s="182" t="str">
        <f>IF(PA!Z109="","",PA!Z109)</f>
        <v/>
      </c>
      <c r="K110" s="179" t="str">
        <f>IF(PA!AI109="","",PA!AI109)</f>
        <v/>
      </c>
      <c r="L110" s="179" t="str">
        <f>IF(PA!AJ109="","",PA!AJ109)</f>
        <v/>
      </c>
      <c r="M110" s="182" t="str">
        <f>IF(PA!AQ109="","",PA!AQ109)</f>
        <v/>
      </c>
      <c r="N110" s="242"/>
    </row>
    <row r="111" spans="1:14" ht="15" customHeight="1" x14ac:dyDescent="0.3">
      <c r="A111" s="242"/>
      <c r="B111" s="424">
        <f>Data!E105</f>
        <v>21</v>
      </c>
      <c r="C111" s="249" t="str">
        <f>IF(Data!F105="","",Data!F105)</f>
        <v>03585</v>
      </c>
      <c r="D111" s="250" t="str">
        <f>IF(Data!H105="","",Data!H105)</f>
        <v>Muhammad Iqbal Choir</v>
      </c>
      <c r="E111" s="249" t="str">
        <f>IF(Data!I105="","",Data!I105)</f>
        <v>Laki-laki</v>
      </c>
      <c r="F111" s="249" t="str">
        <f>Data!J105</f>
        <v>VIII-C</v>
      </c>
      <c r="G111" s="197"/>
      <c r="H111" s="178" t="str">
        <f>IF(PA!R110="","",PA!R110)</f>
        <v/>
      </c>
      <c r="I111" s="179" t="str">
        <f>IF(PA!S110="","",PA!S110)</f>
        <v/>
      </c>
      <c r="J111" s="182" t="str">
        <f>IF(PA!Z110="","",PA!Z110)</f>
        <v/>
      </c>
      <c r="K111" s="179" t="str">
        <f>IF(PA!AI110="","",PA!AI110)</f>
        <v/>
      </c>
      <c r="L111" s="179" t="str">
        <f>IF(PA!AJ110="","",PA!AJ110)</f>
        <v/>
      </c>
      <c r="M111" s="182" t="str">
        <f>IF(PA!AQ110="","",PA!AQ110)</f>
        <v/>
      </c>
      <c r="N111" s="242"/>
    </row>
    <row r="112" spans="1:14" ht="15" customHeight="1" x14ac:dyDescent="0.3">
      <c r="A112" s="242"/>
      <c r="B112" s="424">
        <f>Data!E106</f>
        <v>22</v>
      </c>
      <c r="C112" s="249" t="str">
        <f>IF(Data!F106="","",Data!F106)</f>
        <v>03589</v>
      </c>
      <c r="D112" s="250" t="str">
        <f>IF(Data!H106="","",Data!H106)</f>
        <v>Muhammad Kafi Azzamy</v>
      </c>
      <c r="E112" s="249" t="str">
        <f>IF(Data!I106="","",Data!I106)</f>
        <v>Laki-laki</v>
      </c>
      <c r="F112" s="249" t="str">
        <f>Data!J106</f>
        <v>VIII-C</v>
      </c>
      <c r="G112" s="197"/>
      <c r="H112" s="178" t="str">
        <f>IF(PA!R111="","",PA!R111)</f>
        <v/>
      </c>
      <c r="I112" s="179" t="str">
        <f>IF(PA!S111="","",PA!S111)</f>
        <v/>
      </c>
      <c r="J112" s="182" t="str">
        <f>IF(PA!Z111="","",PA!Z111)</f>
        <v/>
      </c>
      <c r="K112" s="179" t="str">
        <f>IF(PA!AI111="","",PA!AI111)</f>
        <v/>
      </c>
      <c r="L112" s="179" t="str">
        <f>IF(PA!AJ111="","",PA!AJ111)</f>
        <v/>
      </c>
      <c r="M112" s="182" t="str">
        <f>IF(PA!AQ111="","",PA!AQ111)</f>
        <v/>
      </c>
      <c r="N112" s="242"/>
    </row>
    <row r="113" spans="1:14" ht="15" customHeight="1" x14ac:dyDescent="0.3">
      <c r="A113" s="242"/>
      <c r="B113" s="424">
        <f>Data!E107</f>
        <v>23</v>
      </c>
      <c r="C113" s="249" t="str">
        <f>IF(Data!F107="","",Data!F107)</f>
        <v>03595</v>
      </c>
      <c r="D113" s="250" t="str">
        <f>IF(Data!H107="","",Data!H107)</f>
        <v>Muhammad Nizam Irwanto</v>
      </c>
      <c r="E113" s="249" t="str">
        <f>IF(Data!I107="","",Data!I107)</f>
        <v>Laki-laki</v>
      </c>
      <c r="F113" s="249" t="str">
        <f>Data!J107</f>
        <v>VIII-C</v>
      </c>
      <c r="G113" s="197"/>
      <c r="H113" s="178" t="str">
        <f>IF(PA!R112="","",PA!R112)</f>
        <v/>
      </c>
      <c r="I113" s="179" t="str">
        <f>IF(PA!S112="","",PA!S112)</f>
        <v/>
      </c>
      <c r="J113" s="182" t="str">
        <f>IF(PA!Z112="","",PA!Z112)</f>
        <v/>
      </c>
      <c r="K113" s="179" t="str">
        <f>IF(PA!AI112="","",PA!AI112)</f>
        <v/>
      </c>
      <c r="L113" s="179" t="str">
        <f>IF(PA!AJ112="","",PA!AJ112)</f>
        <v/>
      </c>
      <c r="M113" s="182" t="str">
        <f>IF(PA!AQ112="","",PA!AQ112)</f>
        <v/>
      </c>
      <c r="N113" s="242"/>
    </row>
    <row r="114" spans="1:14" ht="15" customHeight="1" x14ac:dyDescent="0.3">
      <c r="A114" s="242"/>
      <c r="B114" s="424">
        <f>Data!E108</f>
        <v>24</v>
      </c>
      <c r="C114" s="249" t="str">
        <f>IF(Data!F108="","",Data!F108)</f>
        <v>03596</v>
      </c>
      <c r="D114" s="250" t="str">
        <f>IF(Data!H108="","",Data!H108)</f>
        <v>Muhammad Nur Fadhil</v>
      </c>
      <c r="E114" s="249" t="str">
        <f>IF(Data!I108="","",Data!I108)</f>
        <v>Laki-laki</v>
      </c>
      <c r="F114" s="249" t="str">
        <f>Data!J108</f>
        <v>VIII-C</v>
      </c>
      <c r="G114" s="197"/>
      <c r="H114" s="178" t="str">
        <f>IF(PA!R113="","",PA!R113)</f>
        <v/>
      </c>
      <c r="I114" s="179" t="str">
        <f>IF(PA!S113="","",PA!S113)</f>
        <v/>
      </c>
      <c r="J114" s="182" t="str">
        <f>IF(PA!Z113="","",PA!Z113)</f>
        <v/>
      </c>
      <c r="K114" s="179" t="str">
        <f>IF(PA!AI113="","",PA!AI113)</f>
        <v/>
      </c>
      <c r="L114" s="179" t="str">
        <f>IF(PA!AJ113="","",PA!AJ113)</f>
        <v/>
      </c>
      <c r="M114" s="182" t="str">
        <f>IF(PA!AQ113="","",PA!AQ113)</f>
        <v/>
      </c>
      <c r="N114" s="242"/>
    </row>
    <row r="115" spans="1:14" ht="15" customHeight="1" x14ac:dyDescent="0.3">
      <c r="A115" s="242"/>
      <c r="B115" s="424">
        <f>Data!E109</f>
        <v>25</v>
      </c>
      <c r="C115" s="249" t="str">
        <f>IF(Data!F109="","",Data!F109)</f>
        <v>03597</v>
      </c>
      <c r="D115" s="250" t="str">
        <f>IF(Data!H109="","",Data!H109)</f>
        <v>Muhammad Nur Huda</v>
      </c>
      <c r="E115" s="249" t="str">
        <f>IF(Data!I109="","",Data!I109)</f>
        <v>Laki-laki</v>
      </c>
      <c r="F115" s="249" t="str">
        <f>Data!J109</f>
        <v>VIII-C</v>
      </c>
      <c r="G115" s="197"/>
      <c r="H115" s="178" t="str">
        <f>IF(PA!R114="","",PA!R114)</f>
        <v/>
      </c>
      <c r="I115" s="179" t="str">
        <f>IF(PA!S114="","",PA!S114)</f>
        <v/>
      </c>
      <c r="J115" s="182" t="str">
        <f>IF(PA!Z114="","",PA!Z114)</f>
        <v/>
      </c>
      <c r="K115" s="179" t="str">
        <f>IF(PA!AI114="","",PA!AI114)</f>
        <v/>
      </c>
      <c r="L115" s="179" t="str">
        <f>IF(PA!AJ114="","",PA!AJ114)</f>
        <v/>
      </c>
      <c r="M115" s="182" t="str">
        <f>IF(PA!AQ114="","",PA!AQ114)</f>
        <v/>
      </c>
      <c r="N115" s="242"/>
    </row>
    <row r="116" spans="1:14" ht="15" customHeight="1" x14ac:dyDescent="0.3">
      <c r="A116" s="242"/>
      <c r="B116" s="424">
        <f>Data!E110</f>
        <v>26</v>
      </c>
      <c r="C116" s="249" t="str">
        <f>IF(Data!F110="","",Data!F110)</f>
        <v>03598</v>
      </c>
      <c r="D116" s="250" t="str">
        <f>IF(Data!H110="","",Data!H110)</f>
        <v>Muhammad Nuril Zulfiansyah</v>
      </c>
      <c r="E116" s="249" t="str">
        <f>IF(Data!I110="","",Data!I110)</f>
        <v>Laki-laki</v>
      </c>
      <c r="F116" s="249" t="str">
        <f>Data!J110</f>
        <v>VIII-C</v>
      </c>
      <c r="G116" s="197"/>
      <c r="H116" s="178" t="str">
        <f>IF(PA!R115="","",PA!R115)</f>
        <v/>
      </c>
      <c r="I116" s="179" t="str">
        <f>IF(PA!S115="","",PA!S115)</f>
        <v/>
      </c>
      <c r="J116" s="182" t="str">
        <f>IF(PA!Z115="","",PA!Z115)</f>
        <v/>
      </c>
      <c r="K116" s="179" t="str">
        <f>IF(PA!AI115="","",PA!AI115)</f>
        <v/>
      </c>
      <c r="L116" s="179" t="str">
        <f>IF(PA!AJ115="","",PA!AJ115)</f>
        <v/>
      </c>
      <c r="M116" s="182" t="str">
        <f>IF(PA!AQ115="","",PA!AQ115)</f>
        <v/>
      </c>
      <c r="N116" s="242"/>
    </row>
    <row r="117" spans="1:14" ht="15" customHeight="1" x14ac:dyDescent="0.3">
      <c r="A117" s="242"/>
      <c r="B117" s="424">
        <f>Data!E111</f>
        <v>27</v>
      </c>
      <c r="C117" s="249" t="str">
        <f>IF(Data!F111="","",Data!F111)</f>
        <v>03603</v>
      </c>
      <c r="D117" s="250" t="str">
        <f>IF(Data!H111="","",Data!H111)</f>
        <v>Nafil Wildan Aqil Abqory</v>
      </c>
      <c r="E117" s="249" t="str">
        <f>IF(Data!I111="","",Data!I111)</f>
        <v>Laki-laki</v>
      </c>
      <c r="F117" s="249" t="str">
        <f>Data!J111</f>
        <v>VIII-C</v>
      </c>
      <c r="G117" s="197"/>
      <c r="H117" s="178" t="str">
        <f>IF(PA!R116="","",PA!R116)</f>
        <v/>
      </c>
      <c r="I117" s="179" t="str">
        <f>IF(PA!S116="","",PA!S116)</f>
        <v/>
      </c>
      <c r="J117" s="182" t="str">
        <f>IF(PA!Z116="","",PA!Z116)</f>
        <v/>
      </c>
      <c r="K117" s="179" t="str">
        <f>IF(PA!AI116="","",PA!AI116)</f>
        <v/>
      </c>
      <c r="L117" s="179" t="str">
        <f>IF(PA!AJ116="","",PA!AJ116)</f>
        <v/>
      </c>
      <c r="M117" s="182" t="str">
        <f>IF(PA!AQ116="","",PA!AQ116)</f>
        <v/>
      </c>
      <c r="N117" s="242"/>
    </row>
    <row r="118" spans="1:14" ht="15" customHeight="1" x14ac:dyDescent="0.3">
      <c r="A118" s="242"/>
      <c r="B118" s="424">
        <f>Data!E112</f>
        <v>28</v>
      </c>
      <c r="C118" s="249" t="str">
        <f>IF(Data!F112="","",Data!F112)</f>
        <v>03605</v>
      </c>
      <c r="D118" s="250" t="str">
        <f>IF(Data!H112="","",Data!H112)</f>
        <v>Nizam Zulfikar Oktafian Yudhiyanto</v>
      </c>
      <c r="E118" s="249" t="str">
        <f>IF(Data!I112="","",Data!I112)</f>
        <v>Laki-laki</v>
      </c>
      <c r="F118" s="249" t="str">
        <f>Data!J112</f>
        <v>VIII-C</v>
      </c>
      <c r="G118" s="197"/>
      <c r="H118" s="178" t="str">
        <f>IF(PA!R117="","",PA!R117)</f>
        <v/>
      </c>
      <c r="I118" s="179" t="str">
        <f>IF(PA!S117="","",PA!S117)</f>
        <v/>
      </c>
      <c r="J118" s="182" t="str">
        <f>IF(PA!Z117="","",PA!Z117)</f>
        <v/>
      </c>
      <c r="K118" s="179" t="str">
        <f>IF(PA!AI117="","",PA!AI117)</f>
        <v/>
      </c>
      <c r="L118" s="179" t="str">
        <f>IF(PA!AJ117="","",PA!AJ117)</f>
        <v/>
      </c>
      <c r="M118" s="182" t="str">
        <f>IF(PA!AQ117="","",PA!AQ117)</f>
        <v/>
      </c>
      <c r="N118" s="242"/>
    </row>
    <row r="119" spans="1:14" ht="15" customHeight="1" x14ac:dyDescent="0.3">
      <c r="A119" s="242"/>
      <c r="B119" s="424">
        <f>Data!E113</f>
        <v>29</v>
      </c>
      <c r="C119" s="249" t="str">
        <f>IF(Data!F113="","",Data!F113)</f>
        <v>03608</v>
      </c>
      <c r="D119" s="250" t="str">
        <f>IF(Data!H113="","",Data!H113)</f>
        <v>Rafa Saputra</v>
      </c>
      <c r="E119" s="249" t="str">
        <f>IF(Data!I113="","",Data!I113)</f>
        <v>Laki-laki</v>
      </c>
      <c r="F119" s="249" t="str">
        <f>Data!J113</f>
        <v>VIII-C</v>
      </c>
      <c r="G119" s="197"/>
      <c r="H119" s="178" t="str">
        <f>IF(PA!R118="","",PA!R118)</f>
        <v/>
      </c>
      <c r="I119" s="179" t="str">
        <f>IF(PA!S118="","",PA!S118)</f>
        <v/>
      </c>
      <c r="J119" s="182" t="str">
        <f>IF(PA!Z118="","",PA!Z118)</f>
        <v/>
      </c>
      <c r="K119" s="179" t="str">
        <f>IF(PA!AI118="","",PA!AI118)</f>
        <v/>
      </c>
      <c r="L119" s="179" t="str">
        <f>IF(PA!AJ118="","",PA!AJ118)</f>
        <v/>
      </c>
      <c r="M119" s="182" t="str">
        <f>IF(PA!AQ118="","",PA!AQ118)</f>
        <v/>
      </c>
      <c r="N119" s="242"/>
    </row>
    <row r="120" spans="1:14" ht="15" customHeight="1" x14ac:dyDescent="0.3">
      <c r="A120" s="242"/>
      <c r="B120" s="424">
        <f>Data!E114</f>
        <v>30</v>
      </c>
      <c r="C120" s="249" t="str">
        <f>IF(Data!F114="","",Data!F114)</f>
        <v>03610</v>
      </c>
      <c r="D120" s="250" t="str">
        <f>IF(Data!H114="","",Data!H114)</f>
        <v>Raffael Bintang Rohman</v>
      </c>
      <c r="E120" s="249" t="str">
        <f>IF(Data!I114="","",Data!I114)</f>
        <v>Laki-laki</v>
      </c>
      <c r="F120" s="249" t="str">
        <f>Data!J114</f>
        <v>VIII-C</v>
      </c>
      <c r="G120" s="197"/>
      <c r="H120" s="178" t="str">
        <f>IF(PA!R119="","",PA!R119)</f>
        <v/>
      </c>
      <c r="I120" s="179" t="str">
        <f>IF(PA!S119="","",PA!S119)</f>
        <v/>
      </c>
      <c r="J120" s="182" t="str">
        <f>IF(PA!Z119="","",PA!Z119)</f>
        <v/>
      </c>
      <c r="K120" s="179" t="str">
        <f>IF(PA!AI119="","",PA!AI119)</f>
        <v/>
      </c>
      <c r="L120" s="179" t="str">
        <f>IF(PA!AJ119="","",PA!AJ119)</f>
        <v/>
      </c>
      <c r="M120" s="182" t="str">
        <f>IF(PA!AQ119="","",PA!AQ119)</f>
        <v/>
      </c>
      <c r="N120" s="242"/>
    </row>
    <row r="121" spans="1:14" ht="15" customHeight="1" x14ac:dyDescent="0.3">
      <c r="A121" s="242"/>
      <c r="B121" s="424">
        <f>Data!E115</f>
        <v>31</v>
      </c>
      <c r="C121" s="249" t="str">
        <f>IF(Data!F115="","",Data!F115)</f>
        <v>03612</v>
      </c>
      <c r="D121" s="250" t="str">
        <f>IF(Data!H115="","",Data!H115)</f>
        <v>Raihan Khoirul Jamal</v>
      </c>
      <c r="E121" s="249" t="str">
        <f>IF(Data!I115="","",Data!I115)</f>
        <v>Laki-laki</v>
      </c>
      <c r="F121" s="249" t="str">
        <f>Data!J115</f>
        <v>VIII-C</v>
      </c>
      <c r="G121" s="197"/>
      <c r="H121" s="178" t="str">
        <f>IF(PA!R120="","",PA!R120)</f>
        <v/>
      </c>
      <c r="I121" s="179" t="str">
        <f>IF(PA!S120="","",PA!S120)</f>
        <v/>
      </c>
      <c r="J121" s="182" t="str">
        <f>IF(PA!Z120="","",PA!Z120)</f>
        <v/>
      </c>
      <c r="K121" s="179" t="str">
        <f>IF(PA!AI120="","",PA!AI120)</f>
        <v/>
      </c>
      <c r="L121" s="179" t="str">
        <f>IF(PA!AJ120="","",PA!AJ120)</f>
        <v/>
      </c>
      <c r="M121" s="182" t="str">
        <f>IF(PA!AQ120="","",PA!AQ120)</f>
        <v/>
      </c>
      <c r="N121" s="242"/>
    </row>
    <row r="122" spans="1:14" ht="15" customHeight="1" x14ac:dyDescent="0.3">
      <c r="A122" s="242"/>
      <c r="B122" s="424">
        <f>Data!E116</f>
        <v>32</v>
      </c>
      <c r="C122" s="249" t="str">
        <f>IF(Data!F116="","",Data!F116)</f>
        <v>03619</v>
      </c>
      <c r="D122" s="250" t="str">
        <f>IF(Data!H116="","",Data!H116)</f>
        <v>Tomy Ardiansyah</v>
      </c>
      <c r="E122" s="249" t="str">
        <f>IF(Data!I116="","",Data!I116)</f>
        <v>Laki-laki</v>
      </c>
      <c r="F122" s="249" t="str">
        <f>Data!J116</f>
        <v>VIII-C</v>
      </c>
      <c r="G122" s="197"/>
      <c r="H122" s="178" t="str">
        <f>IF(PA!R121="","",PA!R121)</f>
        <v/>
      </c>
      <c r="I122" s="179" t="str">
        <f>IF(PA!S121="","",PA!S121)</f>
        <v/>
      </c>
      <c r="J122" s="182" t="str">
        <f>IF(PA!Z121="","",PA!Z121)</f>
        <v/>
      </c>
      <c r="K122" s="179" t="str">
        <f>IF(PA!AI121="","",PA!AI121)</f>
        <v/>
      </c>
      <c r="L122" s="179" t="str">
        <f>IF(PA!AJ121="","",PA!AJ121)</f>
        <v/>
      </c>
      <c r="M122" s="182" t="str">
        <f>IF(PA!AQ121="","",PA!AQ121)</f>
        <v/>
      </c>
      <c r="N122" s="242"/>
    </row>
    <row r="123" spans="1:14" ht="15" customHeight="1" x14ac:dyDescent="0.3">
      <c r="A123" s="242"/>
      <c r="B123" s="424">
        <f>Data!E117</f>
        <v>33</v>
      </c>
      <c r="C123" s="249" t="str">
        <f>IF(Data!F117="","",Data!F117)</f>
        <v>03754</v>
      </c>
      <c r="D123" s="250" t="str">
        <f>IF(Data!H117="","",Data!H117)</f>
        <v>Muhammad Kavin</v>
      </c>
      <c r="E123" s="249" t="str">
        <f>IF(Data!I117="","",Data!I117)</f>
        <v>Laki-laki</v>
      </c>
      <c r="F123" s="249" t="str">
        <f>Data!J117</f>
        <v>VIII-C</v>
      </c>
      <c r="G123" s="197"/>
      <c r="H123" s="178" t="str">
        <f>IF(PA!R122="","",PA!R122)</f>
        <v/>
      </c>
      <c r="I123" s="179" t="str">
        <f>IF(PA!S122="","",PA!S122)</f>
        <v/>
      </c>
      <c r="J123" s="182" t="str">
        <f>IF(PA!Z122="","",PA!Z122)</f>
        <v/>
      </c>
      <c r="K123" s="179" t="str">
        <f>IF(PA!AI122="","",PA!AI122)</f>
        <v/>
      </c>
      <c r="L123" s="179" t="str">
        <f>IF(PA!AJ122="","",PA!AJ122)</f>
        <v/>
      </c>
      <c r="M123" s="182" t="str">
        <f>IF(PA!AQ122="","",PA!AQ122)</f>
        <v/>
      </c>
      <c r="N123" s="242"/>
    </row>
    <row r="124" spans="1:14" ht="15" customHeight="1" x14ac:dyDescent="0.3">
      <c r="A124" s="242"/>
      <c r="B124" s="424">
        <f>Data!E118</f>
        <v>34</v>
      </c>
      <c r="C124" s="249" t="str">
        <f>IF(Data!F118="","",Data!F118)</f>
        <v/>
      </c>
      <c r="D124" s="250" t="str">
        <f>IF(Data!H118="","",Data!H118)</f>
        <v/>
      </c>
      <c r="E124" s="249" t="str">
        <f>IF(Data!I118="","",Data!I118)</f>
        <v/>
      </c>
      <c r="F124" s="249" t="str">
        <f>Data!J118</f>
        <v>VIII-C</v>
      </c>
      <c r="G124" s="197"/>
      <c r="H124" s="178" t="str">
        <f>IF(PA!R123="","",PA!R123)</f>
        <v/>
      </c>
      <c r="I124" s="179" t="str">
        <f>IF(PA!S123="","",PA!S123)</f>
        <v/>
      </c>
      <c r="J124" s="182" t="str">
        <f>IF(PA!Z123="","",PA!Z123)</f>
        <v/>
      </c>
      <c r="K124" s="179" t="str">
        <f>IF(PA!AI123="","",PA!AI123)</f>
        <v/>
      </c>
      <c r="L124" s="179" t="str">
        <f>IF(PA!AJ123="","",PA!AJ123)</f>
        <v/>
      </c>
      <c r="M124" s="182" t="str">
        <f>IF(PA!AQ123="","",PA!AQ123)</f>
        <v/>
      </c>
      <c r="N124" s="242"/>
    </row>
    <row r="125" spans="1:14" ht="15" customHeight="1" x14ac:dyDescent="0.3">
      <c r="A125" s="242"/>
      <c r="B125" s="424">
        <f>Data!E119</f>
        <v>35</v>
      </c>
      <c r="C125" s="249" t="str">
        <f>IF(Data!F119="","",Data!F119)</f>
        <v/>
      </c>
      <c r="D125" s="250" t="str">
        <f>IF(Data!H119="","",Data!H119)</f>
        <v/>
      </c>
      <c r="E125" s="249" t="str">
        <f>IF(Data!I119="","",Data!I119)</f>
        <v/>
      </c>
      <c r="F125" s="249" t="str">
        <f>Data!J119</f>
        <v>VIII-C</v>
      </c>
      <c r="G125" s="197"/>
      <c r="H125" s="178" t="str">
        <f>IF(PA!R124="","",PA!R124)</f>
        <v/>
      </c>
      <c r="I125" s="179" t="str">
        <f>IF(PA!S124="","",PA!S124)</f>
        <v/>
      </c>
      <c r="J125" s="182" t="str">
        <f>IF(PA!Z124="","",PA!Z124)</f>
        <v/>
      </c>
      <c r="K125" s="179" t="str">
        <f>IF(PA!AI124="","",PA!AI124)</f>
        <v/>
      </c>
      <c r="L125" s="179" t="str">
        <f>IF(PA!AJ124="","",PA!AJ124)</f>
        <v/>
      </c>
      <c r="M125" s="182" t="str">
        <f>IF(PA!AQ124="","",PA!AQ124)</f>
        <v/>
      </c>
      <c r="N125" s="242"/>
    </row>
    <row r="126" spans="1:14" ht="15" customHeight="1" x14ac:dyDescent="0.3">
      <c r="A126" s="242"/>
      <c r="B126" s="424">
        <f>Data!E120</f>
        <v>36</v>
      </c>
      <c r="C126" s="249" t="str">
        <f>IF(Data!F120="","",Data!F120)</f>
        <v/>
      </c>
      <c r="D126" s="250" t="str">
        <f>IF(Data!H120="","",Data!H120)</f>
        <v/>
      </c>
      <c r="E126" s="249" t="str">
        <f>IF(Data!I120="","",Data!I120)</f>
        <v/>
      </c>
      <c r="F126" s="249" t="str">
        <f>Data!J120</f>
        <v>VIII-C</v>
      </c>
      <c r="G126" s="197"/>
      <c r="H126" s="178" t="str">
        <f>IF(PA!R125="","",PA!R125)</f>
        <v/>
      </c>
      <c r="I126" s="179" t="str">
        <f>IF(PA!S125="","",PA!S125)</f>
        <v/>
      </c>
      <c r="J126" s="182" t="str">
        <f>IF(PA!Z125="","",PA!Z125)</f>
        <v/>
      </c>
      <c r="K126" s="179" t="str">
        <f>IF(PA!AI125="","",PA!AI125)</f>
        <v/>
      </c>
      <c r="L126" s="179" t="str">
        <f>IF(PA!AJ125="","",PA!AJ125)</f>
        <v/>
      </c>
      <c r="M126" s="182" t="str">
        <f>IF(PA!AQ125="","",PA!AQ125)</f>
        <v/>
      </c>
      <c r="N126" s="242"/>
    </row>
    <row r="127" spans="1:14" ht="15" customHeight="1" x14ac:dyDescent="0.3">
      <c r="A127" s="242"/>
      <c r="B127" s="424">
        <f>Data!E121</f>
        <v>37</v>
      </c>
      <c r="C127" s="249" t="str">
        <f>IF(Data!F121="","",Data!F121)</f>
        <v/>
      </c>
      <c r="D127" s="250" t="str">
        <f>IF(Data!H121="","",Data!H121)</f>
        <v/>
      </c>
      <c r="E127" s="249" t="str">
        <f>IF(Data!I121="","",Data!I121)</f>
        <v/>
      </c>
      <c r="F127" s="249" t="str">
        <f>Data!J121</f>
        <v>VIII-C</v>
      </c>
      <c r="G127" s="197"/>
      <c r="H127" s="178" t="str">
        <f>IF(PA!R126="","",PA!R126)</f>
        <v/>
      </c>
      <c r="I127" s="179" t="str">
        <f>IF(PA!S126="","",PA!S126)</f>
        <v/>
      </c>
      <c r="J127" s="182" t="str">
        <f>IF(PA!Z126="","",PA!Z126)</f>
        <v/>
      </c>
      <c r="K127" s="179" t="str">
        <f>IF(PA!AI126="","",PA!AI126)</f>
        <v/>
      </c>
      <c r="L127" s="179" t="str">
        <f>IF(PA!AJ126="","",PA!AJ126)</f>
        <v/>
      </c>
      <c r="M127" s="182" t="str">
        <f>IF(PA!AQ126="","",PA!AQ126)</f>
        <v/>
      </c>
      <c r="N127" s="242"/>
    </row>
    <row r="128" spans="1:14" ht="15" customHeight="1" x14ac:dyDescent="0.3">
      <c r="A128" s="242"/>
      <c r="B128" s="424">
        <f>Data!E122</f>
        <v>38</v>
      </c>
      <c r="C128" s="249" t="str">
        <f>IF(Data!F122="","",Data!F122)</f>
        <v/>
      </c>
      <c r="D128" s="250" t="str">
        <f>IF(Data!H122="","",Data!H122)</f>
        <v/>
      </c>
      <c r="E128" s="249" t="str">
        <f>IF(Data!I122="","",Data!I122)</f>
        <v/>
      </c>
      <c r="F128" s="249" t="str">
        <f>Data!J122</f>
        <v>VIII-C</v>
      </c>
      <c r="G128" s="197"/>
      <c r="H128" s="178" t="str">
        <f>IF(PA!R127="","",PA!R127)</f>
        <v/>
      </c>
      <c r="I128" s="179" t="str">
        <f>IF(PA!S127="","",PA!S127)</f>
        <v/>
      </c>
      <c r="J128" s="182" t="str">
        <f>IF(PA!Z127="","",PA!Z127)</f>
        <v/>
      </c>
      <c r="K128" s="179" t="str">
        <f>IF(PA!AI127="","",PA!AI127)</f>
        <v/>
      </c>
      <c r="L128" s="179" t="str">
        <f>IF(PA!AJ127="","",PA!AJ127)</f>
        <v/>
      </c>
      <c r="M128" s="182" t="str">
        <f>IF(PA!AQ127="","",PA!AQ127)</f>
        <v/>
      </c>
      <c r="N128" s="242"/>
    </row>
    <row r="129" spans="1:14" ht="15" customHeight="1" x14ac:dyDescent="0.3">
      <c r="A129" s="242"/>
      <c r="B129" s="424">
        <f>Data!E123</f>
        <v>39</v>
      </c>
      <c r="C129" s="249" t="str">
        <f>IF(Data!F123="","",Data!F123)</f>
        <v/>
      </c>
      <c r="D129" s="250" t="str">
        <f>IF(Data!H123="","",Data!H123)</f>
        <v/>
      </c>
      <c r="E129" s="249" t="str">
        <f>IF(Data!I123="","",Data!I123)</f>
        <v/>
      </c>
      <c r="F129" s="249" t="str">
        <f>Data!J123</f>
        <v>VIII-C</v>
      </c>
      <c r="G129" s="197"/>
      <c r="H129" s="178" t="str">
        <f>IF(PA!R128="","",PA!R128)</f>
        <v/>
      </c>
      <c r="I129" s="179" t="str">
        <f>IF(PA!S128="","",PA!S128)</f>
        <v/>
      </c>
      <c r="J129" s="182" t="str">
        <f>IF(PA!Z128="","",PA!Z128)</f>
        <v/>
      </c>
      <c r="K129" s="179" t="str">
        <f>IF(PA!AI128="","",PA!AI128)</f>
        <v/>
      </c>
      <c r="L129" s="179" t="str">
        <f>IF(PA!AJ128="","",PA!AJ128)</f>
        <v/>
      </c>
      <c r="M129" s="182" t="str">
        <f>IF(PA!AQ128="","",PA!AQ128)</f>
        <v/>
      </c>
      <c r="N129" s="242"/>
    </row>
    <row r="130" spans="1:14" ht="15" customHeight="1" thickBot="1" x14ac:dyDescent="0.35">
      <c r="A130" s="242"/>
      <c r="B130" s="429">
        <f>Data!E124</f>
        <v>40</v>
      </c>
      <c r="C130" s="430" t="str">
        <f>IF(Data!F124="","",Data!F124)</f>
        <v/>
      </c>
      <c r="D130" s="431" t="str">
        <f>IF(Data!H124="","",Data!H124)</f>
        <v/>
      </c>
      <c r="E130" s="430" t="str">
        <f>IF(Data!I124="","",Data!I124)</f>
        <v/>
      </c>
      <c r="F130" s="430" t="str">
        <f>Data!J124</f>
        <v>VIII-C</v>
      </c>
      <c r="G130" s="432"/>
      <c r="H130" s="433" t="str">
        <f>IF(PA!R129="","",PA!R129)</f>
        <v/>
      </c>
      <c r="I130" s="434" t="str">
        <f>IF(PA!S129="","",PA!S129)</f>
        <v/>
      </c>
      <c r="J130" s="435" t="str">
        <f>IF(PA!Z129="","",PA!Z129)</f>
        <v/>
      </c>
      <c r="K130" s="434" t="str">
        <f>IF(PA!AI129="","",PA!AI129)</f>
        <v/>
      </c>
      <c r="L130" s="434" t="str">
        <f>IF(PA!AJ129="","",PA!AJ129)</f>
        <v/>
      </c>
      <c r="M130" s="435" t="str">
        <f>IF(PA!AQ129="","",PA!AQ129)</f>
        <v/>
      </c>
      <c r="N130" s="242"/>
    </row>
    <row r="131" spans="1:14" ht="15" customHeight="1" thickTop="1" x14ac:dyDescent="0.3">
      <c r="A131" s="242"/>
      <c r="B131" s="426">
        <f>Data!E125</f>
        <v>1</v>
      </c>
      <c r="C131" s="427" t="str">
        <f>IF(Data!F125="","",Data!F125)</f>
        <v>03639</v>
      </c>
      <c r="D131" s="428" t="str">
        <f>IF(Data!H125="","",Data!H125)</f>
        <v>Arini Nur Rahmania Sa'idah</v>
      </c>
      <c r="E131" s="427" t="str">
        <f>IF(Data!I125="","",Data!I125)</f>
        <v>Perempuan</v>
      </c>
      <c r="F131" s="427" t="str">
        <f>Data!J125</f>
        <v>VIII-D</v>
      </c>
      <c r="G131" s="197"/>
      <c r="H131" s="180" t="str">
        <f>IF(PA!R130="","",PA!R130)</f>
        <v/>
      </c>
      <c r="I131" s="181" t="str">
        <f>IF(PA!S130="","",PA!S130)</f>
        <v/>
      </c>
      <c r="J131" s="187" t="str">
        <f>IF(PA!Z130="","",PA!Z130)</f>
        <v>Mempunyai kemampuan yang Baik dalam kompetensi KD Pengetahuan-4 dan memiliki kemampuan yang Cukup menguasai pada kompetensi KD Pengetahuan-5</v>
      </c>
      <c r="K131" s="181" t="str">
        <f>IF(PA!AI130="","",PA!AI130)</f>
        <v/>
      </c>
      <c r="L131" s="181" t="str">
        <f>IF(PA!AJ130="","",PA!AJ130)</f>
        <v/>
      </c>
      <c r="M131" s="187" t="str">
        <f>IF(PA!AQ130="","",PA!AQ130)</f>
        <v/>
      </c>
      <c r="N131" s="242"/>
    </row>
    <row r="132" spans="1:14" ht="15" customHeight="1" x14ac:dyDescent="0.3">
      <c r="A132" s="242"/>
      <c r="B132" s="424">
        <f>Data!E126</f>
        <v>2</v>
      </c>
      <c r="C132" s="249" t="str">
        <f>IF(Data!F126="","",Data!F126)</f>
        <v>03644</v>
      </c>
      <c r="D132" s="250" t="str">
        <f>IF(Data!H126="","",Data!H126)</f>
        <v>Auliya Hanin Syarifah</v>
      </c>
      <c r="E132" s="249" t="str">
        <f>IF(Data!I126="","",Data!I126)</f>
        <v>Perempuan</v>
      </c>
      <c r="F132" s="249" t="str">
        <f>Data!J126</f>
        <v>VIII-D</v>
      </c>
      <c r="G132" s="197"/>
      <c r="H132" s="178" t="str">
        <f>IF(PA!R131="","",PA!R131)</f>
        <v/>
      </c>
      <c r="I132" s="179" t="str">
        <f>IF(PA!S131="","",PA!S131)</f>
        <v/>
      </c>
      <c r="J132" s="182" t="str">
        <f>IF(PA!Z131="","",PA!Z131)</f>
        <v>Mempunyai kemampuan yang Baik dalam kompetensi KD Pengetahuan-2 dan memiliki kemampuan yang Cukup menguasai pada kompetensi KD Pengetahuan-3</v>
      </c>
      <c r="K132" s="179" t="str">
        <f>IF(PA!AI131="","",PA!AI131)</f>
        <v/>
      </c>
      <c r="L132" s="179" t="str">
        <f>IF(PA!AJ131="","",PA!AJ131)</f>
        <v/>
      </c>
      <c r="M132" s="182" t="str">
        <f>IF(PA!AQ131="","",PA!AQ131)</f>
        <v/>
      </c>
      <c r="N132" s="242"/>
    </row>
    <row r="133" spans="1:14" ht="15" customHeight="1" x14ac:dyDescent="0.3">
      <c r="A133" s="242"/>
      <c r="B133" s="424">
        <f>Data!E127</f>
        <v>3</v>
      </c>
      <c r="C133" s="249" t="str">
        <f>IF(Data!F127="","",Data!F127)</f>
        <v>03646</v>
      </c>
      <c r="D133" s="250" t="str">
        <f>IF(Data!H127="","",Data!H127)</f>
        <v>Azmi Anna Althafunnisa'</v>
      </c>
      <c r="E133" s="249" t="str">
        <f>IF(Data!I127="","",Data!I127)</f>
        <v>Perempuan</v>
      </c>
      <c r="F133" s="249" t="str">
        <f>Data!J127</f>
        <v>VIII-D</v>
      </c>
      <c r="G133" s="197"/>
      <c r="H133" s="178" t="str">
        <f>IF(PA!R132="","",PA!R132)</f>
        <v/>
      </c>
      <c r="I133" s="179" t="str">
        <f>IF(PA!S132="","",PA!S132)</f>
        <v/>
      </c>
      <c r="J133" s="182" t="str">
        <f>IF(PA!Z132="","",PA!Z132)</f>
        <v>Mempunyai kemampuan yang Sangat Baik dalam kompetensi KD Pengetahuan-1 dan memiliki kemampuan yang Cukup menguasai pada kompetensi KD Pengetahuan-5</v>
      </c>
      <c r="K133" s="179" t="str">
        <f>IF(PA!AI132="","",PA!AI132)</f>
        <v/>
      </c>
      <c r="L133" s="179" t="str">
        <f>IF(PA!AJ132="","",PA!AJ132)</f>
        <v/>
      </c>
      <c r="M133" s="182" t="str">
        <f>IF(PA!AQ132="","",PA!AQ132)</f>
        <v/>
      </c>
      <c r="N133" s="242"/>
    </row>
    <row r="134" spans="1:14" ht="15" customHeight="1" x14ac:dyDescent="0.3">
      <c r="A134" s="242"/>
      <c r="B134" s="424">
        <f>Data!E128</f>
        <v>4</v>
      </c>
      <c r="C134" s="249" t="str">
        <f>IF(Data!F128="","",Data!F128)</f>
        <v>03647</v>
      </c>
      <c r="D134" s="250" t="str">
        <f>IF(Data!H128="","",Data!H128)</f>
        <v>Azzahro Nur Maulida</v>
      </c>
      <c r="E134" s="249" t="str">
        <f>IF(Data!I128="","",Data!I128)</f>
        <v>Perempuan</v>
      </c>
      <c r="F134" s="249" t="str">
        <f>Data!J128</f>
        <v>VIII-D</v>
      </c>
      <c r="G134" s="197"/>
      <c r="H134" s="178" t="str">
        <f>IF(PA!R133="","",PA!R133)</f>
        <v/>
      </c>
      <c r="I134" s="179" t="str">
        <f>IF(PA!S133="","",PA!S133)</f>
        <v/>
      </c>
      <c r="J134" s="182" t="str">
        <f>IF(PA!Z133="","",PA!Z133)</f>
        <v>Mempunyai kemampuan yang Cukup Menguasai dalam kompetensi KD Pengetahuan-5 dan kompetensi KD Pengetahuan-3</v>
      </c>
      <c r="K134" s="179" t="str">
        <f>IF(PA!AI133="","",PA!AI133)</f>
        <v/>
      </c>
      <c r="L134" s="179" t="str">
        <f>IF(PA!AJ133="","",PA!AJ133)</f>
        <v/>
      </c>
      <c r="M134" s="182" t="str">
        <f>IF(PA!AQ133="","",PA!AQ133)</f>
        <v/>
      </c>
      <c r="N134" s="242"/>
    </row>
    <row r="135" spans="1:14" ht="15" customHeight="1" x14ac:dyDescent="0.3">
      <c r="A135" s="242"/>
      <c r="B135" s="424">
        <f>Data!E129</f>
        <v>5</v>
      </c>
      <c r="C135" s="249" t="str">
        <f>IF(Data!F129="","",Data!F129)</f>
        <v>03648</v>
      </c>
      <c r="D135" s="250" t="str">
        <f>IF(Data!H129="","",Data!H129)</f>
        <v>Azzura Reyna Arifina</v>
      </c>
      <c r="E135" s="249" t="str">
        <f>IF(Data!I129="","",Data!I129)</f>
        <v>Perempuan</v>
      </c>
      <c r="F135" s="249" t="str">
        <f>Data!J129</f>
        <v>VIII-D</v>
      </c>
      <c r="G135" s="197"/>
      <c r="H135" s="178" t="str">
        <f>IF(PA!R134="","",PA!R134)</f>
        <v/>
      </c>
      <c r="I135" s="179" t="str">
        <f>IF(PA!S134="","",PA!S134)</f>
        <v/>
      </c>
      <c r="J135" s="182" t="str">
        <f>IF(PA!Z134="","",PA!Z134)</f>
        <v>Mempunyai kemampuan yang Baik dalam kompetensi KD Pengetahuan-1 dan memiliki kemampuan yang Cukup menguasai pada kompetensi KD Pengetahuan-5</v>
      </c>
      <c r="K135" s="179" t="str">
        <f>IF(PA!AI134="","",PA!AI134)</f>
        <v/>
      </c>
      <c r="L135" s="179" t="str">
        <f>IF(PA!AJ134="","",PA!AJ134)</f>
        <v/>
      </c>
      <c r="M135" s="182" t="str">
        <f>IF(PA!AQ134="","",PA!AQ134)</f>
        <v/>
      </c>
      <c r="N135" s="242"/>
    </row>
    <row r="136" spans="1:14" ht="15" customHeight="1" x14ac:dyDescent="0.3">
      <c r="A136" s="242"/>
      <c r="B136" s="424">
        <f>Data!E130</f>
        <v>6</v>
      </c>
      <c r="C136" s="249" t="str">
        <f>IF(Data!F130="","",Data!F130)</f>
        <v>03649</v>
      </c>
      <c r="D136" s="250" t="str">
        <f>IF(Data!H130="","",Data!H130)</f>
        <v>Belvania Valeri Alayya</v>
      </c>
      <c r="E136" s="249" t="str">
        <f>IF(Data!I130="","",Data!I130)</f>
        <v>Perempuan</v>
      </c>
      <c r="F136" s="249" t="str">
        <f>Data!J130</f>
        <v>VIII-D</v>
      </c>
      <c r="G136" s="197"/>
      <c r="H136" s="178" t="str">
        <f>IF(PA!R135="","",PA!R135)</f>
        <v/>
      </c>
      <c r="I136" s="179" t="str">
        <f>IF(PA!S135="","",PA!S135)</f>
        <v/>
      </c>
      <c r="J136" s="182" t="str">
        <f>IF(PA!Z135="","",PA!Z135)</f>
        <v>Mempunyai kemampuan yang Sangat Baik dalam kompetensi KD Pengetahuan-1 dan memiliki kemampuan yang Cukup menguasai pada kompetensi KD Pengetahuan-5</v>
      </c>
      <c r="K136" s="179" t="str">
        <f>IF(PA!AI135="","",PA!AI135)</f>
        <v/>
      </c>
      <c r="L136" s="179" t="str">
        <f>IF(PA!AJ135="","",PA!AJ135)</f>
        <v/>
      </c>
      <c r="M136" s="182" t="str">
        <f>IF(PA!AQ135="","",PA!AQ135)</f>
        <v/>
      </c>
      <c r="N136" s="242"/>
    </row>
    <row r="137" spans="1:14" ht="15" customHeight="1" x14ac:dyDescent="0.3">
      <c r="A137" s="242"/>
      <c r="B137" s="424">
        <f>Data!E131</f>
        <v>7</v>
      </c>
      <c r="C137" s="249" t="str">
        <f>IF(Data!F131="","",Data!F131)</f>
        <v>03650</v>
      </c>
      <c r="D137" s="250" t="str">
        <f>IF(Data!H131="","",Data!H131)</f>
        <v>Cahya Salsabila Putri</v>
      </c>
      <c r="E137" s="249" t="str">
        <f>IF(Data!I131="","",Data!I131)</f>
        <v>Perempuan</v>
      </c>
      <c r="F137" s="249" t="str">
        <f>Data!J131</f>
        <v>VIII-D</v>
      </c>
      <c r="G137" s="197"/>
      <c r="H137" s="178" t="str">
        <f>IF(PA!R136="","",PA!R136)</f>
        <v/>
      </c>
      <c r="I137" s="179" t="str">
        <f>IF(PA!S136="","",PA!S136)</f>
        <v/>
      </c>
      <c r="J137" s="182" t="str">
        <f>IF(PA!Z136="","",PA!Z136)</f>
        <v>Mempunyai kemampuan yang Sangat Baik dalam kompetensi KD Pengetahuan-3 dan memiliki kemampuan yang Cukup menguasai pada kompetensi KD Pengetahuan-5</v>
      </c>
      <c r="K137" s="179" t="str">
        <f>IF(PA!AI136="","",PA!AI136)</f>
        <v/>
      </c>
      <c r="L137" s="179" t="str">
        <f>IF(PA!AJ136="","",PA!AJ136)</f>
        <v/>
      </c>
      <c r="M137" s="182" t="str">
        <f>IF(PA!AQ136="","",PA!AQ136)</f>
        <v/>
      </c>
      <c r="N137" s="242"/>
    </row>
    <row r="138" spans="1:14" ht="15" customHeight="1" x14ac:dyDescent="0.3">
      <c r="A138" s="242"/>
      <c r="B138" s="424">
        <f>Data!E132</f>
        <v>8</v>
      </c>
      <c r="C138" s="249" t="str">
        <f>IF(Data!F132="","",Data!F132)</f>
        <v>03653</v>
      </c>
      <c r="D138" s="250" t="str">
        <f>IF(Data!H132="","",Data!H132)</f>
        <v>Cinta Agustina Ramadhani</v>
      </c>
      <c r="E138" s="249" t="str">
        <f>IF(Data!I132="","",Data!I132)</f>
        <v>Perempuan</v>
      </c>
      <c r="F138" s="249" t="str">
        <f>Data!J132</f>
        <v>VIII-D</v>
      </c>
      <c r="G138" s="197"/>
      <c r="H138" s="178" t="str">
        <f>IF(PA!R137="","",PA!R137)</f>
        <v/>
      </c>
      <c r="I138" s="179" t="str">
        <f>IF(PA!S137="","",PA!S137)</f>
        <v/>
      </c>
      <c r="J138" s="182" t="str">
        <f>IF(PA!Z137="","",PA!Z137)</f>
        <v>Mempunyai kemampuan yang Sangat Baik dalam kompetensi KD Pengetahuan-1 dan memiliki kemampuan yang Cukup menguasai pada kompetensi KD Pengetahuan-5</v>
      </c>
      <c r="K138" s="179" t="str">
        <f>IF(PA!AI137="","",PA!AI137)</f>
        <v/>
      </c>
      <c r="L138" s="179" t="str">
        <f>IF(PA!AJ137="","",PA!AJ137)</f>
        <v/>
      </c>
      <c r="M138" s="182" t="str">
        <f>IF(PA!AQ137="","",PA!AQ137)</f>
        <v/>
      </c>
      <c r="N138" s="242"/>
    </row>
    <row r="139" spans="1:14" ht="15" customHeight="1" x14ac:dyDescent="0.3">
      <c r="A139" s="242"/>
      <c r="B139" s="424">
        <f>Data!E133</f>
        <v>9</v>
      </c>
      <c r="C139" s="249" t="str">
        <f>IF(Data!F133="","",Data!F133)</f>
        <v>03654</v>
      </c>
      <c r="D139" s="250" t="str">
        <f>IF(Data!H133="","",Data!H133)</f>
        <v>Cinta Laetishya Azzahra</v>
      </c>
      <c r="E139" s="249" t="str">
        <f>IF(Data!I133="","",Data!I133)</f>
        <v>Perempuan</v>
      </c>
      <c r="F139" s="249" t="str">
        <f>Data!J133</f>
        <v>VIII-D</v>
      </c>
      <c r="G139" s="197"/>
      <c r="H139" s="178" t="str">
        <f>IF(PA!R138="","",PA!R138)</f>
        <v/>
      </c>
      <c r="I139" s="179" t="str">
        <f>IF(PA!S138="","",PA!S138)</f>
        <v/>
      </c>
      <c r="J139" s="182" t="str">
        <f>IF(PA!Z138="","",PA!Z138)</f>
        <v>Mempunyai kemampuan yang Cukup Menguasai dalam kompetensi KD Pengetahuan-4 dan kompetensi KD Pengetahuan-1</v>
      </c>
      <c r="K139" s="179" t="str">
        <f>IF(PA!AI138="","",PA!AI138)</f>
        <v/>
      </c>
      <c r="L139" s="179" t="str">
        <f>IF(PA!AJ138="","",PA!AJ138)</f>
        <v/>
      </c>
      <c r="M139" s="182" t="str">
        <f>IF(PA!AQ138="","",PA!AQ138)</f>
        <v/>
      </c>
      <c r="N139" s="242"/>
    </row>
    <row r="140" spans="1:14" ht="15" customHeight="1" x14ac:dyDescent="0.3">
      <c r="A140" s="242"/>
      <c r="B140" s="424">
        <f>Data!E134</f>
        <v>10</v>
      </c>
      <c r="C140" s="249" t="str">
        <f>IF(Data!F134="","",Data!F134)</f>
        <v>03661</v>
      </c>
      <c r="D140" s="250" t="str">
        <f>IF(Data!H134="","",Data!H134)</f>
        <v>Dian Fatiha Najwa</v>
      </c>
      <c r="E140" s="249" t="str">
        <f>IF(Data!I134="","",Data!I134)</f>
        <v>Perempuan</v>
      </c>
      <c r="F140" s="249" t="str">
        <f>Data!J134</f>
        <v>VIII-D</v>
      </c>
      <c r="G140" s="197"/>
      <c r="H140" s="178" t="str">
        <f>IF(PA!R139="","",PA!R139)</f>
        <v/>
      </c>
      <c r="I140" s="179" t="str">
        <f>IF(PA!S139="","",PA!S139)</f>
        <v/>
      </c>
      <c r="J140" s="182" t="str">
        <f>IF(PA!Z139="","",PA!Z139)</f>
        <v>Mempunyai kemampuan yang Baik dalam kompetensi KD Pengetahuan-2 dan memiliki kemampuan yang Cukup menguasai pada kompetensi KD Pengetahuan-5</v>
      </c>
      <c r="K140" s="179" t="str">
        <f>IF(PA!AI139="","",PA!AI139)</f>
        <v/>
      </c>
      <c r="L140" s="179" t="str">
        <f>IF(PA!AJ139="","",PA!AJ139)</f>
        <v/>
      </c>
      <c r="M140" s="182" t="str">
        <f>IF(PA!AQ139="","",PA!AQ139)</f>
        <v/>
      </c>
      <c r="N140" s="242"/>
    </row>
    <row r="141" spans="1:14" ht="15" customHeight="1" x14ac:dyDescent="0.3">
      <c r="A141" s="242"/>
      <c r="B141" s="424">
        <f>Data!E135</f>
        <v>11</v>
      </c>
      <c r="C141" s="249" t="str">
        <f>IF(Data!F135="","",Data!F135)</f>
        <v>03664</v>
      </c>
      <c r="D141" s="250" t="str">
        <f>IF(Data!H135="","",Data!H135)</f>
        <v>Diva Azka Adlina</v>
      </c>
      <c r="E141" s="249" t="str">
        <f>IF(Data!I135="","",Data!I135)</f>
        <v>Perempuan</v>
      </c>
      <c r="F141" s="249" t="str">
        <f>Data!J135</f>
        <v>VIII-D</v>
      </c>
      <c r="G141" s="197"/>
      <c r="H141" s="178" t="str">
        <f>IF(PA!R140="","",PA!R140)</f>
        <v/>
      </c>
      <c r="I141" s="179" t="str">
        <f>IF(PA!S140="","",PA!S140)</f>
        <v/>
      </c>
      <c r="J141" s="182" t="str">
        <f>IF(PA!Z140="","",PA!Z140)</f>
        <v>Mempunyai kemampuan yang Baik dalam kompetensi KD Pengetahuan-4 dan memiliki kemampuan yang Cukup menguasai pada kompetensi KD Pengetahuan-3</v>
      </c>
      <c r="K141" s="179" t="str">
        <f>IF(PA!AI140="","",PA!AI140)</f>
        <v/>
      </c>
      <c r="L141" s="179" t="str">
        <f>IF(PA!AJ140="","",PA!AJ140)</f>
        <v/>
      </c>
      <c r="M141" s="182" t="str">
        <f>IF(PA!AQ140="","",PA!AQ140)</f>
        <v/>
      </c>
      <c r="N141" s="242"/>
    </row>
    <row r="142" spans="1:14" ht="15" customHeight="1" x14ac:dyDescent="0.3">
      <c r="A142" s="242"/>
      <c r="B142" s="424">
        <f>Data!E136</f>
        <v>12</v>
      </c>
      <c r="C142" s="249" t="str">
        <f>IF(Data!F136="","",Data!F136)</f>
        <v>03670</v>
      </c>
      <c r="D142" s="250" t="str">
        <f>IF(Data!H136="","",Data!H136)</f>
        <v>Filzania Zaidatus Zafira Difta</v>
      </c>
      <c r="E142" s="249" t="str">
        <f>IF(Data!I136="","",Data!I136)</f>
        <v>Perempuan</v>
      </c>
      <c r="F142" s="249" t="str">
        <f>Data!J136</f>
        <v>VIII-D</v>
      </c>
      <c r="G142" s="197"/>
      <c r="H142" s="178" t="str">
        <f>IF(PA!R141="","",PA!R141)</f>
        <v/>
      </c>
      <c r="I142" s="179" t="str">
        <f>IF(PA!S141="","",PA!S141)</f>
        <v/>
      </c>
      <c r="J142" s="182" t="str">
        <f>IF(PA!Z141="","",PA!Z141)</f>
        <v>Mempunyai kemampuan yang Baik dalam kompetensi KD Pengetahuan-1 dan memiliki kemampuan yang Cukup menguasai pada kompetensi KD Pengetahuan-5</v>
      </c>
      <c r="K142" s="179" t="str">
        <f>IF(PA!AI141="","",PA!AI141)</f>
        <v/>
      </c>
      <c r="L142" s="179" t="str">
        <f>IF(PA!AJ141="","",PA!AJ141)</f>
        <v/>
      </c>
      <c r="M142" s="182" t="str">
        <f>IF(PA!AQ141="","",PA!AQ141)</f>
        <v/>
      </c>
      <c r="N142" s="242"/>
    </row>
    <row r="143" spans="1:14" ht="15" customHeight="1" x14ac:dyDescent="0.3">
      <c r="A143" s="242"/>
      <c r="B143" s="424">
        <f>Data!E137</f>
        <v>13</v>
      </c>
      <c r="C143" s="249" t="str">
        <f>IF(Data!F137="","",Data!F137)</f>
        <v>03676</v>
      </c>
      <c r="D143" s="250" t="str">
        <f>IF(Data!H137="","",Data!H137)</f>
        <v>Inaya Fajria Sany</v>
      </c>
      <c r="E143" s="249" t="str">
        <f>IF(Data!I137="","",Data!I137)</f>
        <v>Perempuan</v>
      </c>
      <c r="F143" s="249" t="str">
        <f>Data!J137</f>
        <v>VIII-D</v>
      </c>
      <c r="G143" s="197"/>
      <c r="H143" s="178" t="str">
        <f>IF(PA!R142="","",PA!R142)</f>
        <v/>
      </c>
      <c r="I143" s="179" t="str">
        <f>IF(PA!S142="","",PA!S142)</f>
        <v/>
      </c>
      <c r="J143" s="182" t="str">
        <f>IF(PA!Z142="","",PA!Z142)</f>
        <v>Mempunyai kemampuan yang Sangat Baik dalam kompetensi KD Pengetahuan-1 dan memiliki kemampuan yang Cukup menguasai pada kompetensi KD Pengetahuan-5</v>
      </c>
      <c r="K143" s="179" t="str">
        <f>IF(PA!AI142="","",PA!AI142)</f>
        <v/>
      </c>
      <c r="L143" s="179" t="str">
        <f>IF(PA!AJ142="","",PA!AJ142)</f>
        <v/>
      </c>
      <c r="M143" s="182" t="str">
        <f>IF(PA!AQ142="","",PA!AQ142)</f>
        <v/>
      </c>
      <c r="N143" s="242"/>
    </row>
    <row r="144" spans="1:14" ht="15" customHeight="1" x14ac:dyDescent="0.3">
      <c r="A144" s="242"/>
      <c r="B144" s="424">
        <f>Data!E138</f>
        <v>14</v>
      </c>
      <c r="C144" s="249" t="str">
        <f>IF(Data!F138="","",Data!F138)</f>
        <v>03677</v>
      </c>
      <c r="D144" s="250" t="str">
        <f>IF(Data!H138="","",Data!H138)</f>
        <v>Intan Nur Aini</v>
      </c>
      <c r="E144" s="249" t="str">
        <f>IF(Data!I138="","",Data!I138)</f>
        <v>Perempuan</v>
      </c>
      <c r="F144" s="249" t="str">
        <f>Data!J138</f>
        <v>VIII-D</v>
      </c>
      <c r="G144" s="197"/>
      <c r="H144" s="178" t="str">
        <f>IF(PA!R143="","",PA!R143)</f>
        <v/>
      </c>
      <c r="I144" s="179" t="str">
        <f>IF(PA!S143="","",PA!S143)</f>
        <v/>
      </c>
      <c r="J144" s="182" t="str">
        <f>IF(PA!Z143="","",PA!Z143)</f>
        <v>Mempunyai kemampuan yang Baik dalam kompetensi KD Pengetahuan-1 dan memiliki kemampuan yang Cukup menguasai pada kompetensi KD Pengetahuan-2</v>
      </c>
      <c r="K144" s="179" t="str">
        <f>IF(PA!AI143="","",PA!AI143)</f>
        <v/>
      </c>
      <c r="L144" s="179" t="str">
        <f>IF(PA!AJ143="","",PA!AJ143)</f>
        <v/>
      </c>
      <c r="M144" s="182" t="str">
        <f>IF(PA!AQ143="","",PA!AQ143)</f>
        <v/>
      </c>
      <c r="N144" s="242"/>
    </row>
    <row r="145" spans="1:14" ht="15" customHeight="1" x14ac:dyDescent="0.3">
      <c r="A145" s="242"/>
      <c r="B145" s="424">
        <f>Data!E139</f>
        <v>15</v>
      </c>
      <c r="C145" s="249" t="str">
        <f>IF(Data!F139="","",Data!F139)</f>
        <v>03678</v>
      </c>
      <c r="D145" s="250" t="str">
        <f>IF(Data!H139="","",Data!H139)</f>
        <v>Irsana Ro'fatul Ula</v>
      </c>
      <c r="E145" s="249" t="str">
        <f>IF(Data!I139="","",Data!I139)</f>
        <v>Perempuan</v>
      </c>
      <c r="F145" s="249" t="str">
        <f>Data!J139</f>
        <v>VIII-D</v>
      </c>
      <c r="G145" s="197"/>
      <c r="H145" s="178" t="str">
        <f>IF(PA!R144="","",PA!R144)</f>
        <v/>
      </c>
      <c r="I145" s="179" t="str">
        <f>IF(PA!S144="","",PA!S144)</f>
        <v/>
      </c>
      <c r="J145" s="182" t="str">
        <f>IF(PA!Z144="","",PA!Z144)</f>
        <v>Mempunyai kemampuan yang Baik dalam kompetensi KD Pengetahuan-5 dan memiliki kemampuan yang Cukup menguasai pada kompetensi KD Pengetahuan-3</v>
      </c>
      <c r="K145" s="179" t="str">
        <f>IF(PA!AI144="","",PA!AI144)</f>
        <v/>
      </c>
      <c r="L145" s="179" t="str">
        <f>IF(PA!AJ144="","",PA!AJ144)</f>
        <v/>
      </c>
      <c r="M145" s="182" t="str">
        <f>IF(PA!AQ144="","",PA!AQ144)</f>
        <v/>
      </c>
      <c r="N145" s="242"/>
    </row>
    <row r="146" spans="1:14" ht="15" customHeight="1" x14ac:dyDescent="0.3">
      <c r="A146" s="242"/>
      <c r="B146" s="424">
        <f>Data!E140</f>
        <v>16</v>
      </c>
      <c r="C146" s="249" t="str">
        <f>IF(Data!F140="","",Data!F140)</f>
        <v>03680</v>
      </c>
      <c r="D146" s="250" t="str">
        <f>IF(Data!H140="","",Data!H140)</f>
        <v>Julia Ramadhani</v>
      </c>
      <c r="E146" s="249" t="str">
        <f>IF(Data!I140="","",Data!I140)</f>
        <v>Perempuan</v>
      </c>
      <c r="F146" s="249" t="str">
        <f>Data!J140</f>
        <v>VIII-D</v>
      </c>
      <c r="G146" s="197"/>
      <c r="H146" s="178" t="str">
        <f>IF(PA!R145="","",PA!R145)</f>
        <v/>
      </c>
      <c r="I146" s="179" t="str">
        <f>IF(PA!S145="","",PA!S145)</f>
        <v/>
      </c>
      <c r="J146" s="182" t="str">
        <f>IF(PA!Z145="","",PA!Z145)</f>
        <v>Mempunyai kemampuan yang Baik dalam kompetensi KD Pengetahuan-2 dan memiliki kemampuan yang Cukup menguasai pada kompetensi KD Pengetahuan-5</v>
      </c>
      <c r="K146" s="179" t="str">
        <f>IF(PA!AI145="","",PA!AI145)</f>
        <v/>
      </c>
      <c r="L146" s="179" t="str">
        <f>IF(PA!AJ145="","",PA!AJ145)</f>
        <v/>
      </c>
      <c r="M146" s="182" t="str">
        <f>IF(PA!AQ145="","",PA!AQ145)</f>
        <v/>
      </c>
      <c r="N146" s="242"/>
    </row>
    <row r="147" spans="1:14" ht="15" customHeight="1" x14ac:dyDescent="0.3">
      <c r="A147" s="242"/>
      <c r="B147" s="424">
        <f>Data!E141</f>
        <v>17</v>
      </c>
      <c r="C147" s="249" t="str">
        <f>IF(Data!F141="","",Data!F141)</f>
        <v>03688</v>
      </c>
      <c r="D147" s="250" t="str">
        <f>IF(Data!H141="","",Data!H141)</f>
        <v>Laila A'imatul Musyayadah</v>
      </c>
      <c r="E147" s="249" t="str">
        <f>IF(Data!I141="","",Data!I141)</f>
        <v>Perempuan</v>
      </c>
      <c r="F147" s="249" t="str">
        <f>Data!J141</f>
        <v>VIII-D</v>
      </c>
      <c r="G147" s="197"/>
      <c r="H147" s="178" t="str">
        <f>IF(PA!R146="","",PA!R146)</f>
        <v/>
      </c>
      <c r="I147" s="179" t="str">
        <f>IF(PA!S146="","",PA!S146)</f>
        <v/>
      </c>
      <c r="J147" s="182" t="str">
        <f>IF(PA!Z146="","",PA!Z146)</f>
        <v>Mempunyai kemampuan yang Baik dalam kompetensi KD Pengetahuan-5 dan memiliki kemampuan yang Cukup menguasai pada kompetensi KD Pengetahuan-2</v>
      </c>
      <c r="K147" s="179" t="str">
        <f>IF(PA!AI146="","",PA!AI146)</f>
        <v/>
      </c>
      <c r="L147" s="179" t="str">
        <f>IF(PA!AJ146="","",PA!AJ146)</f>
        <v/>
      </c>
      <c r="M147" s="182" t="str">
        <f>IF(PA!AQ146="","",PA!AQ146)</f>
        <v/>
      </c>
      <c r="N147" s="242"/>
    </row>
    <row r="148" spans="1:14" ht="15" customHeight="1" x14ac:dyDescent="0.3">
      <c r="A148" s="242"/>
      <c r="B148" s="424">
        <f>Data!E142</f>
        <v>18</v>
      </c>
      <c r="C148" s="249" t="str">
        <f>IF(Data!F142="","",Data!F142)</f>
        <v>03691</v>
      </c>
      <c r="D148" s="250" t="str">
        <f>IF(Data!H142="","",Data!H142)</f>
        <v>Maulida Aqilatul Fitria</v>
      </c>
      <c r="E148" s="249" t="str">
        <f>IF(Data!I142="","",Data!I142)</f>
        <v>Perempuan</v>
      </c>
      <c r="F148" s="249" t="str">
        <f>Data!J142</f>
        <v>VIII-D</v>
      </c>
      <c r="G148" s="197"/>
      <c r="H148" s="178" t="str">
        <f>IF(PA!R147="","",PA!R147)</f>
        <v/>
      </c>
      <c r="I148" s="179" t="str">
        <f>IF(PA!S147="","",PA!S147)</f>
        <v/>
      </c>
      <c r="J148" s="182" t="str">
        <f>IF(PA!Z147="","",PA!Z147)</f>
        <v>Mempunyai kemampuan yang Sangat Baik dalam kompetensi KD Pengetahuan-1 dan memiliki kemampuan yang Cukup menguasai pada kompetensi KD Pengetahuan-5</v>
      </c>
      <c r="K148" s="179" t="str">
        <f>IF(PA!AI147="","",PA!AI147)</f>
        <v/>
      </c>
      <c r="L148" s="179" t="str">
        <f>IF(PA!AJ147="","",PA!AJ147)</f>
        <v/>
      </c>
      <c r="M148" s="182" t="str">
        <f>IF(PA!AQ147="","",PA!AQ147)</f>
        <v/>
      </c>
      <c r="N148" s="242"/>
    </row>
    <row r="149" spans="1:14" ht="15" customHeight="1" x14ac:dyDescent="0.3">
      <c r="A149" s="242"/>
      <c r="B149" s="424">
        <f>Data!E143</f>
        <v>19</v>
      </c>
      <c r="C149" s="249" t="str">
        <f>IF(Data!F143="","",Data!F143)</f>
        <v>03694</v>
      </c>
      <c r="D149" s="250" t="str">
        <f>IF(Data!H143="","",Data!H143)</f>
        <v>Miftah Maesaroh Melisa Cahyani</v>
      </c>
      <c r="E149" s="249" t="str">
        <f>IF(Data!I143="","",Data!I143)</f>
        <v>Perempuan</v>
      </c>
      <c r="F149" s="249" t="str">
        <f>Data!J143</f>
        <v>VIII-D</v>
      </c>
      <c r="G149" s="197"/>
      <c r="H149" s="178" t="str">
        <f>IF(PA!R148="","",PA!R148)</f>
        <v/>
      </c>
      <c r="I149" s="179" t="str">
        <f>IF(PA!S148="","",PA!S148)</f>
        <v/>
      </c>
      <c r="J149" s="182" t="str">
        <f>IF(PA!Z148="","",PA!Z148)</f>
        <v>Mempunyai kemampuan yang Sangat Baik dalam kompetensi KD Pengetahuan-1 dan memiliki kemampuan yang Cukup menguasai pada kompetensi KD Pengetahuan-2</v>
      </c>
      <c r="K149" s="179" t="str">
        <f>IF(PA!AI148="","",PA!AI148)</f>
        <v/>
      </c>
      <c r="L149" s="179" t="str">
        <f>IF(PA!AJ148="","",PA!AJ148)</f>
        <v/>
      </c>
      <c r="M149" s="182" t="str">
        <f>IF(PA!AQ148="","",PA!AQ148)</f>
        <v/>
      </c>
      <c r="N149" s="242"/>
    </row>
    <row r="150" spans="1:14" ht="15" customHeight="1" x14ac:dyDescent="0.3">
      <c r="A150" s="242"/>
      <c r="B150" s="424">
        <f>Data!E144</f>
        <v>20</v>
      </c>
      <c r="C150" s="249" t="str">
        <f>IF(Data!F144="","",Data!F144)</f>
        <v>03695</v>
      </c>
      <c r="D150" s="250" t="str">
        <f>IF(Data!H144="","",Data!H144)</f>
        <v>Mir'atun Nadhiroh</v>
      </c>
      <c r="E150" s="249" t="str">
        <f>IF(Data!I144="","",Data!I144)</f>
        <v>Perempuan</v>
      </c>
      <c r="F150" s="249" t="str">
        <f>Data!J144</f>
        <v>VIII-D</v>
      </c>
      <c r="G150" s="197"/>
      <c r="H150" s="178" t="str">
        <f>IF(PA!R149="","",PA!R149)</f>
        <v/>
      </c>
      <c r="I150" s="179" t="str">
        <f>IF(PA!S149="","",PA!S149)</f>
        <v/>
      </c>
      <c r="J150" s="182" t="str">
        <f>IF(PA!Z149="","",PA!Z149)</f>
        <v>Mempunyai kemampuan yang Baik dalam kompetensi KD Pengetahuan-2 dan memiliki kemampuan yang Cukup menguasai pada kompetensi KD Pengetahuan-5</v>
      </c>
      <c r="K150" s="179" t="str">
        <f>IF(PA!AI149="","",PA!AI149)</f>
        <v/>
      </c>
      <c r="L150" s="179" t="str">
        <f>IF(PA!AJ149="","",PA!AJ149)</f>
        <v/>
      </c>
      <c r="M150" s="182" t="str">
        <f>IF(PA!AQ149="","",PA!AQ149)</f>
        <v/>
      </c>
      <c r="N150" s="242"/>
    </row>
    <row r="151" spans="1:14" ht="15" customHeight="1" x14ac:dyDescent="0.3">
      <c r="A151" s="242"/>
      <c r="B151" s="424">
        <f>Data!E145</f>
        <v>21</v>
      </c>
      <c r="C151" s="249" t="str">
        <f>IF(Data!F145="","",Data!F145)</f>
        <v>03698</v>
      </c>
      <c r="D151" s="250" t="str">
        <f>IF(Data!H145="","",Data!H145)</f>
        <v>Muna Mujahidah</v>
      </c>
      <c r="E151" s="249" t="str">
        <f>IF(Data!I145="","",Data!I145)</f>
        <v>Perempuan</v>
      </c>
      <c r="F151" s="249" t="str">
        <f>Data!J145</f>
        <v>VIII-D</v>
      </c>
      <c r="G151" s="197"/>
      <c r="H151" s="178" t="str">
        <f>IF(PA!R150="","",PA!R150)</f>
        <v/>
      </c>
      <c r="I151" s="179" t="str">
        <f>IF(PA!S150="","",PA!S150)</f>
        <v/>
      </c>
      <c r="J151" s="182" t="str">
        <f>IF(PA!Z150="","",PA!Z150)</f>
        <v>Mempunyai kemampuan yang Sangat Baik dalam kompetensi KD Pengetahuan-1 dan memiliki kemampuan yang Cukup menguasai pada kompetensi KD Pengetahuan-4</v>
      </c>
      <c r="K151" s="179" t="str">
        <f>IF(PA!AI150="","",PA!AI150)</f>
        <v/>
      </c>
      <c r="L151" s="179" t="str">
        <f>IF(PA!AJ150="","",PA!AJ150)</f>
        <v/>
      </c>
      <c r="M151" s="182" t="str">
        <f>IF(PA!AQ150="","",PA!AQ150)</f>
        <v/>
      </c>
      <c r="N151" s="242"/>
    </row>
    <row r="152" spans="1:14" ht="15" customHeight="1" x14ac:dyDescent="0.3">
      <c r="A152" s="242"/>
      <c r="B152" s="424">
        <f>Data!E146</f>
        <v>22</v>
      </c>
      <c r="C152" s="249" t="str">
        <f>IF(Data!F146="","",Data!F146)</f>
        <v>03702</v>
      </c>
      <c r="D152" s="250" t="str">
        <f>IF(Data!H146="","",Data!H146)</f>
        <v>Naila Mutammimah</v>
      </c>
      <c r="E152" s="249" t="str">
        <f>IF(Data!I146="","",Data!I146)</f>
        <v>Perempuan</v>
      </c>
      <c r="F152" s="249" t="str">
        <f>Data!J146</f>
        <v>VIII-D</v>
      </c>
      <c r="G152" s="197"/>
      <c r="H152" s="178" t="str">
        <f>IF(PA!R151="","",PA!R151)</f>
        <v/>
      </c>
      <c r="I152" s="179" t="str">
        <f>IF(PA!S151="","",PA!S151)</f>
        <v/>
      </c>
      <c r="J152" s="182" t="str">
        <f>IF(PA!Z151="","",PA!Z151)</f>
        <v>Mempunyai kemampuan yang Baik dalam kompetensi KD Pengetahuan-2 dan memiliki kemampuan yang Cukup menguasai pada kompetensi KD Pengetahuan-5</v>
      </c>
      <c r="K152" s="179" t="str">
        <f>IF(PA!AI151="","",PA!AI151)</f>
        <v/>
      </c>
      <c r="L152" s="179" t="str">
        <f>IF(PA!AJ151="","",PA!AJ151)</f>
        <v/>
      </c>
      <c r="M152" s="182" t="str">
        <f>IF(PA!AQ151="","",PA!AQ151)</f>
        <v/>
      </c>
      <c r="N152" s="242"/>
    </row>
    <row r="153" spans="1:14" ht="15" customHeight="1" x14ac:dyDescent="0.3">
      <c r="A153" s="242"/>
      <c r="B153" s="424">
        <f>Data!E147</f>
        <v>23</v>
      </c>
      <c r="C153" s="249" t="str">
        <f>IF(Data!F147="","",Data!F147)</f>
        <v>03710</v>
      </c>
      <c r="D153" s="250" t="str">
        <f>IF(Data!H147="","",Data!H147)</f>
        <v>Nazhumi Arifa Faridatul Fauziah</v>
      </c>
      <c r="E153" s="249" t="str">
        <f>IF(Data!I147="","",Data!I147)</f>
        <v>Perempuan</v>
      </c>
      <c r="F153" s="249" t="str">
        <f>Data!J147</f>
        <v>VIII-D</v>
      </c>
      <c r="G153" s="197"/>
      <c r="H153" s="178" t="str">
        <f>IF(PA!R152="","",PA!R152)</f>
        <v/>
      </c>
      <c r="I153" s="179" t="str">
        <f>IF(PA!S152="","",PA!S152)</f>
        <v/>
      </c>
      <c r="J153" s="182" t="str">
        <f>IF(PA!Z152="","",PA!Z152)</f>
        <v>Mempunyai kemampuan yang Baik dalam kompetensi KD Pengetahuan-4 dan memiliki kemampuan yang Cukup menguasai pada kompetensi KD Pengetahuan-5</v>
      </c>
      <c r="K153" s="179" t="str">
        <f>IF(PA!AI152="","",PA!AI152)</f>
        <v/>
      </c>
      <c r="L153" s="179" t="str">
        <f>IF(PA!AJ152="","",PA!AJ152)</f>
        <v/>
      </c>
      <c r="M153" s="182" t="str">
        <f>IF(PA!AQ152="","",PA!AQ152)</f>
        <v/>
      </c>
      <c r="N153" s="242"/>
    </row>
    <row r="154" spans="1:14" ht="15" customHeight="1" x14ac:dyDescent="0.3">
      <c r="A154" s="242"/>
      <c r="B154" s="424">
        <f>Data!E148</f>
        <v>24</v>
      </c>
      <c r="C154" s="249" t="str">
        <f>IF(Data!F148="","",Data!F148)</f>
        <v>03714</v>
      </c>
      <c r="D154" s="250" t="str">
        <f>IF(Data!H148="","",Data!H148)</f>
        <v>Nurin Najwa Baiti Azzahra</v>
      </c>
      <c r="E154" s="249" t="str">
        <f>IF(Data!I148="","",Data!I148)</f>
        <v>Perempuan</v>
      </c>
      <c r="F154" s="249" t="str">
        <f>Data!J148</f>
        <v>VIII-D</v>
      </c>
      <c r="G154" s="197"/>
      <c r="H154" s="178" t="str">
        <f>IF(PA!R153="","",PA!R153)</f>
        <v/>
      </c>
      <c r="I154" s="179" t="str">
        <f>IF(PA!S153="","",PA!S153)</f>
        <v/>
      </c>
      <c r="J154" s="182" t="str">
        <f>IF(PA!Z153="","",PA!Z153)</f>
        <v>Mempunyai kemampuan yang Sangat Baik dalam kompetensi KD Pengetahuan-1 dan memiliki kemampuan yang Cukup menguasai pada kompetensi KD Pengetahuan-2</v>
      </c>
      <c r="K154" s="179" t="str">
        <f>IF(PA!AI153="","",PA!AI153)</f>
        <v/>
      </c>
      <c r="L154" s="179" t="str">
        <f>IF(PA!AJ153="","",PA!AJ153)</f>
        <v/>
      </c>
      <c r="M154" s="182" t="str">
        <f>IF(PA!AQ153="","",PA!AQ153)</f>
        <v/>
      </c>
      <c r="N154" s="242"/>
    </row>
    <row r="155" spans="1:14" ht="15" customHeight="1" x14ac:dyDescent="0.3">
      <c r="A155" s="242"/>
      <c r="B155" s="424">
        <f>Data!E149</f>
        <v>25</v>
      </c>
      <c r="C155" s="249" t="str">
        <f>IF(Data!F149="","",Data!F149)</f>
        <v>03716</v>
      </c>
      <c r="D155" s="250" t="str">
        <f>IF(Data!H149="","",Data!H149)</f>
        <v>Queen Bianca Wiyono</v>
      </c>
      <c r="E155" s="249" t="str">
        <f>IF(Data!I149="","",Data!I149)</f>
        <v>Perempuan</v>
      </c>
      <c r="F155" s="249" t="str">
        <f>Data!J149</f>
        <v>VIII-D</v>
      </c>
      <c r="G155" s="197"/>
      <c r="H155" s="178" t="str">
        <f>IF(PA!R154="","",PA!R154)</f>
        <v/>
      </c>
      <c r="I155" s="179" t="str">
        <f>IF(PA!S154="","",PA!S154)</f>
        <v/>
      </c>
      <c r="J155" s="182" t="str">
        <f>IF(PA!Z154="","",PA!Z154)</f>
        <v>Mempunyai kemampuan yang Sangat Baik dalam kompetensi KD Pengetahuan-1 dan memiliki kemampuan yang Cukup menguasai pada kompetensi KD Pengetahuan-5</v>
      </c>
      <c r="K155" s="179" t="str">
        <f>IF(PA!AI154="","",PA!AI154)</f>
        <v/>
      </c>
      <c r="L155" s="179" t="str">
        <f>IF(PA!AJ154="","",PA!AJ154)</f>
        <v/>
      </c>
      <c r="M155" s="182" t="str">
        <f>IF(PA!AQ154="","",PA!AQ154)</f>
        <v/>
      </c>
      <c r="N155" s="242"/>
    </row>
    <row r="156" spans="1:14" ht="15" customHeight="1" x14ac:dyDescent="0.3">
      <c r="A156" s="242"/>
      <c r="B156" s="424">
        <f>Data!E150</f>
        <v>26</v>
      </c>
      <c r="C156" s="249" t="str">
        <f>IF(Data!F150="","",Data!F150)</f>
        <v>03719</v>
      </c>
      <c r="D156" s="250" t="str">
        <f>IF(Data!H150="","",Data!H150)</f>
        <v>Safinatun Najwa Zahrana Khoir</v>
      </c>
      <c r="E156" s="249" t="str">
        <f>IF(Data!I150="","",Data!I150)</f>
        <v>Perempuan</v>
      </c>
      <c r="F156" s="249" t="str">
        <f>Data!J150</f>
        <v>VIII-D</v>
      </c>
      <c r="G156" s="197"/>
      <c r="H156" s="178" t="str">
        <f>IF(PA!R155="","",PA!R155)</f>
        <v/>
      </c>
      <c r="I156" s="179" t="str">
        <f>IF(PA!S155="","",PA!S155)</f>
        <v/>
      </c>
      <c r="J156" s="182" t="str">
        <f>IF(PA!Z155="","",PA!Z155)</f>
        <v>Mempunyai kemampuan yang Baik dalam kompetensi KD Pengetahuan-3 dan memiliki kemampuan yang Cukup menguasai pada kompetensi KD Pengetahuan-5</v>
      </c>
      <c r="K156" s="179" t="str">
        <f>IF(PA!AI155="","",PA!AI155)</f>
        <v/>
      </c>
      <c r="L156" s="179" t="str">
        <f>IF(PA!AJ155="","",PA!AJ155)</f>
        <v/>
      </c>
      <c r="M156" s="182" t="str">
        <f>IF(PA!AQ155="","",PA!AQ155)</f>
        <v/>
      </c>
      <c r="N156" s="242"/>
    </row>
    <row r="157" spans="1:14" ht="15" customHeight="1" x14ac:dyDescent="0.3">
      <c r="A157" s="242"/>
      <c r="B157" s="424">
        <f>Data!E151</f>
        <v>27</v>
      </c>
      <c r="C157" s="249" t="str">
        <f>IF(Data!F151="","",Data!F151)</f>
        <v>03721</v>
      </c>
      <c r="D157" s="250" t="str">
        <f>IF(Data!H151="","",Data!H151)</f>
        <v>Sanniyyah Aqilah</v>
      </c>
      <c r="E157" s="249" t="str">
        <f>IF(Data!I151="","",Data!I151)</f>
        <v>Perempuan</v>
      </c>
      <c r="F157" s="249" t="str">
        <f>Data!J151</f>
        <v>VIII-D</v>
      </c>
      <c r="G157" s="197"/>
      <c r="H157" s="178" t="str">
        <f>IF(PA!R156="","",PA!R156)</f>
        <v/>
      </c>
      <c r="I157" s="179" t="str">
        <f>IF(PA!S156="","",PA!S156)</f>
        <v/>
      </c>
      <c r="J157" s="182" t="str">
        <f>IF(PA!Z156="","",PA!Z156)</f>
        <v>Mempunyai kemampuan yang Baik dalam kompetensi KD Pengetahuan-1 dan memiliki kemampuan yang Cukup menguasai pada kompetensi KD Pengetahuan-5</v>
      </c>
      <c r="K157" s="179" t="str">
        <f>IF(PA!AI156="","",PA!AI156)</f>
        <v/>
      </c>
      <c r="L157" s="179" t="str">
        <f>IF(PA!AJ156="","",PA!AJ156)</f>
        <v/>
      </c>
      <c r="M157" s="182" t="str">
        <f>IF(PA!AQ156="","",PA!AQ156)</f>
        <v/>
      </c>
      <c r="N157" s="242"/>
    </row>
    <row r="158" spans="1:14" ht="15" customHeight="1" x14ac:dyDescent="0.3">
      <c r="A158" s="242"/>
      <c r="B158" s="424">
        <f>Data!E152</f>
        <v>28</v>
      </c>
      <c r="C158" s="249" t="str">
        <f>IF(Data!F152="","",Data!F152)</f>
        <v>03725</v>
      </c>
      <c r="D158" s="250" t="str">
        <f>IF(Data!H152="","",Data!H152)</f>
        <v>Shafya Pramesti Putri Hanifa</v>
      </c>
      <c r="E158" s="249" t="str">
        <f>IF(Data!I152="","",Data!I152)</f>
        <v>Perempuan</v>
      </c>
      <c r="F158" s="249" t="str">
        <f>Data!J152</f>
        <v>VIII-D</v>
      </c>
      <c r="G158" s="197"/>
      <c r="H158" s="178" t="str">
        <f>IF(PA!R157="","",PA!R157)</f>
        <v/>
      </c>
      <c r="I158" s="179" t="str">
        <f>IF(PA!S157="","",PA!S157)</f>
        <v/>
      </c>
      <c r="J158" s="182" t="str">
        <f>IF(PA!Z157="","",PA!Z157)</f>
        <v>Mempunyai kemampuan yang Baik dalam kompetensi KD Pengetahuan-5 dan memiliki kemampuan yang Cukup menguasai pada kompetensi KD Pengetahuan-3</v>
      </c>
      <c r="K158" s="179" t="str">
        <f>IF(PA!AI157="","",PA!AI157)</f>
        <v/>
      </c>
      <c r="L158" s="179" t="str">
        <f>IF(PA!AJ157="","",PA!AJ157)</f>
        <v/>
      </c>
      <c r="M158" s="182" t="str">
        <f>IF(PA!AQ157="","",PA!AQ157)</f>
        <v/>
      </c>
      <c r="N158" s="242"/>
    </row>
    <row r="159" spans="1:14" ht="15" customHeight="1" x14ac:dyDescent="0.3">
      <c r="A159" s="242"/>
      <c r="B159" s="424">
        <f>Data!E153</f>
        <v>29</v>
      </c>
      <c r="C159" s="249" t="str">
        <f>IF(Data!F153="","",Data!F153)</f>
        <v>03730</v>
      </c>
      <c r="D159" s="250" t="str">
        <f>IF(Data!H153="","",Data!H153)</f>
        <v>Sofia Dhia Afra Amelia</v>
      </c>
      <c r="E159" s="249" t="str">
        <f>IF(Data!I153="","",Data!I153)</f>
        <v>Perempuan</v>
      </c>
      <c r="F159" s="249" t="str">
        <f>Data!J153</f>
        <v>VIII-D</v>
      </c>
      <c r="G159" s="197"/>
      <c r="H159" s="178" t="str">
        <f>IF(PA!R158="","",PA!R158)</f>
        <v/>
      </c>
      <c r="I159" s="179" t="str">
        <f>IF(PA!S158="","",PA!S158)</f>
        <v/>
      </c>
      <c r="J159" s="182" t="str">
        <f>IF(PA!Z158="","",PA!Z158)</f>
        <v>Mempunyai kemampuan yang Cukup Menguasai dalam kompetensi KD Pengetahuan-5 dan kompetensi KD Pengetahuan-3</v>
      </c>
      <c r="K159" s="179" t="str">
        <f>IF(PA!AI158="","",PA!AI158)</f>
        <v/>
      </c>
      <c r="L159" s="179" t="str">
        <f>IF(PA!AJ158="","",PA!AJ158)</f>
        <v/>
      </c>
      <c r="M159" s="182" t="str">
        <f>IF(PA!AQ158="","",PA!AQ158)</f>
        <v/>
      </c>
      <c r="N159" s="242"/>
    </row>
    <row r="160" spans="1:14" ht="15" customHeight="1" x14ac:dyDescent="0.3">
      <c r="A160" s="242"/>
      <c r="B160" s="424">
        <f>Data!E154</f>
        <v>30</v>
      </c>
      <c r="C160" s="249" t="str">
        <f>IF(Data!F154="","",Data!F154)</f>
        <v>03732</v>
      </c>
      <c r="D160" s="250" t="str">
        <f>IF(Data!H154="","",Data!H154)</f>
        <v>Syafa Zahrotu Sita Azzahra</v>
      </c>
      <c r="E160" s="249" t="str">
        <f>IF(Data!I154="","",Data!I154)</f>
        <v>Perempuan</v>
      </c>
      <c r="F160" s="249" t="str">
        <f>Data!J154</f>
        <v>VIII-D</v>
      </c>
      <c r="G160" s="197"/>
      <c r="H160" s="178" t="str">
        <f>IF(PA!R159="","",PA!R159)</f>
        <v/>
      </c>
      <c r="I160" s="179" t="str">
        <f>IF(PA!S159="","",PA!S159)</f>
        <v/>
      </c>
      <c r="J160" s="182" t="str">
        <f>IF(PA!Z159="","",PA!Z159)</f>
        <v>Mempunyai kemampuan yang Sangat Baik dalam kompetensi KD Pengetahuan-1 dan memiliki kemampuan yang Cukup menguasai pada kompetensi KD Pengetahuan-2</v>
      </c>
      <c r="K160" s="179" t="str">
        <f>IF(PA!AI159="","",PA!AI159)</f>
        <v/>
      </c>
      <c r="L160" s="179" t="str">
        <f>IF(PA!AJ159="","",PA!AJ159)</f>
        <v/>
      </c>
      <c r="M160" s="182" t="str">
        <f>IF(PA!AQ159="","",PA!AQ159)</f>
        <v/>
      </c>
      <c r="N160" s="242"/>
    </row>
    <row r="161" spans="1:14" ht="15" customHeight="1" x14ac:dyDescent="0.3">
      <c r="A161" s="242"/>
      <c r="B161" s="424">
        <f>Data!E155</f>
        <v>31</v>
      </c>
      <c r="C161" s="249" t="str">
        <f>IF(Data!F155="","",Data!F155)</f>
        <v>03735</v>
      </c>
      <c r="D161" s="250" t="str">
        <f>IF(Data!H155="","",Data!H155)</f>
        <v>Syifaatar Rohmah</v>
      </c>
      <c r="E161" s="249" t="str">
        <f>IF(Data!I155="","",Data!I155)</f>
        <v>Perempuan</v>
      </c>
      <c r="F161" s="249" t="str">
        <f>Data!J155</f>
        <v>VIII-D</v>
      </c>
      <c r="G161" s="197"/>
      <c r="H161" s="178" t="str">
        <f>IF(PA!R160="","",PA!R160)</f>
        <v/>
      </c>
      <c r="I161" s="179" t="str">
        <f>IF(PA!S160="","",PA!S160)</f>
        <v/>
      </c>
      <c r="J161" s="182" t="str">
        <f>IF(PA!Z160="","",PA!Z160)</f>
        <v>Mempunyai kemampuan yang Baik dalam kompetensi KD Pengetahuan-3 dan memiliki kemampuan yang Cukup menguasai pada kompetensi KD Pengetahuan-1</v>
      </c>
      <c r="K161" s="179" t="str">
        <f>IF(PA!AI160="","",PA!AI160)</f>
        <v/>
      </c>
      <c r="L161" s="179" t="str">
        <f>IF(PA!AJ160="","",PA!AJ160)</f>
        <v/>
      </c>
      <c r="M161" s="182" t="str">
        <f>IF(PA!AQ160="","",PA!AQ160)</f>
        <v/>
      </c>
      <c r="N161" s="242"/>
    </row>
    <row r="162" spans="1:14" ht="15" customHeight="1" x14ac:dyDescent="0.3">
      <c r="A162" s="242"/>
      <c r="B162" s="424">
        <f>Data!E156</f>
        <v>32</v>
      </c>
      <c r="C162" s="249" t="str">
        <f>IF(Data!F156="","",Data!F156)</f>
        <v>03744</v>
      </c>
      <c r="D162" s="250" t="str">
        <f>IF(Data!H156="","",Data!H156)</f>
        <v>Zahra Nur Anifa</v>
      </c>
      <c r="E162" s="249" t="str">
        <f>IF(Data!I156="","",Data!I156)</f>
        <v>Perempuan</v>
      </c>
      <c r="F162" s="249" t="str">
        <f>Data!J156</f>
        <v>VIII-D</v>
      </c>
      <c r="G162" s="197"/>
      <c r="H162" s="178" t="str">
        <f>IF(PA!R161="","",PA!R161)</f>
        <v/>
      </c>
      <c r="I162" s="179" t="str">
        <f>IF(PA!S161="","",PA!S161)</f>
        <v/>
      </c>
      <c r="J162" s="182" t="str">
        <f>IF(PA!Z161="","",PA!Z161)</f>
        <v>Mempunyai kemampuan yang Baik dalam kompetensi KD Pengetahuan-4 dan memiliki kemampuan yang Cukup menguasai pada kompetensi KD Pengetahuan-3</v>
      </c>
      <c r="K162" s="179" t="str">
        <f>IF(PA!AI161="","",PA!AI161)</f>
        <v/>
      </c>
      <c r="L162" s="179" t="str">
        <f>IF(PA!AJ161="","",PA!AJ161)</f>
        <v/>
      </c>
      <c r="M162" s="182" t="str">
        <f>IF(PA!AQ161="","",PA!AQ161)</f>
        <v/>
      </c>
      <c r="N162" s="242"/>
    </row>
    <row r="163" spans="1:14" ht="15" customHeight="1" x14ac:dyDescent="0.3">
      <c r="A163" s="242"/>
      <c r="B163" s="424">
        <f>Data!E157</f>
        <v>33</v>
      </c>
      <c r="C163" s="249" t="str">
        <f>IF(Data!F157="","",Data!F157)</f>
        <v>03745</v>
      </c>
      <c r="D163" s="250" t="str">
        <f>IF(Data!H157="","",Data!H157)</f>
        <v>Zahro Aliyatul Khusna</v>
      </c>
      <c r="E163" s="249" t="str">
        <f>IF(Data!I157="","",Data!I157)</f>
        <v>Perempuan</v>
      </c>
      <c r="F163" s="249" t="str">
        <f>Data!J157</f>
        <v>VIII-D</v>
      </c>
      <c r="G163" s="197"/>
      <c r="H163" s="178" t="str">
        <f>IF(PA!R162="","",PA!R162)</f>
        <v/>
      </c>
      <c r="I163" s="179" t="str">
        <f>IF(PA!S162="","",PA!S162)</f>
        <v/>
      </c>
      <c r="J163" s="182" t="str">
        <f>IF(PA!Z162="","",PA!Z162)</f>
        <v>Mempunyai kemampuan yang Baik dalam kompetensi KD Pengetahuan-4 dan memiliki kemampuan yang Cukup menguasai pada kompetensi KD Pengetahuan-3</v>
      </c>
      <c r="K163" s="179" t="str">
        <f>IF(PA!AI162="","",PA!AI162)</f>
        <v/>
      </c>
      <c r="L163" s="179" t="str">
        <f>IF(PA!AJ162="","",PA!AJ162)</f>
        <v/>
      </c>
      <c r="M163" s="182" t="str">
        <f>IF(PA!AQ162="","",PA!AQ162)</f>
        <v/>
      </c>
      <c r="N163" s="242"/>
    </row>
    <row r="164" spans="1:14" ht="15" customHeight="1" x14ac:dyDescent="0.3">
      <c r="A164" s="242"/>
      <c r="B164" s="424">
        <f>Data!E158</f>
        <v>34</v>
      </c>
      <c r="C164" s="249" t="str">
        <f>IF(Data!F158="","",Data!F158)</f>
        <v>03746</v>
      </c>
      <c r="D164" s="250" t="str">
        <f>IF(Data!H158="","",Data!H158)</f>
        <v>Zahrotul Ilmada Chifa</v>
      </c>
      <c r="E164" s="249" t="str">
        <f>IF(Data!I158="","",Data!I158)</f>
        <v>Perempuan</v>
      </c>
      <c r="F164" s="249" t="str">
        <f>Data!J158</f>
        <v>VIII-D</v>
      </c>
      <c r="G164" s="197"/>
      <c r="H164" s="178" t="str">
        <f>IF(PA!R163="","",PA!R163)</f>
        <v/>
      </c>
      <c r="I164" s="179" t="str">
        <f>IF(PA!S163="","",PA!S163)</f>
        <v/>
      </c>
      <c r="J164" s="182" t="str">
        <f>IF(PA!Z163="","",PA!Z163)</f>
        <v>Mempunyai kemampuan yang Sangat Baik dalam kompetensi KD Pengetahuan-1 dan memiliki kemampuan yang Cukup menguasai pada kompetensi KD Pengetahuan-4</v>
      </c>
      <c r="K164" s="179" t="str">
        <f>IF(PA!AI163="","",PA!AI163)</f>
        <v/>
      </c>
      <c r="L164" s="179" t="str">
        <f>IF(PA!AJ163="","",PA!AJ163)</f>
        <v/>
      </c>
      <c r="M164" s="182" t="str">
        <f>IF(PA!AQ163="","",PA!AQ163)</f>
        <v/>
      </c>
      <c r="N164" s="242"/>
    </row>
    <row r="165" spans="1:14" ht="15" customHeight="1" x14ac:dyDescent="0.3">
      <c r="A165" s="242"/>
      <c r="B165" s="424">
        <f>Data!E159</f>
        <v>35</v>
      </c>
      <c r="C165" s="249" t="str">
        <f>IF(Data!F159="","",Data!F159)</f>
        <v>03751</v>
      </c>
      <c r="D165" s="250" t="str">
        <f>IF(Data!H159="","",Data!H159)</f>
        <v>Zivana Raisa Yasmin</v>
      </c>
      <c r="E165" s="249" t="str">
        <f>IF(Data!I159="","",Data!I159)</f>
        <v>Perempuan</v>
      </c>
      <c r="F165" s="249" t="str">
        <f>Data!J159</f>
        <v>VIII-D</v>
      </c>
      <c r="G165" s="197"/>
      <c r="H165" s="178" t="str">
        <f>IF(PA!R164="","",PA!R164)</f>
        <v/>
      </c>
      <c r="I165" s="179" t="str">
        <f>IF(PA!S164="","",PA!S164)</f>
        <v/>
      </c>
      <c r="J165" s="182" t="str">
        <f>IF(PA!Z164="","",PA!Z164)</f>
        <v>Mempunyai kemampuan yang Sangat Baik dalam kompetensi KD Pengetahuan-1 dan memiliki kemampuan yang Cukup menguasai pada kompetensi KD Pengetahuan-5</v>
      </c>
      <c r="K165" s="179" t="str">
        <f>IF(PA!AI164="","",PA!AI164)</f>
        <v/>
      </c>
      <c r="L165" s="179" t="str">
        <f>IF(PA!AJ164="","",PA!AJ164)</f>
        <v/>
      </c>
      <c r="M165" s="182" t="str">
        <f>IF(PA!AQ164="","",PA!AQ164)</f>
        <v/>
      </c>
      <c r="N165" s="242"/>
    </row>
    <row r="166" spans="1:14" ht="15" customHeight="1" x14ac:dyDescent="0.3">
      <c r="A166" s="242"/>
      <c r="B166" s="424">
        <f>Data!E160</f>
        <v>36</v>
      </c>
      <c r="C166" s="249" t="str">
        <f>IF(Data!F160="","",Data!F160)</f>
        <v/>
      </c>
      <c r="D166" s="250" t="str">
        <f>IF(Data!H160="","",Data!H160)</f>
        <v/>
      </c>
      <c r="E166" s="249" t="str">
        <f>IF(Data!I160="","",Data!I160)</f>
        <v/>
      </c>
      <c r="F166" s="249" t="str">
        <f>Data!J160</f>
        <v>VIII-D</v>
      </c>
      <c r="G166" s="197"/>
      <c r="H166" s="178" t="str">
        <f>IF(PA!R165="","",PA!R165)</f>
        <v/>
      </c>
      <c r="I166" s="179" t="str">
        <f>IF(PA!S165="","",PA!S165)</f>
        <v/>
      </c>
      <c r="J166" s="182" t="str">
        <f>IF(PA!Z165="","",PA!Z165)</f>
        <v/>
      </c>
      <c r="K166" s="179" t="str">
        <f>IF(PA!AI165="","",PA!AI165)</f>
        <v/>
      </c>
      <c r="L166" s="179" t="str">
        <f>IF(PA!AJ165="","",PA!AJ165)</f>
        <v/>
      </c>
      <c r="M166" s="182" t="str">
        <f>IF(PA!AQ165="","",PA!AQ165)</f>
        <v/>
      </c>
      <c r="N166" s="242"/>
    </row>
    <row r="167" spans="1:14" ht="15" customHeight="1" x14ac:dyDescent="0.3">
      <c r="A167" s="242"/>
      <c r="B167" s="424">
        <f>Data!E161</f>
        <v>37</v>
      </c>
      <c r="C167" s="249" t="str">
        <f>IF(Data!F161="","",Data!F161)</f>
        <v/>
      </c>
      <c r="D167" s="250" t="str">
        <f>IF(Data!H161="","",Data!H161)</f>
        <v/>
      </c>
      <c r="E167" s="249" t="str">
        <f>IF(Data!I161="","",Data!I161)</f>
        <v/>
      </c>
      <c r="F167" s="249" t="str">
        <f>Data!J161</f>
        <v>VIII-D</v>
      </c>
      <c r="G167" s="197"/>
      <c r="H167" s="178" t="str">
        <f>IF(PA!R166="","",PA!R166)</f>
        <v/>
      </c>
      <c r="I167" s="179" t="str">
        <f>IF(PA!S166="","",PA!S166)</f>
        <v/>
      </c>
      <c r="J167" s="182" t="str">
        <f>IF(PA!Z166="","",PA!Z166)</f>
        <v/>
      </c>
      <c r="K167" s="179" t="str">
        <f>IF(PA!AI166="","",PA!AI166)</f>
        <v/>
      </c>
      <c r="L167" s="179" t="str">
        <f>IF(PA!AJ166="","",PA!AJ166)</f>
        <v/>
      </c>
      <c r="M167" s="182" t="str">
        <f>IF(PA!AQ166="","",PA!AQ166)</f>
        <v/>
      </c>
      <c r="N167" s="242"/>
    </row>
    <row r="168" spans="1:14" ht="15" customHeight="1" x14ac:dyDescent="0.3">
      <c r="A168" s="242"/>
      <c r="B168" s="424">
        <f>Data!E162</f>
        <v>38</v>
      </c>
      <c r="C168" s="249" t="str">
        <f>IF(Data!F162="","",Data!F162)</f>
        <v/>
      </c>
      <c r="D168" s="250" t="str">
        <f>IF(Data!H162="","",Data!H162)</f>
        <v/>
      </c>
      <c r="E168" s="249" t="str">
        <f>IF(Data!I162="","",Data!I162)</f>
        <v/>
      </c>
      <c r="F168" s="249" t="str">
        <f>Data!J162</f>
        <v>VIII-D</v>
      </c>
      <c r="G168" s="197"/>
      <c r="H168" s="178" t="str">
        <f>IF(PA!R167="","",PA!R167)</f>
        <v/>
      </c>
      <c r="I168" s="179" t="str">
        <f>IF(PA!S167="","",PA!S167)</f>
        <v/>
      </c>
      <c r="J168" s="182" t="str">
        <f>IF(PA!Z167="","",PA!Z167)</f>
        <v/>
      </c>
      <c r="K168" s="179" t="str">
        <f>IF(PA!AI167="","",PA!AI167)</f>
        <v/>
      </c>
      <c r="L168" s="179" t="str">
        <f>IF(PA!AJ167="","",PA!AJ167)</f>
        <v/>
      </c>
      <c r="M168" s="182" t="str">
        <f>IF(PA!AQ167="","",PA!AQ167)</f>
        <v/>
      </c>
      <c r="N168" s="242"/>
    </row>
    <row r="169" spans="1:14" ht="15" customHeight="1" x14ac:dyDescent="0.3">
      <c r="A169" s="242"/>
      <c r="B169" s="424">
        <f>Data!E163</f>
        <v>39</v>
      </c>
      <c r="C169" s="249" t="str">
        <f>IF(Data!F163="","",Data!F163)</f>
        <v/>
      </c>
      <c r="D169" s="250" t="str">
        <f>IF(Data!H163="","",Data!H163)</f>
        <v/>
      </c>
      <c r="E169" s="249" t="str">
        <f>IF(Data!I163="","",Data!I163)</f>
        <v/>
      </c>
      <c r="F169" s="249" t="str">
        <f>Data!J163</f>
        <v>VIII-D</v>
      </c>
      <c r="G169" s="197"/>
      <c r="H169" s="178" t="str">
        <f>IF(PA!R168="","",PA!R168)</f>
        <v/>
      </c>
      <c r="I169" s="179" t="str">
        <f>IF(PA!S168="","",PA!S168)</f>
        <v/>
      </c>
      <c r="J169" s="182" t="str">
        <f>IF(PA!Z168="","",PA!Z168)</f>
        <v/>
      </c>
      <c r="K169" s="179" t="str">
        <f>IF(PA!AI168="","",PA!AI168)</f>
        <v/>
      </c>
      <c r="L169" s="179" t="str">
        <f>IF(PA!AJ168="","",PA!AJ168)</f>
        <v/>
      </c>
      <c r="M169" s="182" t="str">
        <f>IF(PA!AQ168="","",PA!AQ168)</f>
        <v/>
      </c>
      <c r="N169" s="242"/>
    </row>
    <row r="170" spans="1:14" ht="15" customHeight="1" thickBot="1" x14ac:dyDescent="0.35">
      <c r="A170" s="242"/>
      <c r="B170" s="429">
        <f>Data!E164</f>
        <v>40</v>
      </c>
      <c r="C170" s="430" t="str">
        <f>IF(Data!F164="","",Data!F164)</f>
        <v/>
      </c>
      <c r="D170" s="431" t="str">
        <f>IF(Data!H164="","",Data!H164)</f>
        <v/>
      </c>
      <c r="E170" s="430" t="str">
        <f>IF(Data!I164="","",Data!I164)</f>
        <v/>
      </c>
      <c r="F170" s="430" t="str">
        <f>Data!J164</f>
        <v>VIII-D</v>
      </c>
      <c r="G170" s="432"/>
      <c r="H170" s="433" t="str">
        <f>IF(PA!R169="","",PA!R169)</f>
        <v/>
      </c>
      <c r="I170" s="434" t="str">
        <f>IF(PA!S169="","",PA!S169)</f>
        <v/>
      </c>
      <c r="J170" s="435" t="str">
        <f>IF(PA!Z169="","",PA!Z169)</f>
        <v/>
      </c>
      <c r="K170" s="434" t="str">
        <f>IF(PA!AI169="","",PA!AI169)</f>
        <v/>
      </c>
      <c r="L170" s="434" t="str">
        <f>IF(PA!AJ169="","",PA!AJ169)</f>
        <v/>
      </c>
      <c r="M170" s="435" t="str">
        <f>IF(PA!AQ169="","",PA!AQ169)</f>
        <v/>
      </c>
      <c r="N170" s="242"/>
    </row>
    <row r="171" spans="1:14" ht="15" customHeight="1" thickTop="1" x14ac:dyDescent="0.3">
      <c r="A171" s="242"/>
      <c r="B171" s="426">
        <f>Data!E165</f>
        <v>1</v>
      </c>
      <c r="C171" s="427" t="str">
        <f>IF(Data!F165="","",Data!F165)</f>
        <v>03629</v>
      </c>
      <c r="D171" s="428" t="str">
        <f>IF(Data!H165="","",Data!H165)</f>
        <v>Afika Putri Aprilia Anjani</v>
      </c>
      <c r="E171" s="427" t="str">
        <f>IF(Data!I165="","",Data!I165)</f>
        <v>Perempuan</v>
      </c>
      <c r="F171" s="427" t="str">
        <f>Data!J165</f>
        <v>VIII-E</v>
      </c>
      <c r="G171" s="197"/>
      <c r="H171" s="180" t="str">
        <f>IF(PA!R170="","",PA!R170)</f>
        <v/>
      </c>
      <c r="I171" s="181" t="str">
        <f>IF(PA!S170="","",PA!S170)</f>
        <v/>
      </c>
      <c r="J171" s="187" t="str">
        <f>IF(PA!Z170="","",PA!Z170)</f>
        <v>Mempunyai kemampuan yang Sangat Baik dalam kompetensi KD Pengetahuan-2 dan memiliki kemampuan yang Cukup menguasai pada kompetensi KD Pengetahuan-5</v>
      </c>
      <c r="K171" s="181" t="str">
        <f>IF(PA!AI170="","",PA!AI170)</f>
        <v/>
      </c>
      <c r="L171" s="181" t="str">
        <f>IF(PA!AJ170="","",PA!AJ170)</f>
        <v/>
      </c>
      <c r="M171" s="187" t="str">
        <f>IF(PA!AQ170="","",PA!AQ170)</f>
        <v/>
      </c>
      <c r="N171" s="242"/>
    </row>
    <row r="172" spans="1:14" ht="15" customHeight="1" x14ac:dyDescent="0.3">
      <c r="A172" s="242"/>
      <c r="B172" s="424">
        <f>Data!E166</f>
        <v>2</v>
      </c>
      <c r="C172" s="249" t="str">
        <f>IF(Data!F166="","",Data!F166)</f>
        <v>03633</v>
      </c>
      <c r="D172" s="250" t="str">
        <f>IF(Data!H166="","",Data!H166)</f>
        <v>Anindya Naura Ashnafil Tazkiyah</v>
      </c>
      <c r="E172" s="249" t="str">
        <f>IF(Data!I166="","",Data!I166)</f>
        <v>Perempuan</v>
      </c>
      <c r="F172" s="249" t="str">
        <f>Data!J166</f>
        <v>VIII-E</v>
      </c>
      <c r="G172" s="197"/>
      <c r="H172" s="178" t="str">
        <f>IF(PA!R171="","",PA!R171)</f>
        <v/>
      </c>
      <c r="I172" s="179" t="str">
        <f>IF(PA!S171="","",PA!S171)</f>
        <v/>
      </c>
      <c r="J172" s="182" t="str">
        <f>IF(PA!Z171="","",PA!Z171)</f>
        <v>Mempunyai kemampuan yang Cukup Menguasai dalam kompetensi KD Pengetahuan-5 dan kompetensi KD Pengetahuan-2</v>
      </c>
      <c r="K172" s="179" t="str">
        <f>IF(PA!AI171="","",PA!AI171)</f>
        <v/>
      </c>
      <c r="L172" s="179" t="str">
        <f>IF(PA!AJ171="","",PA!AJ171)</f>
        <v/>
      </c>
      <c r="M172" s="182" t="str">
        <f>IF(PA!AQ171="","",PA!AQ171)</f>
        <v/>
      </c>
      <c r="N172" s="242"/>
    </row>
    <row r="173" spans="1:14" ht="15" customHeight="1" x14ac:dyDescent="0.3">
      <c r="A173" s="242"/>
      <c r="B173" s="424">
        <f>Data!E167</f>
        <v>3</v>
      </c>
      <c r="C173" s="249" t="str">
        <f>IF(Data!F167="","",Data!F167)</f>
        <v>03635</v>
      </c>
      <c r="D173" s="250" t="str">
        <f>IF(Data!H167="","",Data!H167)</f>
        <v>Aprilia Zaskya Putri Inara</v>
      </c>
      <c r="E173" s="249" t="str">
        <f>IF(Data!I167="","",Data!I167)</f>
        <v>Perempuan</v>
      </c>
      <c r="F173" s="249" t="str">
        <f>Data!J167</f>
        <v>VIII-E</v>
      </c>
      <c r="G173" s="197"/>
      <c r="H173" s="178" t="str">
        <f>IF(PA!R172="","",PA!R172)</f>
        <v/>
      </c>
      <c r="I173" s="179" t="str">
        <f>IF(PA!S172="","",PA!S172)</f>
        <v/>
      </c>
      <c r="J173" s="182" t="str">
        <f>IF(PA!Z172="","",PA!Z172)</f>
        <v>Mempunyai kemampuan yang Cukup Menguasai dalam kompetensi KD Pengetahuan-5 dan kompetensi KD Pengetahuan-2</v>
      </c>
      <c r="K173" s="179" t="str">
        <f>IF(PA!AI172="","",PA!AI172)</f>
        <v/>
      </c>
      <c r="L173" s="179" t="str">
        <f>IF(PA!AJ172="","",PA!AJ172)</f>
        <v/>
      </c>
      <c r="M173" s="182" t="str">
        <f>IF(PA!AQ172="","",PA!AQ172)</f>
        <v/>
      </c>
      <c r="N173" s="242"/>
    </row>
    <row r="174" spans="1:14" ht="15" customHeight="1" x14ac:dyDescent="0.3">
      <c r="A174" s="242"/>
      <c r="B174" s="424">
        <f>Data!E168</f>
        <v>4</v>
      </c>
      <c r="C174" s="249" t="str">
        <f>IF(Data!F168="","",Data!F168)</f>
        <v>03636</v>
      </c>
      <c r="D174" s="250" t="str">
        <f>IF(Data!H168="","",Data!H168)</f>
        <v>Aqila Syauqina Hidayati</v>
      </c>
      <c r="E174" s="249" t="str">
        <f>IF(Data!I168="","",Data!I168)</f>
        <v>Perempuan</v>
      </c>
      <c r="F174" s="249" t="str">
        <f>Data!J168</f>
        <v>VIII-E</v>
      </c>
      <c r="G174" s="197"/>
      <c r="H174" s="178" t="str">
        <f>IF(PA!R173="","",PA!R173)</f>
        <v/>
      </c>
      <c r="I174" s="179" t="str">
        <f>IF(PA!S173="","",PA!S173)</f>
        <v/>
      </c>
      <c r="J174" s="182" t="str">
        <f>IF(PA!Z173="","",PA!Z173)</f>
        <v>Mempunyai kemampuan yang Sangat Baik dalam kompetensi KD Pengetahuan-2 dan memiliki kemampuan yang Cukup menguasai pada kompetensi KD Pengetahuan-6</v>
      </c>
      <c r="K174" s="179" t="str">
        <f>IF(PA!AI173="","",PA!AI173)</f>
        <v/>
      </c>
      <c r="L174" s="179" t="str">
        <f>IF(PA!AJ173="","",PA!AJ173)</f>
        <v/>
      </c>
      <c r="M174" s="182" t="str">
        <f>IF(PA!AQ173="","",PA!AQ173)</f>
        <v/>
      </c>
      <c r="N174" s="242"/>
    </row>
    <row r="175" spans="1:14" ht="15" customHeight="1" x14ac:dyDescent="0.3">
      <c r="A175" s="242"/>
      <c r="B175" s="424">
        <f>Data!E169</f>
        <v>5</v>
      </c>
      <c r="C175" s="249" t="str">
        <f>IF(Data!F169="","",Data!F169)</f>
        <v>03641</v>
      </c>
      <c r="D175" s="250" t="str">
        <f>IF(Data!H169="","",Data!H169)</f>
        <v>Atma Listya Atho'illah</v>
      </c>
      <c r="E175" s="249" t="str">
        <f>IF(Data!I169="","",Data!I169)</f>
        <v>Perempuan</v>
      </c>
      <c r="F175" s="249" t="str">
        <f>Data!J169</f>
        <v>VIII-E</v>
      </c>
      <c r="G175" s="197"/>
      <c r="H175" s="178" t="str">
        <f>IF(PA!R174="","",PA!R174)</f>
        <v/>
      </c>
      <c r="I175" s="179" t="str">
        <f>IF(PA!S174="","",PA!S174)</f>
        <v/>
      </c>
      <c r="J175" s="182" t="str">
        <f>IF(PA!Z174="","",PA!Z174)</f>
        <v>Mempunyai kemampuan yang Cukup Menguasai dalam kompetensi KD Pengetahuan-3 dan kompetensi KD Pengetahuan-6</v>
      </c>
      <c r="K175" s="179" t="str">
        <f>IF(PA!AI174="","",PA!AI174)</f>
        <v/>
      </c>
      <c r="L175" s="179" t="str">
        <f>IF(PA!AJ174="","",PA!AJ174)</f>
        <v/>
      </c>
      <c r="M175" s="182" t="str">
        <f>IF(PA!AQ174="","",PA!AQ174)</f>
        <v/>
      </c>
      <c r="N175" s="242"/>
    </row>
    <row r="176" spans="1:14" ht="15" customHeight="1" x14ac:dyDescent="0.3">
      <c r="A176" s="242"/>
      <c r="B176" s="424">
        <f>Data!E170</f>
        <v>6</v>
      </c>
      <c r="C176" s="249" t="str">
        <f>IF(Data!F170="","",Data!F170)</f>
        <v>03642</v>
      </c>
      <c r="D176" s="250" t="str">
        <f>IF(Data!H170="","",Data!H170)</f>
        <v>Aulia Az-Zahra Ramadhani</v>
      </c>
      <c r="E176" s="249" t="str">
        <f>IF(Data!I170="","",Data!I170)</f>
        <v>Perempuan</v>
      </c>
      <c r="F176" s="249" t="str">
        <f>Data!J170</f>
        <v>VIII-E</v>
      </c>
      <c r="G176" s="197"/>
      <c r="H176" s="178" t="str">
        <f>IF(PA!R175="","",PA!R175)</f>
        <v/>
      </c>
      <c r="I176" s="179" t="str">
        <f>IF(PA!S175="","",PA!S175)</f>
        <v/>
      </c>
      <c r="J176" s="182" t="str">
        <f>IF(PA!Z175="","",PA!Z175)</f>
        <v>Mempunyai kemampuan yang Baik dalam kompetensi KD Pengetahuan-2 dan memiliki kemampuan yang Cukup menguasai pada kompetensi KD Pengetahuan-6</v>
      </c>
      <c r="K176" s="179" t="str">
        <f>IF(PA!AI175="","",PA!AI175)</f>
        <v/>
      </c>
      <c r="L176" s="179" t="str">
        <f>IF(PA!AJ175="","",PA!AJ175)</f>
        <v/>
      </c>
      <c r="M176" s="182" t="str">
        <f>IF(PA!AQ175="","",PA!AQ175)</f>
        <v/>
      </c>
      <c r="N176" s="242"/>
    </row>
    <row r="177" spans="1:14" ht="15" customHeight="1" x14ac:dyDescent="0.3">
      <c r="A177" s="242"/>
      <c r="B177" s="424">
        <f>Data!E171</f>
        <v>7</v>
      </c>
      <c r="C177" s="249" t="str">
        <f>IF(Data!F171="","",Data!F171)</f>
        <v>03656</v>
      </c>
      <c r="D177" s="250" t="str">
        <f>IF(Data!H171="","",Data!H171)</f>
        <v>Deva Renata Diyantika Putri</v>
      </c>
      <c r="E177" s="249" t="str">
        <f>IF(Data!I171="","",Data!I171)</f>
        <v>Perempuan</v>
      </c>
      <c r="F177" s="249" t="str">
        <f>Data!J171</f>
        <v>VIII-E</v>
      </c>
      <c r="G177" s="197"/>
      <c r="H177" s="178" t="str">
        <f>IF(PA!R176="","",PA!R176)</f>
        <v/>
      </c>
      <c r="I177" s="179" t="str">
        <f>IF(PA!S176="","",PA!S176)</f>
        <v/>
      </c>
      <c r="J177" s="182" t="str">
        <f>IF(PA!Z176="","",PA!Z176)</f>
        <v>Mempunyai kemampuan yang Cukup Menguasai dalam kompetensi KD Pengetahuan-4 dan kompetensi KD Pengetahuan-2</v>
      </c>
      <c r="K177" s="179" t="str">
        <f>IF(PA!AI176="","",PA!AI176)</f>
        <v/>
      </c>
      <c r="L177" s="179" t="str">
        <f>IF(PA!AJ176="","",PA!AJ176)</f>
        <v/>
      </c>
      <c r="M177" s="182" t="str">
        <f>IF(PA!AQ176="","",PA!AQ176)</f>
        <v/>
      </c>
      <c r="N177" s="242"/>
    </row>
    <row r="178" spans="1:14" ht="15" customHeight="1" x14ac:dyDescent="0.3">
      <c r="A178" s="242"/>
      <c r="B178" s="424">
        <f>Data!E172</f>
        <v>8</v>
      </c>
      <c r="C178" s="249" t="str">
        <f>IF(Data!F172="","",Data!F172)</f>
        <v>03657</v>
      </c>
      <c r="D178" s="250" t="str">
        <f>IF(Data!H172="","",Data!H172)</f>
        <v>Devira Widariani Putri</v>
      </c>
      <c r="E178" s="249" t="str">
        <f>IF(Data!I172="","",Data!I172)</f>
        <v>Perempuan</v>
      </c>
      <c r="F178" s="249" t="str">
        <f>Data!J172</f>
        <v>VIII-E</v>
      </c>
      <c r="G178" s="197"/>
      <c r="H178" s="178" t="str">
        <f>IF(PA!R177="","",PA!R177)</f>
        <v/>
      </c>
      <c r="I178" s="179" t="str">
        <f>IF(PA!S177="","",PA!S177)</f>
        <v/>
      </c>
      <c r="J178" s="182" t="str">
        <f>IF(PA!Z177="","",PA!Z177)</f>
        <v>Mempunyai kemampuan yang Baik dalam kompetensi KD Pengetahuan-2 dan memiliki kemampuan yang Cukup menguasai pada kompetensi KD Pengetahuan-5</v>
      </c>
      <c r="K178" s="179" t="str">
        <f>IF(PA!AI177="","",PA!AI177)</f>
        <v/>
      </c>
      <c r="L178" s="179" t="str">
        <f>IF(PA!AJ177="","",PA!AJ177)</f>
        <v/>
      </c>
      <c r="M178" s="182" t="str">
        <f>IF(PA!AQ177="","",PA!AQ177)</f>
        <v/>
      </c>
      <c r="N178" s="242"/>
    </row>
    <row r="179" spans="1:14" ht="15" customHeight="1" x14ac:dyDescent="0.3">
      <c r="A179" s="242"/>
      <c r="B179" s="424">
        <f>Data!E173</f>
        <v>9</v>
      </c>
      <c r="C179" s="249" t="str">
        <f>IF(Data!F173="","",Data!F173)</f>
        <v>03659</v>
      </c>
      <c r="D179" s="250" t="str">
        <f>IF(Data!H173="","",Data!H173)</f>
        <v>Dhenova Hafiza Khaira Lubna</v>
      </c>
      <c r="E179" s="249" t="str">
        <f>IF(Data!I173="","",Data!I173)</f>
        <v>Perempuan</v>
      </c>
      <c r="F179" s="249" t="str">
        <f>Data!J173</f>
        <v>VIII-E</v>
      </c>
      <c r="G179" s="197"/>
      <c r="H179" s="178" t="str">
        <f>IF(PA!R178="","",PA!R178)</f>
        <v/>
      </c>
      <c r="I179" s="179" t="str">
        <f>IF(PA!S178="","",PA!S178)</f>
        <v/>
      </c>
      <c r="J179" s="182" t="str">
        <f>IF(PA!Z178="","",PA!Z178)</f>
        <v>Mempunyai kemampuan yang Baik dalam kompetensi KD Pengetahuan-4 dan memiliki kemampuan yang Cukup menguasai pada kompetensi KD Pengetahuan-6</v>
      </c>
      <c r="K179" s="179" t="str">
        <f>IF(PA!AI178="","",PA!AI178)</f>
        <v/>
      </c>
      <c r="L179" s="179" t="str">
        <f>IF(PA!AJ178="","",PA!AJ178)</f>
        <v/>
      </c>
      <c r="M179" s="182" t="str">
        <f>IF(PA!AQ178="","",PA!AQ178)</f>
        <v/>
      </c>
      <c r="N179" s="242"/>
    </row>
    <row r="180" spans="1:14" ht="15" customHeight="1" x14ac:dyDescent="0.3">
      <c r="A180" s="242"/>
      <c r="B180" s="424">
        <f>Data!E174</f>
        <v>10</v>
      </c>
      <c r="C180" s="249" t="str">
        <f>IF(Data!F174="","",Data!F174)</f>
        <v>03660</v>
      </c>
      <c r="D180" s="250" t="str">
        <f>IF(Data!H174="","",Data!H174)</f>
        <v>Diah Putri Dwi Lestari</v>
      </c>
      <c r="E180" s="249" t="str">
        <f>IF(Data!I174="","",Data!I174)</f>
        <v>Perempuan</v>
      </c>
      <c r="F180" s="249" t="str">
        <f>Data!J174</f>
        <v>VIII-E</v>
      </c>
      <c r="G180" s="197"/>
      <c r="H180" s="178" t="str">
        <f>IF(PA!R179="","",PA!R179)</f>
        <v/>
      </c>
      <c r="I180" s="179" t="str">
        <f>IF(PA!S179="","",PA!S179)</f>
        <v/>
      </c>
      <c r="J180" s="182" t="str">
        <f>IF(PA!Z179="","",PA!Z179)</f>
        <v>Mempunyai kemampuan yang Baik dalam kompetensi KD Pengetahuan-2 dan memiliki kemampuan yang Cukup menguasai pada kompetensi KD Pengetahuan-6</v>
      </c>
      <c r="K180" s="179" t="str">
        <f>IF(PA!AI179="","",PA!AI179)</f>
        <v/>
      </c>
      <c r="L180" s="179" t="str">
        <f>IF(PA!AJ179="","",PA!AJ179)</f>
        <v/>
      </c>
      <c r="M180" s="182" t="str">
        <f>IF(PA!AQ179="","",PA!AQ179)</f>
        <v/>
      </c>
      <c r="N180" s="242"/>
    </row>
    <row r="181" spans="1:14" ht="15" customHeight="1" x14ac:dyDescent="0.3">
      <c r="A181" s="242"/>
      <c r="B181" s="424">
        <f>Data!E175</f>
        <v>11</v>
      </c>
      <c r="C181" s="249" t="str">
        <f>IF(Data!F175="","",Data!F175)</f>
        <v>03666</v>
      </c>
      <c r="D181" s="250" t="str">
        <f>IF(Data!H175="","",Data!H175)</f>
        <v>Ernita Izzatunnisa Musdalifa</v>
      </c>
      <c r="E181" s="249" t="str">
        <f>IF(Data!I175="","",Data!I175)</f>
        <v>Perempuan</v>
      </c>
      <c r="F181" s="249" t="str">
        <f>Data!J175</f>
        <v>VIII-E</v>
      </c>
      <c r="G181" s="197"/>
      <c r="H181" s="178" t="str">
        <f>IF(PA!R180="","",PA!R180)</f>
        <v/>
      </c>
      <c r="I181" s="179" t="str">
        <f>IF(PA!S180="","",PA!S180)</f>
        <v/>
      </c>
      <c r="J181" s="182" t="str">
        <f>IF(PA!Z180="","",PA!Z180)</f>
        <v>Mempunyai kemampuan yang Baik dalam kompetensi KD Pengetahuan-2 dan memiliki kemampuan yang Cukup menguasai pada kompetensi KD Pengetahuan-6</v>
      </c>
      <c r="K181" s="179" t="str">
        <f>IF(PA!AI180="","",PA!AI180)</f>
        <v/>
      </c>
      <c r="L181" s="179" t="str">
        <f>IF(PA!AJ180="","",PA!AJ180)</f>
        <v/>
      </c>
      <c r="M181" s="182" t="str">
        <f>IF(PA!AQ180="","",PA!AQ180)</f>
        <v/>
      </c>
      <c r="N181" s="242"/>
    </row>
    <row r="182" spans="1:14" ht="15" customHeight="1" x14ac:dyDescent="0.3">
      <c r="A182" s="242"/>
      <c r="B182" s="424">
        <f>Data!E176</f>
        <v>12</v>
      </c>
      <c r="C182" s="249" t="str">
        <f>IF(Data!F176="","",Data!F176)</f>
        <v>03667</v>
      </c>
      <c r="D182" s="250" t="str">
        <f>IF(Data!H176="","",Data!H176)</f>
        <v>Erza Naila</v>
      </c>
      <c r="E182" s="249" t="str">
        <f>IF(Data!I176="","",Data!I176)</f>
        <v>Perempuan</v>
      </c>
      <c r="F182" s="249" t="str">
        <f>Data!J176</f>
        <v>VIII-E</v>
      </c>
      <c r="G182" s="197"/>
      <c r="H182" s="178" t="str">
        <f>IF(PA!R181="","",PA!R181)</f>
        <v/>
      </c>
      <c r="I182" s="179" t="str">
        <f>IF(PA!S181="","",PA!S181)</f>
        <v/>
      </c>
      <c r="J182" s="182" t="str">
        <f>IF(PA!Z181="","",PA!Z181)</f>
        <v>Mempunyai kemampuan yang Sangat Baik dalam kompetensi KD Pengetahuan-2 dan memiliki kemampuan yang Cukup menguasai pada kompetensi KD Pengetahuan-6</v>
      </c>
      <c r="K182" s="179" t="str">
        <f>IF(PA!AI181="","",PA!AI181)</f>
        <v/>
      </c>
      <c r="L182" s="179" t="str">
        <f>IF(PA!AJ181="","",PA!AJ181)</f>
        <v/>
      </c>
      <c r="M182" s="182" t="str">
        <f>IF(PA!AQ181="","",PA!AQ181)</f>
        <v/>
      </c>
      <c r="N182" s="242"/>
    </row>
    <row r="183" spans="1:14" ht="15" customHeight="1" x14ac:dyDescent="0.3">
      <c r="A183" s="242"/>
      <c r="B183" s="424">
        <f>Data!E177</f>
        <v>13</v>
      </c>
      <c r="C183" s="249" t="str">
        <f>IF(Data!F177="","",Data!F177)</f>
        <v>03668</v>
      </c>
      <c r="D183" s="250" t="str">
        <f>IF(Data!H177="","",Data!H177)</f>
        <v>Faridatul Maulida</v>
      </c>
      <c r="E183" s="249" t="str">
        <f>IF(Data!I177="","",Data!I177)</f>
        <v>Perempuan</v>
      </c>
      <c r="F183" s="249" t="str">
        <f>Data!J177</f>
        <v>VIII-E</v>
      </c>
      <c r="G183" s="197"/>
      <c r="H183" s="178" t="str">
        <f>IF(PA!R182="","",PA!R182)</f>
        <v/>
      </c>
      <c r="I183" s="179" t="str">
        <f>IF(PA!S182="","",PA!S182)</f>
        <v/>
      </c>
      <c r="J183" s="182" t="str">
        <f>IF(PA!Z182="","",PA!Z182)</f>
        <v>Mempunyai kemampuan yang Cukup Menguasai dalam kompetensi KD Pengetahuan-4 dan kompetensi KD Pengetahuan-2</v>
      </c>
      <c r="K183" s="179" t="str">
        <f>IF(PA!AI182="","",PA!AI182)</f>
        <v/>
      </c>
      <c r="L183" s="179" t="str">
        <f>IF(PA!AJ182="","",PA!AJ182)</f>
        <v/>
      </c>
      <c r="M183" s="182" t="str">
        <f>IF(PA!AQ182="","",PA!AQ182)</f>
        <v/>
      </c>
      <c r="N183" s="242"/>
    </row>
    <row r="184" spans="1:14" ht="15" customHeight="1" x14ac:dyDescent="0.3">
      <c r="A184" s="242"/>
      <c r="B184" s="424">
        <f>Data!E178</f>
        <v>14</v>
      </c>
      <c r="C184" s="249" t="str">
        <f>IF(Data!F178="","",Data!F178)</f>
        <v>03671</v>
      </c>
      <c r="D184" s="250" t="str">
        <f>IF(Data!H178="","",Data!H178)</f>
        <v>Hafiza Azmil Khoiriya</v>
      </c>
      <c r="E184" s="249" t="str">
        <f>IF(Data!I178="","",Data!I178)</f>
        <v>Perempuan</v>
      </c>
      <c r="F184" s="249" t="str">
        <f>Data!J178</f>
        <v>VIII-E</v>
      </c>
      <c r="G184" s="197"/>
      <c r="H184" s="178" t="str">
        <f>IF(PA!R183="","",PA!R183)</f>
        <v/>
      </c>
      <c r="I184" s="179" t="str">
        <f>IF(PA!S183="","",PA!S183)</f>
        <v/>
      </c>
      <c r="J184" s="182" t="str">
        <f>IF(PA!Z183="","",PA!Z183)</f>
        <v>Mempunyai kemampuan yang Sangat Baik dalam kompetensi KD Pengetahuan-2 dan memiliki kemampuan yang Cukup menguasai pada kompetensi KD Pengetahuan-5</v>
      </c>
      <c r="K184" s="179" t="str">
        <f>IF(PA!AI183="","",PA!AI183)</f>
        <v/>
      </c>
      <c r="L184" s="179" t="str">
        <f>IF(PA!AJ183="","",PA!AJ183)</f>
        <v/>
      </c>
      <c r="M184" s="182" t="str">
        <f>IF(PA!AQ183="","",PA!AQ183)</f>
        <v/>
      </c>
      <c r="N184" s="242"/>
    </row>
    <row r="185" spans="1:14" ht="15" customHeight="1" x14ac:dyDescent="0.3">
      <c r="A185" s="242"/>
      <c r="B185" s="424">
        <f>Data!E179</f>
        <v>15</v>
      </c>
      <c r="C185" s="249" t="str">
        <f>IF(Data!F179="","",Data!F179)</f>
        <v>03672</v>
      </c>
      <c r="D185" s="250" t="str">
        <f>IF(Data!H179="","",Data!H179)</f>
        <v>Hamidatun Nafisa</v>
      </c>
      <c r="E185" s="249" t="str">
        <f>IF(Data!I179="","",Data!I179)</f>
        <v>Perempuan</v>
      </c>
      <c r="F185" s="249" t="str">
        <f>Data!J179</f>
        <v>VIII-E</v>
      </c>
      <c r="G185" s="197"/>
      <c r="H185" s="178" t="str">
        <f>IF(PA!R184="","",PA!R184)</f>
        <v/>
      </c>
      <c r="I185" s="179" t="str">
        <f>IF(PA!S184="","",PA!S184)</f>
        <v/>
      </c>
      <c r="J185" s="182" t="str">
        <f>IF(PA!Z184="","",PA!Z184)</f>
        <v>Mempunyai kemampuan yang Baik dalam kompetensi KD Pengetahuan-2 dan memiliki kemampuan yang Cukup menguasai pada kompetensi KD Pengetahuan-6</v>
      </c>
      <c r="K185" s="179" t="str">
        <f>IF(PA!AI184="","",PA!AI184)</f>
        <v/>
      </c>
      <c r="L185" s="179" t="str">
        <f>IF(PA!AJ184="","",PA!AJ184)</f>
        <v/>
      </c>
      <c r="M185" s="182" t="str">
        <f>IF(PA!AQ184="","",PA!AQ184)</f>
        <v/>
      </c>
      <c r="N185" s="242"/>
    </row>
    <row r="186" spans="1:14" ht="15" customHeight="1" x14ac:dyDescent="0.3">
      <c r="A186" s="242"/>
      <c r="B186" s="424">
        <f>Data!E180</f>
        <v>16</v>
      </c>
      <c r="C186" s="249" t="str">
        <f>IF(Data!F180="","",Data!F180)</f>
        <v>03675</v>
      </c>
      <c r="D186" s="250" t="str">
        <f>IF(Data!H180="","",Data!H180)</f>
        <v>Ilma Khoirotun Ni'mah</v>
      </c>
      <c r="E186" s="249" t="str">
        <f>IF(Data!I180="","",Data!I180)</f>
        <v>Perempuan</v>
      </c>
      <c r="F186" s="249" t="str">
        <f>Data!J180</f>
        <v>VIII-E</v>
      </c>
      <c r="G186" s="197"/>
      <c r="H186" s="178" t="str">
        <f>IF(PA!R185="","",PA!R185)</f>
        <v/>
      </c>
      <c r="I186" s="179" t="str">
        <f>IF(PA!S185="","",PA!S185)</f>
        <v/>
      </c>
      <c r="J186" s="182" t="str">
        <f>IF(PA!Z185="","",PA!Z185)</f>
        <v>Mempunyai kemampuan yang Baik dalam kompetensi KD Pengetahuan-2 dan memiliki kemampuan yang Cukup menguasai pada kompetensi KD Pengetahuan-6</v>
      </c>
      <c r="K186" s="179" t="str">
        <f>IF(PA!AI185="","",PA!AI185)</f>
        <v/>
      </c>
      <c r="L186" s="179" t="str">
        <f>IF(PA!AJ185="","",PA!AJ185)</f>
        <v/>
      </c>
      <c r="M186" s="182" t="str">
        <f>IF(PA!AQ185="","",PA!AQ185)</f>
        <v/>
      </c>
      <c r="N186" s="242"/>
    </row>
    <row r="187" spans="1:14" ht="15" customHeight="1" x14ac:dyDescent="0.3">
      <c r="A187" s="242"/>
      <c r="B187" s="424">
        <f>Data!E181</f>
        <v>17</v>
      </c>
      <c r="C187" s="249" t="str">
        <f>IF(Data!F181="","",Data!F181)</f>
        <v>03681</v>
      </c>
      <c r="D187" s="250" t="str">
        <f>IF(Data!H181="","",Data!H181)</f>
        <v>Kartika Ayu Nur Wahid</v>
      </c>
      <c r="E187" s="249" t="str">
        <f>IF(Data!I181="","",Data!I181)</f>
        <v>Perempuan</v>
      </c>
      <c r="F187" s="249" t="str">
        <f>Data!J181</f>
        <v>VIII-E</v>
      </c>
      <c r="G187" s="197"/>
      <c r="H187" s="178" t="str">
        <f>IF(PA!R186="","",PA!R186)</f>
        <v/>
      </c>
      <c r="I187" s="179" t="str">
        <f>IF(PA!S186="","",PA!S186)</f>
        <v/>
      </c>
      <c r="J187" s="182" t="str">
        <f>IF(PA!Z186="","",PA!Z186)</f>
        <v>Mempunyai kemampuan yang Sangat Baik dalam kompetensi KD Pengetahuan-2 dan memiliki kemampuan yang Cukup menguasai pada kompetensi KD Pengetahuan-6</v>
      </c>
      <c r="K187" s="179" t="str">
        <f>IF(PA!AI186="","",PA!AI186)</f>
        <v/>
      </c>
      <c r="L187" s="179" t="str">
        <f>IF(PA!AJ186="","",PA!AJ186)</f>
        <v/>
      </c>
      <c r="M187" s="182" t="str">
        <f>IF(PA!AQ186="","",PA!AQ186)</f>
        <v/>
      </c>
      <c r="N187" s="242"/>
    </row>
    <row r="188" spans="1:14" ht="15" customHeight="1" x14ac:dyDescent="0.3">
      <c r="A188" s="242"/>
      <c r="B188" s="424">
        <f>Data!E182</f>
        <v>18</v>
      </c>
      <c r="C188" s="249" t="str">
        <f>IF(Data!F182="","",Data!F182)</f>
        <v>03683</v>
      </c>
      <c r="D188" s="250" t="str">
        <f>IF(Data!H182="","",Data!H182)</f>
        <v>Khaira Nadzifatuz Zahra</v>
      </c>
      <c r="E188" s="249" t="str">
        <f>IF(Data!I182="","",Data!I182)</f>
        <v>Perempuan</v>
      </c>
      <c r="F188" s="249" t="str">
        <f>Data!J182</f>
        <v>VIII-E</v>
      </c>
      <c r="G188" s="197"/>
      <c r="H188" s="178" t="str">
        <f>IF(PA!R187="","",PA!R187)</f>
        <v/>
      </c>
      <c r="I188" s="179" t="str">
        <f>IF(PA!S187="","",PA!S187)</f>
        <v/>
      </c>
      <c r="J188" s="182" t="str">
        <f>IF(PA!Z187="","",PA!Z187)</f>
        <v>Mempunyai kemampuan yang Sangat Baik dalam kompetensi KD Pengetahuan-2 dan memiliki kemampuan yang Cukup menguasai pada kompetensi KD Pengetahuan-5</v>
      </c>
      <c r="K188" s="179" t="str">
        <f>IF(PA!AI187="","",PA!AI187)</f>
        <v/>
      </c>
      <c r="L188" s="179" t="str">
        <f>IF(PA!AJ187="","",PA!AJ187)</f>
        <v/>
      </c>
      <c r="M188" s="182" t="str">
        <f>IF(PA!AQ187="","",PA!AQ187)</f>
        <v/>
      </c>
      <c r="N188" s="242"/>
    </row>
    <row r="189" spans="1:14" ht="15" customHeight="1" x14ac:dyDescent="0.3">
      <c r="A189" s="242"/>
      <c r="B189" s="424">
        <f>Data!E183</f>
        <v>19</v>
      </c>
      <c r="C189" s="249" t="str">
        <f>IF(Data!F183="","",Data!F183)</f>
        <v>03687</v>
      </c>
      <c r="D189" s="250" t="str">
        <f>IF(Data!H183="","",Data!H183)</f>
        <v>Kholishtama Humairo' Putrinabilah</v>
      </c>
      <c r="E189" s="249" t="str">
        <f>IF(Data!I183="","",Data!I183)</f>
        <v>Perempuan</v>
      </c>
      <c r="F189" s="249" t="str">
        <f>Data!J183</f>
        <v>VIII-E</v>
      </c>
      <c r="G189" s="197"/>
      <c r="H189" s="178" t="str">
        <f>IF(PA!R188="","",PA!R188)</f>
        <v/>
      </c>
      <c r="I189" s="179" t="str">
        <f>IF(PA!S188="","",PA!S188)</f>
        <v/>
      </c>
      <c r="J189" s="182" t="str">
        <f>IF(PA!Z188="","",PA!Z188)</f>
        <v>Mempunyai kemampuan yang Cukup Menguasai dalam kompetensi KD Pengetahuan-3 dan kompetensi KD Pengetahuan-6</v>
      </c>
      <c r="K189" s="179" t="str">
        <f>IF(PA!AI188="","",PA!AI188)</f>
        <v/>
      </c>
      <c r="L189" s="179" t="str">
        <f>IF(PA!AJ188="","",PA!AJ188)</f>
        <v/>
      </c>
      <c r="M189" s="182" t="str">
        <f>IF(PA!AQ188="","",PA!AQ188)</f>
        <v/>
      </c>
      <c r="N189" s="242"/>
    </row>
    <row r="190" spans="1:14" ht="15" customHeight="1" x14ac:dyDescent="0.3">
      <c r="A190" s="242"/>
      <c r="B190" s="424">
        <f>Data!E184</f>
        <v>20</v>
      </c>
      <c r="C190" s="249" t="str">
        <f>IF(Data!F184="","",Data!F184)</f>
        <v>03690</v>
      </c>
      <c r="D190" s="250" t="str">
        <f>IF(Data!H184="","",Data!H184)</f>
        <v>Listy Andinia Aulia Fitri</v>
      </c>
      <c r="E190" s="249" t="str">
        <f>IF(Data!I184="","",Data!I184)</f>
        <v>Perempuan</v>
      </c>
      <c r="F190" s="249" t="str">
        <f>Data!J184</f>
        <v>VIII-E</v>
      </c>
      <c r="G190" s="197"/>
      <c r="H190" s="178" t="str">
        <f>IF(PA!R189="","",PA!R189)</f>
        <v/>
      </c>
      <c r="I190" s="179" t="str">
        <f>IF(PA!S189="","",PA!S189)</f>
        <v/>
      </c>
      <c r="J190" s="182" t="str">
        <f>IF(PA!Z189="","",PA!Z189)</f>
        <v>Mempunyai kemampuan yang Baik dalam kompetensi KD Pengetahuan-2 dan memiliki kemampuan yang Cukup menguasai pada kompetensi KD Pengetahuan-5</v>
      </c>
      <c r="K190" s="179" t="str">
        <f>IF(PA!AI189="","",PA!AI189)</f>
        <v/>
      </c>
      <c r="L190" s="179" t="str">
        <f>IF(PA!AJ189="","",PA!AJ189)</f>
        <v/>
      </c>
      <c r="M190" s="182" t="str">
        <f>IF(PA!AQ189="","",PA!AQ189)</f>
        <v/>
      </c>
      <c r="N190" s="242"/>
    </row>
    <row r="191" spans="1:14" ht="15" customHeight="1" x14ac:dyDescent="0.3">
      <c r="A191" s="242"/>
      <c r="B191" s="424">
        <f>Data!E185</f>
        <v>21</v>
      </c>
      <c r="C191" s="249" t="str">
        <f>IF(Data!F185="","",Data!F185)</f>
        <v>03696</v>
      </c>
      <c r="D191" s="250" t="str">
        <f>IF(Data!H185="","",Data!H185)</f>
        <v>Mufaazatul Imroah</v>
      </c>
      <c r="E191" s="249" t="str">
        <f>IF(Data!I185="","",Data!I185)</f>
        <v>Perempuan</v>
      </c>
      <c r="F191" s="249" t="str">
        <f>Data!J185</f>
        <v>VIII-E</v>
      </c>
      <c r="G191" s="197"/>
      <c r="H191" s="178" t="str">
        <f>IF(PA!R190="","",PA!R190)</f>
        <v/>
      </c>
      <c r="I191" s="179" t="str">
        <f>IF(PA!S190="","",PA!S190)</f>
        <v/>
      </c>
      <c r="J191" s="182" t="str">
        <f>IF(PA!Z190="","",PA!Z190)</f>
        <v>Mempunyai kemampuan yang Cukup Menguasai dalam kompetensi KD Pengetahuan-3 dan kompetensi KD Pengetahuan-6</v>
      </c>
      <c r="K191" s="179" t="str">
        <f>IF(PA!AI190="","",PA!AI190)</f>
        <v/>
      </c>
      <c r="L191" s="179" t="str">
        <f>IF(PA!AJ190="","",PA!AJ190)</f>
        <v/>
      </c>
      <c r="M191" s="182" t="str">
        <f>IF(PA!AQ190="","",PA!AQ190)</f>
        <v/>
      </c>
      <c r="N191" s="242"/>
    </row>
    <row r="192" spans="1:14" ht="15" customHeight="1" x14ac:dyDescent="0.3">
      <c r="A192" s="242"/>
      <c r="B192" s="424">
        <f>Data!E186</f>
        <v>22</v>
      </c>
      <c r="C192" s="249" t="str">
        <f>IF(Data!F186="","",Data!F186)</f>
        <v>03699</v>
      </c>
      <c r="D192" s="250" t="str">
        <f>IF(Data!H186="","",Data!H186)</f>
        <v>Nabila Diya Putri Anindya</v>
      </c>
      <c r="E192" s="249" t="str">
        <f>IF(Data!I186="","",Data!I186)</f>
        <v>Perempuan</v>
      </c>
      <c r="F192" s="249" t="str">
        <f>Data!J186</f>
        <v>VIII-E</v>
      </c>
      <c r="G192" s="197"/>
      <c r="H192" s="178" t="str">
        <f>IF(PA!R191="","",PA!R191)</f>
        <v/>
      </c>
      <c r="I192" s="179" t="str">
        <f>IF(PA!S191="","",PA!S191)</f>
        <v/>
      </c>
      <c r="J192" s="182" t="str">
        <f>IF(PA!Z191="","",PA!Z191)</f>
        <v>Mempunyai kemampuan yang Cukup Menguasai dalam kompetensi KD Pengetahuan-4 dan kompetensi KD Pengetahuan-2</v>
      </c>
      <c r="K192" s="179" t="str">
        <f>IF(PA!AI191="","",PA!AI191)</f>
        <v/>
      </c>
      <c r="L192" s="179" t="str">
        <f>IF(PA!AJ191="","",PA!AJ191)</f>
        <v/>
      </c>
      <c r="M192" s="182" t="str">
        <f>IF(PA!AQ191="","",PA!AQ191)</f>
        <v/>
      </c>
      <c r="N192" s="242"/>
    </row>
    <row r="193" spans="1:14" ht="15" customHeight="1" x14ac:dyDescent="0.3">
      <c r="A193" s="242"/>
      <c r="B193" s="424">
        <f>Data!E187</f>
        <v>23</v>
      </c>
      <c r="C193" s="249" t="str">
        <f>IF(Data!F187="","",Data!F187)</f>
        <v>03705</v>
      </c>
      <c r="D193" s="250" t="str">
        <f>IF(Data!H187="","",Data!H187)</f>
        <v>Nakeysha Ardya Putri</v>
      </c>
      <c r="E193" s="249" t="str">
        <f>IF(Data!I187="","",Data!I187)</f>
        <v>Perempuan</v>
      </c>
      <c r="F193" s="249" t="str">
        <f>Data!J187</f>
        <v>VIII-E</v>
      </c>
      <c r="G193" s="197"/>
      <c r="H193" s="178" t="str">
        <f>IF(PA!R192="","",PA!R192)</f>
        <v/>
      </c>
      <c r="I193" s="179" t="str">
        <f>IF(PA!S192="","",PA!S192)</f>
        <v/>
      </c>
      <c r="J193" s="182" t="str">
        <f>IF(PA!Z192="","",PA!Z192)</f>
        <v>Mempunyai kemampuan yang Cukup Menguasai dalam kompetensi KD Pengetahuan-6 dan kompetensi KD Pengetahuan-2</v>
      </c>
      <c r="K193" s="179" t="str">
        <f>IF(PA!AI192="","",PA!AI192)</f>
        <v/>
      </c>
      <c r="L193" s="179" t="str">
        <f>IF(PA!AJ192="","",PA!AJ192)</f>
        <v/>
      </c>
      <c r="M193" s="182" t="str">
        <f>IF(PA!AQ192="","",PA!AQ192)</f>
        <v/>
      </c>
      <c r="N193" s="242"/>
    </row>
    <row r="194" spans="1:14" ht="15" customHeight="1" x14ac:dyDescent="0.3">
      <c r="A194" s="242"/>
      <c r="B194" s="424">
        <f>Data!E188</f>
        <v>24</v>
      </c>
      <c r="C194" s="249" t="str">
        <f>IF(Data!F188="","",Data!F188)</f>
        <v>03707</v>
      </c>
      <c r="D194" s="250" t="str">
        <f>IF(Data!H188="","",Data!H188)</f>
        <v>Naura Fitriani Salsabilah</v>
      </c>
      <c r="E194" s="249" t="str">
        <f>IF(Data!I188="","",Data!I188)</f>
        <v>Perempuan</v>
      </c>
      <c r="F194" s="249" t="str">
        <f>Data!J188</f>
        <v>VIII-E</v>
      </c>
      <c r="G194" s="197"/>
      <c r="H194" s="178" t="str">
        <f>IF(PA!R193="","",PA!R193)</f>
        <v/>
      </c>
      <c r="I194" s="179" t="str">
        <f>IF(PA!S193="","",PA!S193)</f>
        <v/>
      </c>
      <c r="J194" s="182" t="str">
        <f>IF(PA!Z193="","",PA!Z193)</f>
        <v>Mempunyai kemampuan yang Cukup Menguasai dalam kompetensi KD Pengetahuan-3 dan kompetensi KD Pengetahuan-5</v>
      </c>
      <c r="K194" s="179" t="str">
        <f>IF(PA!AI193="","",PA!AI193)</f>
        <v/>
      </c>
      <c r="L194" s="179" t="str">
        <f>IF(PA!AJ193="","",PA!AJ193)</f>
        <v/>
      </c>
      <c r="M194" s="182" t="str">
        <f>IF(PA!AQ193="","",PA!AQ193)</f>
        <v/>
      </c>
      <c r="N194" s="242"/>
    </row>
    <row r="195" spans="1:14" ht="15" customHeight="1" x14ac:dyDescent="0.3">
      <c r="A195" s="242"/>
      <c r="B195" s="424">
        <f>Data!E189</f>
        <v>25</v>
      </c>
      <c r="C195" s="249" t="str">
        <f>IF(Data!F189="","",Data!F189)</f>
        <v>03708</v>
      </c>
      <c r="D195" s="250" t="str">
        <f>IF(Data!H189="","",Data!H189)</f>
        <v>Naura Hasna Annida</v>
      </c>
      <c r="E195" s="249" t="str">
        <f>IF(Data!I189="","",Data!I189)</f>
        <v>Perempuan</v>
      </c>
      <c r="F195" s="249" t="str">
        <f>Data!J189</f>
        <v>VIII-E</v>
      </c>
      <c r="G195" s="197"/>
      <c r="H195" s="178" t="str">
        <f>IF(PA!R194="","",PA!R194)</f>
        <v/>
      </c>
      <c r="I195" s="179" t="str">
        <f>IF(PA!S194="","",PA!S194)</f>
        <v/>
      </c>
      <c r="J195" s="182" t="str">
        <f>IF(PA!Z194="","",PA!Z194)</f>
        <v>Mempunyai kemampuan yang Sangat Baik dalam kompetensi KD Pengetahuan-6 dan memiliki kemampuan yang Cukup menguasai pada kompetensi KD Pengetahuan-5</v>
      </c>
      <c r="K195" s="179" t="str">
        <f>IF(PA!AI194="","",PA!AI194)</f>
        <v/>
      </c>
      <c r="L195" s="179" t="str">
        <f>IF(PA!AJ194="","",PA!AJ194)</f>
        <v/>
      </c>
      <c r="M195" s="182" t="str">
        <f>IF(PA!AQ194="","",PA!AQ194)</f>
        <v/>
      </c>
      <c r="N195" s="242"/>
    </row>
    <row r="196" spans="1:14" ht="15" customHeight="1" x14ac:dyDescent="0.3">
      <c r="A196" s="242"/>
      <c r="B196" s="424">
        <f>Data!E190</f>
        <v>26</v>
      </c>
      <c r="C196" s="249" t="str">
        <f>IF(Data!F190="","",Data!F190)</f>
        <v>03709</v>
      </c>
      <c r="D196" s="250" t="str">
        <f>IF(Data!H190="","",Data!H190)</f>
        <v>Naylla Putri Nur Aeny</v>
      </c>
      <c r="E196" s="249" t="str">
        <f>IF(Data!I190="","",Data!I190)</f>
        <v>Perempuan</v>
      </c>
      <c r="F196" s="249" t="str">
        <f>Data!J190</f>
        <v>VIII-E</v>
      </c>
      <c r="G196" s="197"/>
      <c r="H196" s="178" t="str">
        <f>IF(PA!R195="","",PA!R195)</f>
        <v/>
      </c>
      <c r="I196" s="179" t="str">
        <f>IF(PA!S195="","",PA!S195)</f>
        <v/>
      </c>
      <c r="J196" s="182" t="str">
        <f>IF(PA!Z195="","",PA!Z195)</f>
        <v>Mempunyai kemampuan yang Baik dalam kompetensi KD Pengetahuan-3 dan memiliki kemampuan yang Cukup menguasai pada kompetensi KD Pengetahuan-5</v>
      </c>
      <c r="K196" s="179" t="str">
        <f>IF(PA!AI195="","",PA!AI195)</f>
        <v/>
      </c>
      <c r="L196" s="179" t="str">
        <f>IF(PA!AJ195="","",PA!AJ195)</f>
        <v/>
      </c>
      <c r="M196" s="182" t="str">
        <f>IF(PA!AQ195="","",PA!AQ195)</f>
        <v/>
      </c>
      <c r="N196" s="242"/>
    </row>
    <row r="197" spans="1:14" ht="15" customHeight="1" x14ac:dyDescent="0.3">
      <c r="A197" s="242"/>
      <c r="B197" s="424">
        <f>Data!E191</f>
        <v>27</v>
      </c>
      <c r="C197" s="249" t="str">
        <f>IF(Data!F191="","",Data!F191)</f>
        <v>03731</v>
      </c>
      <c r="D197" s="250" t="str">
        <f>IF(Data!H191="","",Data!H191)</f>
        <v>Sofiyatun Khasanah</v>
      </c>
      <c r="E197" s="249" t="str">
        <f>IF(Data!I191="","",Data!I191)</f>
        <v>Perempuan</v>
      </c>
      <c r="F197" s="249" t="str">
        <f>Data!J191</f>
        <v>VIII-E</v>
      </c>
      <c r="G197" s="197"/>
      <c r="H197" s="178" t="str">
        <f>IF(PA!R196="","",PA!R196)</f>
        <v/>
      </c>
      <c r="I197" s="179" t="str">
        <f>IF(PA!S196="","",PA!S196)</f>
        <v/>
      </c>
      <c r="J197" s="182" t="str">
        <f>IF(PA!Z196="","",PA!Z196)</f>
        <v>Mempunyai kemampuan yang Baik dalam kompetensi KD Pengetahuan-6 dan memiliki kemampuan yang Cukup menguasai pada kompetensi KD Pengetahuan-3</v>
      </c>
      <c r="K197" s="179" t="str">
        <f>IF(PA!AI196="","",PA!AI196)</f>
        <v/>
      </c>
      <c r="L197" s="179" t="str">
        <f>IF(PA!AJ196="","",PA!AJ196)</f>
        <v/>
      </c>
      <c r="M197" s="182" t="str">
        <f>IF(PA!AQ196="","",PA!AQ196)</f>
        <v/>
      </c>
      <c r="N197" s="242"/>
    </row>
    <row r="198" spans="1:14" ht="15" customHeight="1" x14ac:dyDescent="0.3">
      <c r="A198" s="242"/>
      <c r="B198" s="424">
        <f>Data!E192</f>
        <v>28</v>
      </c>
      <c r="C198" s="249" t="str">
        <f>IF(Data!F192="","",Data!F192)</f>
        <v>03737</v>
      </c>
      <c r="D198" s="250" t="str">
        <f>IF(Data!H192="","",Data!H192)</f>
        <v>Vandalea Aisyah Nuril Illiyin</v>
      </c>
      <c r="E198" s="249" t="str">
        <f>IF(Data!I192="","",Data!I192)</f>
        <v>Perempuan</v>
      </c>
      <c r="F198" s="249" t="str">
        <f>Data!J192</f>
        <v>VIII-E</v>
      </c>
      <c r="G198" s="197"/>
      <c r="H198" s="178" t="str">
        <f>IF(PA!R197="","",PA!R197)</f>
        <v/>
      </c>
      <c r="I198" s="179" t="str">
        <f>IF(PA!S197="","",PA!S197)</f>
        <v/>
      </c>
      <c r="J198" s="182" t="str">
        <f>IF(PA!Z197="","",PA!Z197)</f>
        <v>Mempunyai kemampuan yang Baik dalam kompetensi KD Pengetahuan-2 dan memiliki kemampuan yang Cukup menguasai pada kompetensi KD Pengetahuan-6</v>
      </c>
      <c r="K198" s="179" t="str">
        <f>IF(PA!AI197="","",PA!AI197)</f>
        <v/>
      </c>
      <c r="L198" s="179" t="str">
        <f>IF(PA!AJ197="","",PA!AJ197)</f>
        <v/>
      </c>
      <c r="M198" s="182" t="str">
        <f>IF(PA!AQ197="","",PA!AQ197)</f>
        <v/>
      </c>
      <c r="N198" s="242"/>
    </row>
    <row r="199" spans="1:14" ht="15" customHeight="1" x14ac:dyDescent="0.3">
      <c r="A199" s="242"/>
      <c r="B199" s="424">
        <f>Data!E193</f>
        <v>29</v>
      </c>
      <c r="C199" s="249" t="str">
        <f>IF(Data!F193="","",Data!F193)</f>
        <v>03738</v>
      </c>
      <c r="D199" s="250" t="str">
        <f>IF(Data!H193="","",Data!H193)</f>
        <v>Vivi Putri Amanda</v>
      </c>
      <c r="E199" s="249" t="str">
        <f>IF(Data!I193="","",Data!I193)</f>
        <v>Perempuan</v>
      </c>
      <c r="F199" s="249" t="str">
        <f>Data!J193</f>
        <v>VIII-E</v>
      </c>
      <c r="G199" s="197"/>
      <c r="H199" s="178" t="str">
        <f>IF(PA!R198="","",PA!R198)</f>
        <v/>
      </c>
      <c r="I199" s="179" t="str">
        <f>IF(PA!S198="","",PA!S198)</f>
        <v/>
      </c>
      <c r="J199" s="182" t="str">
        <f>IF(PA!Z198="","",PA!Z198)</f>
        <v>Mempunyai kemampuan yang Sangat Baik dalam kompetensi KD Pengetahuan-2 dan memiliki kemampuan yang Cukup menguasai pada kompetensi KD Pengetahuan-5</v>
      </c>
      <c r="K199" s="179" t="str">
        <f>IF(PA!AI198="","",PA!AI198)</f>
        <v/>
      </c>
      <c r="L199" s="179" t="str">
        <f>IF(PA!AJ198="","",PA!AJ198)</f>
        <v/>
      </c>
      <c r="M199" s="182" t="str">
        <f>IF(PA!AQ198="","",PA!AQ198)</f>
        <v/>
      </c>
      <c r="N199" s="242"/>
    </row>
    <row r="200" spans="1:14" ht="15" customHeight="1" x14ac:dyDescent="0.3">
      <c r="A200" s="242"/>
      <c r="B200" s="424">
        <f>Data!E194</f>
        <v>30</v>
      </c>
      <c r="C200" s="249" t="str">
        <f>IF(Data!F194="","",Data!F194)</f>
        <v>03741</v>
      </c>
      <c r="D200" s="250" t="str">
        <f>IF(Data!H194="","",Data!H194)</f>
        <v>Wulan Sevian Febianty</v>
      </c>
      <c r="E200" s="249" t="str">
        <f>IF(Data!I194="","",Data!I194)</f>
        <v>Perempuan</v>
      </c>
      <c r="F200" s="249" t="str">
        <f>Data!J194</f>
        <v>VIII-E</v>
      </c>
      <c r="G200" s="197"/>
      <c r="H200" s="178" t="str">
        <f>IF(PA!R199="","",PA!R199)</f>
        <v/>
      </c>
      <c r="I200" s="179" t="str">
        <f>IF(PA!S199="","",PA!S199)</f>
        <v/>
      </c>
      <c r="J200" s="182" t="str">
        <f>IF(PA!Z199="","",PA!Z199)</f>
        <v>Mempunyai kemampuan yang Cukup Menguasai dalam kompetensi KD Pengetahuan-5 dan kompetensi KD Pengetahuan-6</v>
      </c>
      <c r="K200" s="179" t="str">
        <f>IF(PA!AI199="","",PA!AI199)</f>
        <v/>
      </c>
      <c r="L200" s="179" t="str">
        <f>IF(PA!AJ199="","",PA!AJ199)</f>
        <v/>
      </c>
      <c r="M200" s="182" t="str">
        <f>IF(PA!AQ199="","",PA!AQ199)</f>
        <v/>
      </c>
      <c r="N200" s="242"/>
    </row>
    <row r="201" spans="1:14" ht="15" customHeight="1" x14ac:dyDescent="0.3">
      <c r="A201" s="242"/>
      <c r="B201" s="424">
        <f>Data!E195</f>
        <v>31</v>
      </c>
      <c r="C201" s="249" t="str">
        <f>IF(Data!F195="","",Data!F195)</f>
        <v>03743</v>
      </c>
      <c r="D201" s="250" t="str">
        <f>IF(Data!H195="","",Data!H195)</f>
        <v>Yulistia Tsania Salma</v>
      </c>
      <c r="E201" s="249" t="str">
        <f>IF(Data!I195="","",Data!I195)</f>
        <v>Perempuan</v>
      </c>
      <c r="F201" s="249" t="str">
        <f>Data!J195</f>
        <v>VIII-E</v>
      </c>
      <c r="G201" s="197"/>
      <c r="H201" s="178" t="str">
        <f>IF(PA!R200="","",PA!R200)</f>
        <v/>
      </c>
      <c r="I201" s="179" t="str">
        <f>IF(PA!S200="","",PA!S200)</f>
        <v/>
      </c>
      <c r="J201" s="182" t="str">
        <f>IF(PA!Z200="","",PA!Z200)</f>
        <v>Mempunyai kemampuan yang Baik dalam kompetensi KD Pengetahuan-5 dan memiliki kemampuan yang Cukup menguasai pada kompetensi KD Pengetahuan-2</v>
      </c>
      <c r="K201" s="179" t="str">
        <f>IF(PA!AI200="","",PA!AI200)</f>
        <v/>
      </c>
      <c r="L201" s="179" t="str">
        <f>IF(PA!AJ200="","",PA!AJ200)</f>
        <v/>
      </c>
      <c r="M201" s="182" t="str">
        <f>IF(PA!AQ200="","",PA!AQ200)</f>
        <v/>
      </c>
      <c r="N201" s="242"/>
    </row>
    <row r="202" spans="1:14" ht="15" customHeight="1" x14ac:dyDescent="0.3">
      <c r="A202" s="242"/>
      <c r="B202" s="424">
        <f>Data!E196</f>
        <v>32</v>
      </c>
      <c r="C202" s="249" t="str">
        <f>IF(Data!F196="","",Data!F196)</f>
        <v/>
      </c>
      <c r="D202" s="250" t="str">
        <f>IF(Data!H196="","",Data!H196)</f>
        <v/>
      </c>
      <c r="E202" s="249" t="str">
        <f>IF(Data!I196="","",Data!I196)</f>
        <v/>
      </c>
      <c r="F202" s="249" t="str">
        <f>Data!J196</f>
        <v>VIII-E</v>
      </c>
      <c r="G202" s="197"/>
      <c r="H202" s="178" t="str">
        <f>IF(PA!R201="","",PA!R201)</f>
        <v/>
      </c>
      <c r="I202" s="179" t="str">
        <f>IF(PA!S201="","",PA!S201)</f>
        <v/>
      </c>
      <c r="J202" s="182" t="str">
        <f>IF(PA!Z201="","",PA!Z201)</f>
        <v/>
      </c>
      <c r="K202" s="179" t="str">
        <f>IF(PA!AI201="","",PA!AI201)</f>
        <v/>
      </c>
      <c r="L202" s="179" t="str">
        <f>IF(PA!AJ201="","",PA!AJ201)</f>
        <v/>
      </c>
      <c r="M202" s="182" t="str">
        <f>IF(PA!AQ201="","",PA!AQ201)</f>
        <v/>
      </c>
      <c r="N202" s="242"/>
    </row>
    <row r="203" spans="1:14" ht="15" customHeight="1" x14ac:dyDescent="0.3">
      <c r="A203" s="242"/>
      <c r="B203" s="424">
        <f>Data!E197</f>
        <v>33</v>
      </c>
      <c r="C203" s="249" t="str">
        <f>IF(Data!F197="","",Data!F197)</f>
        <v/>
      </c>
      <c r="D203" s="250" t="str">
        <f>IF(Data!H197="","",Data!H197)</f>
        <v/>
      </c>
      <c r="E203" s="249" t="str">
        <f>IF(Data!I197="","",Data!I197)</f>
        <v/>
      </c>
      <c r="F203" s="249" t="str">
        <f>Data!J197</f>
        <v>VIII-E</v>
      </c>
      <c r="G203" s="197"/>
      <c r="H203" s="178" t="str">
        <f>IF(PA!R202="","",PA!R202)</f>
        <v/>
      </c>
      <c r="I203" s="179" t="str">
        <f>IF(PA!S202="","",PA!S202)</f>
        <v/>
      </c>
      <c r="J203" s="182" t="str">
        <f>IF(PA!Z202="","",PA!Z202)</f>
        <v/>
      </c>
      <c r="K203" s="179" t="str">
        <f>IF(PA!AI202="","",PA!AI202)</f>
        <v/>
      </c>
      <c r="L203" s="179" t="str">
        <f>IF(PA!AJ202="","",PA!AJ202)</f>
        <v/>
      </c>
      <c r="M203" s="182" t="str">
        <f>IF(PA!AQ202="","",PA!AQ202)</f>
        <v/>
      </c>
      <c r="N203" s="242"/>
    </row>
    <row r="204" spans="1:14" ht="15" customHeight="1" x14ac:dyDescent="0.3">
      <c r="A204" s="242"/>
      <c r="B204" s="424">
        <f>Data!E198</f>
        <v>34</v>
      </c>
      <c r="C204" s="249" t="str">
        <f>IF(Data!F198="","",Data!F198)</f>
        <v/>
      </c>
      <c r="D204" s="250" t="str">
        <f>IF(Data!H198="","",Data!H198)</f>
        <v/>
      </c>
      <c r="E204" s="249" t="str">
        <f>IF(Data!I198="","",Data!I198)</f>
        <v/>
      </c>
      <c r="F204" s="249" t="str">
        <f>Data!J198</f>
        <v>VIII-E</v>
      </c>
      <c r="G204" s="197"/>
      <c r="H204" s="178" t="str">
        <f>IF(PA!R203="","",PA!R203)</f>
        <v/>
      </c>
      <c r="I204" s="179" t="str">
        <f>IF(PA!S203="","",PA!S203)</f>
        <v/>
      </c>
      <c r="J204" s="182" t="str">
        <f>IF(PA!Z203="","",PA!Z203)</f>
        <v/>
      </c>
      <c r="K204" s="179" t="str">
        <f>IF(PA!AI203="","",PA!AI203)</f>
        <v/>
      </c>
      <c r="L204" s="179" t="str">
        <f>IF(PA!AJ203="","",PA!AJ203)</f>
        <v/>
      </c>
      <c r="M204" s="182" t="str">
        <f>IF(PA!AQ203="","",PA!AQ203)</f>
        <v/>
      </c>
      <c r="N204" s="242"/>
    </row>
    <row r="205" spans="1:14" ht="15" customHeight="1" x14ac:dyDescent="0.3">
      <c r="A205" s="242"/>
      <c r="B205" s="424">
        <f>Data!E199</f>
        <v>35</v>
      </c>
      <c r="C205" s="249" t="str">
        <f>IF(Data!F199="","",Data!F199)</f>
        <v/>
      </c>
      <c r="D205" s="250" t="str">
        <f>IF(Data!H199="","",Data!H199)</f>
        <v/>
      </c>
      <c r="E205" s="249" t="str">
        <f>IF(Data!I199="","",Data!I199)</f>
        <v/>
      </c>
      <c r="F205" s="249" t="str">
        <f>Data!J199</f>
        <v>VIII-E</v>
      </c>
      <c r="G205" s="197"/>
      <c r="H205" s="178" t="str">
        <f>IF(PA!R204="","",PA!R204)</f>
        <v/>
      </c>
      <c r="I205" s="179" t="str">
        <f>IF(PA!S204="","",PA!S204)</f>
        <v/>
      </c>
      <c r="J205" s="182" t="str">
        <f>IF(PA!Z204="","",PA!Z204)</f>
        <v/>
      </c>
      <c r="K205" s="179" t="str">
        <f>IF(PA!AI204="","",PA!AI204)</f>
        <v/>
      </c>
      <c r="L205" s="179" t="str">
        <f>IF(PA!AJ204="","",PA!AJ204)</f>
        <v/>
      </c>
      <c r="M205" s="182" t="str">
        <f>IF(PA!AQ204="","",PA!AQ204)</f>
        <v/>
      </c>
      <c r="N205" s="242"/>
    </row>
    <row r="206" spans="1:14" ht="15" customHeight="1" x14ac:dyDescent="0.3">
      <c r="A206" s="242"/>
      <c r="B206" s="424">
        <f>Data!E200</f>
        <v>36</v>
      </c>
      <c r="C206" s="249" t="str">
        <f>IF(Data!F200="","",Data!F200)</f>
        <v/>
      </c>
      <c r="D206" s="250" t="str">
        <f>IF(Data!H200="","",Data!H200)</f>
        <v/>
      </c>
      <c r="E206" s="249" t="str">
        <f>IF(Data!I200="","",Data!I200)</f>
        <v/>
      </c>
      <c r="F206" s="249" t="str">
        <f>Data!J200</f>
        <v>VIII-E</v>
      </c>
      <c r="G206" s="197"/>
      <c r="H206" s="178" t="str">
        <f>IF(PA!R205="","",PA!R205)</f>
        <v/>
      </c>
      <c r="I206" s="179" t="str">
        <f>IF(PA!S205="","",PA!S205)</f>
        <v/>
      </c>
      <c r="J206" s="182" t="str">
        <f>IF(PA!Z205="","",PA!Z205)</f>
        <v/>
      </c>
      <c r="K206" s="179" t="str">
        <f>IF(PA!AI205="","",PA!AI205)</f>
        <v/>
      </c>
      <c r="L206" s="179" t="str">
        <f>IF(PA!AJ205="","",PA!AJ205)</f>
        <v/>
      </c>
      <c r="M206" s="182" t="str">
        <f>IF(PA!AQ205="","",PA!AQ205)</f>
        <v/>
      </c>
      <c r="N206" s="242"/>
    </row>
    <row r="207" spans="1:14" ht="15" customHeight="1" x14ac:dyDescent="0.3">
      <c r="A207" s="242"/>
      <c r="B207" s="424">
        <f>Data!E201</f>
        <v>37</v>
      </c>
      <c r="C207" s="249" t="str">
        <f>IF(Data!F201="","",Data!F201)</f>
        <v/>
      </c>
      <c r="D207" s="250" t="str">
        <f>IF(Data!H201="","",Data!H201)</f>
        <v/>
      </c>
      <c r="E207" s="249" t="str">
        <f>IF(Data!I201="","",Data!I201)</f>
        <v/>
      </c>
      <c r="F207" s="249" t="str">
        <f>Data!J201</f>
        <v>VIII-E</v>
      </c>
      <c r="G207" s="197"/>
      <c r="H207" s="178" t="str">
        <f>IF(PA!R206="","",PA!R206)</f>
        <v/>
      </c>
      <c r="I207" s="179" t="str">
        <f>IF(PA!S206="","",PA!S206)</f>
        <v/>
      </c>
      <c r="J207" s="182" t="str">
        <f>IF(PA!Z206="","",PA!Z206)</f>
        <v/>
      </c>
      <c r="K207" s="179" t="str">
        <f>IF(PA!AI206="","",PA!AI206)</f>
        <v/>
      </c>
      <c r="L207" s="179" t="str">
        <f>IF(PA!AJ206="","",PA!AJ206)</f>
        <v/>
      </c>
      <c r="M207" s="182" t="str">
        <f>IF(PA!AQ206="","",PA!AQ206)</f>
        <v/>
      </c>
      <c r="N207" s="242"/>
    </row>
    <row r="208" spans="1:14" ht="15" customHeight="1" x14ac:dyDescent="0.3">
      <c r="A208" s="242"/>
      <c r="B208" s="424">
        <f>Data!E202</f>
        <v>38</v>
      </c>
      <c r="C208" s="249" t="str">
        <f>IF(Data!F202="","",Data!F202)</f>
        <v/>
      </c>
      <c r="D208" s="250" t="str">
        <f>IF(Data!H202="","",Data!H202)</f>
        <v/>
      </c>
      <c r="E208" s="249" t="str">
        <f>IF(Data!I202="","",Data!I202)</f>
        <v/>
      </c>
      <c r="F208" s="249" t="str">
        <f>Data!J202</f>
        <v>VIII-E</v>
      </c>
      <c r="G208" s="197"/>
      <c r="H208" s="178" t="str">
        <f>IF(PA!R207="","",PA!R207)</f>
        <v/>
      </c>
      <c r="I208" s="179" t="str">
        <f>IF(PA!S207="","",PA!S207)</f>
        <v/>
      </c>
      <c r="J208" s="182" t="str">
        <f>IF(PA!Z207="","",PA!Z207)</f>
        <v/>
      </c>
      <c r="K208" s="179" t="str">
        <f>IF(PA!AI207="","",PA!AI207)</f>
        <v/>
      </c>
      <c r="L208" s="179" t="str">
        <f>IF(PA!AJ207="","",PA!AJ207)</f>
        <v/>
      </c>
      <c r="M208" s="182" t="str">
        <f>IF(PA!AQ207="","",PA!AQ207)</f>
        <v/>
      </c>
      <c r="N208" s="242"/>
    </row>
    <row r="209" spans="1:14" ht="15" customHeight="1" x14ac:dyDescent="0.3">
      <c r="A209" s="242"/>
      <c r="B209" s="424">
        <f>Data!E203</f>
        <v>39</v>
      </c>
      <c r="C209" s="249" t="str">
        <f>IF(Data!F203="","",Data!F203)</f>
        <v/>
      </c>
      <c r="D209" s="250" t="str">
        <f>IF(Data!H203="","",Data!H203)</f>
        <v/>
      </c>
      <c r="E209" s="249" t="str">
        <f>IF(Data!I203="","",Data!I203)</f>
        <v/>
      </c>
      <c r="F209" s="249" t="str">
        <f>Data!J203</f>
        <v>VIII-E</v>
      </c>
      <c r="G209" s="197"/>
      <c r="H209" s="178" t="str">
        <f>IF(PA!R208="","",PA!R208)</f>
        <v/>
      </c>
      <c r="I209" s="179" t="str">
        <f>IF(PA!S208="","",PA!S208)</f>
        <v/>
      </c>
      <c r="J209" s="182" t="str">
        <f>IF(PA!Z208="","",PA!Z208)</f>
        <v/>
      </c>
      <c r="K209" s="179" t="str">
        <f>IF(PA!AI208="","",PA!AI208)</f>
        <v/>
      </c>
      <c r="L209" s="179" t="str">
        <f>IF(PA!AJ208="","",PA!AJ208)</f>
        <v/>
      </c>
      <c r="M209" s="182" t="str">
        <f>IF(PA!AQ208="","",PA!AQ208)</f>
        <v/>
      </c>
      <c r="N209" s="242"/>
    </row>
    <row r="210" spans="1:14" ht="15" customHeight="1" thickBot="1" x14ac:dyDescent="0.35">
      <c r="A210" s="242"/>
      <c r="B210" s="429">
        <f>Data!E204</f>
        <v>40</v>
      </c>
      <c r="C210" s="430" t="str">
        <f>IF(Data!F204="","",Data!F204)</f>
        <v/>
      </c>
      <c r="D210" s="431" t="str">
        <f>IF(Data!H204="","",Data!H204)</f>
        <v/>
      </c>
      <c r="E210" s="430" t="str">
        <f>IF(Data!I204="","",Data!I204)</f>
        <v/>
      </c>
      <c r="F210" s="430" t="str">
        <f>Data!J204</f>
        <v>VIII-E</v>
      </c>
      <c r="G210" s="432"/>
      <c r="H210" s="433" t="str">
        <f>IF(PA!R209="","",PA!R209)</f>
        <v/>
      </c>
      <c r="I210" s="434" t="str">
        <f>IF(PA!S209="","",PA!S209)</f>
        <v/>
      </c>
      <c r="J210" s="435" t="str">
        <f>IF(PA!Z209="","",PA!Z209)</f>
        <v/>
      </c>
      <c r="K210" s="434" t="str">
        <f>IF(PA!AI209="","",PA!AI209)</f>
        <v/>
      </c>
      <c r="L210" s="434" t="str">
        <f>IF(PA!AJ209="","",PA!AJ209)</f>
        <v/>
      </c>
      <c r="M210" s="435" t="str">
        <f>IF(PA!AQ209="","",PA!AQ209)</f>
        <v/>
      </c>
      <c r="N210" s="242"/>
    </row>
    <row r="211" spans="1:14" ht="15" customHeight="1" thickTop="1" x14ac:dyDescent="0.3">
      <c r="A211" s="242"/>
      <c r="B211" s="426">
        <f>Data!E205</f>
        <v>1</v>
      </c>
      <c r="C211" s="427" t="str">
        <f>IF(Data!F205="","",Data!F205)</f>
        <v>03627</v>
      </c>
      <c r="D211" s="428" t="str">
        <f>IF(Data!H205="","",Data!H205)</f>
        <v>Afica Az-Zahra Kalila Bilqis</v>
      </c>
      <c r="E211" s="427" t="str">
        <f>IF(Data!I205="","",Data!I205)</f>
        <v>Perempuan</v>
      </c>
      <c r="F211" s="427" t="str">
        <f>Data!J205</f>
        <v>VIII-F</v>
      </c>
      <c r="G211" s="197"/>
      <c r="H211" s="180" t="str">
        <f>IF(PA!R210="","",PA!R210)</f>
        <v/>
      </c>
      <c r="I211" s="181" t="str">
        <f>IF(PA!S210="","",PA!S210)</f>
        <v/>
      </c>
      <c r="J211" s="187" t="str">
        <f>IF(PA!Z210="","",PA!Z210)</f>
        <v>Mempunyai kemampuan yang Cukup Menguasai dalam kompetensi KD Pengetahuan-4 dan kompetensi KD Pengetahuan-3</v>
      </c>
      <c r="K211" s="181" t="str">
        <f>IF(PA!AI210="","",PA!AI210)</f>
        <v/>
      </c>
      <c r="L211" s="181" t="str">
        <f>IF(PA!AJ210="","",PA!AJ210)</f>
        <v/>
      </c>
      <c r="M211" s="187" t="str">
        <f>IF(PA!AQ210="","",PA!AQ210)</f>
        <v/>
      </c>
      <c r="N211" s="242"/>
    </row>
    <row r="212" spans="1:14" ht="15" customHeight="1" x14ac:dyDescent="0.3">
      <c r="A212" s="242"/>
      <c r="B212" s="424">
        <f>Data!E206</f>
        <v>2</v>
      </c>
      <c r="C212" s="249" t="str">
        <f>IF(Data!F206="","",Data!F206)</f>
        <v>03628</v>
      </c>
      <c r="D212" s="250" t="str">
        <f>IF(Data!H206="","",Data!H206)</f>
        <v>Afika Cahaya Anggraini</v>
      </c>
      <c r="E212" s="249" t="str">
        <f>IF(Data!I206="","",Data!I206)</f>
        <v>Perempuan</v>
      </c>
      <c r="F212" s="249" t="str">
        <f>Data!J206</f>
        <v>VIII-F</v>
      </c>
      <c r="G212" s="197"/>
      <c r="H212" s="178" t="str">
        <f>IF(PA!R211="","",PA!R211)</f>
        <v/>
      </c>
      <c r="I212" s="179" t="str">
        <f>IF(PA!S211="","",PA!S211)</f>
        <v/>
      </c>
      <c r="J212" s="182" t="str">
        <f>IF(PA!Z211="","",PA!Z211)</f>
        <v>Mempunyai kemampuan yang Cukup Menguasai dalam kompetensi KD Pengetahuan-4 dan kompetensi KD Pengetahuan-5</v>
      </c>
      <c r="K212" s="179" t="str">
        <f>IF(PA!AI211="","",PA!AI211)</f>
        <v/>
      </c>
      <c r="L212" s="179" t="str">
        <f>IF(PA!AJ211="","",PA!AJ211)</f>
        <v/>
      </c>
      <c r="M212" s="182" t="str">
        <f>IF(PA!AQ211="","",PA!AQ211)</f>
        <v/>
      </c>
      <c r="N212" s="242"/>
    </row>
    <row r="213" spans="1:14" ht="15" customHeight="1" x14ac:dyDescent="0.3">
      <c r="A213" s="242"/>
      <c r="B213" s="424">
        <f>Data!E207</f>
        <v>3</v>
      </c>
      <c r="C213" s="249" t="str">
        <f>IF(Data!F207="","",Data!F207)</f>
        <v>03631</v>
      </c>
      <c r="D213" s="250" t="str">
        <f>IF(Data!H207="","",Data!H207)</f>
        <v>Amanda Kurnia Nur Afifah</v>
      </c>
      <c r="E213" s="249" t="str">
        <f>IF(Data!I207="","",Data!I207)</f>
        <v>Perempuan</v>
      </c>
      <c r="F213" s="249" t="str">
        <f>Data!J207</f>
        <v>VIII-F</v>
      </c>
      <c r="G213" s="197"/>
      <c r="H213" s="178" t="str">
        <f>IF(PA!R212="","",PA!R212)</f>
        <v/>
      </c>
      <c r="I213" s="179" t="str">
        <f>IF(PA!S212="","",PA!S212)</f>
        <v/>
      </c>
      <c r="J213" s="182" t="str">
        <f>IF(PA!Z212="","",PA!Z212)</f>
        <v>Mempunyai kemampuan yang Baik dalam kompetensi KD Pengetahuan-4 dan memiliki kemampuan yang Cukup menguasai pada kompetensi KD Pengetahuan-1</v>
      </c>
      <c r="K213" s="179" t="str">
        <f>IF(PA!AI212="","",PA!AI212)</f>
        <v/>
      </c>
      <c r="L213" s="179" t="str">
        <f>IF(PA!AJ212="","",PA!AJ212)</f>
        <v/>
      </c>
      <c r="M213" s="182" t="str">
        <f>IF(PA!AQ212="","",PA!AQ212)</f>
        <v/>
      </c>
      <c r="N213" s="242"/>
    </row>
    <row r="214" spans="1:14" ht="15" customHeight="1" x14ac:dyDescent="0.3">
      <c r="A214" s="242"/>
      <c r="B214" s="424">
        <f>Data!E208</f>
        <v>4</v>
      </c>
      <c r="C214" s="249" t="str">
        <f>IF(Data!F208="","",Data!F208)</f>
        <v>03634</v>
      </c>
      <c r="D214" s="250" t="str">
        <f>IF(Data!H208="","",Data!H208)</f>
        <v>Anna Ollivia</v>
      </c>
      <c r="E214" s="249" t="str">
        <f>IF(Data!I208="","",Data!I208)</f>
        <v>Perempuan</v>
      </c>
      <c r="F214" s="249" t="str">
        <f>Data!J208</f>
        <v>VIII-F</v>
      </c>
      <c r="G214" s="197"/>
      <c r="H214" s="178" t="str">
        <f>IF(PA!R213="","",PA!R213)</f>
        <v/>
      </c>
      <c r="I214" s="179" t="str">
        <f>IF(PA!S213="","",PA!S213)</f>
        <v/>
      </c>
      <c r="J214" s="182" t="str">
        <f>IF(PA!Z213="","",PA!Z213)</f>
        <v>Mempunyai kemampuan yang Baik dalam kompetensi KD Pengetahuan-3 dan memiliki kemampuan yang Cukup menguasai pada kompetensi KD Pengetahuan-4</v>
      </c>
      <c r="K214" s="179" t="str">
        <f>IF(PA!AI213="","",PA!AI213)</f>
        <v/>
      </c>
      <c r="L214" s="179" t="str">
        <f>IF(PA!AJ213="","",PA!AJ213)</f>
        <v/>
      </c>
      <c r="M214" s="182" t="str">
        <f>IF(PA!AQ213="","",PA!AQ213)</f>
        <v/>
      </c>
      <c r="N214" s="242"/>
    </row>
    <row r="215" spans="1:14" ht="15" customHeight="1" x14ac:dyDescent="0.3">
      <c r="A215" s="242"/>
      <c r="B215" s="424">
        <f>Data!E209</f>
        <v>5</v>
      </c>
      <c r="C215" s="249" t="str">
        <f>IF(Data!F209="","",Data!F209)</f>
        <v>03637</v>
      </c>
      <c r="D215" s="250" t="str">
        <f>IF(Data!H209="","",Data!H209)</f>
        <v>Aqilatus Syahiro</v>
      </c>
      <c r="E215" s="249" t="str">
        <f>IF(Data!I209="","",Data!I209)</f>
        <v>Perempuan</v>
      </c>
      <c r="F215" s="249" t="str">
        <f>Data!J209</f>
        <v>VIII-F</v>
      </c>
      <c r="G215" s="197"/>
      <c r="H215" s="178" t="str">
        <f>IF(PA!R214="","",PA!R214)</f>
        <v/>
      </c>
      <c r="I215" s="179" t="str">
        <f>IF(PA!S214="","",PA!S214)</f>
        <v/>
      </c>
      <c r="J215" s="182" t="str">
        <f>IF(PA!Z214="","",PA!Z214)</f>
        <v>Mempunyai kemampuan yang Sangat Baik dalam kompetensi KD Pengetahuan-1 dan memiliki kemampuan yang Cukup menguasai pada kompetensi KD Pengetahuan-4</v>
      </c>
      <c r="K215" s="179" t="str">
        <f>IF(PA!AI214="","",PA!AI214)</f>
        <v/>
      </c>
      <c r="L215" s="179" t="str">
        <f>IF(PA!AJ214="","",PA!AJ214)</f>
        <v/>
      </c>
      <c r="M215" s="182" t="str">
        <f>IF(PA!AQ214="","",PA!AQ214)</f>
        <v/>
      </c>
      <c r="N215" s="242"/>
    </row>
    <row r="216" spans="1:14" ht="15" customHeight="1" x14ac:dyDescent="0.3">
      <c r="A216" s="242"/>
      <c r="B216" s="424">
        <f>Data!E210</f>
        <v>6</v>
      </c>
      <c r="C216" s="249" t="str">
        <f>IF(Data!F210="","",Data!F210)</f>
        <v>03638</v>
      </c>
      <c r="D216" s="250" t="str">
        <f>IF(Data!H210="","",Data!H210)</f>
        <v>Ardian Pramesti Regita Cahyani</v>
      </c>
      <c r="E216" s="249" t="str">
        <f>IF(Data!I210="","",Data!I210)</f>
        <v>Perempuan</v>
      </c>
      <c r="F216" s="249" t="str">
        <f>Data!J210</f>
        <v>VIII-F</v>
      </c>
      <c r="G216" s="197"/>
      <c r="H216" s="178" t="str">
        <f>IF(PA!R215="","",PA!R215)</f>
        <v/>
      </c>
      <c r="I216" s="179" t="str">
        <f>IF(PA!S215="","",PA!S215)</f>
        <v/>
      </c>
      <c r="J216" s="182" t="str">
        <f>IF(PA!Z215="","",PA!Z215)</f>
        <v>Mempunyai kemampuan yang Baik dalam kompetensi KD Pengetahuan-1 dan memiliki kemampuan yang Cukup menguasai pada kompetensi KD Pengetahuan-3</v>
      </c>
      <c r="K216" s="179" t="str">
        <f>IF(PA!AI215="","",PA!AI215)</f>
        <v/>
      </c>
      <c r="L216" s="179" t="str">
        <f>IF(PA!AJ215="","",PA!AJ215)</f>
        <v/>
      </c>
      <c r="M216" s="182" t="str">
        <f>IF(PA!AQ215="","",PA!AQ215)</f>
        <v/>
      </c>
      <c r="N216" s="242"/>
    </row>
    <row r="217" spans="1:14" ht="15" customHeight="1" x14ac:dyDescent="0.3">
      <c r="A217" s="242"/>
      <c r="B217" s="424">
        <f>Data!E211</f>
        <v>7</v>
      </c>
      <c r="C217" s="249" t="str">
        <f>IF(Data!F211="","",Data!F211)</f>
        <v>03652</v>
      </c>
      <c r="D217" s="250" t="str">
        <f>IF(Data!H211="","",Data!H211)</f>
        <v>Chika Ramadhani Nur Khomariyah</v>
      </c>
      <c r="E217" s="249" t="str">
        <f>IF(Data!I211="","",Data!I211)</f>
        <v>Perempuan</v>
      </c>
      <c r="F217" s="249" t="str">
        <f>Data!J211</f>
        <v>VIII-F</v>
      </c>
      <c r="G217" s="197"/>
      <c r="H217" s="178" t="str">
        <f>IF(PA!R216="","",PA!R216)</f>
        <v/>
      </c>
      <c r="I217" s="179" t="str">
        <f>IF(PA!S216="","",PA!S216)</f>
        <v/>
      </c>
      <c r="J217" s="182" t="str">
        <f>IF(PA!Z216="","",PA!Z216)</f>
        <v>Mempunyai kemampuan yang Cukup Menguasai dalam kompetensi KD Pengetahuan-2 dan kompetensi KD Pengetahuan-5</v>
      </c>
      <c r="K217" s="179" t="str">
        <f>IF(PA!AI216="","",PA!AI216)</f>
        <v/>
      </c>
      <c r="L217" s="179" t="str">
        <f>IF(PA!AJ216="","",PA!AJ216)</f>
        <v/>
      </c>
      <c r="M217" s="182" t="str">
        <f>IF(PA!AQ216="","",PA!AQ216)</f>
        <v/>
      </c>
      <c r="N217" s="242"/>
    </row>
    <row r="218" spans="1:14" ht="15" customHeight="1" x14ac:dyDescent="0.3">
      <c r="A218" s="242"/>
      <c r="B218" s="424">
        <f>Data!E212</f>
        <v>8</v>
      </c>
      <c r="C218" s="249" t="str">
        <f>IF(Data!F212="","",Data!F212)</f>
        <v>03665</v>
      </c>
      <c r="D218" s="250" t="str">
        <f>IF(Data!H212="","",Data!H212)</f>
        <v>Dwi Astutik</v>
      </c>
      <c r="E218" s="249" t="str">
        <f>IF(Data!I212="","",Data!I212)</f>
        <v>Perempuan</v>
      </c>
      <c r="F218" s="249" t="str">
        <f>Data!J212</f>
        <v>VIII-F</v>
      </c>
      <c r="G218" s="197"/>
      <c r="H218" s="178" t="str">
        <f>IF(PA!R217="","",PA!R217)</f>
        <v/>
      </c>
      <c r="I218" s="179" t="str">
        <f>IF(PA!S217="","",PA!S217)</f>
        <v/>
      </c>
      <c r="J218" s="182" t="str">
        <f>IF(PA!Z217="","",PA!Z217)</f>
        <v>Mempunyai kemampuan yang Sangat Baik dalam kompetensi KD Pengetahuan-1 dan memiliki kemampuan yang Cukup menguasai pada kompetensi KD Pengetahuan-4</v>
      </c>
      <c r="K218" s="179" t="str">
        <f>IF(PA!AI217="","",PA!AI217)</f>
        <v/>
      </c>
      <c r="L218" s="179" t="str">
        <f>IF(PA!AJ217="","",PA!AJ217)</f>
        <v/>
      </c>
      <c r="M218" s="182" t="str">
        <f>IF(PA!AQ217="","",PA!AQ217)</f>
        <v/>
      </c>
      <c r="N218" s="242"/>
    </row>
    <row r="219" spans="1:14" ht="15" customHeight="1" x14ac:dyDescent="0.3">
      <c r="A219" s="242"/>
      <c r="B219" s="424">
        <f>Data!E213</f>
        <v>9</v>
      </c>
      <c r="C219" s="249" t="str">
        <f>IF(Data!F213="","",Data!F213)</f>
        <v>03669</v>
      </c>
      <c r="D219" s="250" t="str">
        <f>IF(Data!H213="","",Data!H213)</f>
        <v>Fatimatuz Zahro Fina Ramadani</v>
      </c>
      <c r="E219" s="249" t="str">
        <f>IF(Data!I213="","",Data!I213)</f>
        <v>Perempuan</v>
      </c>
      <c r="F219" s="249" t="str">
        <f>Data!J213</f>
        <v>VIII-F</v>
      </c>
      <c r="G219" s="197"/>
      <c r="H219" s="178" t="str">
        <f>IF(PA!R218="","",PA!R218)</f>
        <v/>
      </c>
      <c r="I219" s="179" t="str">
        <f>IF(PA!S218="","",PA!S218)</f>
        <v/>
      </c>
      <c r="J219" s="182" t="str">
        <f>IF(PA!Z218="","",PA!Z218)</f>
        <v>Mempunyai kemampuan yang Baik dalam kompetensi KD Pengetahuan-2 dan memiliki kemampuan yang Cukup menguasai pada kompetensi KD Pengetahuan-5</v>
      </c>
      <c r="K219" s="179" t="str">
        <f>IF(PA!AI218="","",PA!AI218)</f>
        <v/>
      </c>
      <c r="L219" s="179" t="str">
        <f>IF(PA!AJ218="","",PA!AJ218)</f>
        <v/>
      </c>
      <c r="M219" s="182" t="str">
        <f>IF(PA!AQ218="","",PA!AQ218)</f>
        <v/>
      </c>
      <c r="N219" s="242"/>
    </row>
    <row r="220" spans="1:14" ht="15" customHeight="1" x14ac:dyDescent="0.3">
      <c r="A220" s="242"/>
      <c r="B220" s="424">
        <f>Data!E214</f>
        <v>10</v>
      </c>
      <c r="C220" s="249" t="str">
        <f>IF(Data!F214="","",Data!F214)</f>
        <v>03674</v>
      </c>
      <c r="D220" s="250" t="str">
        <f>IF(Data!H214="","",Data!H214)</f>
        <v>Hikmatul Aulya</v>
      </c>
      <c r="E220" s="249" t="str">
        <f>IF(Data!I214="","",Data!I214)</f>
        <v>Perempuan</v>
      </c>
      <c r="F220" s="249" t="str">
        <f>Data!J214</f>
        <v>VIII-F</v>
      </c>
      <c r="G220" s="197"/>
      <c r="H220" s="178" t="str">
        <f>IF(PA!R219="","",PA!R219)</f>
        <v/>
      </c>
      <c r="I220" s="179" t="str">
        <f>IF(PA!S219="","",PA!S219)</f>
        <v/>
      </c>
      <c r="J220" s="182" t="str">
        <f>IF(PA!Z219="","",PA!Z219)</f>
        <v>Mempunyai kemampuan yang Baik dalam kompetensi KD Pengetahuan-2 dan memiliki kemampuan yang Cukup menguasai pada kompetensi KD Pengetahuan-5</v>
      </c>
      <c r="K220" s="179" t="str">
        <f>IF(PA!AI219="","",PA!AI219)</f>
        <v/>
      </c>
      <c r="L220" s="179" t="str">
        <f>IF(PA!AJ219="","",PA!AJ219)</f>
        <v/>
      </c>
      <c r="M220" s="182" t="str">
        <f>IF(PA!AQ219="","",PA!AQ219)</f>
        <v/>
      </c>
      <c r="N220" s="242"/>
    </row>
    <row r="221" spans="1:14" ht="15" customHeight="1" x14ac:dyDescent="0.3">
      <c r="A221" s="242"/>
      <c r="B221" s="424">
        <f>Data!E215</f>
        <v>11</v>
      </c>
      <c r="C221" s="249" t="str">
        <f>IF(Data!F215="","",Data!F215)</f>
        <v>03682</v>
      </c>
      <c r="D221" s="250" t="str">
        <f>IF(Data!H215="","",Data!H215)</f>
        <v>Kenes Zenobia Rahmawan</v>
      </c>
      <c r="E221" s="249" t="str">
        <f>IF(Data!I215="","",Data!I215)</f>
        <v>Perempuan</v>
      </c>
      <c r="F221" s="249" t="str">
        <f>Data!J215</f>
        <v>VIII-F</v>
      </c>
      <c r="G221" s="197"/>
      <c r="H221" s="178" t="str">
        <f>IF(PA!R220="","",PA!R220)</f>
        <v/>
      </c>
      <c r="I221" s="179" t="str">
        <f>IF(PA!S220="","",PA!S220)</f>
        <v/>
      </c>
      <c r="J221" s="182" t="str">
        <f>IF(PA!Z220="","",PA!Z220)</f>
        <v>Mempunyai kemampuan yang Baik dalam kompetensi KD Pengetahuan-2 dan memiliki kemampuan yang Cukup menguasai pada kompetensi KD Pengetahuan-4</v>
      </c>
      <c r="K221" s="179" t="str">
        <f>IF(PA!AI220="","",PA!AI220)</f>
        <v/>
      </c>
      <c r="L221" s="179" t="str">
        <f>IF(PA!AJ220="","",PA!AJ220)</f>
        <v/>
      </c>
      <c r="M221" s="182" t="str">
        <f>IF(PA!AQ220="","",PA!AQ220)</f>
        <v/>
      </c>
      <c r="N221" s="242"/>
    </row>
    <row r="222" spans="1:14" ht="15" customHeight="1" x14ac:dyDescent="0.3">
      <c r="A222" s="242"/>
      <c r="B222" s="424">
        <f>Data!E216</f>
        <v>12</v>
      </c>
      <c r="C222" s="249" t="str">
        <f>IF(Data!F216="","",Data!F216)</f>
        <v>03684</v>
      </c>
      <c r="D222" s="250" t="str">
        <f>IF(Data!H216="","",Data!H216)</f>
        <v>Kheina Nadia Rahmania</v>
      </c>
      <c r="E222" s="249" t="str">
        <f>IF(Data!I216="","",Data!I216)</f>
        <v>Perempuan</v>
      </c>
      <c r="F222" s="249" t="str">
        <f>Data!J216</f>
        <v>VIII-F</v>
      </c>
      <c r="G222" s="197"/>
      <c r="H222" s="178" t="str">
        <f>IF(PA!R221="","",PA!R221)</f>
        <v/>
      </c>
      <c r="I222" s="179" t="str">
        <f>IF(PA!S221="","",PA!S221)</f>
        <v/>
      </c>
      <c r="J222" s="182" t="str">
        <f>IF(PA!Z221="","",PA!Z221)</f>
        <v>Mempunyai kemampuan yang Cukup Menguasai dalam kompetensi KD Pengetahuan-1 dan kompetensi KD Pengetahuan-5</v>
      </c>
      <c r="K222" s="179" t="str">
        <f>IF(PA!AI221="","",PA!AI221)</f>
        <v/>
      </c>
      <c r="L222" s="179" t="str">
        <f>IF(PA!AJ221="","",PA!AJ221)</f>
        <v/>
      </c>
      <c r="M222" s="182" t="str">
        <f>IF(PA!AQ221="","",PA!AQ221)</f>
        <v/>
      </c>
      <c r="N222" s="242"/>
    </row>
    <row r="223" spans="1:14" ht="15" customHeight="1" x14ac:dyDescent="0.3">
      <c r="A223" s="242"/>
      <c r="B223" s="424">
        <f>Data!E217</f>
        <v>13</v>
      </c>
      <c r="C223" s="249" t="str">
        <f>IF(Data!F217="","",Data!F217)</f>
        <v>03686</v>
      </c>
      <c r="D223" s="250" t="str">
        <f>IF(Data!H217="","",Data!H217)</f>
        <v>Kholishotul Mahmudah</v>
      </c>
      <c r="E223" s="249" t="str">
        <f>IF(Data!I217="","",Data!I217)</f>
        <v>Perempuan</v>
      </c>
      <c r="F223" s="249" t="str">
        <f>Data!J217</f>
        <v>VIII-F</v>
      </c>
      <c r="G223" s="197"/>
      <c r="H223" s="178" t="str">
        <f>IF(PA!R222="","",PA!R222)</f>
        <v/>
      </c>
      <c r="I223" s="179" t="str">
        <f>IF(PA!S222="","",PA!S222)</f>
        <v/>
      </c>
      <c r="J223" s="182" t="str">
        <f>IF(PA!Z222="","",PA!Z222)</f>
        <v>Mempunyai kemampuan yang Baik dalam kompetensi KD Pengetahuan-1 dan memiliki kemampuan yang Cukup menguasai pada kompetensi KD Pengetahuan-5</v>
      </c>
      <c r="K223" s="179" t="str">
        <f>IF(PA!AI222="","",PA!AI222)</f>
        <v/>
      </c>
      <c r="L223" s="179" t="str">
        <f>IF(PA!AJ222="","",PA!AJ222)</f>
        <v/>
      </c>
      <c r="M223" s="182" t="str">
        <f>IF(PA!AQ222="","",PA!AQ222)</f>
        <v/>
      </c>
      <c r="N223" s="242"/>
    </row>
    <row r="224" spans="1:14" ht="15" customHeight="1" x14ac:dyDescent="0.3">
      <c r="A224" s="242"/>
      <c r="B224" s="424">
        <f>Data!E218</f>
        <v>14</v>
      </c>
      <c r="C224" s="249" t="str">
        <f>IF(Data!F218="","",Data!F218)</f>
        <v>03689</v>
      </c>
      <c r="D224" s="250" t="str">
        <f>IF(Data!H218="","",Data!H218)</f>
        <v>Laylatul Nurjana</v>
      </c>
      <c r="E224" s="249" t="str">
        <f>IF(Data!I218="","",Data!I218)</f>
        <v>Perempuan</v>
      </c>
      <c r="F224" s="249" t="str">
        <f>Data!J218</f>
        <v>VIII-F</v>
      </c>
      <c r="G224" s="197"/>
      <c r="H224" s="178" t="str">
        <f>IF(PA!R223="","",PA!R223)</f>
        <v/>
      </c>
      <c r="I224" s="179" t="str">
        <f>IF(PA!S223="","",PA!S223)</f>
        <v/>
      </c>
      <c r="J224" s="182" t="str">
        <f>IF(PA!Z223="","",PA!Z223)</f>
        <v>Mempunyai kemampuan yang Baik dalam kompetensi KD Pengetahuan-2 dan memiliki kemampuan yang Cukup menguasai pada kompetensi KD Pengetahuan-4</v>
      </c>
      <c r="K224" s="179" t="str">
        <f>IF(PA!AI223="","",PA!AI223)</f>
        <v/>
      </c>
      <c r="L224" s="179" t="str">
        <f>IF(PA!AJ223="","",PA!AJ223)</f>
        <v/>
      </c>
      <c r="M224" s="182" t="str">
        <f>IF(PA!AQ223="","",PA!AQ223)</f>
        <v/>
      </c>
      <c r="N224" s="242"/>
    </row>
    <row r="225" spans="1:14" ht="15" customHeight="1" x14ac:dyDescent="0.3">
      <c r="A225" s="242"/>
      <c r="B225" s="424">
        <f>Data!E219</f>
        <v>15</v>
      </c>
      <c r="C225" s="249" t="str">
        <f>IF(Data!F219="","",Data!F219)</f>
        <v>03700</v>
      </c>
      <c r="D225" s="250" t="str">
        <f>IF(Data!H219="","",Data!H219)</f>
        <v>Nadhira Rahma Fitriyana</v>
      </c>
      <c r="E225" s="249" t="str">
        <f>IF(Data!I219="","",Data!I219)</f>
        <v>Perempuan</v>
      </c>
      <c r="F225" s="249" t="str">
        <f>Data!J219</f>
        <v>VIII-F</v>
      </c>
      <c r="G225" s="197"/>
      <c r="H225" s="178" t="str">
        <f>IF(PA!R224="","",PA!R224)</f>
        <v/>
      </c>
      <c r="I225" s="179" t="str">
        <f>IF(PA!S224="","",PA!S224)</f>
        <v/>
      </c>
      <c r="J225" s="182" t="str">
        <f>IF(PA!Z224="","",PA!Z224)</f>
        <v>Mempunyai kemampuan yang Baik dalam kompetensi KD Pengetahuan-1 dan memiliki kemampuan yang Cukup menguasai pada kompetensi KD Pengetahuan-3</v>
      </c>
      <c r="K225" s="179" t="str">
        <f>IF(PA!AI224="","",PA!AI224)</f>
        <v/>
      </c>
      <c r="L225" s="179" t="str">
        <f>IF(PA!AJ224="","",PA!AJ224)</f>
        <v/>
      </c>
      <c r="M225" s="182" t="str">
        <f>IF(PA!AQ224="","",PA!AQ224)</f>
        <v/>
      </c>
      <c r="N225" s="242"/>
    </row>
    <row r="226" spans="1:14" ht="15" customHeight="1" x14ac:dyDescent="0.3">
      <c r="A226" s="242"/>
      <c r="B226" s="424">
        <f>Data!E220</f>
        <v>16</v>
      </c>
      <c r="C226" s="249" t="str">
        <f>IF(Data!F220="","",Data!F220)</f>
        <v>03701</v>
      </c>
      <c r="D226" s="250" t="str">
        <f>IF(Data!H220="","",Data!H220)</f>
        <v>Nadila Ayu Febryana Putrianata</v>
      </c>
      <c r="E226" s="249" t="str">
        <f>IF(Data!I220="","",Data!I220)</f>
        <v>Perempuan</v>
      </c>
      <c r="F226" s="249" t="str">
        <f>Data!J220</f>
        <v>VIII-F</v>
      </c>
      <c r="G226" s="197"/>
      <c r="H226" s="178" t="str">
        <f>IF(PA!R225="","",PA!R225)</f>
        <v/>
      </c>
      <c r="I226" s="179" t="str">
        <f>IF(PA!S225="","",PA!S225)</f>
        <v/>
      </c>
      <c r="J226" s="182" t="str">
        <f>IF(PA!Z225="","",PA!Z225)</f>
        <v>Mempunyai kemampuan yang Baik dalam kompetensi KD Pengetahuan-2 dan memiliki kemampuan yang Cukup menguasai pada kompetensi KD Pengetahuan-4</v>
      </c>
      <c r="K226" s="179" t="str">
        <f>IF(PA!AI225="","",PA!AI225)</f>
        <v/>
      </c>
      <c r="L226" s="179" t="str">
        <f>IF(PA!AJ225="","",PA!AJ225)</f>
        <v/>
      </c>
      <c r="M226" s="182" t="str">
        <f>IF(PA!AQ225="","",PA!AQ225)</f>
        <v/>
      </c>
      <c r="N226" s="242"/>
    </row>
    <row r="227" spans="1:14" ht="15" customHeight="1" x14ac:dyDescent="0.3">
      <c r="A227" s="242"/>
      <c r="B227" s="424">
        <f>Data!E221</f>
        <v>17</v>
      </c>
      <c r="C227" s="249" t="str">
        <f>IF(Data!F221="","",Data!F221)</f>
        <v>03703</v>
      </c>
      <c r="D227" s="250" t="str">
        <f>IF(Data!H221="","",Data!H221)</f>
        <v>Nailatul Rijciya</v>
      </c>
      <c r="E227" s="249" t="str">
        <f>IF(Data!I221="","",Data!I221)</f>
        <v>Perempuan</v>
      </c>
      <c r="F227" s="249" t="str">
        <f>Data!J221</f>
        <v>VIII-F</v>
      </c>
      <c r="G227" s="197"/>
      <c r="H227" s="178" t="str">
        <f>IF(PA!R226="","",PA!R226)</f>
        <v/>
      </c>
      <c r="I227" s="179" t="str">
        <f>IF(PA!S226="","",PA!S226)</f>
        <v/>
      </c>
      <c r="J227" s="182" t="str">
        <f>IF(PA!Z226="","",PA!Z226)</f>
        <v>Mempunyai kemampuan yang Cukup Menguasai dalam kompetensi KD Pengetahuan-1 dan kompetensi KD Pengetahuan-4</v>
      </c>
      <c r="K227" s="179" t="str">
        <f>IF(PA!AI226="","",PA!AI226)</f>
        <v/>
      </c>
      <c r="L227" s="179" t="str">
        <f>IF(PA!AJ226="","",PA!AJ226)</f>
        <v/>
      </c>
      <c r="M227" s="182" t="str">
        <f>IF(PA!AQ226="","",PA!AQ226)</f>
        <v/>
      </c>
      <c r="N227" s="242"/>
    </row>
    <row r="228" spans="1:14" ht="15" customHeight="1" x14ac:dyDescent="0.3">
      <c r="A228" s="242"/>
      <c r="B228" s="424">
        <f>Data!E222</f>
        <v>18</v>
      </c>
      <c r="C228" s="249" t="str">
        <f>IF(Data!F222="","",Data!F222)</f>
        <v>03704</v>
      </c>
      <c r="D228" s="250" t="str">
        <f>IF(Data!H222="","",Data!H222)</f>
        <v>Najwa Asyila Salsabila</v>
      </c>
      <c r="E228" s="249" t="str">
        <f>IF(Data!I222="","",Data!I222)</f>
        <v>Perempuan</v>
      </c>
      <c r="F228" s="249" t="str">
        <f>Data!J222</f>
        <v>VIII-F</v>
      </c>
      <c r="G228" s="197"/>
      <c r="H228" s="178" t="str">
        <f>IF(PA!R227="","",PA!R227)</f>
        <v/>
      </c>
      <c r="I228" s="179" t="str">
        <f>IF(PA!S227="","",PA!S227)</f>
        <v/>
      </c>
      <c r="J228" s="182" t="str">
        <f>IF(PA!Z227="","",PA!Z227)</f>
        <v>Mempunyai kemampuan yang Baik dalam kompetensi KD Pengetahuan-2 dan memiliki kemampuan yang Cukup menguasai pada kompetensi KD Pengetahuan-4</v>
      </c>
      <c r="K228" s="179" t="str">
        <f>IF(PA!AI227="","",PA!AI227)</f>
        <v/>
      </c>
      <c r="L228" s="179" t="str">
        <f>IF(PA!AJ227="","",PA!AJ227)</f>
        <v/>
      </c>
      <c r="M228" s="182" t="str">
        <f>IF(PA!AQ227="","",PA!AQ227)</f>
        <v/>
      </c>
      <c r="N228" s="242"/>
    </row>
    <row r="229" spans="1:14" ht="15" customHeight="1" x14ac:dyDescent="0.3">
      <c r="A229" s="242"/>
      <c r="B229" s="424">
        <f>Data!E223</f>
        <v>19</v>
      </c>
      <c r="C229" s="249" t="str">
        <f>IF(Data!F223="","",Data!F223)</f>
        <v>03706</v>
      </c>
      <c r="D229" s="250" t="str">
        <f>IF(Data!H223="","",Data!H223)</f>
        <v>Natasya Elina Putri</v>
      </c>
      <c r="E229" s="249" t="str">
        <f>IF(Data!I223="","",Data!I223)</f>
        <v>Perempuan</v>
      </c>
      <c r="F229" s="249" t="str">
        <f>Data!J223</f>
        <v>VIII-F</v>
      </c>
      <c r="G229" s="197"/>
      <c r="H229" s="178" t="str">
        <f>IF(PA!R228="","",PA!R228)</f>
        <v/>
      </c>
      <c r="I229" s="179" t="str">
        <f>IF(PA!S228="","",PA!S228)</f>
        <v/>
      </c>
      <c r="J229" s="182" t="str">
        <f>IF(PA!Z228="","",PA!Z228)</f>
        <v>Mempunyai kemampuan yang Baik dalam kompetensi KD Pengetahuan-1 dan memiliki kemampuan yang Cukup menguasai pada kompetensi KD Pengetahuan-5</v>
      </c>
      <c r="K229" s="179" t="str">
        <f>IF(PA!AI228="","",PA!AI228)</f>
        <v/>
      </c>
      <c r="L229" s="179" t="str">
        <f>IF(PA!AJ228="","",PA!AJ228)</f>
        <v/>
      </c>
      <c r="M229" s="182" t="str">
        <f>IF(PA!AQ228="","",PA!AQ228)</f>
        <v/>
      </c>
      <c r="N229" s="242"/>
    </row>
    <row r="230" spans="1:14" ht="15" customHeight="1" x14ac:dyDescent="0.3">
      <c r="A230" s="242"/>
      <c r="B230" s="424">
        <f>Data!E224</f>
        <v>20</v>
      </c>
      <c r="C230" s="249" t="str">
        <f>IF(Data!F224="","",Data!F224)</f>
        <v>03712</v>
      </c>
      <c r="D230" s="250" t="str">
        <f>IF(Data!H224="","",Data!H224)</f>
        <v>Niken Maulia Ambarwati</v>
      </c>
      <c r="E230" s="249" t="str">
        <f>IF(Data!I224="","",Data!I224)</f>
        <v>Perempuan</v>
      </c>
      <c r="F230" s="249" t="str">
        <f>Data!J224</f>
        <v>VIII-F</v>
      </c>
      <c r="G230" s="197"/>
      <c r="H230" s="178" t="str">
        <f>IF(PA!R229="","",PA!R229)</f>
        <v/>
      </c>
      <c r="I230" s="179" t="str">
        <f>IF(PA!S229="","",PA!S229)</f>
        <v/>
      </c>
      <c r="J230" s="182" t="str">
        <f>IF(PA!Z229="","",PA!Z229)</f>
        <v>Mempunyai kemampuan yang Baik dalam kompetensi KD Pengetahuan-2 dan memiliki kemampuan yang Cukup menguasai pada kompetensi KD Pengetahuan-5</v>
      </c>
      <c r="K230" s="179" t="str">
        <f>IF(PA!AI229="","",PA!AI229)</f>
        <v/>
      </c>
      <c r="L230" s="179" t="str">
        <f>IF(PA!AJ229="","",PA!AJ229)</f>
        <v/>
      </c>
      <c r="M230" s="182" t="str">
        <f>IF(PA!AQ229="","",PA!AQ229)</f>
        <v/>
      </c>
      <c r="N230" s="242"/>
    </row>
    <row r="231" spans="1:14" ht="15" customHeight="1" x14ac:dyDescent="0.3">
      <c r="A231" s="242"/>
      <c r="B231" s="424">
        <f>Data!E225</f>
        <v>21</v>
      </c>
      <c r="C231" s="249" t="str">
        <f>IF(Data!F225="","",Data!F225)</f>
        <v>03715</v>
      </c>
      <c r="D231" s="250" t="str">
        <f>IF(Data!H225="","",Data!H225)</f>
        <v>Nuris Fatimatu Zahra</v>
      </c>
      <c r="E231" s="249" t="str">
        <f>IF(Data!I225="","",Data!I225)</f>
        <v>Perempuan</v>
      </c>
      <c r="F231" s="249" t="str">
        <f>Data!J225</f>
        <v>VIII-F</v>
      </c>
      <c r="G231" s="197"/>
      <c r="H231" s="178" t="str">
        <f>IF(PA!R230="","",PA!R230)</f>
        <v/>
      </c>
      <c r="I231" s="179" t="str">
        <f>IF(PA!S230="","",PA!S230)</f>
        <v/>
      </c>
      <c r="J231" s="182" t="str">
        <f>IF(PA!Z230="","",PA!Z230)</f>
        <v>Mempunyai kemampuan yang Baik dalam kompetensi KD Pengetahuan-4 dan memiliki kemampuan yang Cukup menguasai pada kompetensi KD Pengetahuan-5</v>
      </c>
      <c r="K231" s="179" t="str">
        <f>IF(PA!AI230="","",PA!AI230)</f>
        <v/>
      </c>
      <c r="L231" s="179" t="str">
        <f>IF(PA!AJ230="","",PA!AJ230)</f>
        <v/>
      </c>
      <c r="M231" s="182" t="str">
        <f>IF(PA!AQ230="","",PA!AQ230)</f>
        <v/>
      </c>
      <c r="N231" s="242"/>
    </row>
    <row r="232" spans="1:14" ht="15" customHeight="1" x14ac:dyDescent="0.3">
      <c r="A232" s="242"/>
      <c r="B232" s="424">
        <f>Data!E226</f>
        <v>22</v>
      </c>
      <c r="C232" s="249" t="str">
        <f>IF(Data!F226="","",Data!F226)</f>
        <v>03717</v>
      </c>
      <c r="D232" s="250" t="str">
        <f>IF(Data!H226="","",Data!H226)</f>
        <v>Rianti Yomi Dwi Admaja</v>
      </c>
      <c r="E232" s="249" t="str">
        <f>IF(Data!I226="","",Data!I226)</f>
        <v>Perempuan</v>
      </c>
      <c r="F232" s="249" t="str">
        <f>Data!J226</f>
        <v>VIII-F</v>
      </c>
      <c r="G232" s="197"/>
      <c r="H232" s="178" t="str">
        <f>IF(PA!R231="","",PA!R231)</f>
        <v/>
      </c>
      <c r="I232" s="179" t="str">
        <f>IF(PA!S231="","",PA!S231)</f>
        <v/>
      </c>
      <c r="J232" s="182" t="str">
        <f>IF(PA!Z231="","",PA!Z231)</f>
        <v>Mempunyai kemampuan yang Baik dalam kompetensi KD Pengetahuan-5 dan memiliki kemampuan yang Cukup menguasai pada kompetensi KD Pengetahuan-2</v>
      </c>
      <c r="K232" s="179" t="str">
        <f>IF(PA!AI231="","",PA!AI231)</f>
        <v/>
      </c>
      <c r="L232" s="179" t="str">
        <f>IF(PA!AJ231="","",PA!AJ231)</f>
        <v/>
      </c>
      <c r="M232" s="182" t="str">
        <f>IF(PA!AQ231="","",PA!AQ231)</f>
        <v/>
      </c>
      <c r="N232" s="242"/>
    </row>
    <row r="233" spans="1:14" ht="15" customHeight="1" x14ac:dyDescent="0.3">
      <c r="A233" s="242"/>
      <c r="B233" s="424">
        <f>Data!E227</f>
        <v>23</v>
      </c>
      <c r="C233" s="249" t="str">
        <f>IF(Data!F227="","",Data!F227)</f>
        <v>03718</v>
      </c>
      <c r="D233" s="250" t="str">
        <f>IF(Data!H227="","",Data!H227)</f>
        <v>Rosyidatul Marwa Nurin Najwa</v>
      </c>
      <c r="E233" s="249" t="str">
        <f>IF(Data!I227="","",Data!I227)</f>
        <v>Perempuan</v>
      </c>
      <c r="F233" s="249" t="str">
        <f>Data!J227</f>
        <v>VIII-F</v>
      </c>
      <c r="G233" s="197"/>
      <c r="H233" s="178" t="str">
        <f>IF(PA!R232="","",PA!R232)</f>
        <v/>
      </c>
      <c r="I233" s="179" t="str">
        <f>IF(PA!S232="","",PA!S232)</f>
        <v/>
      </c>
      <c r="J233" s="182" t="str">
        <f>IF(PA!Z232="","",PA!Z232)</f>
        <v>Mempunyai kemampuan yang Cukup Menguasai dalam kompetensi KD Pengetahuan-5 dan kompetensi KD Pengetahuan-3</v>
      </c>
      <c r="K233" s="179" t="str">
        <f>IF(PA!AI232="","",PA!AI232)</f>
        <v/>
      </c>
      <c r="L233" s="179" t="str">
        <f>IF(PA!AJ232="","",PA!AJ232)</f>
        <v/>
      </c>
      <c r="M233" s="182" t="str">
        <f>IF(PA!AQ232="","",PA!AQ232)</f>
        <v/>
      </c>
      <c r="N233" s="242"/>
    </row>
    <row r="234" spans="1:14" ht="15" customHeight="1" x14ac:dyDescent="0.3">
      <c r="A234" s="242"/>
      <c r="B234" s="424">
        <f>Data!E228</f>
        <v>24</v>
      </c>
      <c r="C234" s="249" t="str">
        <f>IF(Data!F228="","",Data!F228)</f>
        <v>03722</v>
      </c>
      <c r="D234" s="250" t="str">
        <f>IF(Data!H228="","",Data!H228)</f>
        <v>Savira Dwi Anggraeny</v>
      </c>
      <c r="E234" s="249" t="str">
        <f>IF(Data!I228="","",Data!I228)</f>
        <v>Perempuan</v>
      </c>
      <c r="F234" s="249" t="str">
        <f>Data!J228</f>
        <v>VIII-F</v>
      </c>
      <c r="G234" s="197"/>
      <c r="H234" s="178" t="str">
        <f>IF(PA!R233="","",PA!R233)</f>
        <v/>
      </c>
      <c r="I234" s="179" t="str">
        <f>IF(PA!S233="","",PA!S233)</f>
        <v/>
      </c>
      <c r="J234" s="182" t="str">
        <f>IF(PA!Z233="","",PA!Z233)</f>
        <v>Mempunyai kemampuan yang Baik dalam kompetensi KD Pengetahuan-1 dan memiliki kemampuan yang Cukup menguasai pada kompetensi KD Pengetahuan-4</v>
      </c>
      <c r="K234" s="179" t="str">
        <f>IF(PA!AI233="","",PA!AI233)</f>
        <v/>
      </c>
      <c r="L234" s="179" t="str">
        <f>IF(PA!AJ233="","",PA!AJ233)</f>
        <v/>
      </c>
      <c r="M234" s="182" t="str">
        <f>IF(PA!AQ233="","",PA!AQ233)</f>
        <v/>
      </c>
      <c r="N234" s="242"/>
    </row>
    <row r="235" spans="1:14" ht="15" customHeight="1" x14ac:dyDescent="0.3">
      <c r="A235" s="242"/>
      <c r="B235" s="424">
        <f>Data!E229</f>
        <v>25</v>
      </c>
      <c r="C235" s="249" t="str">
        <f>IF(Data!F229="","",Data!F229)</f>
        <v>03723</v>
      </c>
      <c r="D235" s="250" t="str">
        <f>IF(Data!H229="","",Data!H229)</f>
        <v>Sekar Indriyani Saputra</v>
      </c>
      <c r="E235" s="249" t="str">
        <f>IF(Data!I229="","",Data!I229)</f>
        <v>Perempuan</v>
      </c>
      <c r="F235" s="249" t="str">
        <f>Data!J229</f>
        <v>VIII-F</v>
      </c>
      <c r="G235" s="197"/>
      <c r="H235" s="178" t="str">
        <f>IF(PA!R234="","",PA!R234)</f>
        <v/>
      </c>
      <c r="I235" s="179" t="str">
        <f>IF(PA!S234="","",PA!S234)</f>
        <v/>
      </c>
      <c r="J235" s="182" t="str">
        <f>IF(PA!Z234="","",PA!Z234)</f>
        <v>Mempunyai kemampuan yang Sangat Baik dalam kompetensi KD Pengetahuan-1 dan memiliki kemampuan yang Cukup menguasai pada kompetensi KD Pengetahuan-4</v>
      </c>
      <c r="K235" s="179" t="str">
        <f>IF(PA!AI234="","",PA!AI234)</f>
        <v/>
      </c>
      <c r="L235" s="179" t="str">
        <f>IF(PA!AJ234="","",PA!AJ234)</f>
        <v/>
      </c>
      <c r="M235" s="182" t="str">
        <f>IF(PA!AQ234="","",PA!AQ234)</f>
        <v/>
      </c>
      <c r="N235" s="242"/>
    </row>
    <row r="236" spans="1:14" ht="15" customHeight="1" x14ac:dyDescent="0.3">
      <c r="A236" s="242"/>
      <c r="B236" s="424">
        <f>Data!E230</f>
        <v>26</v>
      </c>
      <c r="C236" s="249" t="str">
        <f>IF(Data!F230="","",Data!F230)</f>
        <v>03726</v>
      </c>
      <c r="D236" s="250" t="str">
        <f>IF(Data!H230="","",Data!H230)</f>
        <v>Siti Eriana Erika Lailiyah</v>
      </c>
      <c r="E236" s="249" t="str">
        <f>IF(Data!I230="","",Data!I230)</f>
        <v>Perempuan</v>
      </c>
      <c r="F236" s="249" t="str">
        <f>Data!J230</f>
        <v>VIII-F</v>
      </c>
      <c r="G236" s="197"/>
      <c r="H236" s="178" t="str">
        <f>IF(PA!R235="","",PA!R235)</f>
        <v/>
      </c>
      <c r="I236" s="179" t="str">
        <f>IF(PA!S235="","",PA!S235)</f>
        <v/>
      </c>
      <c r="J236" s="182" t="str">
        <f>IF(PA!Z235="","",PA!Z235)</f>
        <v>Mempunyai kemampuan yang Cukup Menguasai dalam kompetensi KD Pengetahuan-3 dan kompetensi KD Pengetahuan-4</v>
      </c>
      <c r="K236" s="179" t="str">
        <f>IF(PA!AI235="","",PA!AI235)</f>
        <v/>
      </c>
      <c r="L236" s="179" t="str">
        <f>IF(PA!AJ235="","",PA!AJ235)</f>
        <v/>
      </c>
      <c r="M236" s="182" t="str">
        <f>IF(PA!AQ235="","",PA!AQ235)</f>
        <v/>
      </c>
      <c r="N236" s="242"/>
    </row>
    <row r="237" spans="1:14" ht="15" customHeight="1" x14ac:dyDescent="0.3">
      <c r="A237" s="242"/>
      <c r="B237" s="424">
        <f>Data!E231</f>
        <v>27</v>
      </c>
      <c r="C237" s="249" t="str">
        <f>IF(Data!F231="","",Data!F231)</f>
        <v>03727</v>
      </c>
      <c r="D237" s="250" t="str">
        <f>IF(Data!H231="","",Data!H231)</f>
        <v>Siti Fatmawati</v>
      </c>
      <c r="E237" s="249" t="str">
        <f>IF(Data!I231="","",Data!I231)</f>
        <v>Perempuan</v>
      </c>
      <c r="F237" s="249" t="str">
        <f>Data!J231</f>
        <v>VIII-F</v>
      </c>
      <c r="G237" s="197"/>
      <c r="H237" s="178" t="str">
        <f>IF(PA!R236="","",PA!R236)</f>
        <v/>
      </c>
      <c r="I237" s="179" t="str">
        <f>IF(PA!S236="","",PA!S236)</f>
        <v/>
      </c>
      <c r="J237" s="182" t="str">
        <f>IF(PA!Z236="","",PA!Z236)</f>
        <v>Mempunyai kemampuan yang Baik dalam kompetensi KD Pengetahuan-2 dan memiliki kemampuan yang Cukup menguasai pada kompetensi KD Pengetahuan-4</v>
      </c>
      <c r="K237" s="179" t="str">
        <f>IF(PA!AI236="","",PA!AI236)</f>
        <v/>
      </c>
      <c r="L237" s="179" t="str">
        <f>IF(PA!AJ236="","",PA!AJ236)</f>
        <v/>
      </c>
      <c r="M237" s="182" t="str">
        <f>IF(PA!AQ236="","",PA!AQ236)</f>
        <v/>
      </c>
      <c r="N237" s="242"/>
    </row>
    <row r="238" spans="1:14" ht="15" customHeight="1" x14ac:dyDescent="0.3">
      <c r="A238" s="242"/>
      <c r="B238" s="424">
        <f>Data!E232</f>
        <v>28</v>
      </c>
      <c r="C238" s="249" t="str">
        <f>IF(Data!F232="","",Data!F232)</f>
        <v>03734</v>
      </c>
      <c r="D238" s="250" t="str">
        <f>IF(Data!H232="","",Data!H232)</f>
        <v>Syakira Novia Neysilla</v>
      </c>
      <c r="E238" s="249" t="str">
        <f>IF(Data!I232="","",Data!I232)</f>
        <v>Perempuan</v>
      </c>
      <c r="F238" s="249" t="str">
        <f>Data!J232</f>
        <v>VIII-F</v>
      </c>
      <c r="G238" s="197"/>
      <c r="H238" s="178" t="str">
        <f>IF(PA!R237="","",PA!R237)</f>
        <v/>
      </c>
      <c r="I238" s="179" t="str">
        <f>IF(PA!S237="","",PA!S237)</f>
        <v/>
      </c>
      <c r="J238" s="182" t="str">
        <f>IF(PA!Z237="","",PA!Z237)</f>
        <v>Mempunyai kemampuan yang Baik dalam kompetensi KD Pengetahuan-1 dan memiliki kemampuan yang Cukup menguasai pada kompetensi KD Pengetahuan-4</v>
      </c>
      <c r="K238" s="179" t="str">
        <f>IF(PA!AI237="","",PA!AI237)</f>
        <v/>
      </c>
      <c r="L238" s="179" t="str">
        <f>IF(PA!AJ237="","",PA!AJ237)</f>
        <v/>
      </c>
      <c r="M238" s="182" t="str">
        <f>IF(PA!AQ237="","",PA!AQ237)</f>
        <v/>
      </c>
      <c r="N238" s="242"/>
    </row>
    <row r="239" spans="1:14" ht="15" customHeight="1" x14ac:dyDescent="0.3">
      <c r="A239" s="242"/>
      <c r="B239" s="424">
        <f>Data!E233</f>
        <v>29</v>
      </c>
      <c r="C239" s="249" t="str">
        <f>IF(Data!F233="","",Data!F233)</f>
        <v>03740</v>
      </c>
      <c r="D239" s="250" t="str">
        <f>IF(Data!H233="","",Data!H233)</f>
        <v>Wafirotun Naja</v>
      </c>
      <c r="E239" s="249" t="str">
        <f>IF(Data!I233="","",Data!I233)</f>
        <v>Perempuan</v>
      </c>
      <c r="F239" s="249" t="str">
        <f>Data!J233</f>
        <v>VIII-F</v>
      </c>
      <c r="G239" s="197"/>
      <c r="H239" s="178" t="str">
        <f>IF(PA!R238="","",PA!R238)</f>
        <v/>
      </c>
      <c r="I239" s="179" t="str">
        <f>IF(PA!S238="","",PA!S238)</f>
        <v/>
      </c>
      <c r="J239" s="182" t="str">
        <f>IF(PA!Z238="","",PA!Z238)</f>
        <v>Mempunyai kemampuan yang Baik dalam kompetensi KD Pengetahuan-2 dan memiliki kemampuan yang Cukup menguasai pada kompetensi KD Pengetahuan-4</v>
      </c>
      <c r="K239" s="179" t="str">
        <f>IF(PA!AI238="","",PA!AI238)</f>
        <v/>
      </c>
      <c r="L239" s="179" t="str">
        <f>IF(PA!AJ238="","",PA!AJ238)</f>
        <v/>
      </c>
      <c r="M239" s="182" t="str">
        <f>IF(PA!AQ238="","",PA!AQ238)</f>
        <v/>
      </c>
      <c r="N239" s="242"/>
    </row>
    <row r="240" spans="1:14" ht="15" customHeight="1" x14ac:dyDescent="0.3">
      <c r="A240" s="242"/>
      <c r="B240" s="424">
        <f>Data!E234</f>
        <v>30</v>
      </c>
      <c r="C240" s="249" t="str">
        <f>IF(Data!F234="","",Data!F234)</f>
        <v>03748</v>
      </c>
      <c r="D240" s="250" t="str">
        <f>IF(Data!H234="","",Data!H234)</f>
        <v>Zakiya Nur Af'idah</v>
      </c>
      <c r="E240" s="249" t="str">
        <f>IF(Data!I234="","",Data!I234)</f>
        <v>Perempuan</v>
      </c>
      <c r="F240" s="249" t="str">
        <f>Data!J234</f>
        <v>VIII-F</v>
      </c>
      <c r="G240" s="197"/>
      <c r="H240" s="178" t="str">
        <f>IF(PA!R239="","",PA!R239)</f>
        <v/>
      </c>
      <c r="I240" s="179" t="str">
        <f>IF(PA!S239="","",PA!S239)</f>
        <v/>
      </c>
      <c r="J240" s="182" t="str">
        <f>IF(PA!Z239="","",PA!Z239)</f>
        <v>Mempunyai kemampuan yang Baik dalam kompetensi KD Pengetahuan-2 dan memiliki kemampuan yang Cukup menguasai pada kompetensi KD Pengetahuan-4</v>
      </c>
      <c r="K240" s="179" t="str">
        <f>IF(PA!AI239="","",PA!AI239)</f>
        <v/>
      </c>
      <c r="L240" s="179" t="str">
        <f>IF(PA!AJ239="","",PA!AJ239)</f>
        <v/>
      </c>
      <c r="M240" s="182" t="str">
        <f>IF(PA!AQ239="","",PA!AQ239)</f>
        <v/>
      </c>
      <c r="N240" s="242"/>
    </row>
    <row r="241" spans="1:14" ht="15" customHeight="1" x14ac:dyDescent="0.3">
      <c r="A241" s="242"/>
      <c r="B241" s="424">
        <f>Data!E235</f>
        <v>31</v>
      </c>
      <c r="C241" s="249" t="str">
        <f>IF(Data!F235="","",Data!F235)</f>
        <v>03749</v>
      </c>
      <c r="D241" s="250" t="str">
        <f>IF(Data!H235="","",Data!H235)</f>
        <v>Zella Najwa Era Fazira</v>
      </c>
      <c r="E241" s="249" t="str">
        <f>IF(Data!I235="","",Data!I235)</f>
        <v>Perempuan</v>
      </c>
      <c r="F241" s="249" t="str">
        <f>Data!J235</f>
        <v>VIII-F</v>
      </c>
      <c r="G241" s="197"/>
      <c r="H241" s="178" t="str">
        <f>IF(PA!R240="","",PA!R240)</f>
        <v/>
      </c>
      <c r="I241" s="179" t="str">
        <f>IF(PA!S240="","",PA!S240)</f>
        <v/>
      </c>
      <c r="J241" s="182" t="str">
        <f>IF(PA!Z240="","",PA!Z240)</f>
        <v>Mempunyai kemampuan yang Baik dalam kompetensi KD Pengetahuan-2 dan memiliki kemampuan yang Cukup menguasai pada kompetensi KD Pengetahuan-5</v>
      </c>
      <c r="K241" s="179" t="str">
        <f>IF(PA!AI240="","",PA!AI240)</f>
        <v/>
      </c>
      <c r="L241" s="179" t="str">
        <f>IF(PA!AJ240="","",PA!AJ240)</f>
        <v/>
      </c>
      <c r="M241" s="182" t="str">
        <f>IF(PA!AQ240="","",PA!AQ240)</f>
        <v/>
      </c>
      <c r="N241" s="242"/>
    </row>
    <row r="242" spans="1:14" ht="15" customHeight="1" x14ac:dyDescent="0.3">
      <c r="A242" s="242"/>
      <c r="B242" s="424">
        <f>Data!E236</f>
        <v>32</v>
      </c>
      <c r="C242" s="249" t="str">
        <f>IF(Data!F236="","",Data!F236)</f>
        <v>03750</v>
      </c>
      <c r="D242" s="250" t="str">
        <f>IF(Data!H236="","",Data!H236)</f>
        <v>Zifana Naila Fiskha</v>
      </c>
      <c r="E242" s="249" t="str">
        <f>IF(Data!I236="","",Data!I236)</f>
        <v>Perempuan</v>
      </c>
      <c r="F242" s="249" t="str">
        <f>Data!J236</f>
        <v>VIII-F</v>
      </c>
      <c r="G242" s="197"/>
      <c r="H242" s="178" t="str">
        <f>IF(PA!R241="","",PA!R241)</f>
        <v/>
      </c>
      <c r="I242" s="179" t="str">
        <f>IF(PA!S241="","",PA!S241)</f>
        <v/>
      </c>
      <c r="J242" s="182" t="str">
        <f>IF(PA!Z241="","",PA!Z241)</f>
        <v>Mempunyai kemampuan yang Baik dalam kompetensi KD Pengetahuan-2 dan memiliki kemampuan yang Cukup menguasai pada kompetensi KD Pengetahuan-4</v>
      </c>
      <c r="K242" s="179" t="str">
        <f>IF(PA!AI241="","",PA!AI241)</f>
        <v/>
      </c>
      <c r="L242" s="179" t="str">
        <f>IF(PA!AJ241="","",PA!AJ241)</f>
        <v/>
      </c>
      <c r="M242" s="182" t="str">
        <f>IF(PA!AQ241="","",PA!AQ241)</f>
        <v/>
      </c>
      <c r="N242" s="242"/>
    </row>
    <row r="243" spans="1:14" ht="15" customHeight="1" x14ac:dyDescent="0.3">
      <c r="A243" s="242"/>
      <c r="B243" s="424">
        <f>Data!E237</f>
        <v>33</v>
      </c>
      <c r="C243" s="249" t="str">
        <f>IF(Data!F237="","",Data!F237)</f>
        <v>03752</v>
      </c>
      <c r="D243" s="250" t="str">
        <f>IF(Data!H237="","",Data!H237)</f>
        <v>Zivana Vebby Alicia Putri</v>
      </c>
      <c r="E243" s="249" t="str">
        <f>IF(Data!I237="","",Data!I237)</f>
        <v>Perempuan</v>
      </c>
      <c r="F243" s="249" t="str">
        <f>Data!J237</f>
        <v>VIII-F</v>
      </c>
      <c r="G243" s="197"/>
      <c r="H243" s="178" t="str">
        <f>IF(PA!R242="","",PA!R242)</f>
        <v/>
      </c>
      <c r="I243" s="179" t="str">
        <f>IF(PA!S242="","",PA!S242)</f>
        <v/>
      </c>
      <c r="J243" s="182" t="str">
        <f>IF(PA!Z242="","",PA!Z242)</f>
        <v>Mempunyai kemampuan yang Cukup Menguasai dalam kompetensi KD Pengetahuan-3 dan kompetensi KD Pengetahuan-5</v>
      </c>
      <c r="K243" s="179" t="str">
        <f>IF(PA!AI242="","",PA!AI242)</f>
        <v/>
      </c>
      <c r="L243" s="179" t="str">
        <f>IF(PA!AJ242="","",PA!AJ242)</f>
        <v/>
      </c>
      <c r="M243" s="182" t="str">
        <f>IF(PA!AQ242="","",PA!AQ242)</f>
        <v/>
      </c>
      <c r="N243" s="242"/>
    </row>
    <row r="244" spans="1:14" ht="15" customHeight="1" x14ac:dyDescent="0.3">
      <c r="A244" s="242"/>
      <c r="B244" s="424">
        <f>Data!E238</f>
        <v>34</v>
      </c>
      <c r="C244" s="249" t="str">
        <f>IF(Data!F238="","",Data!F238)</f>
        <v/>
      </c>
      <c r="D244" s="250" t="str">
        <f>IF(Data!H238="","",Data!H238)</f>
        <v/>
      </c>
      <c r="E244" s="249" t="str">
        <f>IF(Data!I238="","",Data!I238)</f>
        <v/>
      </c>
      <c r="F244" s="249" t="str">
        <f>Data!J238</f>
        <v>VIII-F</v>
      </c>
      <c r="G244" s="197"/>
      <c r="H244" s="178" t="str">
        <f>IF(PA!R243="","",PA!R243)</f>
        <v/>
      </c>
      <c r="I244" s="179" t="str">
        <f>IF(PA!S243="","",PA!S243)</f>
        <v/>
      </c>
      <c r="J244" s="182" t="str">
        <f>IF(PA!Z243="","",PA!Z243)</f>
        <v/>
      </c>
      <c r="K244" s="179" t="str">
        <f>IF(PA!AI243="","",PA!AI243)</f>
        <v/>
      </c>
      <c r="L244" s="179" t="str">
        <f>IF(PA!AJ243="","",PA!AJ243)</f>
        <v/>
      </c>
      <c r="M244" s="182" t="str">
        <f>IF(PA!AQ243="","",PA!AQ243)</f>
        <v/>
      </c>
      <c r="N244" s="242"/>
    </row>
    <row r="245" spans="1:14" ht="15" customHeight="1" x14ac:dyDescent="0.3">
      <c r="A245" s="242"/>
      <c r="B245" s="424">
        <f>Data!E239</f>
        <v>35</v>
      </c>
      <c r="C245" s="249" t="str">
        <f>IF(Data!F239="","",Data!F239)</f>
        <v/>
      </c>
      <c r="D245" s="250" t="str">
        <f>IF(Data!H239="","",Data!H239)</f>
        <v/>
      </c>
      <c r="E245" s="249" t="str">
        <f>IF(Data!I239="","",Data!I239)</f>
        <v/>
      </c>
      <c r="F245" s="249" t="str">
        <f>Data!J239</f>
        <v>VIII-F</v>
      </c>
      <c r="G245" s="197"/>
      <c r="H245" s="178" t="str">
        <f>IF(PA!R244="","",PA!R244)</f>
        <v/>
      </c>
      <c r="I245" s="179" t="str">
        <f>IF(PA!S244="","",PA!S244)</f>
        <v/>
      </c>
      <c r="J245" s="182" t="str">
        <f>IF(PA!Z244="","",PA!Z244)</f>
        <v/>
      </c>
      <c r="K245" s="179" t="str">
        <f>IF(PA!AI244="","",PA!AI244)</f>
        <v/>
      </c>
      <c r="L245" s="179" t="str">
        <f>IF(PA!AJ244="","",PA!AJ244)</f>
        <v/>
      </c>
      <c r="M245" s="182" t="str">
        <f>IF(PA!AQ244="","",PA!AQ244)</f>
        <v/>
      </c>
      <c r="N245" s="242"/>
    </row>
    <row r="246" spans="1:14" ht="15" customHeight="1" x14ac:dyDescent="0.3">
      <c r="A246" s="242"/>
      <c r="B246" s="424">
        <f>Data!E240</f>
        <v>36</v>
      </c>
      <c r="C246" s="249" t="str">
        <f>IF(Data!F240="","",Data!F240)</f>
        <v/>
      </c>
      <c r="D246" s="250" t="str">
        <f>IF(Data!H240="","",Data!H240)</f>
        <v/>
      </c>
      <c r="E246" s="249" t="str">
        <f>IF(Data!I240="","",Data!I240)</f>
        <v/>
      </c>
      <c r="F246" s="249" t="str">
        <f>Data!J240</f>
        <v>VIII-F</v>
      </c>
      <c r="G246" s="197"/>
      <c r="H246" s="178" t="str">
        <f>IF(PA!R245="","",PA!R245)</f>
        <v/>
      </c>
      <c r="I246" s="179" t="str">
        <f>IF(PA!S245="","",PA!S245)</f>
        <v/>
      </c>
      <c r="J246" s="182" t="str">
        <f>IF(PA!Z245="","",PA!Z245)</f>
        <v/>
      </c>
      <c r="K246" s="179" t="str">
        <f>IF(PA!AI245="","",PA!AI245)</f>
        <v/>
      </c>
      <c r="L246" s="179" t="str">
        <f>IF(PA!AJ245="","",PA!AJ245)</f>
        <v/>
      </c>
      <c r="M246" s="182" t="str">
        <f>IF(PA!AQ245="","",PA!AQ245)</f>
        <v/>
      </c>
      <c r="N246" s="242"/>
    </row>
    <row r="247" spans="1:14" ht="15" customHeight="1" x14ac:dyDescent="0.3">
      <c r="A247" s="242"/>
      <c r="B247" s="424">
        <f>Data!E241</f>
        <v>37</v>
      </c>
      <c r="C247" s="249" t="str">
        <f>IF(Data!F241="","",Data!F241)</f>
        <v/>
      </c>
      <c r="D247" s="250" t="str">
        <f>IF(Data!H241="","",Data!H241)</f>
        <v/>
      </c>
      <c r="E247" s="249" t="str">
        <f>IF(Data!I241="","",Data!I241)</f>
        <v/>
      </c>
      <c r="F247" s="249" t="str">
        <f>Data!J241</f>
        <v>VIII-F</v>
      </c>
      <c r="G247" s="197"/>
      <c r="H247" s="178" t="str">
        <f>IF(PA!R246="","",PA!R246)</f>
        <v/>
      </c>
      <c r="I247" s="179" t="str">
        <f>IF(PA!S246="","",PA!S246)</f>
        <v/>
      </c>
      <c r="J247" s="182" t="str">
        <f>IF(PA!Z246="","",PA!Z246)</f>
        <v/>
      </c>
      <c r="K247" s="179" t="str">
        <f>IF(PA!AI246="","",PA!AI246)</f>
        <v/>
      </c>
      <c r="L247" s="179" t="str">
        <f>IF(PA!AJ246="","",PA!AJ246)</f>
        <v/>
      </c>
      <c r="M247" s="182" t="str">
        <f>IF(PA!AQ246="","",PA!AQ246)</f>
        <v/>
      </c>
      <c r="N247" s="242"/>
    </row>
    <row r="248" spans="1:14" ht="15" customHeight="1" x14ac:dyDescent="0.3">
      <c r="A248" s="242"/>
      <c r="B248" s="424">
        <f>Data!E242</f>
        <v>38</v>
      </c>
      <c r="C248" s="249" t="str">
        <f>IF(Data!F242="","",Data!F242)</f>
        <v/>
      </c>
      <c r="D248" s="250" t="str">
        <f>IF(Data!H242="","",Data!H242)</f>
        <v/>
      </c>
      <c r="E248" s="249" t="str">
        <f>IF(Data!I242="","",Data!I242)</f>
        <v/>
      </c>
      <c r="F248" s="249" t="str">
        <f>Data!J242</f>
        <v>VIII-F</v>
      </c>
      <c r="G248" s="197"/>
      <c r="H248" s="178" t="str">
        <f>IF(PA!R247="","",PA!R247)</f>
        <v/>
      </c>
      <c r="I248" s="179" t="str">
        <f>IF(PA!S247="","",PA!S247)</f>
        <v/>
      </c>
      <c r="J248" s="182" t="str">
        <f>IF(PA!Z247="","",PA!Z247)</f>
        <v/>
      </c>
      <c r="K248" s="179" t="str">
        <f>IF(PA!AI247="","",PA!AI247)</f>
        <v/>
      </c>
      <c r="L248" s="179" t="str">
        <f>IF(PA!AJ247="","",PA!AJ247)</f>
        <v/>
      </c>
      <c r="M248" s="182" t="str">
        <f>IF(PA!AQ247="","",PA!AQ247)</f>
        <v/>
      </c>
      <c r="N248" s="242"/>
    </row>
    <row r="249" spans="1:14" ht="15" customHeight="1" x14ac:dyDescent="0.3">
      <c r="A249" s="242"/>
      <c r="B249" s="424">
        <f>Data!E243</f>
        <v>39</v>
      </c>
      <c r="C249" s="249" t="str">
        <f>IF(Data!F243="","",Data!F243)</f>
        <v/>
      </c>
      <c r="D249" s="250" t="str">
        <f>IF(Data!H243="","",Data!H243)</f>
        <v/>
      </c>
      <c r="E249" s="249" t="str">
        <f>IF(Data!I243="","",Data!I243)</f>
        <v/>
      </c>
      <c r="F249" s="249" t="str">
        <f>Data!J243</f>
        <v>VIII-F</v>
      </c>
      <c r="G249" s="197"/>
      <c r="H249" s="178" t="str">
        <f>IF(PA!R248="","",PA!R248)</f>
        <v/>
      </c>
      <c r="I249" s="179" t="str">
        <f>IF(PA!S248="","",PA!S248)</f>
        <v/>
      </c>
      <c r="J249" s="182" t="str">
        <f>IF(PA!Z248="","",PA!Z248)</f>
        <v/>
      </c>
      <c r="K249" s="179" t="str">
        <f>IF(PA!AI248="","",PA!AI248)</f>
        <v/>
      </c>
      <c r="L249" s="179" t="str">
        <f>IF(PA!AJ248="","",PA!AJ248)</f>
        <v/>
      </c>
      <c r="M249" s="182" t="str">
        <f>IF(PA!AQ248="","",PA!AQ248)</f>
        <v/>
      </c>
      <c r="N249" s="242"/>
    </row>
    <row r="250" spans="1:14" ht="15" customHeight="1" thickBot="1" x14ac:dyDescent="0.35">
      <c r="A250" s="242"/>
      <c r="B250" s="429">
        <f>Data!E244</f>
        <v>40</v>
      </c>
      <c r="C250" s="430" t="str">
        <f>IF(Data!F244="","",Data!F244)</f>
        <v/>
      </c>
      <c r="D250" s="431" t="str">
        <f>IF(Data!H244="","",Data!H244)</f>
        <v/>
      </c>
      <c r="E250" s="430" t="str">
        <f>IF(Data!I244="","",Data!I244)</f>
        <v/>
      </c>
      <c r="F250" s="430" t="str">
        <f>Data!J244</f>
        <v>VIII-F</v>
      </c>
      <c r="G250" s="432"/>
      <c r="H250" s="433" t="str">
        <f>IF(PA!R249="","",PA!R249)</f>
        <v/>
      </c>
      <c r="I250" s="434" t="str">
        <f>IF(PA!S249="","",PA!S249)</f>
        <v/>
      </c>
      <c r="J250" s="435" t="str">
        <f>IF(PA!Z249="","",PA!Z249)</f>
        <v/>
      </c>
      <c r="K250" s="434" t="str">
        <f>IF(PA!AI249="","",PA!AI249)</f>
        <v/>
      </c>
      <c r="L250" s="434" t="str">
        <f>IF(PA!AJ249="","",PA!AJ249)</f>
        <v/>
      </c>
      <c r="M250" s="435" t="str">
        <f>IF(PA!AQ249="","",PA!AQ249)</f>
        <v/>
      </c>
      <c r="N250" s="242"/>
    </row>
    <row r="251" spans="1:14" ht="15" customHeight="1" thickTop="1" x14ac:dyDescent="0.3">
      <c r="A251" s="242"/>
      <c r="B251" s="426">
        <f>Data!E245</f>
        <v>1</v>
      </c>
      <c r="C251" s="427" t="str">
        <f>IF(Data!F245="","",Data!F245)</f>
        <v>03500</v>
      </c>
      <c r="D251" s="428" t="str">
        <f>IF(Data!H245="","",Data!H245)</f>
        <v>Ach Qolbi Nazhirul Asrofi</v>
      </c>
      <c r="E251" s="427" t="str">
        <f>IF(Data!I245="","",Data!I245)</f>
        <v>Laki-laki</v>
      </c>
      <c r="F251" s="427" t="str">
        <f>Data!J245</f>
        <v>VIII-G</v>
      </c>
      <c r="G251" s="197"/>
      <c r="H251" s="180" t="str">
        <f>IF(PA!R250="","",PA!R250)</f>
        <v/>
      </c>
      <c r="I251" s="181" t="str">
        <f>IF(PA!S250="","",PA!S250)</f>
        <v/>
      </c>
      <c r="J251" s="187" t="str">
        <f>IF(PA!Z250="","",PA!Z250)</f>
        <v/>
      </c>
      <c r="K251" s="181" t="str">
        <f>IF(PA!AI250="","",PA!AI250)</f>
        <v/>
      </c>
      <c r="L251" s="181" t="str">
        <f>IF(PA!AJ250="","",PA!AJ250)</f>
        <v/>
      </c>
      <c r="M251" s="187" t="str">
        <f>IF(PA!AQ250="","",PA!AQ250)</f>
        <v/>
      </c>
      <c r="N251" s="242"/>
    </row>
    <row r="252" spans="1:14" ht="15" customHeight="1" x14ac:dyDescent="0.3">
      <c r="A252" s="242"/>
      <c r="B252" s="424">
        <f>Data!E246</f>
        <v>2</v>
      </c>
      <c r="C252" s="249" t="str">
        <f>IF(Data!F246="","",Data!F246)</f>
        <v>03506</v>
      </c>
      <c r="D252" s="250" t="str">
        <f>IF(Data!H246="","",Data!H246)</f>
        <v>Aditya Pranata Haikal Mahardika</v>
      </c>
      <c r="E252" s="249" t="str">
        <f>IF(Data!I246="","",Data!I246)</f>
        <v>Laki-laki</v>
      </c>
      <c r="F252" s="249" t="str">
        <f>Data!J246</f>
        <v>VIII-G</v>
      </c>
      <c r="G252" s="197"/>
      <c r="H252" s="178" t="str">
        <f>IF(PA!R251="","",PA!R251)</f>
        <v/>
      </c>
      <c r="I252" s="179" t="str">
        <f>IF(PA!S251="","",PA!S251)</f>
        <v/>
      </c>
      <c r="J252" s="182" t="str">
        <f>IF(PA!Z251="","",PA!Z251)</f>
        <v/>
      </c>
      <c r="K252" s="179" t="str">
        <f>IF(PA!AI251="","",PA!AI251)</f>
        <v/>
      </c>
      <c r="L252" s="179" t="str">
        <f>IF(PA!AJ251="","",PA!AJ251)</f>
        <v/>
      </c>
      <c r="M252" s="182" t="str">
        <f>IF(PA!AQ251="","",PA!AQ251)</f>
        <v/>
      </c>
      <c r="N252" s="242"/>
    </row>
    <row r="253" spans="1:14" ht="15" customHeight="1" x14ac:dyDescent="0.3">
      <c r="A253" s="242"/>
      <c r="B253" s="424">
        <f>Data!E247</f>
        <v>3</v>
      </c>
      <c r="C253" s="249" t="str">
        <f>IF(Data!F247="","",Data!F247)</f>
        <v>03512</v>
      </c>
      <c r="D253" s="250" t="str">
        <f>IF(Data!H247="","",Data!H247)</f>
        <v>Ahmad Ali Irawan</v>
      </c>
      <c r="E253" s="249" t="str">
        <f>IF(Data!I247="","",Data!I247)</f>
        <v>Laki-laki</v>
      </c>
      <c r="F253" s="249" t="str">
        <f>Data!J247</f>
        <v>VIII-G</v>
      </c>
      <c r="G253" s="197"/>
      <c r="H253" s="178" t="str">
        <f>IF(PA!R252="","",PA!R252)</f>
        <v/>
      </c>
      <c r="I253" s="179" t="str">
        <f>IF(PA!S252="","",PA!S252)</f>
        <v/>
      </c>
      <c r="J253" s="182" t="str">
        <f>IF(PA!Z252="","",PA!Z252)</f>
        <v/>
      </c>
      <c r="K253" s="179" t="str">
        <f>IF(PA!AI252="","",PA!AI252)</f>
        <v/>
      </c>
      <c r="L253" s="179" t="str">
        <f>IF(PA!AJ252="","",PA!AJ252)</f>
        <v/>
      </c>
      <c r="M253" s="182" t="str">
        <f>IF(PA!AQ252="","",PA!AQ252)</f>
        <v/>
      </c>
      <c r="N253" s="242"/>
    </row>
    <row r="254" spans="1:14" ht="15" customHeight="1" x14ac:dyDescent="0.3">
      <c r="A254" s="242"/>
      <c r="B254" s="424">
        <f>Data!E248</f>
        <v>4</v>
      </c>
      <c r="C254" s="249" t="str">
        <f>IF(Data!F248="","",Data!F248)</f>
        <v>03513</v>
      </c>
      <c r="D254" s="250" t="str">
        <f>IF(Data!H248="","",Data!H248)</f>
        <v>Ahmad Alifah Rudin</v>
      </c>
      <c r="E254" s="249" t="str">
        <f>IF(Data!I248="","",Data!I248)</f>
        <v>Laki-laki</v>
      </c>
      <c r="F254" s="249" t="str">
        <f>Data!J248</f>
        <v>VIII-G</v>
      </c>
      <c r="G254" s="197"/>
      <c r="H254" s="178" t="str">
        <f>IF(PA!R253="","",PA!R253)</f>
        <v/>
      </c>
      <c r="I254" s="179" t="str">
        <f>IF(PA!S253="","",PA!S253)</f>
        <v/>
      </c>
      <c r="J254" s="182" t="str">
        <f>IF(PA!Z253="","",PA!Z253)</f>
        <v/>
      </c>
      <c r="K254" s="179" t="str">
        <f>IF(PA!AI253="","",PA!AI253)</f>
        <v/>
      </c>
      <c r="L254" s="179" t="str">
        <f>IF(PA!AJ253="","",PA!AJ253)</f>
        <v/>
      </c>
      <c r="M254" s="182" t="str">
        <f>IF(PA!AQ253="","",PA!AQ253)</f>
        <v/>
      </c>
      <c r="N254" s="242"/>
    </row>
    <row r="255" spans="1:14" ht="15" customHeight="1" x14ac:dyDescent="0.3">
      <c r="A255" s="242"/>
      <c r="B255" s="424">
        <f>Data!E249</f>
        <v>5</v>
      </c>
      <c r="C255" s="249" t="str">
        <f>IF(Data!F249="","",Data!F249)</f>
        <v>03529</v>
      </c>
      <c r="D255" s="250" t="str">
        <f>IF(Data!H249="","",Data!H249)</f>
        <v>Alvian Dicky Putra Pratama</v>
      </c>
      <c r="E255" s="249" t="str">
        <f>IF(Data!I249="","",Data!I249)</f>
        <v>Laki-laki</v>
      </c>
      <c r="F255" s="249" t="str">
        <f>Data!J249</f>
        <v>VIII-G</v>
      </c>
      <c r="G255" s="197"/>
      <c r="H255" s="178" t="str">
        <f>IF(PA!R254="","",PA!R254)</f>
        <v/>
      </c>
      <c r="I255" s="179" t="str">
        <f>IF(PA!S254="","",PA!S254)</f>
        <v/>
      </c>
      <c r="J255" s="182" t="str">
        <f>IF(PA!Z254="","",PA!Z254)</f>
        <v/>
      </c>
      <c r="K255" s="179" t="str">
        <f>IF(PA!AI254="","",PA!AI254)</f>
        <v/>
      </c>
      <c r="L255" s="179" t="str">
        <f>IF(PA!AJ254="","",PA!AJ254)</f>
        <v/>
      </c>
      <c r="M255" s="182" t="str">
        <f>IF(PA!AQ254="","",PA!AQ254)</f>
        <v/>
      </c>
      <c r="N255" s="242"/>
    </row>
    <row r="256" spans="1:14" ht="15" customHeight="1" x14ac:dyDescent="0.3">
      <c r="A256" s="242"/>
      <c r="B256" s="424">
        <f>Data!E250</f>
        <v>6</v>
      </c>
      <c r="C256" s="249" t="str">
        <f>IF(Data!F250="","",Data!F250)</f>
        <v>03538</v>
      </c>
      <c r="D256" s="250" t="str">
        <f>IF(Data!H250="","",Data!H250)</f>
        <v>Dana Mahardika Yusuf</v>
      </c>
      <c r="E256" s="249" t="str">
        <f>IF(Data!I250="","",Data!I250)</f>
        <v>Laki-laki</v>
      </c>
      <c r="F256" s="249" t="str">
        <f>Data!J250</f>
        <v>VIII-G</v>
      </c>
      <c r="G256" s="197"/>
      <c r="H256" s="178" t="str">
        <f>IF(PA!R255="","",PA!R255)</f>
        <v/>
      </c>
      <c r="I256" s="179" t="str">
        <f>IF(PA!S255="","",PA!S255)</f>
        <v/>
      </c>
      <c r="J256" s="182" t="str">
        <f>IF(PA!Z255="","",PA!Z255)</f>
        <v/>
      </c>
      <c r="K256" s="179" t="str">
        <f>IF(PA!AI255="","",PA!AI255)</f>
        <v/>
      </c>
      <c r="L256" s="179" t="str">
        <f>IF(PA!AJ255="","",PA!AJ255)</f>
        <v/>
      </c>
      <c r="M256" s="182" t="str">
        <f>IF(PA!AQ255="","",PA!AQ255)</f>
        <v/>
      </c>
      <c r="N256" s="242"/>
    </row>
    <row r="257" spans="1:14" ht="15" customHeight="1" x14ac:dyDescent="0.3">
      <c r="A257" s="242"/>
      <c r="B257" s="424">
        <f>Data!E251</f>
        <v>7</v>
      </c>
      <c r="C257" s="249" t="str">
        <f>IF(Data!F251="","",Data!F251)</f>
        <v>03539</v>
      </c>
      <c r="D257" s="250" t="str">
        <f>IF(Data!H251="","",Data!H251)</f>
        <v>David Jazzen Alvaro</v>
      </c>
      <c r="E257" s="249" t="str">
        <f>IF(Data!I251="","",Data!I251)</f>
        <v>Laki-laki</v>
      </c>
      <c r="F257" s="249" t="str">
        <f>Data!J251</f>
        <v>VIII-G</v>
      </c>
      <c r="G257" s="197"/>
      <c r="H257" s="178" t="str">
        <f>IF(PA!R256="","",PA!R256)</f>
        <v/>
      </c>
      <c r="I257" s="179" t="str">
        <f>IF(PA!S256="","",PA!S256)</f>
        <v/>
      </c>
      <c r="J257" s="182" t="str">
        <f>IF(PA!Z256="","",PA!Z256)</f>
        <v/>
      </c>
      <c r="K257" s="179" t="str">
        <f>IF(PA!AI256="","",PA!AI256)</f>
        <v/>
      </c>
      <c r="L257" s="179" t="str">
        <f>IF(PA!AJ256="","",PA!AJ256)</f>
        <v/>
      </c>
      <c r="M257" s="182" t="str">
        <f>IF(PA!AQ256="","",PA!AQ256)</f>
        <v/>
      </c>
      <c r="N257" s="242"/>
    </row>
    <row r="258" spans="1:14" ht="15" customHeight="1" x14ac:dyDescent="0.3">
      <c r="A258" s="242"/>
      <c r="B258" s="424">
        <f>Data!E252</f>
        <v>8</v>
      </c>
      <c r="C258" s="249" t="str">
        <f>IF(Data!F252="","",Data!F252)</f>
        <v>03551</v>
      </c>
      <c r="D258" s="250" t="str">
        <f>IF(Data!H252="","",Data!H252)</f>
        <v>Kenzie Eka Angger Saputra</v>
      </c>
      <c r="E258" s="249" t="str">
        <f>IF(Data!I252="","",Data!I252)</f>
        <v>Laki-laki</v>
      </c>
      <c r="F258" s="249" t="str">
        <f>Data!J252</f>
        <v>VIII-G</v>
      </c>
      <c r="G258" s="197"/>
      <c r="H258" s="178" t="str">
        <f>IF(PA!R257="","",PA!R257)</f>
        <v/>
      </c>
      <c r="I258" s="179" t="str">
        <f>IF(PA!S257="","",PA!S257)</f>
        <v/>
      </c>
      <c r="J258" s="182" t="str">
        <f>IF(PA!Z257="","",PA!Z257)</f>
        <v/>
      </c>
      <c r="K258" s="179" t="str">
        <f>IF(PA!AI257="","",PA!AI257)</f>
        <v/>
      </c>
      <c r="L258" s="179" t="str">
        <f>IF(PA!AJ257="","",PA!AJ257)</f>
        <v/>
      </c>
      <c r="M258" s="182" t="str">
        <f>IF(PA!AQ257="","",PA!AQ257)</f>
        <v/>
      </c>
      <c r="N258" s="242"/>
    </row>
    <row r="259" spans="1:14" ht="15" customHeight="1" x14ac:dyDescent="0.3">
      <c r="A259" s="242"/>
      <c r="B259" s="424">
        <f>Data!E253</f>
        <v>9</v>
      </c>
      <c r="C259" s="249" t="str">
        <f>IF(Data!F253="","",Data!F253)</f>
        <v>03558</v>
      </c>
      <c r="D259" s="250" t="str">
        <f>IF(Data!H253="","",Data!H253)</f>
        <v>Mirzam Putra Mahardika</v>
      </c>
      <c r="E259" s="249" t="str">
        <f>IF(Data!I253="","",Data!I253)</f>
        <v>Laki-laki</v>
      </c>
      <c r="F259" s="249" t="str">
        <f>Data!J253</f>
        <v>VIII-G</v>
      </c>
      <c r="G259" s="197"/>
      <c r="H259" s="178" t="str">
        <f>IF(PA!R258="","",PA!R258)</f>
        <v/>
      </c>
      <c r="I259" s="179" t="str">
        <f>IF(PA!S258="","",PA!S258)</f>
        <v/>
      </c>
      <c r="J259" s="182" t="str">
        <f>IF(PA!Z258="","",PA!Z258)</f>
        <v/>
      </c>
      <c r="K259" s="179" t="str">
        <f>IF(PA!AI258="","",PA!AI258)</f>
        <v/>
      </c>
      <c r="L259" s="179" t="str">
        <f>IF(PA!AJ258="","",PA!AJ258)</f>
        <v/>
      </c>
      <c r="M259" s="182" t="str">
        <f>IF(PA!AQ258="","",PA!AQ258)</f>
        <v/>
      </c>
      <c r="N259" s="242"/>
    </row>
    <row r="260" spans="1:14" ht="15" customHeight="1" x14ac:dyDescent="0.3">
      <c r="A260" s="242"/>
      <c r="B260" s="424">
        <f>Data!E254</f>
        <v>10</v>
      </c>
      <c r="C260" s="249" t="str">
        <f>IF(Data!F254="","",Data!F254)</f>
        <v>03565</v>
      </c>
      <c r="D260" s="250" t="str">
        <f>IF(Data!H254="","",Data!H254)</f>
        <v>Mohammad Aqsan Maulana</v>
      </c>
      <c r="E260" s="249" t="str">
        <f>IF(Data!I254="","",Data!I254)</f>
        <v>Laki-laki</v>
      </c>
      <c r="F260" s="249" t="str">
        <f>Data!J254</f>
        <v>VIII-G</v>
      </c>
      <c r="G260" s="197"/>
      <c r="H260" s="178" t="str">
        <f>IF(PA!R259="","",PA!R259)</f>
        <v/>
      </c>
      <c r="I260" s="179" t="str">
        <f>IF(PA!S259="","",PA!S259)</f>
        <v/>
      </c>
      <c r="J260" s="182" t="str">
        <f>IF(PA!Z259="","",PA!Z259)</f>
        <v/>
      </c>
      <c r="K260" s="179" t="str">
        <f>IF(PA!AI259="","",PA!AI259)</f>
        <v/>
      </c>
      <c r="L260" s="179" t="str">
        <f>IF(PA!AJ259="","",PA!AJ259)</f>
        <v/>
      </c>
      <c r="M260" s="182" t="str">
        <f>IF(PA!AQ259="","",PA!AQ259)</f>
        <v/>
      </c>
      <c r="N260" s="242"/>
    </row>
    <row r="261" spans="1:14" ht="15" customHeight="1" x14ac:dyDescent="0.3">
      <c r="A261" s="242"/>
      <c r="B261" s="424">
        <f>Data!E255</f>
        <v>11</v>
      </c>
      <c r="C261" s="249" t="str">
        <f>IF(Data!F255="","",Data!F255)</f>
        <v>03574</v>
      </c>
      <c r="D261" s="250" t="str">
        <f>IF(Data!H255="","",Data!H255)</f>
        <v>Muhammad Azam Ali Fahmi</v>
      </c>
      <c r="E261" s="249" t="str">
        <f>IF(Data!I255="","",Data!I255)</f>
        <v>Laki-laki</v>
      </c>
      <c r="F261" s="249" t="str">
        <f>Data!J255</f>
        <v>VIII-G</v>
      </c>
      <c r="G261" s="197"/>
      <c r="H261" s="178" t="str">
        <f>IF(PA!R260="","",PA!R260)</f>
        <v/>
      </c>
      <c r="I261" s="179" t="str">
        <f>IF(PA!S260="","",PA!S260)</f>
        <v/>
      </c>
      <c r="J261" s="182" t="str">
        <f>IF(PA!Z260="","",PA!Z260)</f>
        <v/>
      </c>
      <c r="K261" s="179" t="str">
        <f>IF(PA!AI260="","",PA!AI260)</f>
        <v/>
      </c>
      <c r="L261" s="179" t="str">
        <f>IF(PA!AJ260="","",PA!AJ260)</f>
        <v/>
      </c>
      <c r="M261" s="182" t="str">
        <f>IF(PA!AQ260="","",PA!AQ260)</f>
        <v/>
      </c>
      <c r="N261" s="242"/>
    </row>
    <row r="262" spans="1:14" ht="15" customHeight="1" x14ac:dyDescent="0.3">
      <c r="A262" s="242"/>
      <c r="B262" s="424">
        <f>Data!E256</f>
        <v>12</v>
      </c>
      <c r="C262" s="249" t="str">
        <f>IF(Data!F256="","",Data!F256)</f>
        <v>03577</v>
      </c>
      <c r="D262" s="250" t="str">
        <f>IF(Data!H256="","",Data!H256)</f>
        <v>Muhammad Dzaki Darmawan</v>
      </c>
      <c r="E262" s="249" t="str">
        <f>IF(Data!I256="","",Data!I256)</f>
        <v>Laki-laki</v>
      </c>
      <c r="F262" s="249" t="str">
        <f>Data!J256</f>
        <v>VIII-G</v>
      </c>
      <c r="G262" s="197"/>
      <c r="H262" s="178" t="str">
        <f>IF(PA!R261="","",PA!R261)</f>
        <v/>
      </c>
      <c r="I262" s="179" t="str">
        <f>IF(PA!S261="","",PA!S261)</f>
        <v/>
      </c>
      <c r="J262" s="182" t="str">
        <f>IF(PA!Z261="","",PA!Z261)</f>
        <v/>
      </c>
      <c r="K262" s="179" t="str">
        <f>IF(PA!AI261="","",PA!AI261)</f>
        <v/>
      </c>
      <c r="L262" s="179" t="str">
        <f>IF(PA!AJ261="","",PA!AJ261)</f>
        <v/>
      </c>
      <c r="M262" s="182" t="str">
        <f>IF(PA!AQ261="","",PA!AQ261)</f>
        <v/>
      </c>
      <c r="N262" s="242"/>
    </row>
    <row r="263" spans="1:14" ht="15" customHeight="1" x14ac:dyDescent="0.3">
      <c r="A263" s="242"/>
      <c r="B263" s="424">
        <f>Data!E257</f>
        <v>13</v>
      </c>
      <c r="C263" s="249" t="str">
        <f>IF(Data!F257="","",Data!F257)</f>
        <v>03587</v>
      </c>
      <c r="D263" s="250" t="str">
        <f>IF(Data!H257="","",Data!H257)</f>
        <v>Muhammad Irsyadul Fathon</v>
      </c>
      <c r="E263" s="249" t="str">
        <f>IF(Data!I257="","",Data!I257)</f>
        <v>Laki-laki</v>
      </c>
      <c r="F263" s="249" t="str">
        <f>Data!J257</f>
        <v>VIII-G</v>
      </c>
      <c r="G263" s="197"/>
      <c r="H263" s="178" t="str">
        <f>IF(PA!R262="","",PA!R262)</f>
        <v/>
      </c>
      <c r="I263" s="179" t="str">
        <f>IF(PA!S262="","",PA!S262)</f>
        <v/>
      </c>
      <c r="J263" s="182" t="str">
        <f>IF(PA!Z262="","",PA!Z262)</f>
        <v/>
      </c>
      <c r="K263" s="179" t="str">
        <f>IF(PA!AI262="","",PA!AI262)</f>
        <v/>
      </c>
      <c r="L263" s="179" t="str">
        <f>IF(PA!AJ262="","",PA!AJ262)</f>
        <v/>
      </c>
      <c r="M263" s="182" t="str">
        <f>IF(PA!AQ262="","",PA!AQ262)</f>
        <v/>
      </c>
      <c r="N263" s="242"/>
    </row>
    <row r="264" spans="1:14" ht="15" customHeight="1" x14ac:dyDescent="0.3">
      <c r="A264" s="242"/>
      <c r="B264" s="424">
        <f>Data!E258</f>
        <v>14</v>
      </c>
      <c r="C264" s="249" t="str">
        <f>IF(Data!F258="","",Data!F258)</f>
        <v>03588</v>
      </c>
      <c r="D264" s="250" t="str">
        <f>IF(Data!H258="","",Data!H258)</f>
        <v>Muhammad Ja'far Sidiq</v>
      </c>
      <c r="E264" s="249" t="str">
        <f>IF(Data!I258="","",Data!I258)</f>
        <v>Laki-laki</v>
      </c>
      <c r="F264" s="249" t="str">
        <f>Data!J258</f>
        <v>VIII-G</v>
      </c>
      <c r="G264" s="197"/>
      <c r="H264" s="178" t="str">
        <f>IF(PA!R263="","",PA!R263)</f>
        <v/>
      </c>
      <c r="I264" s="179" t="str">
        <f>IF(PA!S263="","",PA!S263)</f>
        <v/>
      </c>
      <c r="J264" s="182" t="str">
        <f>IF(PA!Z263="","",PA!Z263)</f>
        <v/>
      </c>
      <c r="K264" s="179" t="str">
        <f>IF(PA!AI263="","",PA!AI263)</f>
        <v/>
      </c>
      <c r="L264" s="179" t="str">
        <f>IF(PA!AJ263="","",PA!AJ263)</f>
        <v/>
      </c>
      <c r="M264" s="182" t="str">
        <f>IF(PA!AQ263="","",PA!AQ263)</f>
        <v/>
      </c>
      <c r="N264" s="242"/>
    </row>
    <row r="265" spans="1:14" ht="15" customHeight="1" x14ac:dyDescent="0.3">
      <c r="A265" s="242"/>
      <c r="B265" s="424">
        <f>Data!E259</f>
        <v>15</v>
      </c>
      <c r="C265" s="249" t="str">
        <f>IF(Data!F259="","",Data!F259)</f>
        <v>03591</v>
      </c>
      <c r="D265" s="250" t="str">
        <f>IF(Data!H259="","",Data!H259)</f>
        <v>Muhammad Khafidz Dwi Mahendra</v>
      </c>
      <c r="E265" s="249" t="str">
        <f>IF(Data!I259="","",Data!I259)</f>
        <v>Laki-laki</v>
      </c>
      <c r="F265" s="249" t="str">
        <f>Data!J259</f>
        <v>VIII-G</v>
      </c>
      <c r="G265" s="197"/>
      <c r="H265" s="178" t="str">
        <f>IF(PA!R264="","",PA!R264)</f>
        <v/>
      </c>
      <c r="I265" s="179" t="str">
        <f>IF(PA!S264="","",PA!S264)</f>
        <v/>
      </c>
      <c r="J265" s="182" t="str">
        <f>IF(PA!Z264="","",PA!Z264)</f>
        <v/>
      </c>
      <c r="K265" s="179" t="str">
        <f>IF(PA!AI264="","",PA!AI264)</f>
        <v/>
      </c>
      <c r="L265" s="179" t="str">
        <f>IF(PA!AJ264="","",PA!AJ264)</f>
        <v/>
      </c>
      <c r="M265" s="182" t="str">
        <f>IF(PA!AQ264="","",PA!AQ264)</f>
        <v/>
      </c>
      <c r="N265" s="242"/>
    </row>
    <row r="266" spans="1:14" ht="15" customHeight="1" x14ac:dyDescent="0.3">
      <c r="A266" s="242"/>
      <c r="B266" s="424">
        <f>Data!E260</f>
        <v>16</v>
      </c>
      <c r="C266" s="249" t="str">
        <f>IF(Data!F260="","",Data!F260)</f>
        <v>03753</v>
      </c>
      <c r="D266" s="250" t="str">
        <f>IF(Data!H260="","",Data!H260)</f>
        <v>Muhammad Mazaza Rizki</v>
      </c>
      <c r="E266" s="249" t="str">
        <f>IF(Data!I260="","",Data!I260)</f>
        <v>Laki-laki</v>
      </c>
      <c r="F266" s="249" t="str">
        <f>Data!J260</f>
        <v>VIII-G</v>
      </c>
      <c r="G266" s="197"/>
      <c r="H266" s="178" t="str">
        <f>IF(PA!R265="","",PA!R265)</f>
        <v/>
      </c>
      <c r="I266" s="179" t="str">
        <f>IF(PA!S265="","",PA!S265)</f>
        <v/>
      </c>
      <c r="J266" s="182" t="str">
        <f>IF(PA!Z265="","",PA!Z265)</f>
        <v/>
      </c>
      <c r="K266" s="179" t="str">
        <f>IF(PA!AI265="","",PA!AI265)</f>
        <v/>
      </c>
      <c r="L266" s="179" t="str">
        <f>IF(PA!AJ265="","",PA!AJ265)</f>
        <v/>
      </c>
      <c r="M266" s="182" t="str">
        <f>IF(PA!AQ265="","",PA!AQ265)</f>
        <v/>
      </c>
      <c r="N266" s="242"/>
    </row>
    <row r="267" spans="1:14" ht="15" customHeight="1" x14ac:dyDescent="0.3">
      <c r="A267" s="242"/>
      <c r="B267" s="424">
        <f>Data!E261</f>
        <v>17</v>
      </c>
      <c r="C267" s="249" t="str">
        <f>IF(Data!F261="","",Data!F261)</f>
        <v>03601</v>
      </c>
      <c r="D267" s="250" t="str">
        <f>IF(Data!H261="","",Data!H261)</f>
        <v>Muhammad Wisnu Aji Ikhwan</v>
      </c>
      <c r="E267" s="249" t="str">
        <f>IF(Data!I261="","",Data!I261)</f>
        <v>Laki-laki</v>
      </c>
      <c r="F267" s="249" t="str">
        <f>Data!J261</f>
        <v>VIII-G</v>
      </c>
      <c r="G267" s="197"/>
      <c r="H267" s="178" t="str">
        <f>IF(PA!R266="","",PA!R266)</f>
        <v/>
      </c>
      <c r="I267" s="179" t="str">
        <f>IF(PA!S266="","",PA!S266)</f>
        <v/>
      </c>
      <c r="J267" s="182" t="str">
        <f>IF(PA!Z266="","",PA!Z266)</f>
        <v/>
      </c>
      <c r="K267" s="179" t="str">
        <f>IF(PA!AI266="","",PA!AI266)</f>
        <v/>
      </c>
      <c r="L267" s="179" t="str">
        <f>IF(PA!AJ266="","",PA!AJ266)</f>
        <v/>
      </c>
      <c r="M267" s="182" t="str">
        <f>IF(PA!AQ266="","",PA!AQ266)</f>
        <v/>
      </c>
      <c r="N267" s="242"/>
    </row>
    <row r="268" spans="1:14" ht="15" customHeight="1" x14ac:dyDescent="0.3">
      <c r="A268" s="242"/>
      <c r="B268" s="424">
        <f>Data!E262</f>
        <v>18</v>
      </c>
      <c r="C268" s="249" t="str">
        <f>IF(Data!F262="","",Data!F262)</f>
        <v>03606</v>
      </c>
      <c r="D268" s="250" t="str">
        <f>IF(Data!H262="","",Data!H262)</f>
        <v>Novenda Lutfy Ismail</v>
      </c>
      <c r="E268" s="249" t="str">
        <f>IF(Data!I262="","",Data!I262)</f>
        <v>Laki-laki</v>
      </c>
      <c r="F268" s="249" t="str">
        <f>Data!J262</f>
        <v>VIII-G</v>
      </c>
      <c r="G268" s="197"/>
      <c r="H268" s="178" t="str">
        <f>IF(PA!R267="","",PA!R267)</f>
        <v/>
      </c>
      <c r="I268" s="179" t="str">
        <f>IF(PA!S267="","",PA!S267)</f>
        <v/>
      </c>
      <c r="J268" s="182" t="str">
        <f>IF(PA!Z267="","",PA!Z267)</f>
        <v/>
      </c>
      <c r="K268" s="179" t="str">
        <f>IF(PA!AI267="","",PA!AI267)</f>
        <v/>
      </c>
      <c r="L268" s="179" t="str">
        <f>IF(PA!AJ267="","",PA!AJ267)</f>
        <v/>
      </c>
      <c r="M268" s="182" t="str">
        <f>IF(PA!AQ267="","",PA!AQ267)</f>
        <v/>
      </c>
      <c r="N268" s="242"/>
    </row>
    <row r="269" spans="1:14" ht="15" customHeight="1" x14ac:dyDescent="0.3">
      <c r="A269" s="242"/>
      <c r="B269" s="424">
        <f>Data!E263</f>
        <v>19</v>
      </c>
      <c r="C269" s="249" t="str">
        <f>IF(Data!F263="","",Data!F263)</f>
        <v>03615</v>
      </c>
      <c r="D269" s="250" t="str">
        <f>IF(Data!H263="","",Data!H263)</f>
        <v>Safyudin Helga Ciputro</v>
      </c>
      <c r="E269" s="249" t="str">
        <f>IF(Data!I263="","",Data!I263)</f>
        <v>Laki-laki</v>
      </c>
      <c r="F269" s="249" t="str">
        <f>Data!J263</f>
        <v>VIII-G</v>
      </c>
      <c r="G269" s="197"/>
      <c r="H269" s="178" t="str">
        <f>IF(PA!R268="","",PA!R268)</f>
        <v/>
      </c>
      <c r="I269" s="179" t="str">
        <f>IF(PA!S268="","",PA!S268)</f>
        <v/>
      </c>
      <c r="J269" s="182" t="str">
        <f>IF(PA!Z268="","",PA!Z268)</f>
        <v/>
      </c>
      <c r="K269" s="179" t="str">
        <f>IF(PA!AI268="","",PA!AI268)</f>
        <v/>
      </c>
      <c r="L269" s="179" t="str">
        <f>IF(PA!AJ268="","",PA!AJ268)</f>
        <v/>
      </c>
      <c r="M269" s="182" t="str">
        <f>IF(PA!AQ268="","",PA!AQ268)</f>
        <v/>
      </c>
      <c r="N269" s="242"/>
    </row>
    <row r="270" spans="1:14" ht="15" customHeight="1" x14ac:dyDescent="0.3">
      <c r="A270" s="242"/>
      <c r="B270" s="424">
        <f>Data!E264</f>
        <v>20</v>
      </c>
      <c r="C270" s="249" t="str">
        <f>IF(Data!F264="","",Data!F264)</f>
        <v>03618</v>
      </c>
      <c r="D270" s="250" t="str">
        <f>IF(Data!H264="","",Data!H264)</f>
        <v>Tifan Putra Yunanda</v>
      </c>
      <c r="E270" s="249" t="str">
        <f>IF(Data!I264="","",Data!I264)</f>
        <v>Laki-laki</v>
      </c>
      <c r="F270" s="249" t="str">
        <f>Data!J264</f>
        <v>VIII-G</v>
      </c>
      <c r="G270" s="197"/>
      <c r="H270" s="178" t="str">
        <f>IF(PA!R269="","",PA!R269)</f>
        <v/>
      </c>
      <c r="I270" s="179" t="str">
        <f>IF(PA!S269="","",PA!S269)</f>
        <v/>
      </c>
      <c r="J270" s="182" t="str">
        <f>IF(PA!Z269="","",PA!Z269)</f>
        <v/>
      </c>
      <c r="K270" s="179" t="str">
        <f>IF(PA!AI269="","",PA!AI269)</f>
        <v/>
      </c>
      <c r="L270" s="179" t="str">
        <f>IF(PA!AJ269="","",PA!AJ269)</f>
        <v/>
      </c>
      <c r="M270" s="182" t="str">
        <f>IF(PA!AQ269="","",PA!AQ269)</f>
        <v/>
      </c>
      <c r="N270" s="242"/>
    </row>
    <row r="271" spans="1:14" ht="15" customHeight="1" x14ac:dyDescent="0.3">
      <c r="A271" s="242"/>
      <c r="B271" s="424">
        <f>Data!E265</f>
        <v>21</v>
      </c>
      <c r="C271" s="249" t="str">
        <f>IF(Data!F265="","",Data!F265)</f>
        <v>03620</v>
      </c>
      <c r="D271" s="250" t="str">
        <f>IF(Data!H265="","",Data!H265)</f>
        <v>Toni Febri Maulana</v>
      </c>
      <c r="E271" s="249" t="str">
        <f>IF(Data!I265="","",Data!I265)</f>
        <v>Laki-laki</v>
      </c>
      <c r="F271" s="249" t="str">
        <f>Data!J265</f>
        <v>VIII-G</v>
      </c>
      <c r="G271" s="197"/>
      <c r="H271" s="178" t="str">
        <f>IF(PA!R270="","",PA!R270)</f>
        <v/>
      </c>
      <c r="I271" s="179" t="str">
        <f>IF(PA!S270="","",PA!S270)</f>
        <v/>
      </c>
      <c r="J271" s="182" t="str">
        <f>IF(PA!Z270="","",PA!Z270)</f>
        <v/>
      </c>
      <c r="K271" s="179" t="str">
        <f>IF(PA!AI270="","",PA!AI270)</f>
        <v/>
      </c>
      <c r="L271" s="179" t="str">
        <f>IF(PA!AJ270="","",PA!AJ270)</f>
        <v/>
      </c>
      <c r="M271" s="182" t="str">
        <f>IF(PA!AQ270="","",PA!AQ270)</f>
        <v/>
      </c>
      <c r="N271" s="242"/>
    </row>
    <row r="272" spans="1:14" ht="15" customHeight="1" x14ac:dyDescent="0.3">
      <c r="A272" s="242"/>
      <c r="B272" s="424">
        <f>Data!E266</f>
        <v>22</v>
      </c>
      <c r="C272" s="249" t="str">
        <f>IF(Data!F266="","",Data!F266)</f>
        <v>03621</v>
      </c>
      <c r="D272" s="250" t="str">
        <f>IF(Data!H266="","",Data!H266)</f>
        <v>Wahyu Bagus Maulana</v>
      </c>
      <c r="E272" s="249" t="str">
        <f>IF(Data!I266="","",Data!I266)</f>
        <v>Laki-laki</v>
      </c>
      <c r="F272" s="249" t="str">
        <f>Data!J266</f>
        <v>VIII-G</v>
      </c>
      <c r="G272" s="197"/>
      <c r="H272" s="178" t="str">
        <f>IF(PA!R271="","",PA!R271)</f>
        <v/>
      </c>
      <c r="I272" s="179" t="str">
        <f>IF(PA!S271="","",PA!S271)</f>
        <v/>
      </c>
      <c r="J272" s="182" t="str">
        <f>IF(PA!Z271="","",PA!Z271)</f>
        <v/>
      </c>
      <c r="K272" s="179" t="str">
        <f>IF(PA!AI271="","",PA!AI271)</f>
        <v/>
      </c>
      <c r="L272" s="179" t="str">
        <f>IF(PA!AJ271="","",PA!AJ271)</f>
        <v/>
      </c>
      <c r="M272" s="182" t="str">
        <f>IF(PA!AQ271="","",PA!AQ271)</f>
        <v/>
      </c>
      <c r="N272" s="242"/>
    </row>
    <row r="273" spans="1:14" ht="15" customHeight="1" x14ac:dyDescent="0.3">
      <c r="A273" s="242"/>
      <c r="B273" s="424">
        <f>Data!E267</f>
        <v>23</v>
      </c>
      <c r="C273" s="249" t="str">
        <f>IF(Data!F267="","",Data!F267)</f>
        <v>03622</v>
      </c>
      <c r="D273" s="250" t="str">
        <f>IF(Data!H267="","",Data!H267)</f>
        <v>Willa Tikta Az'Har</v>
      </c>
      <c r="E273" s="249" t="str">
        <f>IF(Data!I267="","",Data!I267)</f>
        <v>Laki-laki</v>
      </c>
      <c r="F273" s="249" t="str">
        <f>Data!J267</f>
        <v>VIII-G</v>
      </c>
      <c r="G273" s="197"/>
      <c r="H273" s="178" t="str">
        <f>IF(PA!R272="","",PA!R272)</f>
        <v/>
      </c>
      <c r="I273" s="179" t="str">
        <f>IF(PA!S272="","",PA!S272)</f>
        <v/>
      </c>
      <c r="J273" s="182" t="str">
        <f>IF(PA!Z272="","",PA!Z272)</f>
        <v/>
      </c>
      <c r="K273" s="179" t="str">
        <f>IF(PA!AI272="","",PA!AI272)</f>
        <v/>
      </c>
      <c r="L273" s="179" t="str">
        <f>IF(PA!AJ272="","",PA!AJ272)</f>
        <v/>
      </c>
      <c r="M273" s="182" t="str">
        <f>IF(PA!AQ272="","",PA!AQ272)</f>
        <v/>
      </c>
      <c r="N273" s="242"/>
    </row>
    <row r="274" spans="1:14" ht="15" customHeight="1" x14ac:dyDescent="0.3">
      <c r="A274" s="242"/>
      <c r="B274" s="424">
        <f>Data!E268</f>
        <v>24</v>
      </c>
      <c r="C274" s="249" t="str">
        <f>IF(Data!F268="","",Data!F268)</f>
        <v>03757</v>
      </c>
      <c r="D274" s="250" t="str">
        <f>IF(Data!H268="","",Data!H268)</f>
        <v>Farid Maulana Kristianto</v>
      </c>
      <c r="E274" s="249" t="str">
        <f>IF(Data!I268="","",Data!I268)</f>
        <v>Laki-laki</v>
      </c>
      <c r="F274" s="249" t="str">
        <f>Data!J268</f>
        <v>VIII-G</v>
      </c>
      <c r="G274" s="197"/>
      <c r="H274" s="178" t="str">
        <f>IF(PA!R273="","",PA!R273)</f>
        <v/>
      </c>
      <c r="I274" s="179" t="str">
        <f>IF(PA!S273="","",PA!S273)</f>
        <v/>
      </c>
      <c r="J274" s="182" t="str">
        <f>IF(PA!Z273="","",PA!Z273)</f>
        <v/>
      </c>
      <c r="K274" s="179" t="str">
        <f>IF(PA!AI273="","",PA!AI273)</f>
        <v/>
      </c>
      <c r="L274" s="179" t="str">
        <f>IF(PA!AJ273="","",PA!AJ273)</f>
        <v/>
      </c>
      <c r="M274" s="182" t="str">
        <f>IF(PA!AQ273="","",PA!AQ273)</f>
        <v/>
      </c>
      <c r="N274" s="242"/>
    </row>
    <row r="275" spans="1:14" ht="15" customHeight="1" x14ac:dyDescent="0.3">
      <c r="A275" s="242"/>
      <c r="B275" s="424">
        <f>Data!E269</f>
        <v>25</v>
      </c>
      <c r="C275" s="249" t="str">
        <f>IF(Data!F269="","",Data!F269)</f>
        <v/>
      </c>
      <c r="D275" s="250" t="str">
        <f>IF(Data!H269="","",Data!H269)</f>
        <v/>
      </c>
      <c r="E275" s="249" t="str">
        <f>IF(Data!I269="","",Data!I269)</f>
        <v/>
      </c>
      <c r="F275" s="249" t="str">
        <f>Data!J269</f>
        <v>VIII-G</v>
      </c>
      <c r="G275" s="197"/>
      <c r="H275" s="178" t="str">
        <f>IF(PA!R274="","",PA!R274)</f>
        <v/>
      </c>
      <c r="I275" s="179" t="str">
        <f>IF(PA!S274="","",PA!S274)</f>
        <v/>
      </c>
      <c r="J275" s="182" t="str">
        <f>IF(PA!Z274="","",PA!Z274)</f>
        <v/>
      </c>
      <c r="K275" s="179" t="str">
        <f>IF(PA!AI274="","",PA!AI274)</f>
        <v/>
      </c>
      <c r="L275" s="179" t="str">
        <f>IF(PA!AJ274="","",PA!AJ274)</f>
        <v/>
      </c>
      <c r="M275" s="182" t="str">
        <f>IF(PA!AQ274="","",PA!AQ274)</f>
        <v/>
      </c>
      <c r="N275" s="242"/>
    </row>
    <row r="276" spans="1:14" ht="15" customHeight="1" x14ac:dyDescent="0.3">
      <c r="A276" s="242"/>
      <c r="B276" s="424">
        <f>Data!E270</f>
        <v>26</v>
      </c>
      <c r="C276" s="249" t="str">
        <f>IF(Data!F270="","",Data!F270)</f>
        <v/>
      </c>
      <c r="D276" s="250" t="str">
        <f>IF(Data!H270="","",Data!H270)</f>
        <v/>
      </c>
      <c r="E276" s="249" t="str">
        <f>IF(Data!I270="","",Data!I270)</f>
        <v/>
      </c>
      <c r="F276" s="249" t="str">
        <f>Data!J270</f>
        <v>VIII-G</v>
      </c>
      <c r="G276" s="197"/>
      <c r="H276" s="178" t="str">
        <f>IF(PA!R275="","",PA!R275)</f>
        <v/>
      </c>
      <c r="I276" s="179" t="str">
        <f>IF(PA!S275="","",PA!S275)</f>
        <v/>
      </c>
      <c r="J276" s="182" t="str">
        <f>IF(PA!Z275="","",PA!Z275)</f>
        <v/>
      </c>
      <c r="K276" s="179" t="str">
        <f>IF(PA!AI275="","",PA!AI275)</f>
        <v/>
      </c>
      <c r="L276" s="179" t="str">
        <f>IF(PA!AJ275="","",PA!AJ275)</f>
        <v/>
      </c>
      <c r="M276" s="182" t="str">
        <f>IF(PA!AQ275="","",PA!AQ275)</f>
        <v/>
      </c>
      <c r="N276" s="242"/>
    </row>
    <row r="277" spans="1:14" ht="15" customHeight="1" x14ac:dyDescent="0.3">
      <c r="A277" s="242"/>
      <c r="B277" s="424">
        <f>Data!E271</f>
        <v>27</v>
      </c>
      <c r="C277" s="249" t="str">
        <f>IF(Data!F271="","",Data!F271)</f>
        <v/>
      </c>
      <c r="D277" s="250" t="str">
        <f>IF(Data!H271="","",Data!H271)</f>
        <v/>
      </c>
      <c r="E277" s="249" t="str">
        <f>IF(Data!I271="","",Data!I271)</f>
        <v/>
      </c>
      <c r="F277" s="249" t="str">
        <f>Data!J271</f>
        <v>VIII-G</v>
      </c>
      <c r="G277" s="197"/>
      <c r="H277" s="178" t="str">
        <f>IF(PA!R276="","",PA!R276)</f>
        <v/>
      </c>
      <c r="I277" s="179" t="str">
        <f>IF(PA!S276="","",PA!S276)</f>
        <v/>
      </c>
      <c r="J277" s="182" t="str">
        <f>IF(PA!Z276="","",PA!Z276)</f>
        <v/>
      </c>
      <c r="K277" s="179" t="str">
        <f>IF(PA!AI276="","",PA!AI276)</f>
        <v/>
      </c>
      <c r="L277" s="179" t="str">
        <f>IF(PA!AJ276="","",PA!AJ276)</f>
        <v/>
      </c>
      <c r="M277" s="182" t="str">
        <f>IF(PA!AQ276="","",PA!AQ276)</f>
        <v/>
      </c>
      <c r="N277" s="242"/>
    </row>
    <row r="278" spans="1:14" ht="15" customHeight="1" x14ac:dyDescent="0.3">
      <c r="A278" s="242"/>
      <c r="B278" s="424">
        <f>Data!E272</f>
        <v>28</v>
      </c>
      <c r="C278" s="249" t="str">
        <f>IF(Data!F272="","",Data!F272)</f>
        <v/>
      </c>
      <c r="D278" s="250" t="str">
        <f>IF(Data!H272="","",Data!H272)</f>
        <v/>
      </c>
      <c r="E278" s="249" t="str">
        <f>IF(Data!I272="","",Data!I272)</f>
        <v/>
      </c>
      <c r="F278" s="249" t="str">
        <f>Data!J272</f>
        <v>VIII-G</v>
      </c>
      <c r="G278" s="197"/>
      <c r="H278" s="178" t="str">
        <f>IF(PA!R277="","",PA!R277)</f>
        <v/>
      </c>
      <c r="I278" s="179" t="str">
        <f>IF(PA!S277="","",PA!S277)</f>
        <v/>
      </c>
      <c r="J278" s="182" t="str">
        <f>IF(PA!Z277="","",PA!Z277)</f>
        <v/>
      </c>
      <c r="K278" s="179" t="str">
        <f>IF(PA!AI277="","",PA!AI277)</f>
        <v/>
      </c>
      <c r="L278" s="179" t="str">
        <f>IF(PA!AJ277="","",PA!AJ277)</f>
        <v/>
      </c>
      <c r="M278" s="182" t="str">
        <f>IF(PA!AQ277="","",PA!AQ277)</f>
        <v/>
      </c>
      <c r="N278" s="242"/>
    </row>
    <row r="279" spans="1:14" ht="15" customHeight="1" x14ac:dyDescent="0.3">
      <c r="A279" s="242"/>
      <c r="B279" s="424">
        <f>Data!E273</f>
        <v>29</v>
      </c>
      <c r="C279" s="249" t="str">
        <f>IF(Data!F273="","",Data!F273)</f>
        <v/>
      </c>
      <c r="D279" s="250" t="str">
        <f>IF(Data!H273="","",Data!H273)</f>
        <v/>
      </c>
      <c r="E279" s="249" t="str">
        <f>IF(Data!I273="","",Data!I273)</f>
        <v/>
      </c>
      <c r="F279" s="249" t="str">
        <f>Data!J273</f>
        <v>VIII-G</v>
      </c>
      <c r="G279" s="197"/>
      <c r="H279" s="178" t="str">
        <f>IF(PA!R278="","",PA!R278)</f>
        <v/>
      </c>
      <c r="I279" s="179" t="str">
        <f>IF(PA!S278="","",PA!S278)</f>
        <v/>
      </c>
      <c r="J279" s="182" t="str">
        <f>IF(PA!Z278="","",PA!Z278)</f>
        <v/>
      </c>
      <c r="K279" s="179" t="str">
        <f>IF(PA!AI278="","",PA!AI278)</f>
        <v/>
      </c>
      <c r="L279" s="179" t="str">
        <f>IF(PA!AJ278="","",PA!AJ278)</f>
        <v/>
      </c>
      <c r="M279" s="182" t="str">
        <f>IF(PA!AQ278="","",PA!AQ278)</f>
        <v/>
      </c>
      <c r="N279" s="242"/>
    </row>
    <row r="280" spans="1:14" ht="15" customHeight="1" x14ac:dyDescent="0.3">
      <c r="A280" s="242"/>
      <c r="B280" s="424">
        <f>Data!E274</f>
        <v>30</v>
      </c>
      <c r="C280" s="249" t="str">
        <f>IF(Data!F274="","",Data!F274)</f>
        <v/>
      </c>
      <c r="D280" s="250" t="str">
        <f>IF(Data!H274="","",Data!H274)</f>
        <v/>
      </c>
      <c r="E280" s="249" t="str">
        <f>IF(Data!I274="","",Data!I274)</f>
        <v/>
      </c>
      <c r="F280" s="249" t="str">
        <f>Data!J274</f>
        <v>VIII-G</v>
      </c>
      <c r="G280" s="197"/>
      <c r="H280" s="178" t="str">
        <f>IF(PA!R279="","",PA!R279)</f>
        <v/>
      </c>
      <c r="I280" s="179" t="str">
        <f>IF(PA!S279="","",PA!S279)</f>
        <v/>
      </c>
      <c r="J280" s="182" t="str">
        <f>IF(PA!Z279="","",PA!Z279)</f>
        <v/>
      </c>
      <c r="K280" s="179" t="str">
        <f>IF(PA!AI279="","",PA!AI279)</f>
        <v/>
      </c>
      <c r="L280" s="179" t="str">
        <f>IF(PA!AJ279="","",PA!AJ279)</f>
        <v/>
      </c>
      <c r="M280" s="182" t="str">
        <f>IF(PA!AQ279="","",PA!AQ279)</f>
        <v/>
      </c>
      <c r="N280" s="242"/>
    </row>
    <row r="281" spans="1:14" ht="15" customHeight="1" x14ac:dyDescent="0.3">
      <c r="A281" s="242"/>
      <c r="B281" s="424">
        <f>Data!E275</f>
        <v>31</v>
      </c>
      <c r="C281" s="249" t="str">
        <f>IF(Data!F275="","",Data!F275)</f>
        <v/>
      </c>
      <c r="D281" s="250" t="str">
        <f>IF(Data!H275="","",Data!H275)</f>
        <v/>
      </c>
      <c r="E281" s="249" t="str">
        <f>IF(Data!I275="","",Data!I275)</f>
        <v/>
      </c>
      <c r="F281" s="249" t="str">
        <f>Data!J275</f>
        <v>VIII-G</v>
      </c>
      <c r="G281" s="197"/>
      <c r="H281" s="178" t="str">
        <f>IF(PA!R280="","",PA!R280)</f>
        <v/>
      </c>
      <c r="I281" s="179" t="str">
        <f>IF(PA!S280="","",PA!S280)</f>
        <v/>
      </c>
      <c r="J281" s="182" t="str">
        <f>IF(PA!Z280="","",PA!Z280)</f>
        <v/>
      </c>
      <c r="K281" s="179" t="str">
        <f>IF(PA!AI280="","",PA!AI280)</f>
        <v/>
      </c>
      <c r="L281" s="179" t="str">
        <f>IF(PA!AJ280="","",PA!AJ280)</f>
        <v/>
      </c>
      <c r="M281" s="182" t="str">
        <f>IF(PA!AQ280="","",PA!AQ280)</f>
        <v/>
      </c>
      <c r="N281" s="242"/>
    </row>
    <row r="282" spans="1:14" ht="15" customHeight="1" x14ac:dyDescent="0.3">
      <c r="A282" s="242"/>
      <c r="B282" s="424">
        <f>Data!E276</f>
        <v>32</v>
      </c>
      <c r="C282" s="249" t="str">
        <f>IF(Data!F276="","",Data!F276)</f>
        <v/>
      </c>
      <c r="D282" s="250" t="str">
        <f>IF(Data!H276="","",Data!H276)</f>
        <v/>
      </c>
      <c r="E282" s="249" t="str">
        <f>IF(Data!I276="","",Data!I276)</f>
        <v/>
      </c>
      <c r="F282" s="249" t="str">
        <f>Data!J276</f>
        <v>VIII-G</v>
      </c>
      <c r="G282" s="197"/>
      <c r="H282" s="178" t="str">
        <f>IF(PA!R281="","",PA!R281)</f>
        <v/>
      </c>
      <c r="I282" s="179" t="str">
        <f>IF(PA!S281="","",PA!S281)</f>
        <v/>
      </c>
      <c r="J282" s="182" t="str">
        <f>IF(PA!Z281="","",PA!Z281)</f>
        <v/>
      </c>
      <c r="K282" s="179" t="str">
        <f>IF(PA!AI281="","",PA!AI281)</f>
        <v/>
      </c>
      <c r="L282" s="179" t="str">
        <f>IF(PA!AJ281="","",PA!AJ281)</f>
        <v/>
      </c>
      <c r="M282" s="182" t="str">
        <f>IF(PA!AQ281="","",PA!AQ281)</f>
        <v/>
      </c>
      <c r="N282" s="242"/>
    </row>
    <row r="283" spans="1:14" ht="15" customHeight="1" x14ac:dyDescent="0.3">
      <c r="A283" s="242"/>
      <c r="B283" s="424">
        <f>Data!E277</f>
        <v>33</v>
      </c>
      <c r="C283" s="249" t="str">
        <f>IF(Data!F277="","",Data!F277)</f>
        <v/>
      </c>
      <c r="D283" s="250" t="str">
        <f>IF(Data!H277="","",Data!H277)</f>
        <v/>
      </c>
      <c r="E283" s="249" t="str">
        <f>IF(Data!I277="","",Data!I277)</f>
        <v/>
      </c>
      <c r="F283" s="249" t="str">
        <f>Data!J277</f>
        <v>VIII-G</v>
      </c>
      <c r="G283" s="197"/>
      <c r="H283" s="178" t="str">
        <f>IF(PA!R282="","",PA!R282)</f>
        <v/>
      </c>
      <c r="I283" s="179" t="str">
        <f>IF(PA!S282="","",PA!S282)</f>
        <v/>
      </c>
      <c r="J283" s="182" t="str">
        <f>IF(PA!Z282="","",PA!Z282)</f>
        <v/>
      </c>
      <c r="K283" s="179" t="str">
        <f>IF(PA!AI282="","",PA!AI282)</f>
        <v/>
      </c>
      <c r="L283" s="179" t="str">
        <f>IF(PA!AJ282="","",PA!AJ282)</f>
        <v/>
      </c>
      <c r="M283" s="182" t="str">
        <f>IF(PA!AQ282="","",PA!AQ282)</f>
        <v/>
      </c>
      <c r="N283" s="242"/>
    </row>
    <row r="284" spans="1:14" ht="15" customHeight="1" x14ac:dyDescent="0.3">
      <c r="A284" s="242"/>
      <c r="B284" s="424">
        <f>Data!E278</f>
        <v>34</v>
      </c>
      <c r="C284" s="249" t="str">
        <f>IF(Data!F278="","",Data!F278)</f>
        <v/>
      </c>
      <c r="D284" s="250" t="str">
        <f>IF(Data!H278="","",Data!H278)</f>
        <v/>
      </c>
      <c r="E284" s="249" t="str">
        <f>IF(Data!I278="","",Data!I278)</f>
        <v/>
      </c>
      <c r="F284" s="249" t="str">
        <f>Data!J278</f>
        <v>VIII-G</v>
      </c>
      <c r="G284" s="197"/>
      <c r="H284" s="178" t="str">
        <f>IF(PA!R283="","",PA!R283)</f>
        <v/>
      </c>
      <c r="I284" s="179" t="str">
        <f>IF(PA!S283="","",PA!S283)</f>
        <v/>
      </c>
      <c r="J284" s="182" t="str">
        <f>IF(PA!Z283="","",PA!Z283)</f>
        <v/>
      </c>
      <c r="K284" s="179" t="str">
        <f>IF(PA!AI283="","",PA!AI283)</f>
        <v/>
      </c>
      <c r="L284" s="179" t="str">
        <f>IF(PA!AJ283="","",PA!AJ283)</f>
        <v/>
      </c>
      <c r="M284" s="182" t="str">
        <f>IF(PA!AQ283="","",PA!AQ283)</f>
        <v/>
      </c>
      <c r="N284" s="242"/>
    </row>
    <row r="285" spans="1:14" ht="15" customHeight="1" x14ac:dyDescent="0.3">
      <c r="A285" s="242"/>
      <c r="B285" s="424">
        <f>Data!E279</f>
        <v>35</v>
      </c>
      <c r="C285" s="249" t="str">
        <f>IF(Data!F279="","",Data!F279)</f>
        <v/>
      </c>
      <c r="D285" s="250" t="str">
        <f>IF(Data!H279="","",Data!H279)</f>
        <v/>
      </c>
      <c r="E285" s="249" t="str">
        <f>IF(Data!I279="","",Data!I279)</f>
        <v/>
      </c>
      <c r="F285" s="249" t="str">
        <f>Data!J279</f>
        <v>VIII-G</v>
      </c>
      <c r="G285" s="197"/>
      <c r="H285" s="178" t="str">
        <f>IF(PA!R284="","",PA!R284)</f>
        <v/>
      </c>
      <c r="I285" s="179" t="str">
        <f>IF(PA!S284="","",PA!S284)</f>
        <v/>
      </c>
      <c r="J285" s="182" t="str">
        <f>IF(PA!Z284="","",PA!Z284)</f>
        <v/>
      </c>
      <c r="K285" s="179" t="str">
        <f>IF(PA!AI284="","",PA!AI284)</f>
        <v/>
      </c>
      <c r="L285" s="179" t="str">
        <f>IF(PA!AJ284="","",PA!AJ284)</f>
        <v/>
      </c>
      <c r="M285" s="182" t="str">
        <f>IF(PA!AQ284="","",PA!AQ284)</f>
        <v/>
      </c>
      <c r="N285" s="242"/>
    </row>
    <row r="286" spans="1:14" ht="15" customHeight="1" x14ac:dyDescent="0.3">
      <c r="A286" s="242"/>
      <c r="B286" s="424">
        <f>Data!E280</f>
        <v>36</v>
      </c>
      <c r="C286" s="249" t="str">
        <f>IF(Data!F280="","",Data!F280)</f>
        <v/>
      </c>
      <c r="D286" s="250" t="str">
        <f>IF(Data!H280="","",Data!H280)</f>
        <v/>
      </c>
      <c r="E286" s="249" t="str">
        <f>IF(Data!I280="","",Data!I280)</f>
        <v/>
      </c>
      <c r="F286" s="249" t="str">
        <f>Data!J280</f>
        <v>VIII-G</v>
      </c>
      <c r="G286" s="197"/>
      <c r="H286" s="178" t="str">
        <f>IF(PA!R285="","",PA!R285)</f>
        <v/>
      </c>
      <c r="I286" s="179" t="str">
        <f>IF(PA!S285="","",PA!S285)</f>
        <v/>
      </c>
      <c r="J286" s="182" t="str">
        <f>IF(PA!Z285="","",PA!Z285)</f>
        <v/>
      </c>
      <c r="K286" s="179" t="str">
        <f>IF(PA!AI285="","",PA!AI285)</f>
        <v/>
      </c>
      <c r="L286" s="179" t="str">
        <f>IF(PA!AJ285="","",PA!AJ285)</f>
        <v/>
      </c>
      <c r="M286" s="182" t="str">
        <f>IF(PA!AQ285="","",PA!AQ285)</f>
        <v/>
      </c>
      <c r="N286" s="242"/>
    </row>
    <row r="287" spans="1:14" ht="15" customHeight="1" x14ac:dyDescent="0.3">
      <c r="A287" s="242"/>
      <c r="B287" s="424">
        <f>Data!E281</f>
        <v>37</v>
      </c>
      <c r="C287" s="249" t="str">
        <f>IF(Data!F281="","",Data!F281)</f>
        <v/>
      </c>
      <c r="D287" s="250" t="str">
        <f>IF(Data!H281="","",Data!H281)</f>
        <v/>
      </c>
      <c r="E287" s="249" t="str">
        <f>IF(Data!I281="","",Data!I281)</f>
        <v/>
      </c>
      <c r="F287" s="249" t="str">
        <f>Data!J281</f>
        <v>VIII-G</v>
      </c>
      <c r="G287" s="197"/>
      <c r="H287" s="178" t="str">
        <f>IF(PA!R286="","",PA!R286)</f>
        <v/>
      </c>
      <c r="I287" s="179" t="str">
        <f>IF(PA!S286="","",PA!S286)</f>
        <v/>
      </c>
      <c r="J287" s="182" t="str">
        <f>IF(PA!Z286="","",PA!Z286)</f>
        <v/>
      </c>
      <c r="K287" s="179" t="str">
        <f>IF(PA!AI286="","",PA!AI286)</f>
        <v/>
      </c>
      <c r="L287" s="179" t="str">
        <f>IF(PA!AJ286="","",PA!AJ286)</f>
        <v/>
      </c>
      <c r="M287" s="182" t="str">
        <f>IF(PA!AQ286="","",PA!AQ286)</f>
        <v/>
      </c>
      <c r="N287" s="242"/>
    </row>
    <row r="288" spans="1:14" ht="15" customHeight="1" x14ac:dyDescent="0.3">
      <c r="A288" s="242"/>
      <c r="B288" s="424">
        <f>Data!E282</f>
        <v>38</v>
      </c>
      <c r="C288" s="249" t="str">
        <f>IF(Data!F282="","",Data!F282)</f>
        <v/>
      </c>
      <c r="D288" s="250" t="str">
        <f>IF(Data!H282="","",Data!H282)</f>
        <v/>
      </c>
      <c r="E288" s="249" t="str">
        <f>IF(Data!I282="","",Data!I282)</f>
        <v/>
      </c>
      <c r="F288" s="249" t="str">
        <f>Data!J282</f>
        <v>VIII-G</v>
      </c>
      <c r="G288" s="197"/>
      <c r="H288" s="178" t="str">
        <f>IF(PA!R287="","",PA!R287)</f>
        <v/>
      </c>
      <c r="I288" s="179" t="str">
        <f>IF(PA!S287="","",PA!S287)</f>
        <v/>
      </c>
      <c r="J288" s="182" t="str">
        <f>IF(PA!Z287="","",PA!Z287)</f>
        <v/>
      </c>
      <c r="K288" s="179" t="str">
        <f>IF(PA!AI287="","",PA!AI287)</f>
        <v/>
      </c>
      <c r="L288" s="179" t="str">
        <f>IF(PA!AJ287="","",PA!AJ287)</f>
        <v/>
      </c>
      <c r="M288" s="182" t="str">
        <f>IF(PA!AQ287="","",PA!AQ287)</f>
        <v/>
      </c>
      <c r="N288" s="242"/>
    </row>
    <row r="289" spans="1:14" ht="15" customHeight="1" x14ac:dyDescent="0.3">
      <c r="A289" s="242"/>
      <c r="B289" s="424">
        <f>Data!E283</f>
        <v>39</v>
      </c>
      <c r="C289" s="249" t="str">
        <f>IF(Data!F283="","",Data!F283)</f>
        <v/>
      </c>
      <c r="D289" s="250" t="str">
        <f>IF(Data!H283="","",Data!H283)</f>
        <v/>
      </c>
      <c r="E289" s="249" t="str">
        <f>IF(Data!I283="","",Data!I283)</f>
        <v/>
      </c>
      <c r="F289" s="249" t="str">
        <f>Data!J283</f>
        <v>VIII-G</v>
      </c>
      <c r="G289" s="197"/>
      <c r="H289" s="178" t="str">
        <f>IF(PA!R288="","",PA!R288)</f>
        <v/>
      </c>
      <c r="I289" s="179" t="str">
        <f>IF(PA!S288="","",PA!S288)</f>
        <v/>
      </c>
      <c r="J289" s="182" t="str">
        <f>IF(PA!Z288="","",PA!Z288)</f>
        <v/>
      </c>
      <c r="K289" s="179" t="str">
        <f>IF(PA!AI288="","",PA!AI288)</f>
        <v/>
      </c>
      <c r="L289" s="179" t="str">
        <f>IF(PA!AJ288="","",PA!AJ288)</f>
        <v/>
      </c>
      <c r="M289" s="182" t="str">
        <f>IF(PA!AQ288="","",PA!AQ288)</f>
        <v/>
      </c>
      <c r="N289" s="242"/>
    </row>
    <row r="290" spans="1:14" ht="15" customHeight="1" thickBot="1" x14ac:dyDescent="0.35">
      <c r="A290" s="242"/>
      <c r="B290" s="429">
        <f>Data!E284</f>
        <v>40</v>
      </c>
      <c r="C290" s="430" t="str">
        <f>IF(Data!F284="","",Data!F284)</f>
        <v/>
      </c>
      <c r="D290" s="431" t="str">
        <f>IF(Data!H284="","",Data!H284)</f>
        <v/>
      </c>
      <c r="E290" s="430" t="str">
        <f>IF(Data!I284="","",Data!I284)</f>
        <v/>
      </c>
      <c r="F290" s="430" t="str">
        <f>Data!J284</f>
        <v>VIII-G</v>
      </c>
      <c r="G290" s="432"/>
      <c r="H290" s="433" t="str">
        <f>IF(PA!R289="","",PA!R289)</f>
        <v/>
      </c>
      <c r="I290" s="434" t="str">
        <f>IF(PA!S289="","",PA!S289)</f>
        <v/>
      </c>
      <c r="J290" s="435" t="str">
        <f>IF(PA!Z289="","",PA!Z289)</f>
        <v/>
      </c>
      <c r="K290" s="434" t="str">
        <f>IF(PA!AI289="","",PA!AI289)</f>
        <v/>
      </c>
      <c r="L290" s="434" t="str">
        <f>IF(PA!AJ289="","",PA!AJ289)</f>
        <v/>
      </c>
      <c r="M290" s="435" t="str">
        <f>IF(PA!AQ289="","",PA!AQ289)</f>
        <v/>
      </c>
      <c r="N290" s="242"/>
    </row>
    <row r="291" spans="1:14" ht="15" customHeight="1" thickTop="1" x14ac:dyDescent="0.3">
      <c r="A291" s="242"/>
      <c r="B291" s="426">
        <f>Data!E285</f>
        <v>1</v>
      </c>
      <c r="C291" s="427" t="str">
        <f>IF(Data!F285="","",Data!F285)</f>
        <v>03645</v>
      </c>
      <c r="D291" s="428" t="str">
        <f>IF(Data!H285="","",Data!H285)</f>
        <v>Auliya Silviana Eka Putri</v>
      </c>
      <c r="E291" s="427" t="str">
        <f>IF(Data!I285="","",Data!I285)</f>
        <v>Perempuan</v>
      </c>
      <c r="F291" s="427" t="str">
        <f>Data!J285</f>
        <v>VIII-H</v>
      </c>
      <c r="G291" s="197"/>
      <c r="H291" s="180" t="str">
        <f>IF(PA!R290="","",PA!R290)</f>
        <v/>
      </c>
      <c r="I291" s="181" t="str">
        <f>IF(PA!S290="","",PA!S290)</f>
        <v/>
      </c>
      <c r="J291" s="187" t="str">
        <f>IF(PA!Z290="","",PA!Z290)</f>
        <v/>
      </c>
      <c r="K291" s="181" t="str">
        <f>IF(PA!AI290="","",PA!AI290)</f>
        <v/>
      </c>
      <c r="L291" s="181" t="str">
        <f>IF(PA!AJ290="","",PA!AJ290)</f>
        <v/>
      </c>
      <c r="M291" s="187" t="str">
        <f>IF(PA!AQ290="","",PA!AQ290)</f>
        <v/>
      </c>
      <c r="N291" s="242"/>
    </row>
    <row r="292" spans="1:14" ht="15" customHeight="1" x14ac:dyDescent="0.3">
      <c r="A292" s="242"/>
      <c r="B292" s="424">
        <f>Data!E286</f>
        <v>2</v>
      </c>
      <c r="C292" s="249" t="str">
        <f>IF(Data!F286="","",Data!F286)</f>
        <v>03658</v>
      </c>
      <c r="D292" s="250" t="str">
        <f>IF(Data!H286="","",Data!H286)</f>
        <v>Dhara Silvia Nur Septiany</v>
      </c>
      <c r="E292" s="249" t="str">
        <f>IF(Data!I286="","",Data!I286)</f>
        <v>Perempuan</v>
      </c>
      <c r="F292" s="249" t="str">
        <f>Data!J286</f>
        <v>VIII-H</v>
      </c>
      <c r="G292" s="197"/>
      <c r="H292" s="178" t="str">
        <f>IF(PA!R291="","",PA!R291)</f>
        <v/>
      </c>
      <c r="I292" s="179" t="str">
        <f>IF(PA!S291="","",PA!S291)</f>
        <v/>
      </c>
      <c r="J292" s="182" t="str">
        <f>IF(PA!Z291="","",PA!Z291)</f>
        <v/>
      </c>
      <c r="K292" s="179" t="str">
        <f>IF(PA!AI291="","",PA!AI291)</f>
        <v/>
      </c>
      <c r="L292" s="179" t="str">
        <f>IF(PA!AJ291="","",PA!AJ291)</f>
        <v/>
      </c>
      <c r="M292" s="182" t="str">
        <f>IF(PA!AQ291="","",PA!AQ291)</f>
        <v/>
      </c>
      <c r="N292" s="242"/>
    </row>
    <row r="293" spans="1:14" ht="15" customHeight="1" x14ac:dyDescent="0.3">
      <c r="A293" s="242"/>
      <c r="B293" s="424">
        <f>Data!E287</f>
        <v>3</v>
      </c>
      <c r="C293" s="249" t="str">
        <f>IF(Data!F287="","",Data!F287)</f>
        <v>03663</v>
      </c>
      <c r="D293" s="250" t="str">
        <f>IF(Data!H287="","",Data!H287)</f>
        <v>Dinda Margaretha</v>
      </c>
      <c r="E293" s="249" t="str">
        <f>IF(Data!I287="","",Data!I287)</f>
        <v>Perempuan</v>
      </c>
      <c r="F293" s="249" t="str">
        <f>Data!J287</f>
        <v>VIII-H</v>
      </c>
      <c r="G293" s="197"/>
      <c r="H293" s="178" t="str">
        <f>IF(PA!R292="","",PA!R292)</f>
        <v/>
      </c>
      <c r="I293" s="179" t="str">
        <f>IF(PA!S292="","",PA!S292)</f>
        <v/>
      </c>
      <c r="J293" s="182" t="str">
        <f>IF(PA!Z292="","",PA!Z292)</f>
        <v/>
      </c>
      <c r="K293" s="179" t="str">
        <f>IF(PA!AI292="","",PA!AI292)</f>
        <v/>
      </c>
      <c r="L293" s="179" t="str">
        <f>IF(PA!AJ292="","",PA!AJ292)</f>
        <v/>
      </c>
      <c r="M293" s="182" t="str">
        <f>IF(PA!AQ292="","",PA!AQ292)</f>
        <v/>
      </c>
      <c r="N293" s="242"/>
    </row>
    <row r="294" spans="1:14" ht="15" customHeight="1" x14ac:dyDescent="0.3">
      <c r="A294" s="242"/>
      <c r="B294" s="424">
        <f>Data!E288</f>
        <v>4</v>
      </c>
      <c r="C294" s="249" t="str">
        <f>IF(Data!F288="","",Data!F288)</f>
        <v>03679</v>
      </c>
      <c r="D294" s="250" t="str">
        <f>IF(Data!H288="","",Data!H288)</f>
        <v>Jihan Kharisma Andoko Putri</v>
      </c>
      <c r="E294" s="249" t="str">
        <f>IF(Data!I288="","",Data!I288)</f>
        <v>Perempuan</v>
      </c>
      <c r="F294" s="249" t="str">
        <f>Data!J288</f>
        <v>VIII-H</v>
      </c>
      <c r="G294" s="197"/>
      <c r="H294" s="178" t="str">
        <f>IF(PA!R293="","",PA!R293)</f>
        <v/>
      </c>
      <c r="I294" s="179" t="str">
        <f>IF(PA!S293="","",PA!S293)</f>
        <v/>
      </c>
      <c r="J294" s="182" t="str">
        <f>IF(PA!Z293="","",PA!Z293)</f>
        <v/>
      </c>
      <c r="K294" s="179" t="str">
        <f>IF(PA!AI293="","",PA!AI293)</f>
        <v/>
      </c>
      <c r="L294" s="179" t="str">
        <f>IF(PA!AJ293="","",PA!AJ293)</f>
        <v/>
      </c>
      <c r="M294" s="182" t="str">
        <f>IF(PA!AQ293="","",PA!AQ293)</f>
        <v/>
      </c>
      <c r="N294" s="242"/>
    </row>
    <row r="295" spans="1:14" ht="15" customHeight="1" x14ac:dyDescent="0.3">
      <c r="A295" s="242"/>
      <c r="B295" s="424">
        <f>Data!E289</f>
        <v>5</v>
      </c>
      <c r="C295" s="249" t="str">
        <f>IF(Data!F289="","",Data!F289)</f>
        <v>03685</v>
      </c>
      <c r="D295" s="250" t="str">
        <f>IF(Data!H289="","",Data!H289)</f>
        <v>Khofifah Dwi Wulandini</v>
      </c>
      <c r="E295" s="249" t="str">
        <f>IF(Data!I289="","",Data!I289)</f>
        <v>Perempuan</v>
      </c>
      <c r="F295" s="249" t="str">
        <f>Data!J289</f>
        <v>VIII-H</v>
      </c>
      <c r="G295" s="197"/>
      <c r="H295" s="178" t="str">
        <f>IF(PA!R294="","",PA!R294)</f>
        <v/>
      </c>
      <c r="I295" s="179" t="str">
        <f>IF(PA!S294="","",PA!S294)</f>
        <v/>
      </c>
      <c r="J295" s="182" t="str">
        <f>IF(PA!Z294="","",PA!Z294)</f>
        <v/>
      </c>
      <c r="K295" s="179" t="str">
        <f>IF(PA!AI294="","",PA!AI294)</f>
        <v/>
      </c>
      <c r="L295" s="179" t="str">
        <f>IF(PA!AJ294="","",PA!AJ294)</f>
        <v/>
      </c>
      <c r="M295" s="182" t="str">
        <f>IF(PA!AQ294="","",PA!AQ294)</f>
        <v/>
      </c>
      <c r="N295" s="242"/>
    </row>
    <row r="296" spans="1:14" ht="15" customHeight="1" x14ac:dyDescent="0.3">
      <c r="A296" s="242"/>
      <c r="B296" s="424">
        <f>Data!E290</f>
        <v>6</v>
      </c>
      <c r="C296" s="249" t="str">
        <f>IF(Data!F290="","",Data!F290)</f>
        <v>03692</v>
      </c>
      <c r="D296" s="250" t="str">
        <f>IF(Data!H290="","",Data!H290)</f>
        <v>Maulidan Najwa Lathifah</v>
      </c>
      <c r="E296" s="249" t="str">
        <f>IF(Data!I290="","",Data!I290)</f>
        <v>Perempuan</v>
      </c>
      <c r="F296" s="249" t="str">
        <f>Data!J290</f>
        <v>VIII-H</v>
      </c>
      <c r="G296" s="197"/>
      <c r="H296" s="178" t="str">
        <f>IF(PA!R295="","",PA!R295)</f>
        <v/>
      </c>
      <c r="I296" s="179" t="str">
        <f>IF(PA!S295="","",PA!S295)</f>
        <v/>
      </c>
      <c r="J296" s="182" t="str">
        <f>IF(PA!Z295="","",PA!Z295)</f>
        <v/>
      </c>
      <c r="K296" s="179" t="str">
        <f>IF(PA!AI295="","",PA!AI295)</f>
        <v/>
      </c>
      <c r="L296" s="179" t="str">
        <f>IF(PA!AJ295="","",PA!AJ295)</f>
        <v/>
      </c>
      <c r="M296" s="182" t="str">
        <f>IF(PA!AQ295="","",PA!AQ295)</f>
        <v/>
      </c>
      <c r="N296" s="242"/>
    </row>
    <row r="297" spans="1:14" ht="15" customHeight="1" x14ac:dyDescent="0.3">
      <c r="A297" s="242"/>
      <c r="B297" s="424">
        <f>Data!E291</f>
        <v>7</v>
      </c>
      <c r="C297" s="249" t="str">
        <f>IF(Data!F291="","",Data!F291)</f>
        <v>03693</v>
      </c>
      <c r="D297" s="250" t="str">
        <f>IF(Data!H291="","",Data!H291)</f>
        <v>Meysha Vallerie Azzahra</v>
      </c>
      <c r="E297" s="249" t="str">
        <f>IF(Data!I291="","",Data!I291)</f>
        <v>Perempuan</v>
      </c>
      <c r="F297" s="249" t="str">
        <f>Data!J291</f>
        <v>VIII-H</v>
      </c>
      <c r="G297" s="197"/>
      <c r="H297" s="178" t="str">
        <f>IF(PA!R296="","",PA!R296)</f>
        <v/>
      </c>
      <c r="I297" s="179" t="str">
        <f>IF(PA!S296="","",PA!S296)</f>
        <v/>
      </c>
      <c r="J297" s="182" t="str">
        <f>IF(PA!Z296="","",PA!Z296)</f>
        <v/>
      </c>
      <c r="K297" s="179" t="str">
        <f>IF(PA!AI296="","",PA!AI296)</f>
        <v/>
      </c>
      <c r="L297" s="179" t="str">
        <f>IF(PA!AJ296="","",PA!AJ296)</f>
        <v/>
      </c>
      <c r="M297" s="182" t="str">
        <f>IF(PA!AQ296="","",PA!AQ296)</f>
        <v/>
      </c>
      <c r="N297" s="242"/>
    </row>
    <row r="298" spans="1:14" ht="15" customHeight="1" x14ac:dyDescent="0.3">
      <c r="A298" s="242"/>
      <c r="B298" s="424">
        <f>Data!E292</f>
        <v>8</v>
      </c>
      <c r="C298" s="249" t="str">
        <f>IF(Data!F292="","",Data!F292)</f>
        <v>03697</v>
      </c>
      <c r="D298" s="250" t="str">
        <f>IF(Data!H292="","",Data!H292)</f>
        <v>Mufidah Salwa Ramadhani</v>
      </c>
      <c r="E298" s="249" t="str">
        <f>IF(Data!I292="","",Data!I292)</f>
        <v>Perempuan</v>
      </c>
      <c r="F298" s="249" t="str">
        <f>Data!J292</f>
        <v>VIII-H</v>
      </c>
      <c r="G298" s="197"/>
      <c r="H298" s="178" t="str">
        <f>IF(PA!R297="","",PA!R297)</f>
        <v/>
      </c>
      <c r="I298" s="179" t="str">
        <f>IF(PA!S297="","",PA!S297)</f>
        <v/>
      </c>
      <c r="J298" s="182" t="str">
        <f>IF(PA!Z297="","",PA!Z297)</f>
        <v/>
      </c>
      <c r="K298" s="179" t="str">
        <f>IF(PA!AI297="","",PA!AI297)</f>
        <v/>
      </c>
      <c r="L298" s="179" t="str">
        <f>IF(PA!AJ297="","",PA!AJ297)</f>
        <v/>
      </c>
      <c r="M298" s="182" t="str">
        <f>IF(PA!AQ297="","",PA!AQ297)</f>
        <v/>
      </c>
      <c r="N298" s="242"/>
    </row>
    <row r="299" spans="1:14" ht="15" customHeight="1" x14ac:dyDescent="0.3">
      <c r="A299" s="242"/>
      <c r="B299" s="424">
        <f>Data!E293</f>
        <v>9</v>
      </c>
      <c r="C299" s="249" t="str">
        <f>IF(Data!F293="","",Data!F293)</f>
        <v>03711</v>
      </c>
      <c r="D299" s="250" t="str">
        <f>IF(Data!H293="","",Data!H293)</f>
        <v>Nelli Rahma Ramadani</v>
      </c>
      <c r="E299" s="249" t="str">
        <f>IF(Data!I293="","",Data!I293)</f>
        <v>Perempuan</v>
      </c>
      <c r="F299" s="249" t="str">
        <f>Data!J293</f>
        <v>VIII-H</v>
      </c>
      <c r="G299" s="197"/>
      <c r="H299" s="178" t="str">
        <f>IF(PA!R298="","",PA!R298)</f>
        <v/>
      </c>
      <c r="I299" s="179" t="str">
        <f>IF(PA!S298="","",PA!S298)</f>
        <v/>
      </c>
      <c r="J299" s="182" t="str">
        <f>IF(PA!Z298="","",PA!Z298)</f>
        <v/>
      </c>
      <c r="K299" s="179" t="str">
        <f>IF(PA!AI298="","",PA!AI298)</f>
        <v/>
      </c>
      <c r="L299" s="179" t="str">
        <f>IF(PA!AJ298="","",PA!AJ298)</f>
        <v/>
      </c>
      <c r="M299" s="182" t="str">
        <f>IF(PA!AQ298="","",PA!AQ298)</f>
        <v/>
      </c>
      <c r="N299" s="242"/>
    </row>
    <row r="300" spans="1:14" ht="15" customHeight="1" x14ac:dyDescent="0.3">
      <c r="A300" s="242"/>
      <c r="B300" s="424">
        <f>Data!E294</f>
        <v>10</v>
      </c>
      <c r="C300" s="249" t="str">
        <f>IF(Data!F294="","",Data!F294)</f>
        <v>03720</v>
      </c>
      <c r="D300" s="250" t="str">
        <f>IF(Data!H294="","",Data!H294)</f>
        <v>Salsabila Alfira Anggia Putri</v>
      </c>
      <c r="E300" s="249" t="str">
        <f>IF(Data!I294="","",Data!I294)</f>
        <v>Perempuan</v>
      </c>
      <c r="F300" s="249" t="str">
        <f>Data!J294</f>
        <v>VIII-H</v>
      </c>
      <c r="G300" s="197"/>
      <c r="H300" s="178" t="str">
        <f>IF(PA!R299="","",PA!R299)</f>
        <v/>
      </c>
      <c r="I300" s="179" t="str">
        <f>IF(PA!S299="","",PA!S299)</f>
        <v/>
      </c>
      <c r="J300" s="182" t="str">
        <f>IF(PA!Z299="","",PA!Z299)</f>
        <v/>
      </c>
      <c r="K300" s="179" t="str">
        <f>IF(PA!AI299="","",PA!AI299)</f>
        <v/>
      </c>
      <c r="L300" s="179" t="str">
        <f>IF(PA!AJ299="","",PA!AJ299)</f>
        <v/>
      </c>
      <c r="M300" s="182" t="str">
        <f>IF(PA!AQ299="","",PA!AQ299)</f>
        <v/>
      </c>
      <c r="N300" s="242"/>
    </row>
    <row r="301" spans="1:14" ht="15" customHeight="1" x14ac:dyDescent="0.3">
      <c r="A301" s="242"/>
      <c r="B301" s="424">
        <f>Data!E295</f>
        <v>11</v>
      </c>
      <c r="C301" s="249" t="str">
        <f>IF(Data!F295="","",Data!F295)</f>
        <v>03728</v>
      </c>
      <c r="D301" s="250" t="str">
        <f>IF(Data!H295="","",Data!H295)</f>
        <v>Siti Nur Halimah Thusadia</v>
      </c>
      <c r="E301" s="249" t="str">
        <f>IF(Data!I295="","",Data!I295)</f>
        <v>Perempuan</v>
      </c>
      <c r="F301" s="249" t="str">
        <f>Data!J295</f>
        <v>VIII-H</v>
      </c>
      <c r="G301" s="197"/>
      <c r="H301" s="178" t="str">
        <f>IF(PA!R300="","",PA!R300)</f>
        <v/>
      </c>
      <c r="I301" s="179" t="str">
        <f>IF(PA!S300="","",PA!S300)</f>
        <v/>
      </c>
      <c r="J301" s="182" t="str">
        <f>IF(PA!Z300="","",PA!Z300)</f>
        <v/>
      </c>
      <c r="K301" s="179" t="str">
        <f>IF(PA!AI300="","",PA!AI300)</f>
        <v/>
      </c>
      <c r="L301" s="179" t="str">
        <f>IF(PA!AJ300="","",PA!AJ300)</f>
        <v/>
      </c>
      <c r="M301" s="182" t="str">
        <f>IF(PA!AQ300="","",PA!AQ300)</f>
        <v/>
      </c>
      <c r="N301" s="242"/>
    </row>
    <row r="302" spans="1:14" ht="15" customHeight="1" x14ac:dyDescent="0.3">
      <c r="A302" s="242"/>
      <c r="B302" s="424">
        <f>Data!E296</f>
        <v>12</v>
      </c>
      <c r="C302" s="249" t="str">
        <f>IF(Data!F296="","",Data!F296)</f>
        <v>03729</v>
      </c>
      <c r="D302" s="250" t="str">
        <f>IF(Data!H296="","",Data!H296)</f>
        <v>Siti Sofiatul Milah</v>
      </c>
      <c r="E302" s="249" t="str">
        <f>IF(Data!I296="","",Data!I296)</f>
        <v>Perempuan</v>
      </c>
      <c r="F302" s="249" t="str">
        <f>Data!J296</f>
        <v>VIII-H</v>
      </c>
      <c r="G302" s="197"/>
      <c r="H302" s="178" t="str">
        <f>IF(PA!R301="","",PA!R301)</f>
        <v/>
      </c>
      <c r="I302" s="179" t="str">
        <f>IF(PA!S301="","",PA!S301)</f>
        <v/>
      </c>
      <c r="J302" s="182" t="str">
        <f>IF(PA!Z301="","",PA!Z301)</f>
        <v/>
      </c>
      <c r="K302" s="179" t="str">
        <f>IF(PA!AI301="","",PA!AI301)</f>
        <v/>
      </c>
      <c r="L302" s="179" t="str">
        <f>IF(PA!AJ301="","",PA!AJ301)</f>
        <v/>
      </c>
      <c r="M302" s="182" t="str">
        <f>IF(PA!AQ301="","",PA!AQ301)</f>
        <v/>
      </c>
      <c r="N302" s="242"/>
    </row>
    <row r="303" spans="1:14" ht="15" customHeight="1" x14ac:dyDescent="0.3">
      <c r="A303" s="242"/>
      <c r="B303" s="424">
        <f>Data!E297</f>
        <v>13</v>
      </c>
      <c r="C303" s="249" t="str">
        <f>IF(Data!F297="","",Data!F297)</f>
        <v>03733</v>
      </c>
      <c r="D303" s="250" t="str">
        <f>IF(Data!H297="","",Data!H297)</f>
        <v>Syafiqoh Aliya Aimuni</v>
      </c>
      <c r="E303" s="249" t="str">
        <f>IF(Data!I297="","",Data!I297)</f>
        <v>Perempuan</v>
      </c>
      <c r="F303" s="249" t="str">
        <f>Data!J297</f>
        <v>VIII-H</v>
      </c>
      <c r="G303" s="197"/>
      <c r="H303" s="178" t="str">
        <f>IF(PA!R302="","",PA!R302)</f>
        <v/>
      </c>
      <c r="I303" s="179" t="str">
        <f>IF(PA!S302="","",PA!S302)</f>
        <v/>
      </c>
      <c r="J303" s="182" t="str">
        <f>IF(PA!Z302="","",PA!Z302)</f>
        <v/>
      </c>
      <c r="K303" s="179" t="str">
        <f>IF(PA!AI302="","",PA!AI302)</f>
        <v/>
      </c>
      <c r="L303" s="179" t="str">
        <f>IF(PA!AJ302="","",PA!AJ302)</f>
        <v/>
      </c>
      <c r="M303" s="182" t="str">
        <f>IF(PA!AQ302="","",PA!AQ302)</f>
        <v/>
      </c>
      <c r="N303" s="242"/>
    </row>
    <row r="304" spans="1:14" ht="15" customHeight="1" x14ac:dyDescent="0.3">
      <c r="A304" s="242"/>
      <c r="B304" s="424">
        <f>Data!E298</f>
        <v>14</v>
      </c>
      <c r="C304" s="249" t="str">
        <f>IF(Data!F298="","",Data!F298)</f>
        <v>03736</v>
      </c>
      <c r="D304" s="250" t="str">
        <f>IF(Data!H298="","",Data!H298)</f>
        <v>Techa Pramudia Ramadhani</v>
      </c>
      <c r="E304" s="249" t="str">
        <f>IF(Data!I298="","",Data!I298)</f>
        <v>Perempuan</v>
      </c>
      <c r="F304" s="249" t="str">
        <f>Data!J298</f>
        <v>VIII-H</v>
      </c>
      <c r="G304" s="197"/>
      <c r="H304" s="178" t="str">
        <f>IF(PA!R303="","",PA!R303)</f>
        <v/>
      </c>
      <c r="I304" s="179" t="str">
        <f>IF(PA!S303="","",PA!S303)</f>
        <v/>
      </c>
      <c r="J304" s="182" t="str">
        <f>IF(PA!Z303="","",PA!Z303)</f>
        <v/>
      </c>
      <c r="K304" s="179" t="str">
        <f>IF(PA!AI303="","",PA!AI303)</f>
        <v/>
      </c>
      <c r="L304" s="179" t="str">
        <f>IF(PA!AJ303="","",PA!AJ303)</f>
        <v/>
      </c>
      <c r="M304" s="182" t="str">
        <f>IF(PA!AQ303="","",PA!AQ303)</f>
        <v/>
      </c>
      <c r="N304" s="242"/>
    </row>
    <row r="305" spans="1:14" ht="15" customHeight="1" x14ac:dyDescent="0.3">
      <c r="A305" s="242"/>
      <c r="B305" s="424">
        <f>Data!E299</f>
        <v>15</v>
      </c>
      <c r="C305" s="249" t="str">
        <f>IF(Data!F299="","",Data!F299)</f>
        <v>03739</v>
      </c>
      <c r="D305" s="250" t="str">
        <f>IF(Data!H299="","",Data!H299)</f>
        <v>Wafaanil Misthobah</v>
      </c>
      <c r="E305" s="249" t="str">
        <f>IF(Data!I299="","",Data!I299)</f>
        <v>Perempuan</v>
      </c>
      <c r="F305" s="249" t="str">
        <f>Data!J299</f>
        <v>VIII-H</v>
      </c>
      <c r="G305" s="197"/>
      <c r="H305" s="178" t="str">
        <f>IF(PA!R304="","",PA!R304)</f>
        <v/>
      </c>
      <c r="I305" s="179" t="str">
        <f>IF(PA!S304="","",PA!S304)</f>
        <v/>
      </c>
      <c r="J305" s="182" t="str">
        <f>IF(PA!Z304="","",PA!Z304)</f>
        <v/>
      </c>
      <c r="K305" s="179" t="str">
        <f>IF(PA!AI304="","",PA!AI304)</f>
        <v/>
      </c>
      <c r="L305" s="179" t="str">
        <f>IF(PA!AJ304="","",PA!AJ304)</f>
        <v/>
      </c>
      <c r="M305" s="182" t="str">
        <f>IF(PA!AQ304="","",PA!AQ304)</f>
        <v/>
      </c>
      <c r="N305" s="242"/>
    </row>
    <row r="306" spans="1:14" ht="15" customHeight="1" x14ac:dyDescent="0.3">
      <c r="A306" s="242"/>
      <c r="B306" s="424">
        <f>Data!E300</f>
        <v>16</v>
      </c>
      <c r="C306" s="249" t="str">
        <f>IF(Data!F300="","",Data!F300)</f>
        <v>03742</v>
      </c>
      <c r="D306" s="250" t="str">
        <f>IF(Data!H300="","",Data!H300)</f>
        <v>Yesenia Qadira Neysa</v>
      </c>
      <c r="E306" s="249" t="str">
        <f>IF(Data!I300="","",Data!I300)</f>
        <v>Perempuan</v>
      </c>
      <c r="F306" s="249" t="str">
        <f>Data!J300</f>
        <v>VIII-H</v>
      </c>
      <c r="G306" s="197"/>
      <c r="H306" s="178" t="str">
        <f>IF(PA!R305="","",PA!R305)</f>
        <v/>
      </c>
      <c r="I306" s="179" t="str">
        <f>IF(PA!S305="","",PA!S305)</f>
        <v/>
      </c>
      <c r="J306" s="182" t="str">
        <f>IF(PA!Z305="","",PA!Z305)</f>
        <v/>
      </c>
      <c r="K306" s="179" t="str">
        <f>IF(PA!AI305="","",PA!AI305)</f>
        <v/>
      </c>
      <c r="L306" s="179" t="str">
        <f>IF(PA!AJ305="","",PA!AJ305)</f>
        <v/>
      </c>
      <c r="M306" s="182" t="str">
        <f>IF(PA!AQ305="","",PA!AQ305)</f>
        <v/>
      </c>
      <c r="N306" s="242"/>
    </row>
    <row r="307" spans="1:14" ht="15" customHeight="1" x14ac:dyDescent="0.3">
      <c r="A307" s="242"/>
      <c r="B307" s="424">
        <f>Data!E301</f>
        <v>17</v>
      </c>
      <c r="C307" s="249" t="str">
        <f>IF(Data!F301="","",Data!F301)</f>
        <v>03747</v>
      </c>
      <c r="D307" s="250" t="str">
        <f>IF(Data!H301="","",Data!H301)</f>
        <v>Zahroul Afidah</v>
      </c>
      <c r="E307" s="249" t="str">
        <f>IF(Data!I301="","",Data!I301)</f>
        <v>Perempuan</v>
      </c>
      <c r="F307" s="249" t="str">
        <f>Data!J301</f>
        <v>VIII-H</v>
      </c>
      <c r="G307" s="197"/>
      <c r="H307" s="178" t="str">
        <f>IF(PA!R306="","",PA!R306)</f>
        <v/>
      </c>
      <c r="I307" s="179" t="str">
        <f>IF(PA!S306="","",PA!S306)</f>
        <v/>
      </c>
      <c r="J307" s="182" t="str">
        <f>IF(PA!Z306="","",PA!Z306)</f>
        <v/>
      </c>
      <c r="K307" s="179" t="str">
        <f>IF(PA!AI306="","",PA!AI306)</f>
        <v/>
      </c>
      <c r="L307" s="179" t="str">
        <f>IF(PA!AJ306="","",PA!AJ306)</f>
        <v/>
      </c>
      <c r="M307" s="182" t="str">
        <f>IF(PA!AQ306="","",PA!AQ306)</f>
        <v/>
      </c>
      <c r="N307" s="242"/>
    </row>
    <row r="308" spans="1:14" ht="15" customHeight="1" x14ac:dyDescent="0.3">
      <c r="A308" s="242"/>
      <c r="B308" s="424">
        <f>Data!E302</f>
        <v>18</v>
      </c>
      <c r="C308" s="249" t="str">
        <f>IF(Data!F302="","",Data!F302)</f>
        <v/>
      </c>
      <c r="D308" s="250" t="str">
        <f>IF(Data!H302="","",Data!H302)</f>
        <v/>
      </c>
      <c r="E308" s="249" t="str">
        <f>IF(Data!I302="","",Data!I302)</f>
        <v/>
      </c>
      <c r="F308" s="249" t="str">
        <f>Data!J302</f>
        <v>VIII-H</v>
      </c>
      <c r="G308" s="197"/>
      <c r="H308" s="178" t="str">
        <f>IF(PA!R307="","",PA!R307)</f>
        <v/>
      </c>
      <c r="I308" s="179" t="str">
        <f>IF(PA!S307="","",PA!S307)</f>
        <v/>
      </c>
      <c r="J308" s="182" t="str">
        <f>IF(PA!Z307="","",PA!Z307)</f>
        <v/>
      </c>
      <c r="K308" s="179" t="str">
        <f>IF(PA!AI307="","",PA!AI307)</f>
        <v/>
      </c>
      <c r="L308" s="179" t="str">
        <f>IF(PA!AJ307="","",PA!AJ307)</f>
        <v/>
      </c>
      <c r="M308" s="182" t="str">
        <f>IF(PA!AQ307="","",PA!AQ307)</f>
        <v/>
      </c>
      <c r="N308" s="242"/>
    </row>
    <row r="309" spans="1:14" ht="15" customHeight="1" x14ac:dyDescent="0.3">
      <c r="A309" s="242"/>
      <c r="B309" s="424">
        <f>Data!E303</f>
        <v>19</v>
      </c>
      <c r="C309" s="249" t="str">
        <f>IF(Data!F303="","",Data!F303)</f>
        <v/>
      </c>
      <c r="D309" s="250" t="str">
        <f>IF(Data!H303="","",Data!H303)</f>
        <v/>
      </c>
      <c r="E309" s="249" t="str">
        <f>IF(Data!I303="","",Data!I303)</f>
        <v/>
      </c>
      <c r="F309" s="249" t="str">
        <f>Data!J303</f>
        <v>VIII-H</v>
      </c>
      <c r="G309" s="197"/>
      <c r="H309" s="178" t="str">
        <f>IF(PA!R308="","",PA!R308)</f>
        <v/>
      </c>
      <c r="I309" s="179" t="str">
        <f>IF(PA!S308="","",PA!S308)</f>
        <v/>
      </c>
      <c r="J309" s="182" t="str">
        <f>IF(PA!Z308="","",PA!Z308)</f>
        <v/>
      </c>
      <c r="K309" s="179" t="str">
        <f>IF(PA!AI308="","",PA!AI308)</f>
        <v/>
      </c>
      <c r="L309" s="179" t="str">
        <f>IF(PA!AJ308="","",PA!AJ308)</f>
        <v/>
      </c>
      <c r="M309" s="182" t="str">
        <f>IF(PA!AQ308="","",PA!AQ308)</f>
        <v/>
      </c>
      <c r="N309" s="242"/>
    </row>
    <row r="310" spans="1:14" ht="15" customHeight="1" x14ac:dyDescent="0.3">
      <c r="A310" s="242"/>
      <c r="B310" s="424">
        <f>Data!E304</f>
        <v>20</v>
      </c>
      <c r="C310" s="249" t="str">
        <f>IF(Data!F304="","",Data!F304)</f>
        <v/>
      </c>
      <c r="D310" s="250" t="str">
        <f>IF(Data!H304="","",Data!H304)</f>
        <v/>
      </c>
      <c r="E310" s="249" t="str">
        <f>IF(Data!I304="","",Data!I304)</f>
        <v/>
      </c>
      <c r="F310" s="249" t="str">
        <f>Data!J304</f>
        <v>VIII-H</v>
      </c>
      <c r="G310" s="197"/>
      <c r="H310" s="178" t="str">
        <f>IF(PA!R309="","",PA!R309)</f>
        <v/>
      </c>
      <c r="I310" s="179" t="str">
        <f>IF(PA!S309="","",PA!S309)</f>
        <v/>
      </c>
      <c r="J310" s="182" t="str">
        <f>IF(PA!Z309="","",PA!Z309)</f>
        <v/>
      </c>
      <c r="K310" s="179" t="str">
        <f>IF(PA!AI309="","",PA!AI309)</f>
        <v/>
      </c>
      <c r="L310" s="179" t="str">
        <f>IF(PA!AJ309="","",PA!AJ309)</f>
        <v/>
      </c>
      <c r="M310" s="182" t="str">
        <f>IF(PA!AQ309="","",PA!AQ309)</f>
        <v/>
      </c>
      <c r="N310" s="242"/>
    </row>
    <row r="311" spans="1:14" ht="15" customHeight="1" x14ac:dyDescent="0.3">
      <c r="A311" s="242"/>
      <c r="B311" s="424">
        <f>Data!E305</f>
        <v>21</v>
      </c>
      <c r="C311" s="249" t="str">
        <f>IF(Data!F305="","",Data!F305)</f>
        <v/>
      </c>
      <c r="D311" s="250" t="str">
        <f>IF(Data!H305="","",Data!H305)</f>
        <v/>
      </c>
      <c r="E311" s="249" t="str">
        <f>IF(Data!I305="","",Data!I305)</f>
        <v/>
      </c>
      <c r="F311" s="249" t="str">
        <f>Data!J305</f>
        <v>VIII-H</v>
      </c>
      <c r="G311" s="197"/>
      <c r="H311" s="178" t="str">
        <f>IF(PA!R310="","",PA!R310)</f>
        <v/>
      </c>
      <c r="I311" s="179" t="str">
        <f>IF(PA!S310="","",PA!S310)</f>
        <v/>
      </c>
      <c r="J311" s="182" t="str">
        <f>IF(PA!Z310="","",PA!Z310)</f>
        <v/>
      </c>
      <c r="K311" s="179" t="str">
        <f>IF(PA!AI310="","",PA!AI310)</f>
        <v/>
      </c>
      <c r="L311" s="179" t="str">
        <f>IF(PA!AJ310="","",PA!AJ310)</f>
        <v/>
      </c>
      <c r="M311" s="182" t="str">
        <f>IF(PA!AQ310="","",PA!AQ310)</f>
        <v/>
      </c>
      <c r="N311" s="242"/>
    </row>
    <row r="312" spans="1:14" ht="15" customHeight="1" x14ac:dyDescent="0.3">
      <c r="A312" s="242"/>
      <c r="B312" s="424">
        <f>Data!E306</f>
        <v>22</v>
      </c>
      <c r="C312" s="249" t="str">
        <f>IF(Data!F306="","",Data!F306)</f>
        <v/>
      </c>
      <c r="D312" s="250" t="str">
        <f>IF(Data!H306="","",Data!H306)</f>
        <v/>
      </c>
      <c r="E312" s="249" t="str">
        <f>IF(Data!I306="","",Data!I306)</f>
        <v/>
      </c>
      <c r="F312" s="249" t="str">
        <f>Data!J306</f>
        <v>VIII-H</v>
      </c>
      <c r="G312" s="197"/>
      <c r="H312" s="178" t="str">
        <f>IF(PA!R311="","",PA!R311)</f>
        <v/>
      </c>
      <c r="I312" s="179" t="str">
        <f>IF(PA!S311="","",PA!S311)</f>
        <v/>
      </c>
      <c r="J312" s="182" t="str">
        <f>IF(PA!Z311="","",PA!Z311)</f>
        <v/>
      </c>
      <c r="K312" s="179" t="str">
        <f>IF(PA!AI311="","",PA!AI311)</f>
        <v/>
      </c>
      <c r="L312" s="179" t="str">
        <f>IF(PA!AJ311="","",PA!AJ311)</f>
        <v/>
      </c>
      <c r="M312" s="182" t="str">
        <f>IF(PA!AQ311="","",PA!AQ311)</f>
        <v/>
      </c>
      <c r="N312" s="242"/>
    </row>
    <row r="313" spans="1:14" ht="15" customHeight="1" x14ac:dyDescent="0.3">
      <c r="A313" s="242"/>
      <c r="B313" s="424">
        <f>Data!E307</f>
        <v>23</v>
      </c>
      <c r="C313" s="249" t="str">
        <f>IF(Data!F307="","",Data!F307)</f>
        <v/>
      </c>
      <c r="D313" s="250" t="str">
        <f>IF(Data!H307="","",Data!H307)</f>
        <v/>
      </c>
      <c r="E313" s="249" t="str">
        <f>IF(Data!I307="","",Data!I307)</f>
        <v/>
      </c>
      <c r="F313" s="249" t="str">
        <f>Data!J307</f>
        <v>VIII-H</v>
      </c>
      <c r="G313" s="197"/>
      <c r="H313" s="178" t="str">
        <f>IF(PA!R312="","",PA!R312)</f>
        <v/>
      </c>
      <c r="I313" s="179" t="str">
        <f>IF(PA!S312="","",PA!S312)</f>
        <v/>
      </c>
      <c r="J313" s="182" t="str">
        <f>IF(PA!Z312="","",PA!Z312)</f>
        <v/>
      </c>
      <c r="K313" s="179" t="str">
        <f>IF(PA!AI312="","",PA!AI312)</f>
        <v/>
      </c>
      <c r="L313" s="179" t="str">
        <f>IF(PA!AJ312="","",PA!AJ312)</f>
        <v/>
      </c>
      <c r="M313" s="182" t="str">
        <f>IF(PA!AQ312="","",PA!AQ312)</f>
        <v/>
      </c>
      <c r="N313" s="242"/>
    </row>
    <row r="314" spans="1:14" ht="15" customHeight="1" x14ac:dyDescent="0.3">
      <c r="A314" s="242"/>
      <c r="B314" s="424">
        <f>Data!E308</f>
        <v>24</v>
      </c>
      <c r="C314" s="249" t="str">
        <f>IF(Data!F308="","",Data!F308)</f>
        <v/>
      </c>
      <c r="D314" s="250" t="str">
        <f>IF(Data!H308="","",Data!H308)</f>
        <v/>
      </c>
      <c r="E314" s="249" t="str">
        <f>IF(Data!I308="","",Data!I308)</f>
        <v/>
      </c>
      <c r="F314" s="249" t="str">
        <f>Data!J308</f>
        <v>VIII-H</v>
      </c>
      <c r="G314" s="197"/>
      <c r="H314" s="178" t="str">
        <f>IF(PA!R313="","",PA!R313)</f>
        <v/>
      </c>
      <c r="I314" s="179" t="str">
        <f>IF(PA!S313="","",PA!S313)</f>
        <v/>
      </c>
      <c r="J314" s="182" t="str">
        <f>IF(PA!Z313="","",PA!Z313)</f>
        <v/>
      </c>
      <c r="K314" s="179" t="str">
        <f>IF(PA!AI313="","",PA!AI313)</f>
        <v/>
      </c>
      <c r="L314" s="179" t="str">
        <f>IF(PA!AJ313="","",PA!AJ313)</f>
        <v/>
      </c>
      <c r="M314" s="182" t="str">
        <f>IF(PA!AQ313="","",PA!AQ313)</f>
        <v/>
      </c>
      <c r="N314" s="242"/>
    </row>
    <row r="315" spans="1:14" ht="15" customHeight="1" x14ac:dyDescent="0.3">
      <c r="A315" s="242"/>
      <c r="B315" s="424">
        <f>Data!E309</f>
        <v>25</v>
      </c>
      <c r="C315" s="249" t="str">
        <f>IF(Data!F309="","",Data!F309)</f>
        <v/>
      </c>
      <c r="D315" s="250" t="str">
        <f>IF(Data!H309="","",Data!H309)</f>
        <v/>
      </c>
      <c r="E315" s="249" t="str">
        <f>IF(Data!I309="","",Data!I309)</f>
        <v/>
      </c>
      <c r="F315" s="249" t="str">
        <f>Data!J309</f>
        <v>VIII-H</v>
      </c>
      <c r="G315" s="197"/>
      <c r="H315" s="178" t="str">
        <f>IF(PA!R314="","",PA!R314)</f>
        <v/>
      </c>
      <c r="I315" s="179" t="str">
        <f>IF(PA!S314="","",PA!S314)</f>
        <v/>
      </c>
      <c r="J315" s="182" t="str">
        <f>IF(PA!Z314="","",PA!Z314)</f>
        <v/>
      </c>
      <c r="K315" s="179" t="str">
        <f>IF(PA!AI314="","",PA!AI314)</f>
        <v/>
      </c>
      <c r="L315" s="179" t="str">
        <f>IF(PA!AJ314="","",PA!AJ314)</f>
        <v/>
      </c>
      <c r="M315" s="182" t="str">
        <f>IF(PA!AQ314="","",PA!AQ314)</f>
        <v/>
      </c>
      <c r="N315" s="242"/>
    </row>
    <row r="316" spans="1:14" ht="15" customHeight="1" x14ac:dyDescent="0.3">
      <c r="A316" s="242"/>
      <c r="B316" s="424">
        <f>Data!E310</f>
        <v>26</v>
      </c>
      <c r="C316" s="249" t="str">
        <f>IF(Data!F310="","",Data!F310)</f>
        <v/>
      </c>
      <c r="D316" s="250" t="str">
        <f>IF(Data!H310="","",Data!H310)</f>
        <v/>
      </c>
      <c r="E316" s="249" t="str">
        <f>IF(Data!I310="","",Data!I310)</f>
        <v/>
      </c>
      <c r="F316" s="249" t="str">
        <f>Data!J310</f>
        <v>VIII-H</v>
      </c>
      <c r="G316" s="197"/>
      <c r="H316" s="178" t="str">
        <f>IF(PA!R315="","",PA!R315)</f>
        <v/>
      </c>
      <c r="I316" s="179" t="str">
        <f>IF(PA!S315="","",PA!S315)</f>
        <v/>
      </c>
      <c r="J316" s="182" t="str">
        <f>IF(PA!Z315="","",PA!Z315)</f>
        <v/>
      </c>
      <c r="K316" s="179" t="str">
        <f>IF(PA!AI315="","",PA!AI315)</f>
        <v/>
      </c>
      <c r="L316" s="179" t="str">
        <f>IF(PA!AJ315="","",PA!AJ315)</f>
        <v/>
      </c>
      <c r="M316" s="182" t="str">
        <f>IF(PA!AQ315="","",PA!AQ315)</f>
        <v/>
      </c>
      <c r="N316" s="242"/>
    </row>
    <row r="317" spans="1:14" ht="15" customHeight="1" x14ac:dyDescent="0.3">
      <c r="A317" s="242"/>
      <c r="B317" s="424">
        <f>Data!E311</f>
        <v>27</v>
      </c>
      <c r="C317" s="249" t="str">
        <f>IF(Data!F311="","",Data!F311)</f>
        <v/>
      </c>
      <c r="D317" s="250" t="str">
        <f>IF(Data!H311="","",Data!H311)</f>
        <v/>
      </c>
      <c r="E317" s="249" t="str">
        <f>IF(Data!I311="","",Data!I311)</f>
        <v/>
      </c>
      <c r="F317" s="249" t="str">
        <f>Data!J311</f>
        <v>VIII-H</v>
      </c>
      <c r="G317" s="197"/>
      <c r="H317" s="178" t="str">
        <f>IF(PA!R316="","",PA!R316)</f>
        <v/>
      </c>
      <c r="I317" s="179" t="str">
        <f>IF(PA!S316="","",PA!S316)</f>
        <v/>
      </c>
      <c r="J317" s="182" t="str">
        <f>IF(PA!Z316="","",PA!Z316)</f>
        <v/>
      </c>
      <c r="K317" s="179" t="str">
        <f>IF(PA!AI316="","",PA!AI316)</f>
        <v/>
      </c>
      <c r="L317" s="179" t="str">
        <f>IF(PA!AJ316="","",PA!AJ316)</f>
        <v/>
      </c>
      <c r="M317" s="182" t="str">
        <f>IF(PA!AQ316="","",PA!AQ316)</f>
        <v/>
      </c>
      <c r="N317" s="242"/>
    </row>
    <row r="318" spans="1:14" ht="15" customHeight="1" x14ac:dyDescent="0.3">
      <c r="A318" s="242"/>
      <c r="B318" s="424">
        <f>Data!E312</f>
        <v>28</v>
      </c>
      <c r="C318" s="249" t="str">
        <f>IF(Data!F312="","",Data!F312)</f>
        <v/>
      </c>
      <c r="D318" s="250" t="str">
        <f>IF(Data!H312="","",Data!H312)</f>
        <v/>
      </c>
      <c r="E318" s="249" t="str">
        <f>IF(Data!I312="","",Data!I312)</f>
        <v/>
      </c>
      <c r="F318" s="249" t="str">
        <f>Data!J312</f>
        <v>VIII-H</v>
      </c>
      <c r="G318" s="197"/>
      <c r="H318" s="178" t="str">
        <f>IF(PA!R317="","",PA!R317)</f>
        <v/>
      </c>
      <c r="I318" s="179" t="str">
        <f>IF(PA!S317="","",PA!S317)</f>
        <v/>
      </c>
      <c r="J318" s="182" t="str">
        <f>IF(PA!Z317="","",PA!Z317)</f>
        <v/>
      </c>
      <c r="K318" s="179" t="str">
        <f>IF(PA!AI317="","",PA!AI317)</f>
        <v/>
      </c>
      <c r="L318" s="179" t="str">
        <f>IF(PA!AJ317="","",PA!AJ317)</f>
        <v/>
      </c>
      <c r="M318" s="182" t="str">
        <f>IF(PA!AQ317="","",PA!AQ317)</f>
        <v/>
      </c>
      <c r="N318" s="242"/>
    </row>
    <row r="319" spans="1:14" ht="15" customHeight="1" x14ac:dyDescent="0.3">
      <c r="A319" s="242"/>
      <c r="B319" s="424">
        <f>Data!E313</f>
        <v>29</v>
      </c>
      <c r="C319" s="249" t="str">
        <f>IF(Data!F313="","",Data!F313)</f>
        <v/>
      </c>
      <c r="D319" s="250" t="str">
        <f>IF(Data!H313="","",Data!H313)</f>
        <v/>
      </c>
      <c r="E319" s="249" t="str">
        <f>IF(Data!I313="","",Data!I313)</f>
        <v/>
      </c>
      <c r="F319" s="249" t="str">
        <f>Data!J313</f>
        <v>VIII-H</v>
      </c>
      <c r="G319" s="197"/>
      <c r="H319" s="178" t="str">
        <f>IF(PA!R318="","",PA!R318)</f>
        <v/>
      </c>
      <c r="I319" s="179" t="str">
        <f>IF(PA!S318="","",PA!S318)</f>
        <v/>
      </c>
      <c r="J319" s="182" t="str">
        <f>IF(PA!Z318="","",PA!Z318)</f>
        <v/>
      </c>
      <c r="K319" s="179" t="str">
        <f>IF(PA!AI318="","",PA!AI318)</f>
        <v/>
      </c>
      <c r="L319" s="179" t="str">
        <f>IF(PA!AJ318="","",PA!AJ318)</f>
        <v/>
      </c>
      <c r="M319" s="182" t="str">
        <f>IF(PA!AQ318="","",PA!AQ318)</f>
        <v/>
      </c>
      <c r="N319" s="242"/>
    </row>
    <row r="320" spans="1:14" ht="15" customHeight="1" x14ac:dyDescent="0.3">
      <c r="A320" s="242"/>
      <c r="B320" s="424">
        <f>Data!E314</f>
        <v>30</v>
      </c>
      <c r="C320" s="249" t="str">
        <f>IF(Data!F314="","",Data!F314)</f>
        <v/>
      </c>
      <c r="D320" s="250" t="str">
        <f>IF(Data!H314="","",Data!H314)</f>
        <v/>
      </c>
      <c r="E320" s="249" t="str">
        <f>IF(Data!I314="","",Data!I314)</f>
        <v/>
      </c>
      <c r="F320" s="249" t="str">
        <f>Data!J314</f>
        <v>VIII-H</v>
      </c>
      <c r="G320" s="197"/>
      <c r="H320" s="178" t="str">
        <f>IF(PA!R319="","",PA!R319)</f>
        <v/>
      </c>
      <c r="I320" s="179" t="str">
        <f>IF(PA!S319="","",PA!S319)</f>
        <v/>
      </c>
      <c r="J320" s="182" t="str">
        <f>IF(PA!Z319="","",PA!Z319)</f>
        <v/>
      </c>
      <c r="K320" s="179" t="str">
        <f>IF(PA!AI319="","",PA!AI319)</f>
        <v/>
      </c>
      <c r="L320" s="179" t="str">
        <f>IF(PA!AJ319="","",PA!AJ319)</f>
        <v/>
      </c>
      <c r="M320" s="182" t="str">
        <f>IF(PA!AQ319="","",PA!AQ319)</f>
        <v/>
      </c>
      <c r="N320" s="242"/>
    </row>
    <row r="321" spans="1:14" ht="15" customHeight="1" x14ac:dyDescent="0.3">
      <c r="A321" s="242"/>
      <c r="B321" s="424">
        <f>Data!E315</f>
        <v>31</v>
      </c>
      <c r="C321" s="249" t="str">
        <f>IF(Data!F315="","",Data!F315)</f>
        <v/>
      </c>
      <c r="D321" s="250" t="str">
        <f>IF(Data!H315="","",Data!H315)</f>
        <v/>
      </c>
      <c r="E321" s="249" t="str">
        <f>IF(Data!I315="","",Data!I315)</f>
        <v/>
      </c>
      <c r="F321" s="249" t="str">
        <f>Data!J315</f>
        <v>VIII-H</v>
      </c>
      <c r="G321" s="197"/>
      <c r="H321" s="178" t="str">
        <f>IF(PA!R320="","",PA!R320)</f>
        <v/>
      </c>
      <c r="I321" s="179" t="str">
        <f>IF(PA!S320="","",PA!S320)</f>
        <v/>
      </c>
      <c r="J321" s="182" t="str">
        <f>IF(PA!Z320="","",PA!Z320)</f>
        <v/>
      </c>
      <c r="K321" s="179" t="str">
        <f>IF(PA!AI320="","",PA!AI320)</f>
        <v/>
      </c>
      <c r="L321" s="179" t="str">
        <f>IF(PA!AJ320="","",PA!AJ320)</f>
        <v/>
      </c>
      <c r="M321" s="182" t="str">
        <f>IF(PA!AQ320="","",PA!AQ320)</f>
        <v/>
      </c>
      <c r="N321" s="242"/>
    </row>
    <row r="322" spans="1:14" ht="15" customHeight="1" x14ac:dyDescent="0.3">
      <c r="A322" s="242"/>
      <c r="B322" s="424">
        <f>Data!E316</f>
        <v>32</v>
      </c>
      <c r="C322" s="249" t="str">
        <f>IF(Data!F316="","",Data!F316)</f>
        <v/>
      </c>
      <c r="D322" s="250" t="str">
        <f>IF(Data!H316="","",Data!H316)</f>
        <v/>
      </c>
      <c r="E322" s="249" t="str">
        <f>IF(Data!I316="","",Data!I316)</f>
        <v/>
      </c>
      <c r="F322" s="249" t="str">
        <f>Data!J316</f>
        <v>VIII-H</v>
      </c>
      <c r="G322" s="197"/>
      <c r="H322" s="178" t="str">
        <f>IF(PA!R321="","",PA!R321)</f>
        <v/>
      </c>
      <c r="I322" s="179" t="str">
        <f>IF(PA!S321="","",PA!S321)</f>
        <v/>
      </c>
      <c r="J322" s="182" t="str">
        <f>IF(PA!Z321="","",PA!Z321)</f>
        <v/>
      </c>
      <c r="K322" s="179" t="str">
        <f>IF(PA!AI321="","",PA!AI321)</f>
        <v/>
      </c>
      <c r="L322" s="179" t="str">
        <f>IF(PA!AJ321="","",PA!AJ321)</f>
        <v/>
      </c>
      <c r="M322" s="182" t="str">
        <f>IF(PA!AQ321="","",PA!AQ321)</f>
        <v/>
      </c>
      <c r="N322" s="242"/>
    </row>
    <row r="323" spans="1:14" ht="15" customHeight="1" x14ac:dyDescent="0.3">
      <c r="A323" s="242"/>
      <c r="B323" s="424">
        <f>Data!E317</f>
        <v>33</v>
      </c>
      <c r="C323" s="249" t="str">
        <f>IF(Data!F317="","",Data!F317)</f>
        <v/>
      </c>
      <c r="D323" s="250" t="str">
        <f>IF(Data!H317="","",Data!H317)</f>
        <v/>
      </c>
      <c r="E323" s="249" t="str">
        <f>IF(Data!I317="","",Data!I317)</f>
        <v/>
      </c>
      <c r="F323" s="249" t="str">
        <f>Data!J317</f>
        <v>VIII-H</v>
      </c>
      <c r="G323" s="197"/>
      <c r="H323" s="178" t="str">
        <f>IF(PA!R322="","",PA!R322)</f>
        <v/>
      </c>
      <c r="I323" s="179" t="str">
        <f>IF(PA!S322="","",PA!S322)</f>
        <v/>
      </c>
      <c r="J323" s="182" t="str">
        <f>IF(PA!Z322="","",PA!Z322)</f>
        <v/>
      </c>
      <c r="K323" s="179" t="str">
        <f>IF(PA!AI322="","",PA!AI322)</f>
        <v/>
      </c>
      <c r="L323" s="179" t="str">
        <f>IF(PA!AJ322="","",PA!AJ322)</f>
        <v/>
      </c>
      <c r="M323" s="182" t="str">
        <f>IF(PA!AQ322="","",PA!AQ322)</f>
        <v/>
      </c>
      <c r="N323" s="242"/>
    </row>
    <row r="324" spans="1:14" ht="15" customHeight="1" x14ac:dyDescent="0.3">
      <c r="A324" s="242"/>
      <c r="B324" s="424">
        <f>Data!E318</f>
        <v>34</v>
      </c>
      <c r="C324" s="249" t="str">
        <f>IF(Data!F318="","",Data!F318)</f>
        <v/>
      </c>
      <c r="D324" s="250" t="str">
        <f>IF(Data!H318="","",Data!H318)</f>
        <v/>
      </c>
      <c r="E324" s="249" t="str">
        <f>IF(Data!I318="","",Data!I318)</f>
        <v/>
      </c>
      <c r="F324" s="249" t="str">
        <f>Data!J318</f>
        <v>VIII-H</v>
      </c>
      <c r="G324" s="197"/>
      <c r="H324" s="178" t="str">
        <f>IF(PA!R323="","",PA!R323)</f>
        <v/>
      </c>
      <c r="I324" s="179" t="str">
        <f>IF(PA!S323="","",PA!S323)</f>
        <v/>
      </c>
      <c r="J324" s="182" t="str">
        <f>IF(PA!Z323="","",PA!Z323)</f>
        <v/>
      </c>
      <c r="K324" s="179" t="str">
        <f>IF(PA!AI323="","",PA!AI323)</f>
        <v/>
      </c>
      <c r="L324" s="179" t="str">
        <f>IF(PA!AJ323="","",PA!AJ323)</f>
        <v/>
      </c>
      <c r="M324" s="182" t="str">
        <f>IF(PA!AQ323="","",PA!AQ323)</f>
        <v/>
      </c>
      <c r="N324" s="242"/>
    </row>
    <row r="325" spans="1:14" ht="15" customHeight="1" x14ac:dyDescent="0.3">
      <c r="A325" s="242"/>
      <c r="B325" s="424">
        <f>Data!E319</f>
        <v>35</v>
      </c>
      <c r="C325" s="249" t="str">
        <f>IF(Data!F319="","",Data!F319)</f>
        <v/>
      </c>
      <c r="D325" s="250" t="str">
        <f>IF(Data!H319="","",Data!H319)</f>
        <v/>
      </c>
      <c r="E325" s="249" t="str">
        <f>IF(Data!I319="","",Data!I319)</f>
        <v/>
      </c>
      <c r="F325" s="249" t="str">
        <f>Data!J319</f>
        <v>VIII-H</v>
      </c>
      <c r="G325" s="197"/>
      <c r="H325" s="178" t="str">
        <f>IF(PA!R324="","",PA!R324)</f>
        <v/>
      </c>
      <c r="I325" s="179" t="str">
        <f>IF(PA!S324="","",PA!S324)</f>
        <v/>
      </c>
      <c r="J325" s="182" t="str">
        <f>IF(PA!Z324="","",PA!Z324)</f>
        <v/>
      </c>
      <c r="K325" s="179" t="str">
        <f>IF(PA!AI324="","",PA!AI324)</f>
        <v/>
      </c>
      <c r="L325" s="179" t="str">
        <f>IF(PA!AJ324="","",PA!AJ324)</f>
        <v/>
      </c>
      <c r="M325" s="182" t="str">
        <f>IF(PA!AQ324="","",PA!AQ324)</f>
        <v/>
      </c>
      <c r="N325" s="242"/>
    </row>
    <row r="326" spans="1:14" ht="15" customHeight="1" x14ac:dyDescent="0.3">
      <c r="A326" s="242"/>
      <c r="B326" s="424">
        <f>Data!E320</f>
        <v>36</v>
      </c>
      <c r="C326" s="249" t="str">
        <f>IF(Data!F320="","",Data!F320)</f>
        <v/>
      </c>
      <c r="D326" s="250" t="str">
        <f>IF(Data!H320="","",Data!H320)</f>
        <v/>
      </c>
      <c r="E326" s="249" t="str">
        <f>IF(Data!I320="","",Data!I320)</f>
        <v/>
      </c>
      <c r="F326" s="249" t="str">
        <f>Data!J320</f>
        <v>VIII-H</v>
      </c>
      <c r="G326" s="197"/>
      <c r="H326" s="178" t="str">
        <f>IF(PA!R325="","",PA!R325)</f>
        <v/>
      </c>
      <c r="I326" s="179" t="str">
        <f>IF(PA!S325="","",PA!S325)</f>
        <v/>
      </c>
      <c r="J326" s="182" t="str">
        <f>IF(PA!Z325="","",PA!Z325)</f>
        <v/>
      </c>
      <c r="K326" s="179" t="str">
        <f>IF(PA!AI325="","",PA!AI325)</f>
        <v/>
      </c>
      <c r="L326" s="179" t="str">
        <f>IF(PA!AJ325="","",PA!AJ325)</f>
        <v/>
      </c>
      <c r="M326" s="182" t="str">
        <f>IF(PA!AQ325="","",PA!AQ325)</f>
        <v/>
      </c>
      <c r="N326" s="242"/>
    </row>
    <row r="327" spans="1:14" ht="15" customHeight="1" x14ac:dyDescent="0.3">
      <c r="A327" s="242"/>
      <c r="B327" s="424">
        <f>Data!E321</f>
        <v>37</v>
      </c>
      <c r="C327" s="249" t="str">
        <f>IF(Data!F321="","",Data!F321)</f>
        <v/>
      </c>
      <c r="D327" s="250" t="str">
        <f>IF(Data!H321="","",Data!H321)</f>
        <v/>
      </c>
      <c r="E327" s="249" t="str">
        <f>IF(Data!I321="","",Data!I321)</f>
        <v/>
      </c>
      <c r="F327" s="249" t="str">
        <f>Data!J321</f>
        <v>VIII-H</v>
      </c>
      <c r="G327" s="197"/>
      <c r="H327" s="178" t="str">
        <f>IF(PA!R326="","",PA!R326)</f>
        <v/>
      </c>
      <c r="I327" s="179" t="str">
        <f>IF(PA!S326="","",PA!S326)</f>
        <v/>
      </c>
      <c r="J327" s="182" t="str">
        <f>IF(PA!Z326="","",PA!Z326)</f>
        <v/>
      </c>
      <c r="K327" s="179" t="str">
        <f>IF(PA!AI326="","",PA!AI326)</f>
        <v/>
      </c>
      <c r="L327" s="179" t="str">
        <f>IF(PA!AJ326="","",PA!AJ326)</f>
        <v/>
      </c>
      <c r="M327" s="182" t="str">
        <f>IF(PA!AQ326="","",PA!AQ326)</f>
        <v/>
      </c>
      <c r="N327" s="242"/>
    </row>
    <row r="328" spans="1:14" ht="15" customHeight="1" x14ac:dyDescent="0.3">
      <c r="A328" s="242"/>
      <c r="B328" s="424">
        <f>Data!E322</f>
        <v>38</v>
      </c>
      <c r="C328" s="249" t="str">
        <f>IF(Data!F322="","",Data!F322)</f>
        <v/>
      </c>
      <c r="D328" s="250" t="str">
        <f>IF(Data!H322="","",Data!H322)</f>
        <v/>
      </c>
      <c r="E328" s="249" t="str">
        <f>IF(Data!I322="","",Data!I322)</f>
        <v/>
      </c>
      <c r="F328" s="249" t="str">
        <f>Data!J322</f>
        <v>VIII-H</v>
      </c>
      <c r="G328" s="197"/>
      <c r="H328" s="178" t="str">
        <f>IF(PA!R327="","",PA!R327)</f>
        <v/>
      </c>
      <c r="I328" s="179" t="str">
        <f>IF(PA!S327="","",PA!S327)</f>
        <v/>
      </c>
      <c r="J328" s="182" t="str">
        <f>IF(PA!Z327="","",PA!Z327)</f>
        <v/>
      </c>
      <c r="K328" s="179" t="str">
        <f>IF(PA!AI327="","",PA!AI327)</f>
        <v/>
      </c>
      <c r="L328" s="179" t="str">
        <f>IF(PA!AJ327="","",PA!AJ327)</f>
        <v/>
      </c>
      <c r="M328" s="182" t="str">
        <f>IF(PA!AQ327="","",PA!AQ327)</f>
        <v/>
      </c>
      <c r="N328" s="242"/>
    </row>
    <row r="329" spans="1:14" ht="15" customHeight="1" x14ac:dyDescent="0.3">
      <c r="A329" s="242"/>
      <c r="B329" s="424">
        <f>Data!E323</f>
        <v>39</v>
      </c>
      <c r="C329" s="249" t="str">
        <f>IF(Data!F323="","",Data!F323)</f>
        <v/>
      </c>
      <c r="D329" s="250" t="str">
        <f>IF(Data!H323="","",Data!H323)</f>
        <v/>
      </c>
      <c r="E329" s="249" t="str">
        <f>IF(Data!I323="","",Data!I323)</f>
        <v/>
      </c>
      <c r="F329" s="249" t="str">
        <f>Data!J323</f>
        <v>VIII-H</v>
      </c>
      <c r="G329" s="197"/>
      <c r="H329" s="178" t="str">
        <f>IF(PA!R328="","",PA!R328)</f>
        <v/>
      </c>
      <c r="I329" s="179" t="str">
        <f>IF(PA!S328="","",PA!S328)</f>
        <v/>
      </c>
      <c r="J329" s="182" t="str">
        <f>IF(PA!Z328="","",PA!Z328)</f>
        <v/>
      </c>
      <c r="K329" s="179" t="str">
        <f>IF(PA!AI328="","",PA!AI328)</f>
        <v/>
      </c>
      <c r="L329" s="179" t="str">
        <f>IF(PA!AJ328="","",PA!AJ328)</f>
        <v/>
      </c>
      <c r="M329" s="182" t="str">
        <f>IF(PA!AQ328="","",PA!AQ328)</f>
        <v/>
      </c>
      <c r="N329" s="242"/>
    </row>
    <row r="330" spans="1:14" ht="15" customHeight="1" thickBot="1" x14ac:dyDescent="0.35">
      <c r="A330" s="242"/>
      <c r="B330" s="429">
        <f>Data!E324</f>
        <v>40</v>
      </c>
      <c r="C330" s="430" t="str">
        <f>IF(Data!F324="","",Data!F324)</f>
        <v/>
      </c>
      <c r="D330" s="431" t="str">
        <f>IF(Data!H324="","",Data!H324)</f>
        <v/>
      </c>
      <c r="E330" s="430" t="str">
        <f>IF(Data!I324="","",Data!I324)</f>
        <v/>
      </c>
      <c r="F330" s="430" t="str">
        <f>Data!J324</f>
        <v>VIII-H</v>
      </c>
      <c r="G330" s="432"/>
      <c r="H330" s="433" t="str">
        <f>IF(PA!R329="","",PA!R329)</f>
        <v/>
      </c>
      <c r="I330" s="434" t="str">
        <f>IF(PA!S329="","",PA!S329)</f>
        <v/>
      </c>
      <c r="J330" s="435" t="str">
        <f>IF(PA!Z329="","",PA!Z329)</f>
        <v/>
      </c>
      <c r="K330" s="434" t="str">
        <f>IF(PA!AI329="","",PA!AI329)</f>
        <v/>
      </c>
      <c r="L330" s="434" t="str">
        <f>IF(PA!AJ329="","",PA!AJ329)</f>
        <v/>
      </c>
      <c r="M330" s="435" t="str">
        <f>IF(PA!AQ329="","",PA!AQ329)</f>
        <v/>
      </c>
      <c r="N330" s="242"/>
    </row>
    <row r="331" spans="1:14" ht="15" customHeight="1" thickTop="1" x14ac:dyDescent="0.3">
      <c r="A331" s="242"/>
      <c r="B331" s="426">
        <f>Data!E325</f>
        <v>1</v>
      </c>
      <c r="C331" s="427" t="str">
        <f>IF(Data!F325="","",Data!F325)</f>
        <v/>
      </c>
      <c r="D331" s="428" t="str">
        <f>IF(Data!H325="","",Data!H325)</f>
        <v/>
      </c>
      <c r="E331" s="427" t="str">
        <f>IF(Data!I325="","",Data!I325)</f>
        <v/>
      </c>
      <c r="F331" s="427" t="str">
        <f>Data!J325</f>
        <v>VIII-I</v>
      </c>
      <c r="G331" s="197"/>
      <c r="H331" s="180" t="str">
        <f>IF(PA!R330="","",PA!R330)</f>
        <v/>
      </c>
      <c r="I331" s="181" t="str">
        <f>IF(PA!S330="","",PA!S330)</f>
        <v/>
      </c>
      <c r="J331" s="187" t="str">
        <f>IF(PA!Z330="","",PA!Z330)</f>
        <v/>
      </c>
      <c r="K331" s="181" t="str">
        <f>IF(PA!AI330="","",PA!AI330)</f>
        <v/>
      </c>
      <c r="L331" s="181" t="str">
        <f>IF(PA!AJ330="","",PA!AJ330)</f>
        <v/>
      </c>
      <c r="M331" s="187" t="str">
        <f>IF(PA!AQ330="","",PA!AQ330)</f>
        <v/>
      </c>
      <c r="N331" s="242"/>
    </row>
    <row r="332" spans="1:14" ht="15" customHeight="1" x14ac:dyDescent="0.3">
      <c r="A332" s="242"/>
      <c r="B332" s="424">
        <f>Data!E326</f>
        <v>2</v>
      </c>
      <c r="C332" s="249" t="str">
        <f>IF(Data!F326="","",Data!F326)</f>
        <v/>
      </c>
      <c r="D332" s="250" t="str">
        <f>IF(Data!H326="","",Data!H326)</f>
        <v/>
      </c>
      <c r="E332" s="249" t="str">
        <f>IF(Data!I326="","",Data!I326)</f>
        <v/>
      </c>
      <c r="F332" s="249" t="str">
        <f>Data!J326</f>
        <v>VIII-I</v>
      </c>
      <c r="G332" s="197"/>
      <c r="H332" s="178" t="str">
        <f>IF(PA!R331="","",PA!R331)</f>
        <v/>
      </c>
      <c r="I332" s="179" t="str">
        <f>IF(PA!S331="","",PA!S331)</f>
        <v/>
      </c>
      <c r="J332" s="182" t="str">
        <f>IF(PA!Z331="","",PA!Z331)</f>
        <v/>
      </c>
      <c r="K332" s="179" t="str">
        <f>IF(PA!AI331="","",PA!AI331)</f>
        <v/>
      </c>
      <c r="L332" s="179" t="str">
        <f>IF(PA!AJ331="","",PA!AJ331)</f>
        <v/>
      </c>
      <c r="M332" s="182" t="str">
        <f>IF(PA!AQ331="","",PA!AQ331)</f>
        <v/>
      </c>
      <c r="N332" s="242"/>
    </row>
    <row r="333" spans="1:14" ht="15" customHeight="1" x14ac:dyDescent="0.3">
      <c r="A333" s="242"/>
      <c r="B333" s="424">
        <f>Data!E327</f>
        <v>3</v>
      </c>
      <c r="C333" s="249" t="str">
        <f>IF(Data!F327="","",Data!F327)</f>
        <v/>
      </c>
      <c r="D333" s="250" t="str">
        <f>IF(Data!H327="","",Data!H327)</f>
        <v/>
      </c>
      <c r="E333" s="249" t="str">
        <f>IF(Data!I327="","",Data!I327)</f>
        <v/>
      </c>
      <c r="F333" s="249" t="str">
        <f>Data!J327</f>
        <v>VIII-I</v>
      </c>
      <c r="G333" s="197"/>
      <c r="H333" s="178" t="str">
        <f>IF(PA!R332="","",PA!R332)</f>
        <v/>
      </c>
      <c r="I333" s="179" t="str">
        <f>IF(PA!S332="","",PA!S332)</f>
        <v/>
      </c>
      <c r="J333" s="182" t="str">
        <f>IF(PA!Z332="","",PA!Z332)</f>
        <v/>
      </c>
      <c r="K333" s="179" t="str">
        <f>IF(PA!AI332="","",PA!AI332)</f>
        <v/>
      </c>
      <c r="L333" s="179" t="str">
        <f>IF(PA!AJ332="","",PA!AJ332)</f>
        <v/>
      </c>
      <c r="M333" s="182" t="str">
        <f>IF(PA!AQ332="","",PA!AQ332)</f>
        <v/>
      </c>
      <c r="N333" s="242"/>
    </row>
    <row r="334" spans="1:14" ht="15" customHeight="1" x14ac:dyDescent="0.3">
      <c r="A334" s="242"/>
      <c r="B334" s="424">
        <f>Data!E328</f>
        <v>4</v>
      </c>
      <c r="C334" s="249" t="str">
        <f>IF(Data!F328="","",Data!F328)</f>
        <v/>
      </c>
      <c r="D334" s="250" t="str">
        <f>IF(Data!H328="","",Data!H328)</f>
        <v/>
      </c>
      <c r="E334" s="249" t="str">
        <f>IF(Data!I328="","",Data!I328)</f>
        <v/>
      </c>
      <c r="F334" s="249" t="str">
        <f>Data!J328</f>
        <v>VIII-I</v>
      </c>
      <c r="G334" s="197"/>
      <c r="H334" s="178" t="str">
        <f>IF(PA!R333="","",PA!R333)</f>
        <v/>
      </c>
      <c r="I334" s="179" t="str">
        <f>IF(PA!S333="","",PA!S333)</f>
        <v/>
      </c>
      <c r="J334" s="182" t="str">
        <f>IF(PA!Z333="","",PA!Z333)</f>
        <v/>
      </c>
      <c r="K334" s="179" t="str">
        <f>IF(PA!AI333="","",PA!AI333)</f>
        <v/>
      </c>
      <c r="L334" s="179" t="str">
        <f>IF(PA!AJ333="","",PA!AJ333)</f>
        <v/>
      </c>
      <c r="M334" s="182" t="str">
        <f>IF(PA!AQ333="","",PA!AQ333)</f>
        <v/>
      </c>
      <c r="N334" s="242"/>
    </row>
    <row r="335" spans="1:14" ht="15" customHeight="1" x14ac:dyDescent="0.3">
      <c r="A335" s="242"/>
      <c r="B335" s="424">
        <f>Data!E329</f>
        <v>5</v>
      </c>
      <c r="C335" s="249" t="str">
        <f>IF(Data!F329="","",Data!F329)</f>
        <v/>
      </c>
      <c r="D335" s="250" t="str">
        <f>IF(Data!H329="","",Data!H329)</f>
        <v/>
      </c>
      <c r="E335" s="249" t="str">
        <f>IF(Data!I329="","",Data!I329)</f>
        <v/>
      </c>
      <c r="F335" s="249" t="str">
        <f>Data!J329</f>
        <v>VIII-I</v>
      </c>
      <c r="G335" s="197"/>
      <c r="H335" s="178" t="str">
        <f>IF(PA!R334="","",PA!R334)</f>
        <v/>
      </c>
      <c r="I335" s="179" t="str">
        <f>IF(PA!S334="","",PA!S334)</f>
        <v/>
      </c>
      <c r="J335" s="182" t="str">
        <f>IF(PA!Z334="","",PA!Z334)</f>
        <v/>
      </c>
      <c r="K335" s="179" t="str">
        <f>IF(PA!AI334="","",PA!AI334)</f>
        <v/>
      </c>
      <c r="L335" s="179" t="str">
        <f>IF(PA!AJ334="","",PA!AJ334)</f>
        <v/>
      </c>
      <c r="M335" s="182" t="str">
        <f>IF(PA!AQ334="","",PA!AQ334)</f>
        <v/>
      </c>
      <c r="N335" s="242"/>
    </row>
    <row r="336" spans="1:14" ht="15" customHeight="1" x14ac:dyDescent="0.3">
      <c r="A336" s="242"/>
      <c r="B336" s="424">
        <f>Data!E330</f>
        <v>6</v>
      </c>
      <c r="C336" s="249" t="str">
        <f>IF(Data!F330="","",Data!F330)</f>
        <v/>
      </c>
      <c r="D336" s="250" t="str">
        <f>IF(Data!H330="","",Data!H330)</f>
        <v/>
      </c>
      <c r="E336" s="249" t="str">
        <f>IF(Data!I330="","",Data!I330)</f>
        <v/>
      </c>
      <c r="F336" s="249" t="str">
        <f>Data!J330</f>
        <v>VIII-I</v>
      </c>
      <c r="G336" s="197"/>
      <c r="H336" s="178" t="str">
        <f>IF(PA!R335="","",PA!R335)</f>
        <v/>
      </c>
      <c r="I336" s="179" t="str">
        <f>IF(PA!S335="","",PA!S335)</f>
        <v/>
      </c>
      <c r="J336" s="182" t="str">
        <f>IF(PA!Z335="","",PA!Z335)</f>
        <v/>
      </c>
      <c r="K336" s="179" t="str">
        <f>IF(PA!AI335="","",PA!AI335)</f>
        <v/>
      </c>
      <c r="L336" s="179" t="str">
        <f>IF(PA!AJ335="","",PA!AJ335)</f>
        <v/>
      </c>
      <c r="M336" s="182" t="str">
        <f>IF(PA!AQ335="","",PA!AQ335)</f>
        <v/>
      </c>
      <c r="N336" s="242"/>
    </row>
    <row r="337" spans="1:14" ht="15" customHeight="1" x14ac:dyDescent="0.3">
      <c r="A337" s="242"/>
      <c r="B337" s="424">
        <f>Data!E331</f>
        <v>7</v>
      </c>
      <c r="C337" s="249" t="str">
        <f>IF(Data!F331="","",Data!F331)</f>
        <v/>
      </c>
      <c r="D337" s="250" t="str">
        <f>IF(Data!H331="","",Data!H331)</f>
        <v/>
      </c>
      <c r="E337" s="249" t="str">
        <f>IF(Data!I331="","",Data!I331)</f>
        <v/>
      </c>
      <c r="F337" s="249" t="str">
        <f>Data!J331</f>
        <v>VIII-I</v>
      </c>
      <c r="G337" s="197"/>
      <c r="H337" s="178" t="str">
        <f>IF(PA!R336="","",PA!R336)</f>
        <v/>
      </c>
      <c r="I337" s="179" t="str">
        <f>IF(PA!S336="","",PA!S336)</f>
        <v/>
      </c>
      <c r="J337" s="182" t="str">
        <f>IF(PA!Z336="","",PA!Z336)</f>
        <v/>
      </c>
      <c r="K337" s="179" t="str">
        <f>IF(PA!AI336="","",PA!AI336)</f>
        <v/>
      </c>
      <c r="L337" s="179" t="str">
        <f>IF(PA!AJ336="","",PA!AJ336)</f>
        <v/>
      </c>
      <c r="M337" s="182" t="str">
        <f>IF(PA!AQ336="","",PA!AQ336)</f>
        <v/>
      </c>
      <c r="N337" s="242"/>
    </row>
    <row r="338" spans="1:14" ht="15" customHeight="1" x14ac:dyDescent="0.3">
      <c r="A338" s="242"/>
      <c r="B338" s="424">
        <f>Data!E332</f>
        <v>8</v>
      </c>
      <c r="C338" s="249" t="str">
        <f>IF(Data!F332="","",Data!F332)</f>
        <v/>
      </c>
      <c r="D338" s="250" t="str">
        <f>IF(Data!H332="","",Data!H332)</f>
        <v/>
      </c>
      <c r="E338" s="249" t="str">
        <f>IF(Data!I332="","",Data!I332)</f>
        <v/>
      </c>
      <c r="F338" s="249" t="str">
        <f>Data!J332</f>
        <v>VIII-I</v>
      </c>
      <c r="G338" s="197"/>
      <c r="H338" s="178" t="str">
        <f>IF(PA!R337="","",PA!R337)</f>
        <v/>
      </c>
      <c r="I338" s="179" t="str">
        <f>IF(PA!S337="","",PA!S337)</f>
        <v/>
      </c>
      <c r="J338" s="182" t="str">
        <f>IF(PA!Z337="","",PA!Z337)</f>
        <v/>
      </c>
      <c r="K338" s="179" t="str">
        <f>IF(PA!AI337="","",PA!AI337)</f>
        <v/>
      </c>
      <c r="L338" s="179" t="str">
        <f>IF(PA!AJ337="","",PA!AJ337)</f>
        <v/>
      </c>
      <c r="M338" s="182" t="str">
        <f>IF(PA!AQ337="","",PA!AQ337)</f>
        <v/>
      </c>
      <c r="N338" s="242"/>
    </row>
    <row r="339" spans="1:14" ht="15" customHeight="1" x14ac:dyDescent="0.3">
      <c r="A339" s="242"/>
      <c r="B339" s="424">
        <f>Data!E333</f>
        <v>9</v>
      </c>
      <c r="C339" s="249" t="str">
        <f>IF(Data!F333="","",Data!F333)</f>
        <v/>
      </c>
      <c r="D339" s="250" t="str">
        <f>IF(Data!H333="","",Data!H333)</f>
        <v/>
      </c>
      <c r="E339" s="249" t="str">
        <f>IF(Data!I333="","",Data!I333)</f>
        <v/>
      </c>
      <c r="F339" s="249" t="str">
        <f>Data!J333</f>
        <v>VIII-I</v>
      </c>
      <c r="G339" s="197"/>
      <c r="H339" s="178" t="str">
        <f>IF(PA!R338="","",PA!R338)</f>
        <v/>
      </c>
      <c r="I339" s="179" t="str">
        <f>IF(PA!S338="","",PA!S338)</f>
        <v/>
      </c>
      <c r="J339" s="182" t="str">
        <f>IF(PA!Z338="","",PA!Z338)</f>
        <v/>
      </c>
      <c r="K339" s="179" t="str">
        <f>IF(PA!AI338="","",PA!AI338)</f>
        <v/>
      </c>
      <c r="L339" s="179" t="str">
        <f>IF(PA!AJ338="","",PA!AJ338)</f>
        <v/>
      </c>
      <c r="M339" s="182" t="str">
        <f>IF(PA!AQ338="","",PA!AQ338)</f>
        <v/>
      </c>
      <c r="N339" s="242"/>
    </row>
    <row r="340" spans="1:14" ht="15" customHeight="1" x14ac:dyDescent="0.3">
      <c r="A340" s="242"/>
      <c r="B340" s="424">
        <f>Data!E334</f>
        <v>10</v>
      </c>
      <c r="C340" s="249" t="str">
        <f>IF(Data!F334="","",Data!F334)</f>
        <v/>
      </c>
      <c r="D340" s="250" t="str">
        <f>IF(Data!H334="","",Data!H334)</f>
        <v/>
      </c>
      <c r="E340" s="249" t="str">
        <f>IF(Data!I334="","",Data!I334)</f>
        <v/>
      </c>
      <c r="F340" s="249" t="str">
        <f>Data!J334</f>
        <v>VIII-I</v>
      </c>
      <c r="G340" s="197"/>
      <c r="H340" s="178" t="str">
        <f>IF(PA!R339="","",PA!R339)</f>
        <v/>
      </c>
      <c r="I340" s="179" t="str">
        <f>IF(PA!S339="","",PA!S339)</f>
        <v/>
      </c>
      <c r="J340" s="182" t="str">
        <f>IF(PA!Z339="","",PA!Z339)</f>
        <v/>
      </c>
      <c r="K340" s="179" t="str">
        <f>IF(PA!AI339="","",PA!AI339)</f>
        <v/>
      </c>
      <c r="L340" s="179" t="str">
        <f>IF(PA!AJ339="","",PA!AJ339)</f>
        <v/>
      </c>
      <c r="M340" s="182" t="str">
        <f>IF(PA!AQ339="","",PA!AQ339)</f>
        <v/>
      </c>
      <c r="N340" s="242"/>
    </row>
    <row r="341" spans="1:14" ht="15" customHeight="1" x14ac:dyDescent="0.3">
      <c r="A341" s="242"/>
      <c r="B341" s="424">
        <f>Data!E335</f>
        <v>11</v>
      </c>
      <c r="C341" s="249" t="str">
        <f>IF(Data!F335="","",Data!F335)</f>
        <v/>
      </c>
      <c r="D341" s="250" t="str">
        <f>IF(Data!H335="","",Data!H335)</f>
        <v/>
      </c>
      <c r="E341" s="249" t="str">
        <f>IF(Data!I335="","",Data!I335)</f>
        <v/>
      </c>
      <c r="F341" s="249" t="str">
        <f>Data!J335</f>
        <v>VIII-I</v>
      </c>
      <c r="G341" s="197"/>
      <c r="H341" s="178" t="str">
        <f>IF(PA!R340="","",PA!R340)</f>
        <v/>
      </c>
      <c r="I341" s="179" t="str">
        <f>IF(PA!S340="","",PA!S340)</f>
        <v/>
      </c>
      <c r="J341" s="182" t="str">
        <f>IF(PA!Z340="","",PA!Z340)</f>
        <v/>
      </c>
      <c r="K341" s="179" t="str">
        <f>IF(PA!AI340="","",PA!AI340)</f>
        <v/>
      </c>
      <c r="L341" s="179" t="str">
        <f>IF(PA!AJ340="","",PA!AJ340)</f>
        <v/>
      </c>
      <c r="M341" s="182" t="str">
        <f>IF(PA!AQ340="","",PA!AQ340)</f>
        <v/>
      </c>
      <c r="N341" s="242"/>
    </row>
    <row r="342" spans="1:14" ht="15" customHeight="1" x14ac:dyDescent="0.3">
      <c r="A342" s="242"/>
      <c r="B342" s="424">
        <f>Data!E336</f>
        <v>12</v>
      </c>
      <c r="C342" s="249" t="str">
        <f>IF(Data!F336="","",Data!F336)</f>
        <v/>
      </c>
      <c r="D342" s="250" t="str">
        <f>IF(Data!H336="","",Data!H336)</f>
        <v/>
      </c>
      <c r="E342" s="249" t="str">
        <f>IF(Data!I336="","",Data!I336)</f>
        <v/>
      </c>
      <c r="F342" s="249" t="str">
        <f>Data!J336</f>
        <v>VIII-I</v>
      </c>
      <c r="G342" s="197"/>
      <c r="H342" s="178" t="str">
        <f>IF(PA!R341="","",PA!R341)</f>
        <v/>
      </c>
      <c r="I342" s="179" t="str">
        <f>IF(PA!S341="","",PA!S341)</f>
        <v/>
      </c>
      <c r="J342" s="182" t="str">
        <f>IF(PA!Z341="","",PA!Z341)</f>
        <v/>
      </c>
      <c r="K342" s="179" t="str">
        <f>IF(PA!AI341="","",PA!AI341)</f>
        <v/>
      </c>
      <c r="L342" s="179" t="str">
        <f>IF(PA!AJ341="","",PA!AJ341)</f>
        <v/>
      </c>
      <c r="M342" s="182" t="str">
        <f>IF(PA!AQ341="","",PA!AQ341)</f>
        <v/>
      </c>
      <c r="N342" s="242"/>
    </row>
    <row r="343" spans="1:14" ht="15" customHeight="1" x14ac:dyDescent="0.3">
      <c r="A343" s="242"/>
      <c r="B343" s="424">
        <f>Data!E337</f>
        <v>13</v>
      </c>
      <c r="C343" s="249" t="str">
        <f>IF(Data!F337="","",Data!F337)</f>
        <v/>
      </c>
      <c r="D343" s="250" t="str">
        <f>IF(Data!H337="","",Data!H337)</f>
        <v/>
      </c>
      <c r="E343" s="249" t="str">
        <f>IF(Data!I337="","",Data!I337)</f>
        <v/>
      </c>
      <c r="F343" s="249" t="str">
        <f>Data!J337</f>
        <v>VIII-I</v>
      </c>
      <c r="G343" s="197"/>
      <c r="H343" s="178" t="str">
        <f>IF(PA!R342="","",PA!R342)</f>
        <v/>
      </c>
      <c r="I343" s="179" t="str">
        <f>IF(PA!S342="","",PA!S342)</f>
        <v/>
      </c>
      <c r="J343" s="182" t="str">
        <f>IF(PA!Z342="","",PA!Z342)</f>
        <v/>
      </c>
      <c r="K343" s="179" t="str">
        <f>IF(PA!AI342="","",PA!AI342)</f>
        <v/>
      </c>
      <c r="L343" s="179" t="str">
        <f>IF(PA!AJ342="","",PA!AJ342)</f>
        <v/>
      </c>
      <c r="M343" s="182" t="str">
        <f>IF(PA!AQ342="","",PA!AQ342)</f>
        <v/>
      </c>
      <c r="N343" s="242"/>
    </row>
    <row r="344" spans="1:14" ht="15" customHeight="1" x14ac:dyDescent="0.3">
      <c r="A344" s="242"/>
      <c r="B344" s="424">
        <f>Data!E338</f>
        <v>14</v>
      </c>
      <c r="C344" s="249" t="str">
        <f>IF(Data!F338="","",Data!F338)</f>
        <v/>
      </c>
      <c r="D344" s="250" t="str">
        <f>IF(Data!H338="","",Data!H338)</f>
        <v/>
      </c>
      <c r="E344" s="249" t="str">
        <f>IF(Data!I338="","",Data!I338)</f>
        <v/>
      </c>
      <c r="F344" s="249" t="str">
        <f>Data!J338</f>
        <v>VIII-I</v>
      </c>
      <c r="G344" s="197"/>
      <c r="H344" s="178" t="str">
        <f>IF(PA!R343="","",PA!R343)</f>
        <v/>
      </c>
      <c r="I344" s="179" t="str">
        <f>IF(PA!S343="","",PA!S343)</f>
        <v/>
      </c>
      <c r="J344" s="182" t="str">
        <f>IF(PA!Z343="","",PA!Z343)</f>
        <v/>
      </c>
      <c r="K344" s="179" t="str">
        <f>IF(PA!AI343="","",PA!AI343)</f>
        <v/>
      </c>
      <c r="L344" s="179" t="str">
        <f>IF(PA!AJ343="","",PA!AJ343)</f>
        <v/>
      </c>
      <c r="M344" s="182" t="str">
        <f>IF(PA!AQ343="","",PA!AQ343)</f>
        <v/>
      </c>
      <c r="N344" s="242"/>
    </row>
    <row r="345" spans="1:14" ht="15" customHeight="1" x14ac:dyDescent="0.3">
      <c r="A345" s="242"/>
      <c r="B345" s="424">
        <f>Data!E339</f>
        <v>15</v>
      </c>
      <c r="C345" s="249" t="str">
        <f>IF(Data!F339="","",Data!F339)</f>
        <v/>
      </c>
      <c r="D345" s="250" t="str">
        <f>IF(Data!H339="","",Data!H339)</f>
        <v/>
      </c>
      <c r="E345" s="249" t="str">
        <f>IF(Data!I339="","",Data!I339)</f>
        <v/>
      </c>
      <c r="F345" s="249" t="str">
        <f>Data!J339</f>
        <v>VIII-I</v>
      </c>
      <c r="G345" s="197"/>
      <c r="H345" s="178" t="str">
        <f>IF(PA!R344="","",PA!R344)</f>
        <v/>
      </c>
      <c r="I345" s="179" t="str">
        <f>IF(PA!S344="","",PA!S344)</f>
        <v/>
      </c>
      <c r="J345" s="182" t="str">
        <f>IF(PA!Z344="","",PA!Z344)</f>
        <v/>
      </c>
      <c r="K345" s="179" t="str">
        <f>IF(PA!AI344="","",PA!AI344)</f>
        <v/>
      </c>
      <c r="L345" s="179" t="str">
        <f>IF(PA!AJ344="","",PA!AJ344)</f>
        <v/>
      </c>
      <c r="M345" s="182" t="str">
        <f>IF(PA!AQ344="","",PA!AQ344)</f>
        <v/>
      </c>
      <c r="N345" s="242"/>
    </row>
    <row r="346" spans="1:14" ht="15" customHeight="1" x14ac:dyDescent="0.3">
      <c r="A346" s="242"/>
      <c r="B346" s="424">
        <f>Data!E340</f>
        <v>16</v>
      </c>
      <c r="C346" s="249" t="str">
        <f>IF(Data!F340="","",Data!F340)</f>
        <v/>
      </c>
      <c r="D346" s="250" t="str">
        <f>IF(Data!H340="","",Data!H340)</f>
        <v/>
      </c>
      <c r="E346" s="249" t="str">
        <f>IF(Data!I340="","",Data!I340)</f>
        <v/>
      </c>
      <c r="F346" s="249" t="str">
        <f>Data!J340</f>
        <v>VIII-I</v>
      </c>
      <c r="G346" s="197"/>
      <c r="H346" s="178" t="str">
        <f>IF(PA!R345="","",PA!R345)</f>
        <v/>
      </c>
      <c r="I346" s="179" t="str">
        <f>IF(PA!S345="","",PA!S345)</f>
        <v/>
      </c>
      <c r="J346" s="182" t="str">
        <f>IF(PA!Z345="","",PA!Z345)</f>
        <v/>
      </c>
      <c r="K346" s="179" t="str">
        <f>IF(PA!AI345="","",PA!AI345)</f>
        <v/>
      </c>
      <c r="L346" s="179" t="str">
        <f>IF(PA!AJ345="","",PA!AJ345)</f>
        <v/>
      </c>
      <c r="M346" s="182" t="str">
        <f>IF(PA!AQ345="","",PA!AQ345)</f>
        <v/>
      </c>
      <c r="N346" s="242"/>
    </row>
    <row r="347" spans="1:14" ht="15" customHeight="1" x14ac:dyDescent="0.3">
      <c r="A347" s="242"/>
      <c r="B347" s="424">
        <f>Data!E341</f>
        <v>17</v>
      </c>
      <c r="C347" s="249" t="str">
        <f>IF(Data!F341="","",Data!F341)</f>
        <v/>
      </c>
      <c r="D347" s="250" t="str">
        <f>IF(Data!H341="","",Data!H341)</f>
        <v/>
      </c>
      <c r="E347" s="249" t="str">
        <f>IF(Data!I341="","",Data!I341)</f>
        <v/>
      </c>
      <c r="F347" s="249" t="str">
        <f>Data!J341</f>
        <v>VIII-I</v>
      </c>
      <c r="G347" s="197"/>
      <c r="H347" s="178" t="str">
        <f>IF(PA!R346="","",PA!R346)</f>
        <v/>
      </c>
      <c r="I347" s="179" t="str">
        <f>IF(PA!S346="","",PA!S346)</f>
        <v/>
      </c>
      <c r="J347" s="182" t="str">
        <f>IF(PA!Z346="","",PA!Z346)</f>
        <v/>
      </c>
      <c r="K347" s="179" t="str">
        <f>IF(PA!AI346="","",PA!AI346)</f>
        <v/>
      </c>
      <c r="L347" s="179" t="str">
        <f>IF(PA!AJ346="","",PA!AJ346)</f>
        <v/>
      </c>
      <c r="M347" s="182" t="str">
        <f>IF(PA!AQ346="","",PA!AQ346)</f>
        <v/>
      </c>
      <c r="N347" s="242"/>
    </row>
    <row r="348" spans="1:14" ht="15" customHeight="1" x14ac:dyDescent="0.3">
      <c r="A348" s="242"/>
      <c r="B348" s="424">
        <f>Data!E342</f>
        <v>18</v>
      </c>
      <c r="C348" s="249" t="str">
        <f>IF(Data!F342="","",Data!F342)</f>
        <v/>
      </c>
      <c r="D348" s="250" t="str">
        <f>IF(Data!H342="","",Data!H342)</f>
        <v/>
      </c>
      <c r="E348" s="249" t="str">
        <f>IF(Data!I342="","",Data!I342)</f>
        <v/>
      </c>
      <c r="F348" s="249" t="str">
        <f>Data!J342</f>
        <v>VIII-I</v>
      </c>
      <c r="G348" s="197"/>
      <c r="H348" s="178" t="str">
        <f>IF(PA!R347="","",PA!R347)</f>
        <v/>
      </c>
      <c r="I348" s="179" t="str">
        <f>IF(PA!S347="","",PA!S347)</f>
        <v/>
      </c>
      <c r="J348" s="182" t="str">
        <f>IF(PA!Z347="","",PA!Z347)</f>
        <v/>
      </c>
      <c r="K348" s="179" t="str">
        <f>IF(PA!AI347="","",PA!AI347)</f>
        <v/>
      </c>
      <c r="L348" s="179" t="str">
        <f>IF(PA!AJ347="","",PA!AJ347)</f>
        <v/>
      </c>
      <c r="M348" s="182" t="str">
        <f>IF(PA!AQ347="","",PA!AQ347)</f>
        <v/>
      </c>
      <c r="N348" s="242"/>
    </row>
    <row r="349" spans="1:14" ht="15" customHeight="1" x14ac:dyDescent="0.3">
      <c r="A349" s="242"/>
      <c r="B349" s="424">
        <f>Data!E343</f>
        <v>19</v>
      </c>
      <c r="C349" s="249" t="str">
        <f>IF(Data!F343="","",Data!F343)</f>
        <v/>
      </c>
      <c r="D349" s="250" t="str">
        <f>IF(Data!H343="","",Data!H343)</f>
        <v/>
      </c>
      <c r="E349" s="249" t="str">
        <f>IF(Data!I343="","",Data!I343)</f>
        <v/>
      </c>
      <c r="F349" s="249" t="str">
        <f>Data!J343</f>
        <v>VIII-I</v>
      </c>
      <c r="G349" s="197"/>
      <c r="H349" s="178" t="str">
        <f>IF(PA!R348="","",PA!R348)</f>
        <v/>
      </c>
      <c r="I349" s="179" t="str">
        <f>IF(PA!S348="","",PA!S348)</f>
        <v/>
      </c>
      <c r="J349" s="182" t="str">
        <f>IF(PA!Z348="","",PA!Z348)</f>
        <v/>
      </c>
      <c r="K349" s="179" t="str">
        <f>IF(PA!AI348="","",PA!AI348)</f>
        <v/>
      </c>
      <c r="L349" s="179" t="str">
        <f>IF(PA!AJ348="","",PA!AJ348)</f>
        <v/>
      </c>
      <c r="M349" s="182" t="str">
        <f>IF(PA!AQ348="","",PA!AQ348)</f>
        <v/>
      </c>
      <c r="N349" s="242"/>
    </row>
    <row r="350" spans="1:14" ht="15" customHeight="1" x14ac:dyDescent="0.3">
      <c r="A350" s="242"/>
      <c r="B350" s="424">
        <f>Data!E344</f>
        <v>20</v>
      </c>
      <c r="C350" s="249" t="str">
        <f>IF(Data!F344="","",Data!F344)</f>
        <v/>
      </c>
      <c r="D350" s="250" t="str">
        <f>IF(Data!H344="","",Data!H344)</f>
        <v/>
      </c>
      <c r="E350" s="249" t="str">
        <f>IF(Data!I344="","",Data!I344)</f>
        <v/>
      </c>
      <c r="F350" s="249" t="str">
        <f>Data!J344</f>
        <v>VIII-I</v>
      </c>
      <c r="G350" s="197"/>
      <c r="H350" s="178" t="str">
        <f>IF(PA!R349="","",PA!R349)</f>
        <v/>
      </c>
      <c r="I350" s="179" t="str">
        <f>IF(PA!S349="","",PA!S349)</f>
        <v/>
      </c>
      <c r="J350" s="182" t="str">
        <f>IF(PA!Z349="","",PA!Z349)</f>
        <v/>
      </c>
      <c r="K350" s="179" t="str">
        <f>IF(PA!AI349="","",PA!AI349)</f>
        <v/>
      </c>
      <c r="L350" s="179" t="str">
        <f>IF(PA!AJ349="","",PA!AJ349)</f>
        <v/>
      </c>
      <c r="M350" s="182" t="str">
        <f>IF(PA!AQ349="","",PA!AQ349)</f>
        <v/>
      </c>
      <c r="N350" s="242"/>
    </row>
    <row r="351" spans="1:14" ht="15" customHeight="1" x14ac:dyDescent="0.3">
      <c r="A351" s="242"/>
      <c r="B351" s="424">
        <f>Data!E345</f>
        <v>21</v>
      </c>
      <c r="C351" s="249" t="str">
        <f>IF(Data!F345="","",Data!F345)</f>
        <v/>
      </c>
      <c r="D351" s="250" t="str">
        <f>IF(Data!H345="","",Data!H345)</f>
        <v/>
      </c>
      <c r="E351" s="249" t="str">
        <f>IF(Data!I345="","",Data!I345)</f>
        <v/>
      </c>
      <c r="F351" s="249" t="str">
        <f>Data!J345</f>
        <v>VIII-I</v>
      </c>
      <c r="G351" s="197"/>
      <c r="H351" s="178" t="str">
        <f>IF(PA!R350="","",PA!R350)</f>
        <v/>
      </c>
      <c r="I351" s="179" t="str">
        <f>IF(PA!S350="","",PA!S350)</f>
        <v/>
      </c>
      <c r="J351" s="182" t="str">
        <f>IF(PA!Z350="","",PA!Z350)</f>
        <v/>
      </c>
      <c r="K351" s="179" t="str">
        <f>IF(PA!AI350="","",PA!AI350)</f>
        <v/>
      </c>
      <c r="L351" s="179" t="str">
        <f>IF(PA!AJ350="","",PA!AJ350)</f>
        <v/>
      </c>
      <c r="M351" s="182" t="str">
        <f>IF(PA!AQ350="","",PA!AQ350)</f>
        <v/>
      </c>
      <c r="N351" s="242"/>
    </row>
    <row r="352" spans="1:14" ht="15" customHeight="1" x14ac:dyDescent="0.3">
      <c r="A352" s="242"/>
      <c r="B352" s="424">
        <f>Data!E346</f>
        <v>22</v>
      </c>
      <c r="C352" s="249" t="str">
        <f>IF(Data!F346="","",Data!F346)</f>
        <v/>
      </c>
      <c r="D352" s="250" t="str">
        <f>IF(Data!H346="","",Data!H346)</f>
        <v/>
      </c>
      <c r="E352" s="249" t="str">
        <f>IF(Data!I346="","",Data!I346)</f>
        <v/>
      </c>
      <c r="F352" s="249" t="str">
        <f>Data!J346</f>
        <v>VIII-I</v>
      </c>
      <c r="G352" s="197"/>
      <c r="H352" s="178" t="str">
        <f>IF(PA!R351="","",PA!R351)</f>
        <v/>
      </c>
      <c r="I352" s="179" t="str">
        <f>IF(PA!S351="","",PA!S351)</f>
        <v/>
      </c>
      <c r="J352" s="182" t="str">
        <f>IF(PA!Z351="","",PA!Z351)</f>
        <v/>
      </c>
      <c r="K352" s="179" t="str">
        <f>IF(PA!AI351="","",PA!AI351)</f>
        <v/>
      </c>
      <c r="L352" s="179" t="str">
        <f>IF(PA!AJ351="","",PA!AJ351)</f>
        <v/>
      </c>
      <c r="M352" s="182" t="str">
        <f>IF(PA!AQ351="","",PA!AQ351)</f>
        <v/>
      </c>
      <c r="N352" s="242"/>
    </row>
    <row r="353" spans="1:14" ht="15" customHeight="1" x14ac:dyDescent="0.3">
      <c r="A353" s="242"/>
      <c r="B353" s="424">
        <f>Data!E347</f>
        <v>23</v>
      </c>
      <c r="C353" s="249" t="str">
        <f>IF(Data!F347="","",Data!F347)</f>
        <v/>
      </c>
      <c r="D353" s="250" t="str">
        <f>IF(Data!H347="","",Data!H347)</f>
        <v/>
      </c>
      <c r="E353" s="249" t="str">
        <f>IF(Data!I347="","",Data!I347)</f>
        <v/>
      </c>
      <c r="F353" s="249" t="str">
        <f>Data!J347</f>
        <v>VIII-I</v>
      </c>
      <c r="G353" s="197"/>
      <c r="H353" s="178" t="str">
        <f>IF(PA!R352="","",PA!R352)</f>
        <v/>
      </c>
      <c r="I353" s="179" t="str">
        <f>IF(PA!S352="","",PA!S352)</f>
        <v/>
      </c>
      <c r="J353" s="182" t="str">
        <f>IF(PA!Z352="","",PA!Z352)</f>
        <v/>
      </c>
      <c r="K353" s="179" t="str">
        <f>IF(PA!AI352="","",PA!AI352)</f>
        <v/>
      </c>
      <c r="L353" s="179" t="str">
        <f>IF(PA!AJ352="","",PA!AJ352)</f>
        <v/>
      </c>
      <c r="M353" s="182" t="str">
        <f>IF(PA!AQ352="","",PA!AQ352)</f>
        <v/>
      </c>
      <c r="N353" s="242"/>
    </row>
    <row r="354" spans="1:14" ht="15" customHeight="1" x14ac:dyDescent="0.3">
      <c r="A354" s="242"/>
      <c r="B354" s="424">
        <f>Data!E348</f>
        <v>24</v>
      </c>
      <c r="C354" s="249" t="str">
        <f>IF(Data!F348="","",Data!F348)</f>
        <v/>
      </c>
      <c r="D354" s="250" t="str">
        <f>IF(Data!H348="","",Data!H348)</f>
        <v/>
      </c>
      <c r="E354" s="249" t="str">
        <f>IF(Data!I348="","",Data!I348)</f>
        <v/>
      </c>
      <c r="F354" s="249" t="str">
        <f>Data!J348</f>
        <v>VIII-I</v>
      </c>
      <c r="G354" s="197"/>
      <c r="H354" s="178" t="str">
        <f>IF(PA!R353="","",PA!R353)</f>
        <v/>
      </c>
      <c r="I354" s="179" t="str">
        <f>IF(PA!S353="","",PA!S353)</f>
        <v/>
      </c>
      <c r="J354" s="182" t="str">
        <f>IF(PA!Z353="","",PA!Z353)</f>
        <v/>
      </c>
      <c r="K354" s="179" t="str">
        <f>IF(PA!AI353="","",PA!AI353)</f>
        <v/>
      </c>
      <c r="L354" s="179" t="str">
        <f>IF(PA!AJ353="","",PA!AJ353)</f>
        <v/>
      </c>
      <c r="M354" s="182" t="str">
        <f>IF(PA!AQ353="","",PA!AQ353)</f>
        <v/>
      </c>
      <c r="N354" s="242"/>
    </row>
    <row r="355" spans="1:14" ht="15" customHeight="1" x14ac:dyDescent="0.3">
      <c r="A355" s="242"/>
      <c r="B355" s="424">
        <f>Data!E349</f>
        <v>25</v>
      </c>
      <c r="C355" s="249" t="str">
        <f>IF(Data!F349="","",Data!F349)</f>
        <v/>
      </c>
      <c r="D355" s="250" t="str">
        <f>IF(Data!H349="","",Data!H349)</f>
        <v/>
      </c>
      <c r="E355" s="249" t="str">
        <f>IF(Data!I349="","",Data!I349)</f>
        <v/>
      </c>
      <c r="F355" s="249" t="str">
        <f>Data!J349</f>
        <v>VIII-I</v>
      </c>
      <c r="G355" s="197"/>
      <c r="H355" s="178" t="str">
        <f>IF(PA!R354="","",PA!R354)</f>
        <v/>
      </c>
      <c r="I355" s="179" t="str">
        <f>IF(PA!S354="","",PA!S354)</f>
        <v/>
      </c>
      <c r="J355" s="182" t="str">
        <f>IF(PA!Z354="","",PA!Z354)</f>
        <v/>
      </c>
      <c r="K355" s="179" t="str">
        <f>IF(PA!AI354="","",PA!AI354)</f>
        <v/>
      </c>
      <c r="L355" s="179" t="str">
        <f>IF(PA!AJ354="","",PA!AJ354)</f>
        <v/>
      </c>
      <c r="M355" s="182" t="str">
        <f>IF(PA!AQ354="","",PA!AQ354)</f>
        <v/>
      </c>
      <c r="N355" s="242"/>
    </row>
    <row r="356" spans="1:14" ht="15" customHeight="1" x14ac:dyDescent="0.3">
      <c r="A356" s="242"/>
      <c r="B356" s="424">
        <f>Data!E350</f>
        <v>26</v>
      </c>
      <c r="C356" s="249" t="str">
        <f>IF(Data!F350="","",Data!F350)</f>
        <v/>
      </c>
      <c r="D356" s="250" t="str">
        <f>IF(Data!H350="","",Data!H350)</f>
        <v/>
      </c>
      <c r="E356" s="249" t="str">
        <f>IF(Data!I350="","",Data!I350)</f>
        <v/>
      </c>
      <c r="F356" s="249" t="str">
        <f>Data!J350</f>
        <v>VIII-I</v>
      </c>
      <c r="G356" s="197"/>
      <c r="H356" s="178" t="str">
        <f>IF(PA!R355="","",PA!R355)</f>
        <v/>
      </c>
      <c r="I356" s="179" t="str">
        <f>IF(PA!S355="","",PA!S355)</f>
        <v/>
      </c>
      <c r="J356" s="182" t="str">
        <f>IF(PA!Z355="","",PA!Z355)</f>
        <v/>
      </c>
      <c r="K356" s="179" t="str">
        <f>IF(PA!AI355="","",PA!AI355)</f>
        <v/>
      </c>
      <c r="L356" s="179" t="str">
        <f>IF(PA!AJ355="","",PA!AJ355)</f>
        <v/>
      </c>
      <c r="M356" s="182" t="str">
        <f>IF(PA!AQ355="","",PA!AQ355)</f>
        <v/>
      </c>
      <c r="N356" s="242"/>
    </row>
    <row r="357" spans="1:14" ht="15" customHeight="1" x14ac:dyDescent="0.3">
      <c r="A357" s="242"/>
      <c r="B357" s="424">
        <f>Data!E351</f>
        <v>27</v>
      </c>
      <c r="C357" s="249" t="str">
        <f>IF(Data!F351="","",Data!F351)</f>
        <v/>
      </c>
      <c r="D357" s="250" t="str">
        <f>IF(Data!H351="","",Data!H351)</f>
        <v/>
      </c>
      <c r="E357" s="249" t="str">
        <f>IF(Data!I351="","",Data!I351)</f>
        <v/>
      </c>
      <c r="F357" s="249" t="str">
        <f>Data!J351</f>
        <v>VIII-I</v>
      </c>
      <c r="G357" s="197"/>
      <c r="H357" s="178" t="str">
        <f>IF(PA!R356="","",PA!R356)</f>
        <v/>
      </c>
      <c r="I357" s="179" t="str">
        <f>IF(PA!S356="","",PA!S356)</f>
        <v/>
      </c>
      <c r="J357" s="182" t="str">
        <f>IF(PA!Z356="","",PA!Z356)</f>
        <v/>
      </c>
      <c r="K357" s="179" t="str">
        <f>IF(PA!AI356="","",PA!AI356)</f>
        <v/>
      </c>
      <c r="L357" s="179" t="str">
        <f>IF(PA!AJ356="","",PA!AJ356)</f>
        <v/>
      </c>
      <c r="M357" s="182" t="str">
        <f>IF(PA!AQ356="","",PA!AQ356)</f>
        <v/>
      </c>
      <c r="N357" s="242"/>
    </row>
    <row r="358" spans="1:14" ht="15" customHeight="1" x14ac:dyDescent="0.3">
      <c r="A358" s="242"/>
      <c r="B358" s="424">
        <f>Data!E352</f>
        <v>28</v>
      </c>
      <c r="C358" s="249" t="str">
        <f>IF(Data!F352="","",Data!F352)</f>
        <v/>
      </c>
      <c r="D358" s="250" t="str">
        <f>IF(Data!H352="","",Data!H352)</f>
        <v/>
      </c>
      <c r="E358" s="249" t="str">
        <f>IF(Data!I352="","",Data!I352)</f>
        <v/>
      </c>
      <c r="F358" s="249" t="str">
        <f>Data!J352</f>
        <v>VIII-I</v>
      </c>
      <c r="G358" s="197"/>
      <c r="H358" s="178" t="str">
        <f>IF(PA!R357="","",PA!R357)</f>
        <v/>
      </c>
      <c r="I358" s="179" t="str">
        <f>IF(PA!S357="","",PA!S357)</f>
        <v/>
      </c>
      <c r="J358" s="182" t="str">
        <f>IF(PA!Z357="","",PA!Z357)</f>
        <v/>
      </c>
      <c r="K358" s="179" t="str">
        <f>IF(PA!AI357="","",PA!AI357)</f>
        <v/>
      </c>
      <c r="L358" s="179" t="str">
        <f>IF(PA!AJ357="","",PA!AJ357)</f>
        <v/>
      </c>
      <c r="M358" s="182" t="str">
        <f>IF(PA!AQ357="","",PA!AQ357)</f>
        <v/>
      </c>
      <c r="N358" s="242"/>
    </row>
    <row r="359" spans="1:14" ht="15" customHeight="1" x14ac:dyDescent="0.3">
      <c r="A359" s="242"/>
      <c r="B359" s="424">
        <f>Data!E353</f>
        <v>29</v>
      </c>
      <c r="C359" s="249" t="str">
        <f>IF(Data!F353="","",Data!F353)</f>
        <v/>
      </c>
      <c r="D359" s="250" t="str">
        <f>IF(Data!H353="","",Data!H353)</f>
        <v/>
      </c>
      <c r="E359" s="249" t="str">
        <f>IF(Data!I353="","",Data!I353)</f>
        <v/>
      </c>
      <c r="F359" s="249" t="str">
        <f>Data!J353</f>
        <v>VIII-I</v>
      </c>
      <c r="G359" s="197"/>
      <c r="H359" s="178" t="str">
        <f>IF(PA!R358="","",PA!R358)</f>
        <v/>
      </c>
      <c r="I359" s="179" t="str">
        <f>IF(PA!S358="","",PA!S358)</f>
        <v/>
      </c>
      <c r="J359" s="182" t="str">
        <f>IF(PA!Z358="","",PA!Z358)</f>
        <v/>
      </c>
      <c r="K359" s="179" t="str">
        <f>IF(PA!AI358="","",PA!AI358)</f>
        <v/>
      </c>
      <c r="L359" s="179" t="str">
        <f>IF(PA!AJ358="","",PA!AJ358)</f>
        <v/>
      </c>
      <c r="M359" s="182" t="str">
        <f>IF(PA!AQ358="","",PA!AQ358)</f>
        <v/>
      </c>
      <c r="N359" s="242"/>
    </row>
    <row r="360" spans="1:14" ht="15" customHeight="1" x14ac:dyDescent="0.3">
      <c r="A360" s="242"/>
      <c r="B360" s="424">
        <f>Data!E354</f>
        <v>30</v>
      </c>
      <c r="C360" s="249" t="str">
        <f>IF(Data!F354="","",Data!F354)</f>
        <v/>
      </c>
      <c r="D360" s="250" t="str">
        <f>IF(Data!H354="","",Data!H354)</f>
        <v/>
      </c>
      <c r="E360" s="249" t="str">
        <f>IF(Data!I354="","",Data!I354)</f>
        <v/>
      </c>
      <c r="F360" s="249" t="str">
        <f>Data!J354</f>
        <v>VIII-I</v>
      </c>
      <c r="G360" s="197"/>
      <c r="H360" s="178" t="str">
        <f>IF(PA!R359="","",PA!R359)</f>
        <v/>
      </c>
      <c r="I360" s="179" t="str">
        <f>IF(PA!S359="","",PA!S359)</f>
        <v/>
      </c>
      <c r="J360" s="182" t="str">
        <f>IF(PA!Z359="","",PA!Z359)</f>
        <v/>
      </c>
      <c r="K360" s="179" t="str">
        <f>IF(PA!AI359="","",PA!AI359)</f>
        <v/>
      </c>
      <c r="L360" s="179" t="str">
        <f>IF(PA!AJ359="","",PA!AJ359)</f>
        <v/>
      </c>
      <c r="M360" s="182" t="str">
        <f>IF(PA!AQ359="","",PA!AQ359)</f>
        <v/>
      </c>
      <c r="N360" s="242"/>
    </row>
    <row r="361" spans="1:14" ht="15" customHeight="1" x14ac:dyDescent="0.3">
      <c r="A361" s="242"/>
      <c r="B361" s="424">
        <f>Data!E355</f>
        <v>31</v>
      </c>
      <c r="C361" s="249" t="str">
        <f>IF(Data!F355="","",Data!F355)</f>
        <v/>
      </c>
      <c r="D361" s="250" t="str">
        <f>IF(Data!H355="","",Data!H355)</f>
        <v/>
      </c>
      <c r="E361" s="249" t="str">
        <f>IF(Data!I355="","",Data!I355)</f>
        <v/>
      </c>
      <c r="F361" s="249" t="str">
        <f>Data!J355</f>
        <v>VIII-I</v>
      </c>
      <c r="G361" s="197"/>
      <c r="H361" s="178" t="str">
        <f>IF(PA!R360="","",PA!R360)</f>
        <v/>
      </c>
      <c r="I361" s="179" t="str">
        <f>IF(PA!S360="","",PA!S360)</f>
        <v/>
      </c>
      <c r="J361" s="182" t="str">
        <f>IF(PA!Z360="","",PA!Z360)</f>
        <v/>
      </c>
      <c r="K361" s="179" t="str">
        <f>IF(PA!AI360="","",PA!AI360)</f>
        <v/>
      </c>
      <c r="L361" s="179" t="str">
        <f>IF(PA!AJ360="","",PA!AJ360)</f>
        <v/>
      </c>
      <c r="M361" s="182" t="str">
        <f>IF(PA!AQ360="","",PA!AQ360)</f>
        <v/>
      </c>
      <c r="N361" s="242"/>
    </row>
    <row r="362" spans="1:14" ht="15" customHeight="1" x14ac:dyDescent="0.3">
      <c r="A362" s="242"/>
      <c r="B362" s="424">
        <f>Data!E356</f>
        <v>32</v>
      </c>
      <c r="C362" s="249" t="str">
        <f>IF(Data!F356="","",Data!F356)</f>
        <v/>
      </c>
      <c r="D362" s="250" t="str">
        <f>IF(Data!H356="","",Data!H356)</f>
        <v/>
      </c>
      <c r="E362" s="249" t="str">
        <f>IF(Data!I356="","",Data!I356)</f>
        <v/>
      </c>
      <c r="F362" s="249" t="str">
        <f>Data!J356</f>
        <v>VIII-I</v>
      </c>
      <c r="G362" s="197"/>
      <c r="H362" s="178" t="str">
        <f>IF(PA!R361="","",PA!R361)</f>
        <v/>
      </c>
      <c r="I362" s="179" t="str">
        <f>IF(PA!S361="","",PA!S361)</f>
        <v/>
      </c>
      <c r="J362" s="182" t="str">
        <f>IF(PA!Z361="","",PA!Z361)</f>
        <v/>
      </c>
      <c r="K362" s="179" t="str">
        <f>IF(PA!AI361="","",PA!AI361)</f>
        <v/>
      </c>
      <c r="L362" s="179" t="str">
        <f>IF(PA!AJ361="","",PA!AJ361)</f>
        <v/>
      </c>
      <c r="M362" s="182" t="str">
        <f>IF(PA!AQ361="","",PA!AQ361)</f>
        <v/>
      </c>
      <c r="N362" s="242"/>
    </row>
    <row r="363" spans="1:14" ht="15" customHeight="1" x14ac:dyDescent="0.3">
      <c r="A363" s="242"/>
      <c r="B363" s="424">
        <f>Data!E357</f>
        <v>33</v>
      </c>
      <c r="C363" s="249" t="str">
        <f>IF(Data!F357="","",Data!F357)</f>
        <v/>
      </c>
      <c r="D363" s="250" t="str">
        <f>IF(Data!H357="","",Data!H357)</f>
        <v/>
      </c>
      <c r="E363" s="249" t="str">
        <f>IF(Data!I357="","",Data!I357)</f>
        <v/>
      </c>
      <c r="F363" s="249" t="str">
        <f>Data!J357</f>
        <v>VIII-I</v>
      </c>
      <c r="G363" s="197"/>
      <c r="H363" s="178" t="str">
        <f>IF(PA!R362="","",PA!R362)</f>
        <v/>
      </c>
      <c r="I363" s="179" t="str">
        <f>IF(PA!S362="","",PA!S362)</f>
        <v/>
      </c>
      <c r="J363" s="182" t="str">
        <f>IF(PA!Z362="","",PA!Z362)</f>
        <v/>
      </c>
      <c r="K363" s="179" t="str">
        <f>IF(PA!AI362="","",PA!AI362)</f>
        <v/>
      </c>
      <c r="L363" s="179" t="str">
        <f>IF(PA!AJ362="","",PA!AJ362)</f>
        <v/>
      </c>
      <c r="M363" s="182" t="str">
        <f>IF(PA!AQ362="","",PA!AQ362)</f>
        <v/>
      </c>
      <c r="N363" s="242"/>
    </row>
    <row r="364" spans="1:14" ht="15" customHeight="1" x14ac:dyDescent="0.3">
      <c r="A364" s="242"/>
      <c r="B364" s="424">
        <f>Data!E358</f>
        <v>34</v>
      </c>
      <c r="C364" s="249" t="str">
        <f>IF(Data!F358="","",Data!F358)</f>
        <v/>
      </c>
      <c r="D364" s="250" t="str">
        <f>IF(Data!H358="","",Data!H358)</f>
        <v/>
      </c>
      <c r="E364" s="249" t="str">
        <f>IF(Data!I358="","",Data!I358)</f>
        <v/>
      </c>
      <c r="F364" s="249" t="str">
        <f>Data!J358</f>
        <v>VIII-I</v>
      </c>
      <c r="G364" s="197"/>
      <c r="H364" s="178" t="str">
        <f>IF(PA!R363="","",PA!R363)</f>
        <v/>
      </c>
      <c r="I364" s="179" t="str">
        <f>IF(PA!S363="","",PA!S363)</f>
        <v/>
      </c>
      <c r="J364" s="182" t="str">
        <f>IF(PA!Z363="","",PA!Z363)</f>
        <v/>
      </c>
      <c r="K364" s="179" t="str">
        <f>IF(PA!AI363="","",PA!AI363)</f>
        <v/>
      </c>
      <c r="L364" s="179" t="str">
        <f>IF(PA!AJ363="","",PA!AJ363)</f>
        <v/>
      </c>
      <c r="M364" s="182" t="str">
        <f>IF(PA!AQ363="","",PA!AQ363)</f>
        <v/>
      </c>
      <c r="N364" s="242"/>
    </row>
    <row r="365" spans="1:14" ht="15" customHeight="1" x14ac:dyDescent="0.3">
      <c r="A365" s="242"/>
      <c r="B365" s="424">
        <f>Data!E359</f>
        <v>35</v>
      </c>
      <c r="C365" s="249" t="str">
        <f>IF(Data!F359="","",Data!F359)</f>
        <v/>
      </c>
      <c r="D365" s="250" t="str">
        <f>IF(Data!H359="","",Data!H359)</f>
        <v/>
      </c>
      <c r="E365" s="249" t="str">
        <f>IF(Data!I359="","",Data!I359)</f>
        <v/>
      </c>
      <c r="F365" s="249" t="str">
        <f>Data!J359</f>
        <v>VIII-I</v>
      </c>
      <c r="G365" s="197"/>
      <c r="H365" s="178" t="str">
        <f>IF(PA!R364="","",PA!R364)</f>
        <v/>
      </c>
      <c r="I365" s="179" t="str">
        <f>IF(PA!S364="","",PA!S364)</f>
        <v/>
      </c>
      <c r="J365" s="182" t="str">
        <f>IF(PA!Z364="","",PA!Z364)</f>
        <v/>
      </c>
      <c r="K365" s="179" t="str">
        <f>IF(PA!AI364="","",PA!AI364)</f>
        <v/>
      </c>
      <c r="L365" s="179" t="str">
        <f>IF(PA!AJ364="","",PA!AJ364)</f>
        <v/>
      </c>
      <c r="M365" s="182" t="str">
        <f>IF(PA!AQ364="","",PA!AQ364)</f>
        <v/>
      </c>
      <c r="N365" s="242"/>
    </row>
    <row r="366" spans="1:14" ht="15" customHeight="1" x14ac:dyDescent="0.3">
      <c r="A366" s="242"/>
      <c r="B366" s="424">
        <f>Data!E360</f>
        <v>36</v>
      </c>
      <c r="C366" s="249" t="str">
        <f>IF(Data!F360="","",Data!F360)</f>
        <v/>
      </c>
      <c r="D366" s="250" t="str">
        <f>IF(Data!H360="","",Data!H360)</f>
        <v/>
      </c>
      <c r="E366" s="249" t="str">
        <f>IF(Data!I360="","",Data!I360)</f>
        <v/>
      </c>
      <c r="F366" s="249" t="str">
        <f>Data!J360</f>
        <v>VIII-I</v>
      </c>
      <c r="G366" s="197"/>
      <c r="H366" s="178" t="str">
        <f>IF(PA!R365="","",PA!R365)</f>
        <v/>
      </c>
      <c r="I366" s="179" t="str">
        <f>IF(PA!S365="","",PA!S365)</f>
        <v/>
      </c>
      <c r="J366" s="182" t="str">
        <f>IF(PA!Z365="","",PA!Z365)</f>
        <v/>
      </c>
      <c r="K366" s="179" t="str">
        <f>IF(PA!AI365="","",PA!AI365)</f>
        <v/>
      </c>
      <c r="L366" s="179" t="str">
        <f>IF(PA!AJ365="","",PA!AJ365)</f>
        <v/>
      </c>
      <c r="M366" s="182" t="str">
        <f>IF(PA!AQ365="","",PA!AQ365)</f>
        <v/>
      </c>
      <c r="N366" s="242"/>
    </row>
    <row r="367" spans="1:14" ht="15" customHeight="1" x14ac:dyDescent="0.3">
      <c r="A367" s="242"/>
      <c r="B367" s="424">
        <f>Data!E361</f>
        <v>37</v>
      </c>
      <c r="C367" s="249" t="str">
        <f>IF(Data!F361="","",Data!F361)</f>
        <v/>
      </c>
      <c r="D367" s="250" t="str">
        <f>IF(Data!H361="","",Data!H361)</f>
        <v/>
      </c>
      <c r="E367" s="249" t="str">
        <f>IF(Data!I361="","",Data!I361)</f>
        <v/>
      </c>
      <c r="F367" s="249" t="str">
        <f>Data!J361</f>
        <v>VIII-I</v>
      </c>
      <c r="G367" s="197"/>
      <c r="H367" s="178" t="str">
        <f>IF(PA!R366="","",PA!R366)</f>
        <v/>
      </c>
      <c r="I367" s="179" t="str">
        <f>IF(PA!S366="","",PA!S366)</f>
        <v/>
      </c>
      <c r="J367" s="182" t="str">
        <f>IF(PA!Z366="","",PA!Z366)</f>
        <v/>
      </c>
      <c r="K367" s="179" t="str">
        <f>IF(PA!AI366="","",PA!AI366)</f>
        <v/>
      </c>
      <c r="L367" s="179" t="str">
        <f>IF(PA!AJ366="","",PA!AJ366)</f>
        <v/>
      </c>
      <c r="M367" s="182" t="str">
        <f>IF(PA!AQ366="","",PA!AQ366)</f>
        <v/>
      </c>
      <c r="N367" s="242"/>
    </row>
    <row r="368" spans="1:14" ht="15" customHeight="1" x14ac:dyDescent="0.3">
      <c r="A368" s="242"/>
      <c r="B368" s="424">
        <f>Data!E362</f>
        <v>38</v>
      </c>
      <c r="C368" s="249" t="str">
        <f>IF(Data!F362="","",Data!F362)</f>
        <v/>
      </c>
      <c r="D368" s="250" t="str">
        <f>IF(Data!H362="","",Data!H362)</f>
        <v/>
      </c>
      <c r="E368" s="249" t="str">
        <f>IF(Data!I362="","",Data!I362)</f>
        <v/>
      </c>
      <c r="F368" s="249" t="str">
        <f>Data!J362</f>
        <v>VIII-I</v>
      </c>
      <c r="G368" s="197"/>
      <c r="H368" s="178" t="str">
        <f>IF(PA!R367="","",PA!R367)</f>
        <v/>
      </c>
      <c r="I368" s="179" t="str">
        <f>IF(PA!S367="","",PA!S367)</f>
        <v/>
      </c>
      <c r="J368" s="182" t="str">
        <f>IF(PA!Z367="","",PA!Z367)</f>
        <v/>
      </c>
      <c r="K368" s="179" t="str">
        <f>IF(PA!AI367="","",PA!AI367)</f>
        <v/>
      </c>
      <c r="L368" s="179" t="str">
        <f>IF(PA!AJ367="","",PA!AJ367)</f>
        <v/>
      </c>
      <c r="M368" s="182" t="str">
        <f>IF(PA!AQ367="","",PA!AQ367)</f>
        <v/>
      </c>
      <c r="N368" s="242"/>
    </row>
    <row r="369" spans="1:14" ht="15" customHeight="1" x14ac:dyDescent="0.3">
      <c r="A369" s="242"/>
      <c r="B369" s="424">
        <f>Data!E363</f>
        <v>39</v>
      </c>
      <c r="C369" s="249" t="str">
        <f>IF(Data!F363="","",Data!F363)</f>
        <v/>
      </c>
      <c r="D369" s="250" t="str">
        <f>IF(Data!H363="","",Data!H363)</f>
        <v/>
      </c>
      <c r="E369" s="249" t="str">
        <f>IF(Data!I363="","",Data!I363)</f>
        <v/>
      </c>
      <c r="F369" s="249" t="str">
        <f>Data!J363</f>
        <v>VIII-I</v>
      </c>
      <c r="G369" s="197"/>
      <c r="H369" s="178" t="str">
        <f>IF(PA!R368="","",PA!R368)</f>
        <v/>
      </c>
      <c r="I369" s="179" t="str">
        <f>IF(PA!S368="","",PA!S368)</f>
        <v/>
      </c>
      <c r="J369" s="182" t="str">
        <f>IF(PA!Z368="","",PA!Z368)</f>
        <v/>
      </c>
      <c r="K369" s="179" t="str">
        <f>IF(PA!AI368="","",PA!AI368)</f>
        <v/>
      </c>
      <c r="L369" s="179" t="str">
        <f>IF(PA!AJ368="","",PA!AJ368)</f>
        <v/>
      </c>
      <c r="M369" s="182" t="str">
        <f>IF(PA!AQ368="","",PA!AQ368)</f>
        <v/>
      </c>
      <c r="N369" s="242"/>
    </row>
    <row r="370" spans="1:14" ht="15" customHeight="1" thickBot="1" x14ac:dyDescent="0.35">
      <c r="A370" s="242"/>
      <c r="B370" s="429">
        <f>Data!E364</f>
        <v>40</v>
      </c>
      <c r="C370" s="430" t="str">
        <f>IF(Data!F364="","",Data!F364)</f>
        <v/>
      </c>
      <c r="D370" s="431" t="str">
        <f>IF(Data!H364="","",Data!H364)</f>
        <v/>
      </c>
      <c r="E370" s="430" t="str">
        <f>IF(Data!I364="","",Data!I364)</f>
        <v/>
      </c>
      <c r="F370" s="430" t="str">
        <f>Data!J364</f>
        <v>VIII-I</v>
      </c>
      <c r="G370" s="432"/>
      <c r="H370" s="433" t="str">
        <f>IF(PA!R369="","",PA!R369)</f>
        <v/>
      </c>
      <c r="I370" s="434" t="str">
        <f>IF(PA!S369="","",PA!S369)</f>
        <v/>
      </c>
      <c r="J370" s="435" t="str">
        <f>IF(PA!Z369="","",PA!Z369)</f>
        <v/>
      </c>
      <c r="K370" s="434" t="str">
        <f>IF(PA!AI369="","",PA!AI369)</f>
        <v/>
      </c>
      <c r="L370" s="434" t="str">
        <f>IF(PA!AJ369="","",PA!AJ369)</f>
        <v/>
      </c>
      <c r="M370" s="435" t="str">
        <f>IF(PA!AQ369="","",PA!AQ369)</f>
        <v/>
      </c>
      <c r="N370" s="242"/>
    </row>
    <row r="371" spans="1:14" ht="15" customHeight="1" thickTop="1" x14ac:dyDescent="0.3">
      <c r="A371" s="242"/>
      <c r="B371" s="426">
        <f>Data!E365</f>
        <v>1</v>
      </c>
      <c r="C371" s="427" t="str">
        <f>IF(Data!F365="","",Data!F365)</f>
        <v/>
      </c>
      <c r="D371" s="428" t="str">
        <f>IF(Data!H365="","",Data!H365)</f>
        <v/>
      </c>
      <c r="E371" s="427" t="str">
        <f>IF(Data!I365="","",Data!I365)</f>
        <v/>
      </c>
      <c r="F371" s="427" t="str">
        <f>Data!J365</f>
        <v>VIII-J</v>
      </c>
      <c r="G371" s="197"/>
      <c r="H371" s="180" t="str">
        <f>IF(PA!R370="","",PA!R370)</f>
        <v/>
      </c>
      <c r="I371" s="181" t="str">
        <f>IF(PA!S370="","",PA!S370)</f>
        <v/>
      </c>
      <c r="J371" s="187" t="str">
        <f>IF(PA!Z370="","",PA!Z370)</f>
        <v/>
      </c>
      <c r="K371" s="181" t="str">
        <f>IF(PA!AI370="","",PA!AI370)</f>
        <v/>
      </c>
      <c r="L371" s="181" t="str">
        <f>IF(PA!AJ370="","",PA!AJ370)</f>
        <v/>
      </c>
      <c r="M371" s="187" t="str">
        <f>IF(PA!AQ370="","",PA!AQ370)</f>
        <v/>
      </c>
      <c r="N371" s="242"/>
    </row>
    <row r="372" spans="1:14" ht="15" customHeight="1" x14ac:dyDescent="0.3">
      <c r="A372" s="242"/>
      <c r="B372" s="424">
        <f>Data!E366</f>
        <v>2</v>
      </c>
      <c r="C372" s="249" t="str">
        <f>IF(Data!F366="","",Data!F366)</f>
        <v/>
      </c>
      <c r="D372" s="250" t="str">
        <f>IF(Data!H366="","",Data!H366)</f>
        <v/>
      </c>
      <c r="E372" s="249" t="str">
        <f>IF(Data!I366="","",Data!I366)</f>
        <v/>
      </c>
      <c r="F372" s="249" t="str">
        <f>Data!J366</f>
        <v>VIII-J</v>
      </c>
      <c r="G372" s="197"/>
      <c r="H372" s="178" t="str">
        <f>IF(PA!R371="","",PA!R371)</f>
        <v/>
      </c>
      <c r="I372" s="179" t="str">
        <f>IF(PA!S371="","",PA!S371)</f>
        <v/>
      </c>
      <c r="J372" s="182" t="str">
        <f>IF(PA!Z371="","",PA!Z371)</f>
        <v/>
      </c>
      <c r="K372" s="179" t="str">
        <f>IF(PA!AI371="","",PA!AI371)</f>
        <v/>
      </c>
      <c r="L372" s="179" t="str">
        <f>IF(PA!AJ371="","",PA!AJ371)</f>
        <v/>
      </c>
      <c r="M372" s="182" t="str">
        <f>IF(PA!AQ371="","",PA!AQ371)</f>
        <v/>
      </c>
      <c r="N372" s="242"/>
    </row>
    <row r="373" spans="1:14" ht="15" customHeight="1" x14ac:dyDescent="0.3">
      <c r="A373" s="242"/>
      <c r="B373" s="424">
        <f>Data!E367</f>
        <v>3</v>
      </c>
      <c r="C373" s="249" t="str">
        <f>IF(Data!F367="","",Data!F367)</f>
        <v/>
      </c>
      <c r="D373" s="250" t="str">
        <f>IF(Data!H367="","",Data!H367)</f>
        <v/>
      </c>
      <c r="E373" s="249" t="str">
        <f>IF(Data!I367="","",Data!I367)</f>
        <v/>
      </c>
      <c r="F373" s="249" t="str">
        <f>Data!J367</f>
        <v>VIII-J</v>
      </c>
      <c r="G373" s="197"/>
      <c r="H373" s="178" t="str">
        <f>IF(PA!R372="","",PA!R372)</f>
        <v/>
      </c>
      <c r="I373" s="179" t="str">
        <f>IF(PA!S372="","",PA!S372)</f>
        <v/>
      </c>
      <c r="J373" s="182" t="str">
        <f>IF(PA!Z372="","",PA!Z372)</f>
        <v/>
      </c>
      <c r="K373" s="179" t="str">
        <f>IF(PA!AI372="","",PA!AI372)</f>
        <v/>
      </c>
      <c r="L373" s="179" t="str">
        <f>IF(PA!AJ372="","",PA!AJ372)</f>
        <v/>
      </c>
      <c r="M373" s="182" t="str">
        <f>IF(PA!AQ372="","",PA!AQ372)</f>
        <v/>
      </c>
      <c r="N373" s="242"/>
    </row>
    <row r="374" spans="1:14" ht="15" customHeight="1" x14ac:dyDescent="0.3">
      <c r="A374" s="242"/>
      <c r="B374" s="424">
        <f>Data!E368</f>
        <v>4</v>
      </c>
      <c r="C374" s="249" t="str">
        <f>IF(Data!F368="","",Data!F368)</f>
        <v/>
      </c>
      <c r="D374" s="250" t="str">
        <f>IF(Data!H368="","",Data!H368)</f>
        <v/>
      </c>
      <c r="E374" s="249" t="str">
        <f>IF(Data!I368="","",Data!I368)</f>
        <v/>
      </c>
      <c r="F374" s="249" t="str">
        <f>Data!J368</f>
        <v>VIII-J</v>
      </c>
      <c r="G374" s="197"/>
      <c r="H374" s="178" t="str">
        <f>IF(PA!R373="","",PA!R373)</f>
        <v/>
      </c>
      <c r="I374" s="179" t="str">
        <f>IF(PA!S373="","",PA!S373)</f>
        <v/>
      </c>
      <c r="J374" s="182" t="str">
        <f>IF(PA!Z373="","",PA!Z373)</f>
        <v/>
      </c>
      <c r="K374" s="179" t="str">
        <f>IF(PA!AI373="","",PA!AI373)</f>
        <v/>
      </c>
      <c r="L374" s="179" t="str">
        <f>IF(PA!AJ373="","",PA!AJ373)</f>
        <v/>
      </c>
      <c r="M374" s="182" t="str">
        <f>IF(PA!AQ373="","",PA!AQ373)</f>
        <v/>
      </c>
      <c r="N374" s="242"/>
    </row>
    <row r="375" spans="1:14" ht="15" customHeight="1" x14ac:dyDescent="0.3">
      <c r="A375" s="242"/>
      <c r="B375" s="424">
        <f>Data!E369</f>
        <v>5</v>
      </c>
      <c r="C375" s="249" t="str">
        <f>IF(Data!F369="","",Data!F369)</f>
        <v/>
      </c>
      <c r="D375" s="250" t="str">
        <f>IF(Data!H369="","",Data!H369)</f>
        <v/>
      </c>
      <c r="E375" s="249" t="str">
        <f>IF(Data!I369="","",Data!I369)</f>
        <v/>
      </c>
      <c r="F375" s="249" t="str">
        <f>Data!J369</f>
        <v>VIII-J</v>
      </c>
      <c r="G375" s="197"/>
      <c r="H375" s="178" t="str">
        <f>IF(PA!R374="","",PA!R374)</f>
        <v/>
      </c>
      <c r="I375" s="179" t="str">
        <f>IF(PA!S374="","",PA!S374)</f>
        <v/>
      </c>
      <c r="J375" s="182" t="str">
        <f>IF(PA!Z374="","",PA!Z374)</f>
        <v/>
      </c>
      <c r="K375" s="179" t="str">
        <f>IF(PA!AI374="","",PA!AI374)</f>
        <v/>
      </c>
      <c r="L375" s="179" t="str">
        <f>IF(PA!AJ374="","",PA!AJ374)</f>
        <v/>
      </c>
      <c r="M375" s="182" t="str">
        <f>IF(PA!AQ374="","",PA!AQ374)</f>
        <v/>
      </c>
      <c r="N375" s="242"/>
    </row>
    <row r="376" spans="1:14" ht="15" customHeight="1" x14ac:dyDescent="0.3">
      <c r="A376" s="242"/>
      <c r="B376" s="424">
        <f>Data!E370</f>
        <v>6</v>
      </c>
      <c r="C376" s="249" t="str">
        <f>IF(Data!F370="","",Data!F370)</f>
        <v/>
      </c>
      <c r="D376" s="250" t="str">
        <f>IF(Data!H370="","",Data!H370)</f>
        <v/>
      </c>
      <c r="E376" s="249" t="str">
        <f>IF(Data!I370="","",Data!I370)</f>
        <v/>
      </c>
      <c r="F376" s="249" t="str">
        <f>Data!J370</f>
        <v>VIII-J</v>
      </c>
      <c r="G376" s="197"/>
      <c r="H376" s="178" t="str">
        <f>IF(PA!R375="","",PA!R375)</f>
        <v/>
      </c>
      <c r="I376" s="179" t="str">
        <f>IF(PA!S375="","",PA!S375)</f>
        <v/>
      </c>
      <c r="J376" s="182" t="str">
        <f>IF(PA!Z375="","",PA!Z375)</f>
        <v/>
      </c>
      <c r="K376" s="179" t="str">
        <f>IF(PA!AI375="","",PA!AI375)</f>
        <v/>
      </c>
      <c r="L376" s="179" t="str">
        <f>IF(PA!AJ375="","",PA!AJ375)</f>
        <v/>
      </c>
      <c r="M376" s="182" t="str">
        <f>IF(PA!AQ375="","",PA!AQ375)</f>
        <v/>
      </c>
      <c r="N376" s="242"/>
    </row>
    <row r="377" spans="1:14" ht="15" customHeight="1" x14ac:dyDescent="0.3">
      <c r="A377" s="242"/>
      <c r="B377" s="424">
        <f>Data!E371</f>
        <v>7</v>
      </c>
      <c r="C377" s="249" t="str">
        <f>IF(Data!F371="","",Data!F371)</f>
        <v/>
      </c>
      <c r="D377" s="250" t="str">
        <f>IF(Data!H371="","",Data!H371)</f>
        <v/>
      </c>
      <c r="E377" s="249" t="str">
        <f>IF(Data!I371="","",Data!I371)</f>
        <v/>
      </c>
      <c r="F377" s="249" t="str">
        <f>Data!J371</f>
        <v>VIII-J</v>
      </c>
      <c r="G377" s="197"/>
      <c r="H377" s="178" t="str">
        <f>IF(PA!R376="","",PA!R376)</f>
        <v/>
      </c>
      <c r="I377" s="179" t="str">
        <f>IF(PA!S376="","",PA!S376)</f>
        <v/>
      </c>
      <c r="J377" s="182" t="str">
        <f>IF(PA!Z376="","",PA!Z376)</f>
        <v/>
      </c>
      <c r="K377" s="179" t="str">
        <f>IF(PA!AI376="","",PA!AI376)</f>
        <v/>
      </c>
      <c r="L377" s="179" t="str">
        <f>IF(PA!AJ376="","",PA!AJ376)</f>
        <v/>
      </c>
      <c r="M377" s="182" t="str">
        <f>IF(PA!AQ376="","",PA!AQ376)</f>
        <v/>
      </c>
      <c r="N377" s="242"/>
    </row>
    <row r="378" spans="1:14" ht="15" customHeight="1" x14ac:dyDescent="0.3">
      <c r="A378" s="242"/>
      <c r="B378" s="424">
        <f>Data!E372</f>
        <v>8</v>
      </c>
      <c r="C378" s="249" t="str">
        <f>IF(Data!F372="","",Data!F372)</f>
        <v/>
      </c>
      <c r="D378" s="250" t="str">
        <f>IF(Data!H372="","",Data!H372)</f>
        <v/>
      </c>
      <c r="E378" s="249" t="str">
        <f>IF(Data!I372="","",Data!I372)</f>
        <v/>
      </c>
      <c r="F378" s="249" t="str">
        <f>Data!J372</f>
        <v>VIII-J</v>
      </c>
      <c r="G378" s="197"/>
      <c r="H378" s="178" t="str">
        <f>IF(PA!R377="","",PA!R377)</f>
        <v/>
      </c>
      <c r="I378" s="179" t="str">
        <f>IF(PA!S377="","",PA!S377)</f>
        <v/>
      </c>
      <c r="J378" s="182" t="str">
        <f>IF(PA!Z377="","",PA!Z377)</f>
        <v/>
      </c>
      <c r="K378" s="179" t="str">
        <f>IF(PA!AI377="","",PA!AI377)</f>
        <v/>
      </c>
      <c r="L378" s="179" t="str">
        <f>IF(PA!AJ377="","",PA!AJ377)</f>
        <v/>
      </c>
      <c r="M378" s="182" t="str">
        <f>IF(PA!AQ377="","",PA!AQ377)</f>
        <v/>
      </c>
      <c r="N378" s="242"/>
    </row>
    <row r="379" spans="1:14" ht="15" customHeight="1" x14ac:dyDescent="0.3">
      <c r="A379" s="242"/>
      <c r="B379" s="424">
        <f>Data!E373</f>
        <v>9</v>
      </c>
      <c r="C379" s="249" t="str">
        <f>IF(Data!F373="","",Data!F373)</f>
        <v/>
      </c>
      <c r="D379" s="250" t="str">
        <f>IF(Data!H373="","",Data!H373)</f>
        <v/>
      </c>
      <c r="E379" s="249" t="str">
        <f>IF(Data!I373="","",Data!I373)</f>
        <v/>
      </c>
      <c r="F379" s="249" t="str">
        <f>Data!J373</f>
        <v>VIII-J</v>
      </c>
      <c r="G379" s="197"/>
      <c r="H379" s="178" t="str">
        <f>IF(PA!R378="","",PA!R378)</f>
        <v/>
      </c>
      <c r="I379" s="179" t="str">
        <f>IF(PA!S378="","",PA!S378)</f>
        <v/>
      </c>
      <c r="J379" s="182" t="str">
        <f>IF(PA!Z378="","",PA!Z378)</f>
        <v/>
      </c>
      <c r="K379" s="179" t="str">
        <f>IF(PA!AI378="","",PA!AI378)</f>
        <v/>
      </c>
      <c r="L379" s="179" t="str">
        <f>IF(PA!AJ378="","",PA!AJ378)</f>
        <v/>
      </c>
      <c r="M379" s="182" t="str">
        <f>IF(PA!AQ378="","",PA!AQ378)</f>
        <v/>
      </c>
      <c r="N379" s="242"/>
    </row>
    <row r="380" spans="1:14" ht="15" customHeight="1" x14ac:dyDescent="0.3">
      <c r="A380" s="242"/>
      <c r="B380" s="424">
        <f>Data!E374</f>
        <v>10</v>
      </c>
      <c r="C380" s="249" t="str">
        <f>IF(Data!F374="","",Data!F374)</f>
        <v/>
      </c>
      <c r="D380" s="250" t="str">
        <f>IF(Data!H374="","",Data!H374)</f>
        <v/>
      </c>
      <c r="E380" s="249" t="str">
        <f>IF(Data!I374="","",Data!I374)</f>
        <v/>
      </c>
      <c r="F380" s="249" t="str">
        <f>Data!J374</f>
        <v>VIII-J</v>
      </c>
      <c r="G380" s="197"/>
      <c r="H380" s="178" t="str">
        <f>IF(PA!R379="","",PA!R379)</f>
        <v/>
      </c>
      <c r="I380" s="179" t="str">
        <f>IF(PA!S379="","",PA!S379)</f>
        <v/>
      </c>
      <c r="J380" s="182" t="str">
        <f>IF(PA!Z379="","",PA!Z379)</f>
        <v/>
      </c>
      <c r="K380" s="179" t="str">
        <f>IF(PA!AI379="","",PA!AI379)</f>
        <v/>
      </c>
      <c r="L380" s="179" t="str">
        <f>IF(PA!AJ379="","",PA!AJ379)</f>
        <v/>
      </c>
      <c r="M380" s="182" t="str">
        <f>IF(PA!AQ379="","",PA!AQ379)</f>
        <v/>
      </c>
      <c r="N380" s="242"/>
    </row>
    <row r="381" spans="1:14" ht="15" customHeight="1" x14ac:dyDescent="0.3">
      <c r="A381" s="242"/>
      <c r="B381" s="424">
        <f>Data!E375</f>
        <v>11</v>
      </c>
      <c r="C381" s="249" t="str">
        <f>IF(Data!F375="","",Data!F375)</f>
        <v/>
      </c>
      <c r="D381" s="250" t="str">
        <f>IF(Data!H375="","",Data!H375)</f>
        <v/>
      </c>
      <c r="E381" s="249" t="str">
        <f>IF(Data!I375="","",Data!I375)</f>
        <v/>
      </c>
      <c r="F381" s="249" t="str">
        <f>Data!J375</f>
        <v>VIII-J</v>
      </c>
      <c r="G381" s="197"/>
      <c r="H381" s="178" t="str">
        <f>IF(PA!R380="","",PA!R380)</f>
        <v/>
      </c>
      <c r="I381" s="179" t="str">
        <f>IF(PA!S380="","",PA!S380)</f>
        <v/>
      </c>
      <c r="J381" s="182" t="str">
        <f>IF(PA!Z380="","",PA!Z380)</f>
        <v/>
      </c>
      <c r="K381" s="179" t="str">
        <f>IF(PA!AI380="","",PA!AI380)</f>
        <v/>
      </c>
      <c r="L381" s="179" t="str">
        <f>IF(PA!AJ380="","",PA!AJ380)</f>
        <v/>
      </c>
      <c r="M381" s="182" t="str">
        <f>IF(PA!AQ380="","",PA!AQ380)</f>
        <v/>
      </c>
      <c r="N381" s="242"/>
    </row>
    <row r="382" spans="1:14" ht="15" customHeight="1" x14ac:dyDescent="0.3">
      <c r="A382" s="242"/>
      <c r="B382" s="424">
        <f>Data!E376</f>
        <v>12</v>
      </c>
      <c r="C382" s="249" t="str">
        <f>IF(Data!F376="","",Data!F376)</f>
        <v/>
      </c>
      <c r="D382" s="250" t="str">
        <f>IF(Data!H376="","",Data!H376)</f>
        <v/>
      </c>
      <c r="E382" s="249" t="str">
        <f>IF(Data!I376="","",Data!I376)</f>
        <v/>
      </c>
      <c r="F382" s="249" t="str">
        <f>Data!J376</f>
        <v>VIII-J</v>
      </c>
      <c r="G382" s="197"/>
      <c r="H382" s="178" t="str">
        <f>IF(PA!R381="","",PA!R381)</f>
        <v/>
      </c>
      <c r="I382" s="179" t="str">
        <f>IF(PA!S381="","",PA!S381)</f>
        <v/>
      </c>
      <c r="J382" s="182" t="str">
        <f>IF(PA!Z381="","",PA!Z381)</f>
        <v/>
      </c>
      <c r="K382" s="179" t="str">
        <f>IF(PA!AI381="","",PA!AI381)</f>
        <v/>
      </c>
      <c r="L382" s="179" t="str">
        <f>IF(PA!AJ381="","",PA!AJ381)</f>
        <v/>
      </c>
      <c r="M382" s="182" t="str">
        <f>IF(PA!AQ381="","",PA!AQ381)</f>
        <v/>
      </c>
      <c r="N382" s="242"/>
    </row>
    <row r="383" spans="1:14" ht="15" customHeight="1" x14ac:dyDescent="0.3">
      <c r="A383" s="242"/>
      <c r="B383" s="424">
        <f>Data!E377</f>
        <v>13</v>
      </c>
      <c r="C383" s="249" t="str">
        <f>IF(Data!F377="","",Data!F377)</f>
        <v/>
      </c>
      <c r="D383" s="250" t="str">
        <f>IF(Data!H377="","",Data!H377)</f>
        <v/>
      </c>
      <c r="E383" s="249" t="str">
        <f>IF(Data!I377="","",Data!I377)</f>
        <v/>
      </c>
      <c r="F383" s="249" t="str">
        <f>Data!J377</f>
        <v>VIII-J</v>
      </c>
      <c r="G383" s="197"/>
      <c r="H383" s="178" t="str">
        <f>IF(PA!R382="","",PA!R382)</f>
        <v/>
      </c>
      <c r="I383" s="179" t="str">
        <f>IF(PA!S382="","",PA!S382)</f>
        <v/>
      </c>
      <c r="J383" s="182" t="str">
        <f>IF(PA!Z382="","",PA!Z382)</f>
        <v/>
      </c>
      <c r="K383" s="179" t="str">
        <f>IF(PA!AI382="","",PA!AI382)</f>
        <v/>
      </c>
      <c r="L383" s="179" t="str">
        <f>IF(PA!AJ382="","",PA!AJ382)</f>
        <v/>
      </c>
      <c r="M383" s="182" t="str">
        <f>IF(PA!AQ382="","",PA!AQ382)</f>
        <v/>
      </c>
      <c r="N383" s="242"/>
    </row>
    <row r="384" spans="1:14" ht="15" customHeight="1" x14ac:dyDescent="0.3">
      <c r="A384" s="242"/>
      <c r="B384" s="424">
        <f>Data!E378</f>
        <v>14</v>
      </c>
      <c r="C384" s="249" t="str">
        <f>IF(Data!F378="","",Data!F378)</f>
        <v/>
      </c>
      <c r="D384" s="250" t="str">
        <f>IF(Data!H378="","",Data!H378)</f>
        <v/>
      </c>
      <c r="E384" s="249" t="str">
        <f>IF(Data!I378="","",Data!I378)</f>
        <v/>
      </c>
      <c r="F384" s="249" t="str">
        <f>Data!J378</f>
        <v>VIII-J</v>
      </c>
      <c r="G384" s="197"/>
      <c r="H384" s="178" t="str">
        <f>IF(PA!R383="","",PA!R383)</f>
        <v/>
      </c>
      <c r="I384" s="179" t="str">
        <f>IF(PA!S383="","",PA!S383)</f>
        <v/>
      </c>
      <c r="J384" s="182" t="str">
        <f>IF(PA!Z383="","",PA!Z383)</f>
        <v/>
      </c>
      <c r="K384" s="179" t="str">
        <f>IF(PA!AI383="","",PA!AI383)</f>
        <v/>
      </c>
      <c r="L384" s="179" t="str">
        <f>IF(PA!AJ383="","",PA!AJ383)</f>
        <v/>
      </c>
      <c r="M384" s="182" t="str">
        <f>IF(PA!AQ383="","",PA!AQ383)</f>
        <v/>
      </c>
      <c r="N384" s="242"/>
    </row>
    <row r="385" spans="1:14" ht="15" customHeight="1" x14ac:dyDescent="0.3">
      <c r="A385" s="242"/>
      <c r="B385" s="424">
        <f>Data!E379</f>
        <v>15</v>
      </c>
      <c r="C385" s="249" t="str">
        <f>IF(Data!F379="","",Data!F379)</f>
        <v/>
      </c>
      <c r="D385" s="250" t="str">
        <f>IF(Data!H379="","",Data!H379)</f>
        <v/>
      </c>
      <c r="E385" s="249" t="str">
        <f>IF(Data!I379="","",Data!I379)</f>
        <v/>
      </c>
      <c r="F385" s="249" t="str">
        <f>Data!J379</f>
        <v>VIII-J</v>
      </c>
      <c r="G385" s="197"/>
      <c r="H385" s="178" t="str">
        <f>IF(PA!R384="","",PA!R384)</f>
        <v/>
      </c>
      <c r="I385" s="179" t="str">
        <f>IF(PA!S384="","",PA!S384)</f>
        <v/>
      </c>
      <c r="J385" s="182" t="str">
        <f>IF(PA!Z384="","",PA!Z384)</f>
        <v/>
      </c>
      <c r="K385" s="179" t="str">
        <f>IF(PA!AI384="","",PA!AI384)</f>
        <v/>
      </c>
      <c r="L385" s="179" t="str">
        <f>IF(PA!AJ384="","",PA!AJ384)</f>
        <v/>
      </c>
      <c r="M385" s="182" t="str">
        <f>IF(PA!AQ384="","",PA!AQ384)</f>
        <v/>
      </c>
      <c r="N385" s="242"/>
    </row>
    <row r="386" spans="1:14" ht="15" customHeight="1" x14ac:dyDescent="0.3">
      <c r="A386" s="242"/>
      <c r="B386" s="424">
        <f>Data!E380</f>
        <v>16</v>
      </c>
      <c r="C386" s="249" t="str">
        <f>IF(Data!F380="","",Data!F380)</f>
        <v/>
      </c>
      <c r="D386" s="250" t="str">
        <f>IF(Data!H380="","",Data!H380)</f>
        <v/>
      </c>
      <c r="E386" s="249" t="str">
        <f>IF(Data!I380="","",Data!I380)</f>
        <v/>
      </c>
      <c r="F386" s="249" t="str">
        <f>Data!J380</f>
        <v>VIII-J</v>
      </c>
      <c r="G386" s="197"/>
      <c r="H386" s="178" t="str">
        <f>IF(PA!R385="","",PA!R385)</f>
        <v/>
      </c>
      <c r="I386" s="179" t="str">
        <f>IF(PA!S385="","",PA!S385)</f>
        <v/>
      </c>
      <c r="J386" s="182" t="str">
        <f>IF(PA!Z385="","",PA!Z385)</f>
        <v/>
      </c>
      <c r="K386" s="179" t="str">
        <f>IF(PA!AI385="","",PA!AI385)</f>
        <v/>
      </c>
      <c r="L386" s="179" t="str">
        <f>IF(PA!AJ385="","",PA!AJ385)</f>
        <v/>
      </c>
      <c r="M386" s="182" t="str">
        <f>IF(PA!AQ385="","",PA!AQ385)</f>
        <v/>
      </c>
      <c r="N386" s="242"/>
    </row>
    <row r="387" spans="1:14" ht="15" customHeight="1" x14ac:dyDescent="0.3">
      <c r="A387" s="242"/>
      <c r="B387" s="424">
        <f>Data!E381</f>
        <v>17</v>
      </c>
      <c r="C387" s="249" t="str">
        <f>IF(Data!F381="","",Data!F381)</f>
        <v/>
      </c>
      <c r="D387" s="250" t="str">
        <f>IF(Data!H381="","",Data!H381)</f>
        <v/>
      </c>
      <c r="E387" s="249" t="str">
        <f>IF(Data!I381="","",Data!I381)</f>
        <v/>
      </c>
      <c r="F387" s="249" t="str">
        <f>Data!J381</f>
        <v>VIII-J</v>
      </c>
      <c r="G387" s="197"/>
      <c r="H387" s="178" t="str">
        <f>IF(PA!R386="","",PA!R386)</f>
        <v/>
      </c>
      <c r="I387" s="179" t="str">
        <f>IF(PA!S386="","",PA!S386)</f>
        <v/>
      </c>
      <c r="J387" s="182" t="str">
        <f>IF(PA!Z386="","",PA!Z386)</f>
        <v/>
      </c>
      <c r="K387" s="179" t="str">
        <f>IF(PA!AI386="","",PA!AI386)</f>
        <v/>
      </c>
      <c r="L387" s="179" t="str">
        <f>IF(PA!AJ386="","",PA!AJ386)</f>
        <v/>
      </c>
      <c r="M387" s="182" t="str">
        <f>IF(PA!AQ386="","",PA!AQ386)</f>
        <v/>
      </c>
      <c r="N387" s="242"/>
    </row>
    <row r="388" spans="1:14" ht="15" customHeight="1" x14ac:dyDescent="0.3">
      <c r="A388" s="242"/>
      <c r="B388" s="424">
        <f>Data!E382</f>
        <v>18</v>
      </c>
      <c r="C388" s="249" t="str">
        <f>IF(Data!F382="","",Data!F382)</f>
        <v/>
      </c>
      <c r="D388" s="250" t="str">
        <f>IF(Data!H382="","",Data!H382)</f>
        <v/>
      </c>
      <c r="E388" s="249" t="str">
        <f>IF(Data!I382="","",Data!I382)</f>
        <v/>
      </c>
      <c r="F388" s="249" t="str">
        <f>Data!J382</f>
        <v>VIII-J</v>
      </c>
      <c r="G388" s="197"/>
      <c r="H388" s="178" t="str">
        <f>IF(PA!R387="","",PA!R387)</f>
        <v/>
      </c>
      <c r="I388" s="179" t="str">
        <f>IF(PA!S387="","",PA!S387)</f>
        <v/>
      </c>
      <c r="J388" s="182" t="str">
        <f>IF(PA!Z387="","",PA!Z387)</f>
        <v/>
      </c>
      <c r="K388" s="179" t="str">
        <f>IF(PA!AI387="","",PA!AI387)</f>
        <v/>
      </c>
      <c r="L388" s="179" t="str">
        <f>IF(PA!AJ387="","",PA!AJ387)</f>
        <v/>
      </c>
      <c r="M388" s="182" t="str">
        <f>IF(PA!AQ387="","",PA!AQ387)</f>
        <v/>
      </c>
      <c r="N388" s="242"/>
    </row>
    <row r="389" spans="1:14" ht="15" customHeight="1" x14ac:dyDescent="0.3">
      <c r="A389" s="242"/>
      <c r="B389" s="424">
        <f>Data!E383</f>
        <v>19</v>
      </c>
      <c r="C389" s="249" t="str">
        <f>IF(Data!F383="","",Data!F383)</f>
        <v/>
      </c>
      <c r="D389" s="250" t="str">
        <f>IF(Data!H383="","",Data!H383)</f>
        <v/>
      </c>
      <c r="E389" s="249" t="str">
        <f>IF(Data!I383="","",Data!I383)</f>
        <v/>
      </c>
      <c r="F389" s="249" t="str">
        <f>Data!J383</f>
        <v>VIII-J</v>
      </c>
      <c r="G389" s="197"/>
      <c r="H389" s="178" t="str">
        <f>IF(PA!R388="","",PA!R388)</f>
        <v/>
      </c>
      <c r="I389" s="179" t="str">
        <f>IF(PA!S388="","",PA!S388)</f>
        <v/>
      </c>
      <c r="J389" s="182" t="str">
        <f>IF(PA!Z388="","",PA!Z388)</f>
        <v/>
      </c>
      <c r="K389" s="179" t="str">
        <f>IF(PA!AI388="","",PA!AI388)</f>
        <v/>
      </c>
      <c r="L389" s="179" t="str">
        <f>IF(PA!AJ388="","",PA!AJ388)</f>
        <v/>
      </c>
      <c r="M389" s="182" t="str">
        <f>IF(PA!AQ388="","",PA!AQ388)</f>
        <v/>
      </c>
      <c r="N389" s="242"/>
    </row>
    <row r="390" spans="1:14" ht="15" customHeight="1" x14ac:dyDescent="0.3">
      <c r="A390" s="242"/>
      <c r="B390" s="424">
        <f>Data!E384</f>
        <v>20</v>
      </c>
      <c r="C390" s="249" t="str">
        <f>IF(Data!F384="","",Data!F384)</f>
        <v/>
      </c>
      <c r="D390" s="250" t="str">
        <f>IF(Data!H384="","",Data!H384)</f>
        <v/>
      </c>
      <c r="E390" s="249" t="str">
        <f>IF(Data!I384="","",Data!I384)</f>
        <v/>
      </c>
      <c r="F390" s="249" t="str">
        <f>Data!J384</f>
        <v>VIII-J</v>
      </c>
      <c r="G390" s="197"/>
      <c r="H390" s="178" t="str">
        <f>IF(PA!R389="","",PA!R389)</f>
        <v/>
      </c>
      <c r="I390" s="179" t="str">
        <f>IF(PA!S389="","",PA!S389)</f>
        <v/>
      </c>
      <c r="J390" s="182" t="str">
        <f>IF(PA!Z389="","",PA!Z389)</f>
        <v/>
      </c>
      <c r="K390" s="179" t="str">
        <f>IF(PA!AI389="","",PA!AI389)</f>
        <v/>
      </c>
      <c r="L390" s="179" t="str">
        <f>IF(PA!AJ389="","",PA!AJ389)</f>
        <v/>
      </c>
      <c r="M390" s="182" t="str">
        <f>IF(PA!AQ389="","",PA!AQ389)</f>
        <v/>
      </c>
      <c r="N390" s="242"/>
    </row>
    <row r="391" spans="1:14" ht="15" customHeight="1" x14ac:dyDescent="0.3">
      <c r="A391" s="242"/>
      <c r="B391" s="424">
        <f>Data!E385</f>
        <v>21</v>
      </c>
      <c r="C391" s="249" t="str">
        <f>IF(Data!F385="","",Data!F385)</f>
        <v/>
      </c>
      <c r="D391" s="250" t="str">
        <f>IF(Data!H385="","",Data!H385)</f>
        <v/>
      </c>
      <c r="E391" s="249" t="str">
        <f>IF(Data!I385="","",Data!I385)</f>
        <v/>
      </c>
      <c r="F391" s="249" t="str">
        <f>Data!J385</f>
        <v>VIII-J</v>
      </c>
      <c r="G391" s="197"/>
      <c r="H391" s="178" t="str">
        <f>IF(PA!R390="","",PA!R390)</f>
        <v/>
      </c>
      <c r="I391" s="179" t="str">
        <f>IF(PA!S390="","",PA!S390)</f>
        <v/>
      </c>
      <c r="J391" s="182" t="str">
        <f>IF(PA!Z390="","",PA!Z390)</f>
        <v/>
      </c>
      <c r="K391" s="179" t="str">
        <f>IF(PA!AI390="","",PA!AI390)</f>
        <v/>
      </c>
      <c r="L391" s="179" t="str">
        <f>IF(PA!AJ390="","",PA!AJ390)</f>
        <v/>
      </c>
      <c r="M391" s="182" t="str">
        <f>IF(PA!AQ390="","",PA!AQ390)</f>
        <v/>
      </c>
      <c r="N391" s="242"/>
    </row>
    <row r="392" spans="1:14" ht="15" customHeight="1" x14ac:dyDescent="0.3">
      <c r="A392" s="242"/>
      <c r="B392" s="424">
        <f>Data!E386</f>
        <v>22</v>
      </c>
      <c r="C392" s="249" t="str">
        <f>IF(Data!F386="","",Data!F386)</f>
        <v/>
      </c>
      <c r="D392" s="250" t="str">
        <f>IF(Data!H386="","",Data!H386)</f>
        <v/>
      </c>
      <c r="E392" s="249" t="str">
        <f>IF(Data!I386="","",Data!I386)</f>
        <v/>
      </c>
      <c r="F392" s="249" t="str">
        <f>Data!J386</f>
        <v>VIII-J</v>
      </c>
      <c r="G392" s="197"/>
      <c r="H392" s="178" t="str">
        <f>IF(PA!R391="","",PA!R391)</f>
        <v/>
      </c>
      <c r="I392" s="179" t="str">
        <f>IF(PA!S391="","",PA!S391)</f>
        <v/>
      </c>
      <c r="J392" s="182" t="str">
        <f>IF(PA!Z391="","",PA!Z391)</f>
        <v/>
      </c>
      <c r="K392" s="179" t="str">
        <f>IF(PA!AI391="","",PA!AI391)</f>
        <v/>
      </c>
      <c r="L392" s="179" t="str">
        <f>IF(PA!AJ391="","",PA!AJ391)</f>
        <v/>
      </c>
      <c r="M392" s="182" t="str">
        <f>IF(PA!AQ391="","",PA!AQ391)</f>
        <v/>
      </c>
      <c r="N392" s="242"/>
    </row>
    <row r="393" spans="1:14" ht="15" customHeight="1" x14ac:dyDescent="0.3">
      <c r="A393" s="242"/>
      <c r="B393" s="424">
        <f>Data!E387</f>
        <v>23</v>
      </c>
      <c r="C393" s="249" t="str">
        <f>IF(Data!F387="","",Data!F387)</f>
        <v/>
      </c>
      <c r="D393" s="250" t="str">
        <f>IF(Data!H387="","",Data!H387)</f>
        <v/>
      </c>
      <c r="E393" s="249" t="str">
        <f>IF(Data!I387="","",Data!I387)</f>
        <v/>
      </c>
      <c r="F393" s="249" t="str">
        <f>Data!J387</f>
        <v>VIII-J</v>
      </c>
      <c r="G393" s="197"/>
      <c r="H393" s="178" t="str">
        <f>IF(PA!R392="","",PA!R392)</f>
        <v/>
      </c>
      <c r="I393" s="179" t="str">
        <f>IF(PA!S392="","",PA!S392)</f>
        <v/>
      </c>
      <c r="J393" s="182" t="str">
        <f>IF(PA!Z392="","",PA!Z392)</f>
        <v/>
      </c>
      <c r="K393" s="179" t="str">
        <f>IF(PA!AI392="","",PA!AI392)</f>
        <v/>
      </c>
      <c r="L393" s="179" t="str">
        <f>IF(PA!AJ392="","",PA!AJ392)</f>
        <v/>
      </c>
      <c r="M393" s="182" t="str">
        <f>IF(PA!AQ392="","",PA!AQ392)</f>
        <v/>
      </c>
      <c r="N393" s="242"/>
    </row>
    <row r="394" spans="1:14" ht="15" customHeight="1" x14ac:dyDescent="0.3">
      <c r="A394" s="242"/>
      <c r="B394" s="424">
        <f>Data!E388</f>
        <v>24</v>
      </c>
      <c r="C394" s="249" t="str">
        <f>IF(Data!F388="","",Data!F388)</f>
        <v/>
      </c>
      <c r="D394" s="250" t="str">
        <f>IF(Data!H388="","",Data!H388)</f>
        <v/>
      </c>
      <c r="E394" s="249" t="str">
        <f>IF(Data!I388="","",Data!I388)</f>
        <v/>
      </c>
      <c r="F394" s="249" t="str">
        <f>Data!J388</f>
        <v>VIII-J</v>
      </c>
      <c r="G394" s="197"/>
      <c r="H394" s="178" t="str">
        <f>IF(PA!R393="","",PA!R393)</f>
        <v/>
      </c>
      <c r="I394" s="179" t="str">
        <f>IF(PA!S393="","",PA!S393)</f>
        <v/>
      </c>
      <c r="J394" s="182" t="str">
        <f>IF(PA!Z393="","",PA!Z393)</f>
        <v/>
      </c>
      <c r="K394" s="179" t="str">
        <f>IF(PA!AI393="","",PA!AI393)</f>
        <v/>
      </c>
      <c r="L394" s="179" t="str">
        <f>IF(PA!AJ393="","",PA!AJ393)</f>
        <v/>
      </c>
      <c r="M394" s="182" t="str">
        <f>IF(PA!AQ393="","",PA!AQ393)</f>
        <v/>
      </c>
      <c r="N394" s="242"/>
    </row>
    <row r="395" spans="1:14" ht="15" customHeight="1" x14ac:dyDescent="0.3">
      <c r="A395" s="242"/>
      <c r="B395" s="424">
        <f>Data!E389</f>
        <v>25</v>
      </c>
      <c r="C395" s="249" t="str">
        <f>IF(Data!F389="","",Data!F389)</f>
        <v/>
      </c>
      <c r="D395" s="250" t="str">
        <f>IF(Data!H389="","",Data!H389)</f>
        <v/>
      </c>
      <c r="E395" s="249" t="str">
        <f>IF(Data!I389="","",Data!I389)</f>
        <v/>
      </c>
      <c r="F395" s="249" t="str">
        <f>Data!J389</f>
        <v>VIII-J</v>
      </c>
      <c r="G395" s="197"/>
      <c r="H395" s="178" t="str">
        <f>IF(PA!R394="","",PA!R394)</f>
        <v/>
      </c>
      <c r="I395" s="179" t="str">
        <f>IF(PA!S394="","",PA!S394)</f>
        <v/>
      </c>
      <c r="J395" s="182" t="str">
        <f>IF(PA!Z394="","",PA!Z394)</f>
        <v/>
      </c>
      <c r="K395" s="179" t="str">
        <f>IF(PA!AI394="","",PA!AI394)</f>
        <v/>
      </c>
      <c r="L395" s="179" t="str">
        <f>IF(PA!AJ394="","",PA!AJ394)</f>
        <v/>
      </c>
      <c r="M395" s="182" t="str">
        <f>IF(PA!AQ394="","",PA!AQ394)</f>
        <v/>
      </c>
      <c r="N395" s="242"/>
    </row>
    <row r="396" spans="1:14" ht="15" customHeight="1" x14ac:dyDescent="0.3">
      <c r="A396" s="242"/>
      <c r="B396" s="424">
        <f>Data!E390</f>
        <v>26</v>
      </c>
      <c r="C396" s="249" t="str">
        <f>IF(Data!F390="","",Data!F390)</f>
        <v/>
      </c>
      <c r="D396" s="250" t="str">
        <f>IF(Data!H390="","",Data!H390)</f>
        <v/>
      </c>
      <c r="E396" s="249" t="str">
        <f>IF(Data!I390="","",Data!I390)</f>
        <v/>
      </c>
      <c r="F396" s="249" t="str">
        <f>Data!J390</f>
        <v>VIII-J</v>
      </c>
      <c r="G396" s="197"/>
      <c r="H396" s="178" t="str">
        <f>IF(PA!R395="","",PA!R395)</f>
        <v/>
      </c>
      <c r="I396" s="179" t="str">
        <f>IF(PA!S395="","",PA!S395)</f>
        <v/>
      </c>
      <c r="J396" s="182" t="str">
        <f>IF(PA!Z395="","",PA!Z395)</f>
        <v/>
      </c>
      <c r="K396" s="179" t="str">
        <f>IF(PA!AI395="","",PA!AI395)</f>
        <v/>
      </c>
      <c r="L396" s="179" t="str">
        <f>IF(PA!AJ395="","",PA!AJ395)</f>
        <v/>
      </c>
      <c r="M396" s="182" t="str">
        <f>IF(PA!AQ395="","",PA!AQ395)</f>
        <v/>
      </c>
      <c r="N396" s="242"/>
    </row>
    <row r="397" spans="1:14" ht="15" customHeight="1" x14ac:dyDescent="0.3">
      <c r="A397" s="242"/>
      <c r="B397" s="424">
        <f>Data!E391</f>
        <v>27</v>
      </c>
      <c r="C397" s="249" t="str">
        <f>IF(Data!F391="","",Data!F391)</f>
        <v/>
      </c>
      <c r="D397" s="250" t="str">
        <f>IF(Data!H391="","",Data!H391)</f>
        <v/>
      </c>
      <c r="E397" s="249" t="str">
        <f>IF(Data!I391="","",Data!I391)</f>
        <v/>
      </c>
      <c r="F397" s="249" t="str">
        <f>Data!J391</f>
        <v>VIII-J</v>
      </c>
      <c r="G397" s="197"/>
      <c r="H397" s="178" t="str">
        <f>IF(PA!R396="","",PA!R396)</f>
        <v/>
      </c>
      <c r="I397" s="179" t="str">
        <f>IF(PA!S396="","",PA!S396)</f>
        <v/>
      </c>
      <c r="J397" s="182" t="str">
        <f>IF(PA!Z396="","",PA!Z396)</f>
        <v/>
      </c>
      <c r="K397" s="179" t="str">
        <f>IF(PA!AI396="","",PA!AI396)</f>
        <v/>
      </c>
      <c r="L397" s="179" t="str">
        <f>IF(PA!AJ396="","",PA!AJ396)</f>
        <v/>
      </c>
      <c r="M397" s="182" t="str">
        <f>IF(PA!AQ396="","",PA!AQ396)</f>
        <v/>
      </c>
      <c r="N397" s="242"/>
    </row>
    <row r="398" spans="1:14" ht="15" customHeight="1" x14ac:dyDescent="0.3">
      <c r="A398" s="242"/>
      <c r="B398" s="424">
        <f>Data!E392</f>
        <v>28</v>
      </c>
      <c r="C398" s="249" t="str">
        <f>IF(Data!F392="","",Data!F392)</f>
        <v/>
      </c>
      <c r="D398" s="250" t="str">
        <f>IF(Data!H392="","",Data!H392)</f>
        <v/>
      </c>
      <c r="E398" s="249" t="str">
        <f>IF(Data!I392="","",Data!I392)</f>
        <v/>
      </c>
      <c r="F398" s="249" t="str">
        <f>Data!J392</f>
        <v>VIII-J</v>
      </c>
      <c r="G398" s="197"/>
      <c r="H398" s="178" t="str">
        <f>IF(PA!R397="","",PA!R397)</f>
        <v/>
      </c>
      <c r="I398" s="179" t="str">
        <f>IF(PA!S397="","",PA!S397)</f>
        <v/>
      </c>
      <c r="J398" s="182" t="str">
        <f>IF(PA!Z397="","",PA!Z397)</f>
        <v/>
      </c>
      <c r="K398" s="179" t="str">
        <f>IF(PA!AI397="","",PA!AI397)</f>
        <v/>
      </c>
      <c r="L398" s="179" t="str">
        <f>IF(PA!AJ397="","",PA!AJ397)</f>
        <v/>
      </c>
      <c r="M398" s="182" t="str">
        <f>IF(PA!AQ397="","",PA!AQ397)</f>
        <v/>
      </c>
      <c r="N398" s="242"/>
    </row>
    <row r="399" spans="1:14" ht="15" customHeight="1" x14ac:dyDescent="0.3">
      <c r="A399" s="242"/>
      <c r="B399" s="424">
        <f>Data!E393</f>
        <v>29</v>
      </c>
      <c r="C399" s="249" t="str">
        <f>IF(Data!F393="","",Data!F393)</f>
        <v/>
      </c>
      <c r="D399" s="250" t="str">
        <f>IF(Data!H393="","",Data!H393)</f>
        <v/>
      </c>
      <c r="E399" s="249" t="str">
        <f>IF(Data!I393="","",Data!I393)</f>
        <v/>
      </c>
      <c r="F399" s="249" t="str">
        <f>Data!J393</f>
        <v>VIII-J</v>
      </c>
      <c r="G399" s="197"/>
      <c r="H399" s="178" t="str">
        <f>IF(PA!R398="","",PA!R398)</f>
        <v/>
      </c>
      <c r="I399" s="179" t="str">
        <f>IF(PA!S398="","",PA!S398)</f>
        <v/>
      </c>
      <c r="J399" s="182" t="str">
        <f>IF(PA!Z398="","",PA!Z398)</f>
        <v/>
      </c>
      <c r="K399" s="179" t="str">
        <f>IF(PA!AI398="","",PA!AI398)</f>
        <v/>
      </c>
      <c r="L399" s="179" t="str">
        <f>IF(PA!AJ398="","",PA!AJ398)</f>
        <v/>
      </c>
      <c r="M399" s="182" t="str">
        <f>IF(PA!AQ398="","",PA!AQ398)</f>
        <v/>
      </c>
      <c r="N399" s="242"/>
    </row>
    <row r="400" spans="1:14" ht="15" customHeight="1" x14ac:dyDescent="0.3">
      <c r="A400" s="242"/>
      <c r="B400" s="424">
        <f>Data!E394</f>
        <v>30</v>
      </c>
      <c r="C400" s="249" t="str">
        <f>IF(Data!F394="","",Data!F394)</f>
        <v/>
      </c>
      <c r="D400" s="250" t="str">
        <f>IF(Data!H394="","",Data!H394)</f>
        <v/>
      </c>
      <c r="E400" s="249" t="str">
        <f>IF(Data!I394="","",Data!I394)</f>
        <v/>
      </c>
      <c r="F400" s="249" t="str">
        <f>Data!J394</f>
        <v>VIII-J</v>
      </c>
      <c r="G400" s="197"/>
      <c r="H400" s="178" t="str">
        <f>IF(PA!R399="","",PA!R399)</f>
        <v/>
      </c>
      <c r="I400" s="179" t="str">
        <f>IF(PA!S399="","",PA!S399)</f>
        <v/>
      </c>
      <c r="J400" s="182" t="str">
        <f>IF(PA!Z399="","",PA!Z399)</f>
        <v/>
      </c>
      <c r="K400" s="179" t="str">
        <f>IF(PA!AI399="","",PA!AI399)</f>
        <v/>
      </c>
      <c r="L400" s="179" t="str">
        <f>IF(PA!AJ399="","",PA!AJ399)</f>
        <v/>
      </c>
      <c r="M400" s="182" t="str">
        <f>IF(PA!AQ399="","",PA!AQ399)</f>
        <v/>
      </c>
      <c r="N400" s="242"/>
    </row>
    <row r="401" spans="1:14" ht="15" customHeight="1" x14ac:dyDescent="0.3">
      <c r="A401" s="242"/>
      <c r="B401" s="424">
        <f>Data!E395</f>
        <v>31</v>
      </c>
      <c r="C401" s="249" t="str">
        <f>IF(Data!F395="","",Data!F395)</f>
        <v/>
      </c>
      <c r="D401" s="250" t="str">
        <f>IF(Data!H395="","",Data!H395)</f>
        <v/>
      </c>
      <c r="E401" s="249" t="str">
        <f>IF(Data!I395="","",Data!I395)</f>
        <v/>
      </c>
      <c r="F401" s="249" t="str">
        <f>Data!J395</f>
        <v>VIII-J</v>
      </c>
      <c r="G401" s="197"/>
      <c r="H401" s="178" t="str">
        <f>IF(PA!R400="","",PA!R400)</f>
        <v/>
      </c>
      <c r="I401" s="179" t="str">
        <f>IF(PA!S400="","",PA!S400)</f>
        <v/>
      </c>
      <c r="J401" s="182" t="str">
        <f>IF(PA!Z400="","",PA!Z400)</f>
        <v/>
      </c>
      <c r="K401" s="179" t="str">
        <f>IF(PA!AI400="","",PA!AI400)</f>
        <v/>
      </c>
      <c r="L401" s="179" t="str">
        <f>IF(PA!AJ400="","",PA!AJ400)</f>
        <v/>
      </c>
      <c r="M401" s="182" t="str">
        <f>IF(PA!AQ400="","",PA!AQ400)</f>
        <v/>
      </c>
      <c r="N401" s="242"/>
    </row>
    <row r="402" spans="1:14" ht="15" customHeight="1" x14ac:dyDescent="0.3">
      <c r="A402" s="242"/>
      <c r="B402" s="424">
        <f>Data!E396</f>
        <v>32</v>
      </c>
      <c r="C402" s="249" t="str">
        <f>IF(Data!F396="","",Data!F396)</f>
        <v/>
      </c>
      <c r="D402" s="250" t="str">
        <f>IF(Data!H396="","",Data!H396)</f>
        <v/>
      </c>
      <c r="E402" s="249" t="str">
        <f>IF(Data!I396="","",Data!I396)</f>
        <v/>
      </c>
      <c r="F402" s="249" t="str">
        <f>Data!J396</f>
        <v>VIII-J</v>
      </c>
      <c r="G402" s="197"/>
      <c r="H402" s="178" t="str">
        <f>IF(PA!R401="","",PA!R401)</f>
        <v/>
      </c>
      <c r="I402" s="179" t="str">
        <f>IF(PA!S401="","",PA!S401)</f>
        <v/>
      </c>
      <c r="J402" s="182" t="str">
        <f>IF(PA!Z401="","",PA!Z401)</f>
        <v/>
      </c>
      <c r="K402" s="179" t="str">
        <f>IF(PA!AI401="","",PA!AI401)</f>
        <v/>
      </c>
      <c r="L402" s="179" t="str">
        <f>IF(PA!AJ401="","",PA!AJ401)</f>
        <v/>
      </c>
      <c r="M402" s="182" t="str">
        <f>IF(PA!AQ401="","",PA!AQ401)</f>
        <v/>
      </c>
      <c r="N402" s="242"/>
    </row>
    <row r="403" spans="1:14" ht="15" customHeight="1" x14ac:dyDescent="0.3">
      <c r="A403" s="242"/>
      <c r="B403" s="424">
        <f>Data!E397</f>
        <v>33</v>
      </c>
      <c r="C403" s="249" t="str">
        <f>IF(Data!F397="","",Data!F397)</f>
        <v/>
      </c>
      <c r="D403" s="250" t="str">
        <f>IF(Data!H397="","",Data!H397)</f>
        <v/>
      </c>
      <c r="E403" s="249" t="str">
        <f>IF(Data!I397="","",Data!I397)</f>
        <v/>
      </c>
      <c r="F403" s="249" t="str">
        <f>Data!J397</f>
        <v>VIII-J</v>
      </c>
      <c r="G403" s="197"/>
      <c r="H403" s="178" t="str">
        <f>IF(PA!R402="","",PA!R402)</f>
        <v/>
      </c>
      <c r="I403" s="179" t="str">
        <f>IF(PA!S402="","",PA!S402)</f>
        <v/>
      </c>
      <c r="J403" s="182" t="str">
        <f>IF(PA!Z402="","",PA!Z402)</f>
        <v/>
      </c>
      <c r="K403" s="179" t="str">
        <f>IF(PA!AI402="","",PA!AI402)</f>
        <v/>
      </c>
      <c r="L403" s="179" t="str">
        <f>IF(PA!AJ402="","",PA!AJ402)</f>
        <v/>
      </c>
      <c r="M403" s="182" t="str">
        <f>IF(PA!AQ402="","",PA!AQ402)</f>
        <v/>
      </c>
      <c r="N403" s="242"/>
    </row>
    <row r="404" spans="1:14" ht="15" customHeight="1" x14ac:dyDescent="0.3">
      <c r="A404" s="242"/>
      <c r="B404" s="424">
        <f>Data!E398</f>
        <v>34</v>
      </c>
      <c r="C404" s="249" t="str">
        <f>IF(Data!F398="","",Data!F398)</f>
        <v/>
      </c>
      <c r="D404" s="250" t="str">
        <f>IF(Data!H398="","",Data!H398)</f>
        <v/>
      </c>
      <c r="E404" s="249" t="str">
        <f>IF(Data!I398="","",Data!I398)</f>
        <v/>
      </c>
      <c r="F404" s="249" t="str">
        <f>Data!J398</f>
        <v>VIII-J</v>
      </c>
      <c r="G404" s="197"/>
      <c r="H404" s="178" t="str">
        <f>IF(PA!R403="","",PA!R403)</f>
        <v/>
      </c>
      <c r="I404" s="179" t="str">
        <f>IF(PA!S403="","",PA!S403)</f>
        <v/>
      </c>
      <c r="J404" s="182" t="str">
        <f>IF(PA!Z403="","",PA!Z403)</f>
        <v/>
      </c>
      <c r="K404" s="179" t="str">
        <f>IF(PA!AI403="","",PA!AI403)</f>
        <v/>
      </c>
      <c r="L404" s="179" t="str">
        <f>IF(PA!AJ403="","",PA!AJ403)</f>
        <v/>
      </c>
      <c r="M404" s="182" t="str">
        <f>IF(PA!AQ403="","",PA!AQ403)</f>
        <v/>
      </c>
      <c r="N404" s="242"/>
    </row>
    <row r="405" spans="1:14" ht="15" customHeight="1" x14ac:dyDescent="0.3">
      <c r="A405" s="242"/>
      <c r="B405" s="424">
        <f>Data!E399</f>
        <v>35</v>
      </c>
      <c r="C405" s="249" t="str">
        <f>IF(Data!F399="","",Data!F399)</f>
        <v/>
      </c>
      <c r="D405" s="250" t="str">
        <f>IF(Data!H399="","",Data!H399)</f>
        <v/>
      </c>
      <c r="E405" s="249" t="str">
        <f>IF(Data!I399="","",Data!I399)</f>
        <v/>
      </c>
      <c r="F405" s="249" t="str">
        <f>Data!J399</f>
        <v>VIII-J</v>
      </c>
      <c r="G405" s="197"/>
      <c r="H405" s="178" t="str">
        <f>IF(PA!R404="","",PA!R404)</f>
        <v/>
      </c>
      <c r="I405" s="179" t="str">
        <f>IF(PA!S404="","",PA!S404)</f>
        <v/>
      </c>
      <c r="J405" s="182" t="str">
        <f>IF(PA!Z404="","",PA!Z404)</f>
        <v/>
      </c>
      <c r="K405" s="179" t="str">
        <f>IF(PA!AI404="","",PA!AI404)</f>
        <v/>
      </c>
      <c r="L405" s="179" t="str">
        <f>IF(PA!AJ404="","",PA!AJ404)</f>
        <v/>
      </c>
      <c r="M405" s="182" t="str">
        <f>IF(PA!AQ404="","",PA!AQ404)</f>
        <v/>
      </c>
      <c r="N405" s="242"/>
    </row>
    <row r="406" spans="1:14" ht="15" customHeight="1" x14ac:dyDescent="0.3">
      <c r="A406" s="242"/>
      <c r="B406" s="424">
        <f>Data!E400</f>
        <v>36</v>
      </c>
      <c r="C406" s="249" t="str">
        <f>IF(Data!F400="","",Data!F400)</f>
        <v/>
      </c>
      <c r="D406" s="250" t="str">
        <f>IF(Data!H400="","",Data!H400)</f>
        <v/>
      </c>
      <c r="E406" s="249" t="str">
        <f>IF(Data!I400="","",Data!I400)</f>
        <v/>
      </c>
      <c r="F406" s="249" t="str">
        <f>Data!J400</f>
        <v>VIII-J</v>
      </c>
      <c r="G406" s="197"/>
      <c r="H406" s="178" t="str">
        <f>IF(PA!R405="","",PA!R405)</f>
        <v/>
      </c>
      <c r="I406" s="179" t="str">
        <f>IF(PA!S405="","",PA!S405)</f>
        <v/>
      </c>
      <c r="J406" s="182" t="str">
        <f>IF(PA!Z405="","",PA!Z405)</f>
        <v/>
      </c>
      <c r="K406" s="179" t="str">
        <f>IF(PA!AI405="","",PA!AI405)</f>
        <v/>
      </c>
      <c r="L406" s="179" t="str">
        <f>IF(PA!AJ405="","",PA!AJ405)</f>
        <v/>
      </c>
      <c r="M406" s="182" t="str">
        <f>IF(PA!AQ405="","",PA!AQ405)</f>
        <v/>
      </c>
      <c r="N406" s="242"/>
    </row>
    <row r="407" spans="1:14" ht="15" customHeight="1" x14ac:dyDescent="0.3">
      <c r="A407" s="242"/>
      <c r="B407" s="424">
        <f>Data!E401</f>
        <v>37</v>
      </c>
      <c r="C407" s="249" t="str">
        <f>IF(Data!F401="","",Data!F401)</f>
        <v/>
      </c>
      <c r="D407" s="250" t="str">
        <f>IF(Data!H401="","",Data!H401)</f>
        <v/>
      </c>
      <c r="E407" s="249" t="str">
        <f>IF(Data!I401="","",Data!I401)</f>
        <v/>
      </c>
      <c r="F407" s="249" t="str">
        <f>Data!J401</f>
        <v>VIII-J</v>
      </c>
      <c r="G407" s="197"/>
      <c r="H407" s="178" t="str">
        <f>IF(PA!R406="","",PA!R406)</f>
        <v/>
      </c>
      <c r="I407" s="179" t="str">
        <f>IF(PA!S406="","",PA!S406)</f>
        <v/>
      </c>
      <c r="J407" s="182" t="str">
        <f>IF(PA!Z406="","",PA!Z406)</f>
        <v/>
      </c>
      <c r="K407" s="179" t="str">
        <f>IF(PA!AI406="","",PA!AI406)</f>
        <v/>
      </c>
      <c r="L407" s="179" t="str">
        <f>IF(PA!AJ406="","",PA!AJ406)</f>
        <v/>
      </c>
      <c r="M407" s="182" t="str">
        <f>IF(PA!AQ406="","",PA!AQ406)</f>
        <v/>
      </c>
      <c r="N407" s="242"/>
    </row>
    <row r="408" spans="1:14" ht="15" customHeight="1" x14ac:dyDescent="0.3">
      <c r="A408" s="242"/>
      <c r="B408" s="424">
        <f>Data!E402</f>
        <v>38</v>
      </c>
      <c r="C408" s="249" t="str">
        <f>IF(Data!F402="","",Data!F402)</f>
        <v/>
      </c>
      <c r="D408" s="250" t="str">
        <f>IF(Data!H402="","",Data!H402)</f>
        <v/>
      </c>
      <c r="E408" s="249" t="str">
        <f>IF(Data!I402="","",Data!I402)</f>
        <v/>
      </c>
      <c r="F408" s="249" t="str">
        <f>Data!J402</f>
        <v>VIII-J</v>
      </c>
      <c r="G408" s="197"/>
      <c r="H408" s="178" t="str">
        <f>IF(PA!R407="","",PA!R407)</f>
        <v/>
      </c>
      <c r="I408" s="179" t="str">
        <f>IF(PA!S407="","",PA!S407)</f>
        <v/>
      </c>
      <c r="J408" s="182" t="str">
        <f>IF(PA!Z407="","",PA!Z407)</f>
        <v/>
      </c>
      <c r="K408" s="179" t="str">
        <f>IF(PA!AI407="","",PA!AI407)</f>
        <v/>
      </c>
      <c r="L408" s="179" t="str">
        <f>IF(PA!AJ407="","",PA!AJ407)</f>
        <v/>
      </c>
      <c r="M408" s="182" t="str">
        <f>IF(PA!AQ407="","",PA!AQ407)</f>
        <v/>
      </c>
      <c r="N408" s="242"/>
    </row>
    <row r="409" spans="1:14" ht="15" customHeight="1" x14ac:dyDescent="0.3">
      <c r="A409" s="242"/>
      <c r="B409" s="424">
        <f>Data!E403</f>
        <v>39</v>
      </c>
      <c r="C409" s="249" t="str">
        <f>IF(Data!F403="","",Data!F403)</f>
        <v/>
      </c>
      <c r="D409" s="250" t="str">
        <f>IF(Data!H403="","",Data!H403)</f>
        <v/>
      </c>
      <c r="E409" s="249" t="str">
        <f>IF(Data!I403="","",Data!I403)</f>
        <v/>
      </c>
      <c r="F409" s="249" t="str">
        <f>Data!J403</f>
        <v>VIII-J</v>
      </c>
      <c r="G409" s="197"/>
      <c r="H409" s="178" t="str">
        <f>IF(PA!R408="","",PA!R408)</f>
        <v/>
      </c>
      <c r="I409" s="179" t="str">
        <f>IF(PA!S408="","",PA!S408)</f>
        <v/>
      </c>
      <c r="J409" s="182" t="str">
        <f>IF(PA!Z408="","",PA!Z408)</f>
        <v/>
      </c>
      <c r="K409" s="179" t="str">
        <f>IF(PA!AI408="","",PA!AI408)</f>
        <v/>
      </c>
      <c r="L409" s="179" t="str">
        <f>IF(PA!AJ408="","",PA!AJ408)</f>
        <v/>
      </c>
      <c r="M409" s="182" t="str">
        <f>IF(PA!AQ408="","",PA!AQ408)</f>
        <v/>
      </c>
      <c r="N409" s="242"/>
    </row>
    <row r="410" spans="1:14" ht="15" customHeight="1" thickBot="1" x14ac:dyDescent="0.35">
      <c r="A410" s="242"/>
      <c r="B410" s="429">
        <f>Data!E404</f>
        <v>40</v>
      </c>
      <c r="C410" s="430" t="str">
        <f>IF(Data!F404="","",Data!F404)</f>
        <v/>
      </c>
      <c r="D410" s="431" t="str">
        <f>IF(Data!H404="","",Data!H404)</f>
        <v/>
      </c>
      <c r="E410" s="430" t="str">
        <f>IF(Data!I404="","",Data!I404)</f>
        <v/>
      </c>
      <c r="F410" s="430" t="str">
        <f>Data!J404</f>
        <v>VIII-J</v>
      </c>
      <c r="G410" s="432"/>
      <c r="H410" s="433" t="str">
        <f>IF(PA!R409="","",PA!R409)</f>
        <v/>
      </c>
      <c r="I410" s="434" t="str">
        <f>IF(PA!S409="","",PA!S409)</f>
        <v/>
      </c>
      <c r="J410" s="435" t="str">
        <f>IF(PA!Z409="","",PA!Z409)</f>
        <v/>
      </c>
      <c r="K410" s="434" t="str">
        <f>IF(PA!AI409="","",PA!AI409)</f>
        <v/>
      </c>
      <c r="L410" s="434" t="str">
        <f>IF(PA!AJ409="","",PA!AJ409)</f>
        <v/>
      </c>
      <c r="M410" s="435" t="str">
        <f>IF(PA!AQ409="","",PA!AQ409)</f>
        <v/>
      </c>
      <c r="N410" s="242"/>
    </row>
    <row r="411" spans="1:14" ht="15" customHeight="1" thickTop="1" x14ac:dyDescent="0.3">
      <c r="A411" s="242"/>
      <c r="B411" s="426">
        <f>Data!E405</f>
        <v>1</v>
      </c>
      <c r="C411" s="427" t="str">
        <f>IF(Data!F405="","",Data!F405)</f>
        <v/>
      </c>
      <c r="D411" s="428" t="str">
        <f>IF(Data!H405="","",Data!H405)</f>
        <v/>
      </c>
      <c r="E411" s="427" t="str">
        <f>IF(Data!I405="","",Data!I405)</f>
        <v/>
      </c>
      <c r="F411" s="427" t="str">
        <f>Data!J405</f>
        <v>VIII-K</v>
      </c>
      <c r="G411" s="197"/>
      <c r="H411" s="180" t="str">
        <f>IF(PA!R410="","",PA!R410)</f>
        <v/>
      </c>
      <c r="I411" s="181" t="str">
        <f>IF(PA!S410="","",PA!S410)</f>
        <v/>
      </c>
      <c r="J411" s="187" t="str">
        <f>IF(PA!Z410="","",PA!Z410)</f>
        <v/>
      </c>
      <c r="K411" s="181" t="str">
        <f>IF(PA!AI410="","",PA!AI410)</f>
        <v/>
      </c>
      <c r="L411" s="181" t="str">
        <f>IF(PA!AJ410="","",PA!AJ410)</f>
        <v/>
      </c>
      <c r="M411" s="187" t="str">
        <f>IF(PA!AQ410="","",PA!AQ410)</f>
        <v/>
      </c>
      <c r="N411" s="242"/>
    </row>
    <row r="412" spans="1:14" ht="15" customHeight="1" x14ac:dyDescent="0.3">
      <c r="A412" s="242"/>
      <c r="B412" s="424">
        <f>Data!E406</f>
        <v>2</v>
      </c>
      <c r="C412" s="249" t="str">
        <f>IF(Data!F406="","",Data!F406)</f>
        <v/>
      </c>
      <c r="D412" s="250" t="str">
        <f>IF(Data!H406="","",Data!H406)</f>
        <v/>
      </c>
      <c r="E412" s="249" t="str">
        <f>IF(Data!I406="","",Data!I406)</f>
        <v/>
      </c>
      <c r="F412" s="249" t="str">
        <f>Data!J406</f>
        <v>VIII-K</v>
      </c>
      <c r="G412" s="197"/>
      <c r="H412" s="178" t="str">
        <f>IF(PA!R411="","",PA!R411)</f>
        <v/>
      </c>
      <c r="I412" s="179" t="str">
        <f>IF(PA!S411="","",PA!S411)</f>
        <v/>
      </c>
      <c r="J412" s="182" t="str">
        <f>IF(PA!Z411="","",PA!Z411)</f>
        <v/>
      </c>
      <c r="K412" s="179" t="str">
        <f>IF(PA!AI411="","",PA!AI411)</f>
        <v/>
      </c>
      <c r="L412" s="179" t="str">
        <f>IF(PA!AJ411="","",PA!AJ411)</f>
        <v/>
      </c>
      <c r="M412" s="182" t="str">
        <f>IF(PA!AQ411="","",PA!AQ411)</f>
        <v/>
      </c>
      <c r="N412" s="242"/>
    </row>
    <row r="413" spans="1:14" ht="15" customHeight="1" x14ac:dyDescent="0.3">
      <c r="A413" s="242"/>
      <c r="B413" s="424">
        <f>Data!E407</f>
        <v>3</v>
      </c>
      <c r="C413" s="249" t="str">
        <f>IF(Data!F407="","",Data!F407)</f>
        <v/>
      </c>
      <c r="D413" s="250" t="str">
        <f>IF(Data!H407="","",Data!H407)</f>
        <v/>
      </c>
      <c r="E413" s="249" t="str">
        <f>IF(Data!I407="","",Data!I407)</f>
        <v/>
      </c>
      <c r="F413" s="249" t="str">
        <f>Data!J407</f>
        <v>VIII-K</v>
      </c>
      <c r="G413" s="197"/>
      <c r="H413" s="178" t="str">
        <f>IF(PA!R412="","",PA!R412)</f>
        <v/>
      </c>
      <c r="I413" s="179" t="str">
        <f>IF(PA!S412="","",PA!S412)</f>
        <v/>
      </c>
      <c r="J413" s="182" t="str">
        <f>IF(PA!Z412="","",PA!Z412)</f>
        <v/>
      </c>
      <c r="K413" s="179" t="str">
        <f>IF(PA!AI412="","",PA!AI412)</f>
        <v/>
      </c>
      <c r="L413" s="179" t="str">
        <f>IF(PA!AJ412="","",PA!AJ412)</f>
        <v/>
      </c>
      <c r="M413" s="182" t="str">
        <f>IF(PA!AQ412="","",PA!AQ412)</f>
        <v/>
      </c>
      <c r="N413" s="242"/>
    </row>
    <row r="414" spans="1:14" ht="15" customHeight="1" x14ac:dyDescent="0.3">
      <c r="A414" s="242"/>
      <c r="B414" s="424">
        <f>Data!E408</f>
        <v>4</v>
      </c>
      <c r="C414" s="249" t="str">
        <f>IF(Data!F408="","",Data!F408)</f>
        <v/>
      </c>
      <c r="D414" s="250" t="str">
        <f>IF(Data!H408="","",Data!H408)</f>
        <v/>
      </c>
      <c r="E414" s="249" t="str">
        <f>IF(Data!I408="","",Data!I408)</f>
        <v/>
      </c>
      <c r="F414" s="249" t="str">
        <f>Data!J408</f>
        <v>VIII-K</v>
      </c>
      <c r="G414" s="197"/>
      <c r="H414" s="178" t="str">
        <f>IF(PA!R413="","",PA!R413)</f>
        <v/>
      </c>
      <c r="I414" s="179" t="str">
        <f>IF(PA!S413="","",PA!S413)</f>
        <v/>
      </c>
      <c r="J414" s="182" t="str">
        <f>IF(PA!Z413="","",PA!Z413)</f>
        <v/>
      </c>
      <c r="K414" s="179" t="str">
        <f>IF(PA!AI413="","",PA!AI413)</f>
        <v/>
      </c>
      <c r="L414" s="179" t="str">
        <f>IF(PA!AJ413="","",PA!AJ413)</f>
        <v/>
      </c>
      <c r="M414" s="182" t="str">
        <f>IF(PA!AQ413="","",PA!AQ413)</f>
        <v/>
      </c>
      <c r="N414" s="242"/>
    </row>
    <row r="415" spans="1:14" ht="15" customHeight="1" x14ac:dyDescent="0.3">
      <c r="A415" s="242"/>
      <c r="B415" s="424">
        <f>Data!E409</f>
        <v>5</v>
      </c>
      <c r="C415" s="249" t="str">
        <f>IF(Data!F409="","",Data!F409)</f>
        <v/>
      </c>
      <c r="D415" s="250" t="str">
        <f>IF(Data!H409="","",Data!H409)</f>
        <v/>
      </c>
      <c r="E415" s="249" t="str">
        <f>IF(Data!I409="","",Data!I409)</f>
        <v/>
      </c>
      <c r="F415" s="249" t="str">
        <f>Data!J409</f>
        <v>VIII-K</v>
      </c>
      <c r="G415" s="197"/>
      <c r="H415" s="178" t="str">
        <f>IF(PA!R414="","",PA!R414)</f>
        <v/>
      </c>
      <c r="I415" s="179" t="str">
        <f>IF(PA!S414="","",PA!S414)</f>
        <v/>
      </c>
      <c r="J415" s="182" t="str">
        <f>IF(PA!Z414="","",PA!Z414)</f>
        <v/>
      </c>
      <c r="K415" s="179" t="str">
        <f>IF(PA!AI414="","",PA!AI414)</f>
        <v/>
      </c>
      <c r="L415" s="179" t="str">
        <f>IF(PA!AJ414="","",PA!AJ414)</f>
        <v/>
      </c>
      <c r="M415" s="182" t="str">
        <f>IF(PA!AQ414="","",PA!AQ414)</f>
        <v/>
      </c>
      <c r="N415" s="242"/>
    </row>
    <row r="416" spans="1:14" ht="15" customHeight="1" x14ac:dyDescent="0.3">
      <c r="A416" s="242"/>
      <c r="B416" s="424">
        <f>Data!E410</f>
        <v>6</v>
      </c>
      <c r="C416" s="249" t="str">
        <f>IF(Data!F410="","",Data!F410)</f>
        <v/>
      </c>
      <c r="D416" s="250" t="str">
        <f>IF(Data!H410="","",Data!H410)</f>
        <v/>
      </c>
      <c r="E416" s="249" t="str">
        <f>IF(Data!I410="","",Data!I410)</f>
        <v/>
      </c>
      <c r="F416" s="249" t="str">
        <f>Data!J410</f>
        <v>VIII-K</v>
      </c>
      <c r="G416" s="197"/>
      <c r="H416" s="178" t="str">
        <f>IF(PA!R415="","",PA!R415)</f>
        <v/>
      </c>
      <c r="I416" s="179" t="str">
        <f>IF(PA!S415="","",PA!S415)</f>
        <v/>
      </c>
      <c r="J416" s="182" t="str">
        <f>IF(PA!Z415="","",PA!Z415)</f>
        <v/>
      </c>
      <c r="K416" s="179" t="str">
        <f>IF(PA!AI415="","",PA!AI415)</f>
        <v/>
      </c>
      <c r="L416" s="179" t="str">
        <f>IF(PA!AJ415="","",PA!AJ415)</f>
        <v/>
      </c>
      <c r="M416" s="182" t="str">
        <f>IF(PA!AQ415="","",PA!AQ415)</f>
        <v/>
      </c>
      <c r="N416" s="242"/>
    </row>
    <row r="417" spans="1:14" ht="15" customHeight="1" x14ac:dyDescent="0.3">
      <c r="A417" s="242"/>
      <c r="B417" s="424">
        <f>Data!E411</f>
        <v>7</v>
      </c>
      <c r="C417" s="249" t="str">
        <f>IF(Data!F411="","",Data!F411)</f>
        <v/>
      </c>
      <c r="D417" s="250" t="str">
        <f>IF(Data!H411="","",Data!H411)</f>
        <v/>
      </c>
      <c r="E417" s="249" t="str">
        <f>IF(Data!I411="","",Data!I411)</f>
        <v/>
      </c>
      <c r="F417" s="249" t="str">
        <f>Data!J411</f>
        <v>VIII-K</v>
      </c>
      <c r="G417" s="197"/>
      <c r="H417" s="178" t="str">
        <f>IF(PA!R416="","",PA!R416)</f>
        <v/>
      </c>
      <c r="I417" s="179" t="str">
        <f>IF(PA!S416="","",PA!S416)</f>
        <v/>
      </c>
      <c r="J417" s="182" t="str">
        <f>IF(PA!Z416="","",PA!Z416)</f>
        <v/>
      </c>
      <c r="K417" s="179" t="str">
        <f>IF(PA!AI416="","",PA!AI416)</f>
        <v/>
      </c>
      <c r="L417" s="179" t="str">
        <f>IF(PA!AJ416="","",PA!AJ416)</f>
        <v/>
      </c>
      <c r="M417" s="182" t="str">
        <f>IF(PA!AQ416="","",PA!AQ416)</f>
        <v/>
      </c>
      <c r="N417" s="242"/>
    </row>
    <row r="418" spans="1:14" ht="15" customHeight="1" x14ac:dyDescent="0.3">
      <c r="A418" s="242"/>
      <c r="B418" s="424">
        <f>Data!E412</f>
        <v>8</v>
      </c>
      <c r="C418" s="249" t="str">
        <f>IF(Data!F412="","",Data!F412)</f>
        <v/>
      </c>
      <c r="D418" s="250" t="str">
        <f>IF(Data!H412="","",Data!H412)</f>
        <v/>
      </c>
      <c r="E418" s="249" t="str">
        <f>IF(Data!I412="","",Data!I412)</f>
        <v/>
      </c>
      <c r="F418" s="249" t="str">
        <f>Data!J412</f>
        <v>VIII-K</v>
      </c>
      <c r="G418" s="197"/>
      <c r="H418" s="178" t="str">
        <f>IF(PA!R417="","",PA!R417)</f>
        <v/>
      </c>
      <c r="I418" s="179" t="str">
        <f>IF(PA!S417="","",PA!S417)</f>
        <v/>
      </c>
      <c r="J418" s="182" t="str">
        <f>IF(PA!Z417="","",PA!Z417)</f>
        <v/>
      </c>
      <c r="K418" s="179" t="str">
        <f>IF(PA!AI417="","",PA!AI417)</f>
        <v/>
      </c>
      <c r="L418" s="179" t="str">
        <f>IF(PA!AJ417="","",PA!AJ417)</f>
        <v/>
      </c>
      <c r="M418" s="182" t="str">
        <f>IF(PA!AQ417="","",PA!AQ417)</f>
        <v/>
      </c>
      <c r="N418" s="242"/>
    </row>
    <row r="419" spans="1:14" ht="15" customHeight="1" x14ac:dyDescent="0.3">
      <c r="A419" s="242"/>
      <c r="B419" s="424">
        <f>Data!E413</f>
        <v>9</v>
      </c>
      <c r="C419" s="249" t="str">
        <f>IF(Data!F413="","",Data!F413)</f>
        <v/>
      </c>
      <c r="D419" s="250" t="str">
        <f>IF(Data!H413="","",Data!H413)</f>
        <v/>
      </c>
      <c r="E419" s="249" t="str">
        <f>IF(Data!I413="","",Data!I413)</f>
        <v/>
      </c>
      <c r="F419" s="249" t="str">
        <f>Data!J413</f>
        <v>VIII-K</v>
      </c>
      <c r="G419" s="197"/>
      <c r="H419" s="178" t="str">
        <f>IF(PA!R418="","",PA!R418)</f>
        <v/>
      </c>
      <c r="I419" s="179" t="str">
        <f>IF(PA!S418="","",PA!S418)</f>
        <v/>
      </c>
      <c r="J419" s="182" t="str">
        <f>IF(PA!Z418="","",PA!Z418)</f>
        <v/>
      </c>
      <c r="K419" s="179" t="str">
        <f>IF(PA!AI418="","",PA!AI418)</f>
        <v/>
      </c>
      <c r="L419" s="179" t="str">
        <f>IF(PA!AJ418="","",PA!AJ418)</f>
        <v/>
      </c>
      <c r="M419" s="182" t="str">
        <f>IF(PA!AQ418="","",PA!AQ418)</f>
        <v/>
      </c>
      <c r="N419" s="242"/>
    </row>
    <row r="420" spans="1:14" ht="15" customHeight="1" x14ac:dyDescent="0.3">
      <c r="A420" s="242"/>
      <c r="B420" s="424">
        <f>Data!E414</f>
        <v>10</v>
      </c>
      <c r="C420" s="249" t="str">
        <f>IF(Data!F414="","",Data!F414)</f>
        <v/>
      </c>
      <c r="D420" s="250" t="str">
        <f>IF(Data!H414="","",Data!H414)</f>
        <v/>
      </c>
      <c r="E420" s="249" t="str">
        <f>IF(Data!I414="","",Data!I414)</f>
        <v/>
      </c>
      <c r="F420" s="249" t="str">
        <f>Data!J414</f>
        <v>VIII-K</v>
      </c>
      <c r="G420" s="197"/>
      <c r="H420" s="178" t="str">
        <f>IF(PA!R419="","",PA!R419)</f>
        <v/>
      </c>
      <c r="I420" s="179" t="str">
        <f>IF(PA!S419="","",PA!S419)</f>
        <v/>
      </c>
      <c r="J420" s="182" t="str">
        <f>IF(PA!Z419="","",PA!Z419)</f>
        <v/>
      </c>
      <c r="K420" s="179" t="str">
        <f>IF(PA!AI419="","",PA!AI419)</f>
        <v/>
      </c>
      <c r="L420" s="179" t="str">
        <f>IF(PA!AJ419="","",PA!AJ419)</f>
        <v/>
      </c>
      <c r="M420" s="182" t="str">
        <f>IF(PA!AQ419="","",PA!AQ419)</f>
        <v/>
      </c>
      <c r="N420" s="242"/>
    </row>
    <row r="421" spans="1:14" ht="15" customHeight="1" x14ac:dyDescent="0.3">
      <c r="A421" s="242"/>
      <c r="B421" s="424">
        <f>Data!E415</f>
        <v>11</v>
      </c>
      <c r="C421" s="249" t="str">
        <f>IF(Data!F415="","",Data!F415)</f>
        <v/>
      </c>
      <c r="D421" s="250" t="str">
        <f>IF(Data!H415="","",Data!H415)</f>
        <v/>
      </c>
      <c r="E421" s="249" t="str">
        <f>IF(Data!I415="","",Data!I415)</f>
        <v/>
      </c>
      <c r="F421" s="249" t="str">
        <f>Data!J415</f>
        <v>VIII-K</v>
      </c>
      <c r="G421" s="197"/>
      <c r="H421" s="178" t="str">
        <f>IF(PA!R420="","",PA!R420)</f>
        <v/>
      </c>
      <c r="I421" s="179" t="str">
        <f>IF(PA!S420="","",PA!S420)</f>
        <v/>
      </c>
      <c r="J421" s="182" t="str">
        <f>IF(PA!Z420="","",PA!Z420)</f>
        <v/>
      </c>
      <c r="K421" s="179" t="str">
        <f>IF(PA!AI420="","",PA!AI420)</f>
        <v/>
      </c>
      <c r="L421" s="179" t="str">
        <f>IF(PA!AJ420="","",PA!AJ420)</f>
        <v/>
      </c>
      <c r="M421" s="182" t="str">
        <f>IF(PA!AQ420="","",PA!AQ420)</f>
        <v/>
      </c>
      <c r="N421" s="242"/>
    </row>
    <row r="422" spans="1:14" ht="15" customHeight="1" x14ac:dyDescent="0.3">
      <c r="A422" s="242"/>
      <c r="B422" s="424">
        <f>Data!E416</f>
        <v>12</v>
      </c>
      <c r="C422" s="249" t="str">
        <f>IF(Data!F416="","",Data!F416)</f>
        <v/>
      </c>
      <c r="D422" s="250" t="str">
        <f>IF(Data!H416="","",Data!H416)</f>
        <v/>
      </c>
      <c r="E422" s="249" t="str">
        <f>IF(Data!I416="","",Data!I416)</f>
        <v/>
      </c>
      <c r="F422" s="249" t="str">
        <f>Data!J416</f>
        <v>VIII-K</v>
      </c>
      <c r="G422" s="197"/>
      <c r="H422" s="178" t="str">
        <f>IF(PA!R421="","",PA!R421)</f>
        <v/>
      </c>
      <c r="I422" s="179" t="str">
        <f>IF(PA!S421="","",PA!S421)</f>
        <v/>
      </c>
      <c r="J422" s="182" t="str">
        <f>IF(PA!Z421="","",PA!Z421)</f>
        <v/>
      </c>
      <c r="K422" s="179" t="str">
        <f>IF(PA!AI421="","",PA!AI421)</f>
        <v/>
      </c>
      <c r="L422" s="179" t="str">
        <f>IF(PA!AJ421="","",PA!AJ421)</f>
        <v/>
      </c>
      <c r="M422" s="182" t="str">
        <f>IF(PA!AQ421="","",PA!AQ421)</f>
        <v/>
      </c>
      <c r="N422" s="242"/>
    </row>
    <row r="423" spans="1:14" ht="15" customHeight="1" x14ac:dyDescent="0.3">
      <c r="A423" s="242"/>
      <c r="B423" s="424">
        <f>Data!E417</f>
        <v>13</v>
      </c>
      <c r="C423" s="249" t="str">
        <f>IF(Data!F417="","",Data!F417)</f>
        <v/>
      </c>
      <c r="D423" s="250" t="str">
        <f>IF(Data!H417="","",Data!H417)</f>
        <v/>
      </c>
      <c r="E423" s="249" t="str">
        <f>IF(Data!I417="","",Data!I417)</f>
        <v/>
      </c>
      <c r="F423" s="249" t="str">
        <f>Data!J417</f>
        <v>VIII-K</v>
      </c>
      <c r="G423" s="197"/>
      <c r="H423" s="178" t="str">
        <f>IF(PA!R422="","",PA!R422)</f>
        <v/>
      </c>
      <c r="I423" s="179" t="str">
        <f>IF(PA!S422="","",PA!S422)</f>
        <v/>
      </c>
      <c r="J423" s="182" t="str">
        <f>IF(PA!Z422="","",PA!Z422)</f>
        <v/>
      </c>
      <c r="K423" s="179" t="str">
        <f>IF(PA!AI422="","",PA!AI422)</f>
        <v/>
      </c>
      <c r="L423" s="179" t="str">
        <f>IF(PA!AJ422="","",PA!AJ422)</f>
        <v/>
      </c>
      <c r="M423" s="182" t="str">
        <f>IF(PA!AQ422="","",PA!AQ422)</f>
        <v/>
      </c>
      <c r="N423" s="242"/>
    </row>
    <row r="424" spans="1:14" ht="15" customHeight="1" x14ac:dyDescent="0.3">
      <c r="A424" s="242"/>
      <c r="B424" s="424">
        <f>Data!E418</f>
        <v>14</v>
      </c>
      <c r="C424" s="249" t="str">
        <f>IF(Data!F418="","",Data!F418)</f>
        <v/>
      </c>
      <c r="D424" s="250" t="str">
        <f>IF(Data!H418="","",Data!H418)</f>
        <v/>
      </c>
      <c r="E424" s="249" t="str">
        <f>IF(Data!I418="","",Data!I418)</f>
        <v/>
      </c>
      <c r="F424" s="249" t="str">
        <f>Data!J418</f>
        <v>VIII-K</v>
      </c>
      <c r="G424" s="197"/>
      <c r="H424" s="178" t="str">
        <f>IF(PA!R423="","",PA!R423)</f>
        <v/>
      </c>
      <c r="I424" s="179" t="str">
        <f>IF(PA!S423="","",PA!S423)</f>
        <v/>
      </c>
      <c r="J424" s="182" t="str">
        <f>IF(PA!Z423="","",PA!Z423)</f>
        <v/>
      </c>
      <c r="K424" s="179" t="str">
        <f>IF(PA!AI423="","",PA!AI423)</f>
        <v/>
      </c>
      <c r="L424" s="179" t="str">
        <f>IF(PA!AJ423="","",PA!AJ423)</f>
        <v/>
      </c>
      <c r="M424" s="182" t="str">
        <f>IF(PA!AQ423="","",PA!AQ423)</f>
        <v/>
      </c>
      <c r="N424" s="242"/>
    </row>
    <row r="425" spans="1:14" ht="15" customHeight="1" x14ac:dyDescent="0.3">
      <c r="A425" s="242"/>
      <c r="B425" s="424">
        <f>Data!E419</f>
        <v>15</v>
      </c>
      <c r="C425" s="249" t="str">
        <f>IF(Data!F419="","",Data!F419)</f>
        <v/>
      </c>
      <c r="D425" s="250" t="str">
        <f>IF(Data!H419="","",Data!H419)</f>
        <v/>
      </c>
      <c r="E425" s="249" t="str">
        <f>IF(Data!I419="","",Data!I419)</f>
        <v/>
      </c>
      <c r="F425" s="249" t="str">
        <f>Data!J419</f>
        <v>VIII-K</v>
      </c>
      <c r="G425" s="197"/>
      <c r="H425" s="178" t="str">
        <f>IF(PA!R424="","",PA!R424)</f>
        <v/>
      </c>
      <c r="I425" s="179" t="str">
        <f>IF(PA!S424="","",PA!S424)</f>
        <v/>
      </c>
      <c r="J425" s="182" t="str">
        <f>IF(PA!Z424="","",PA!Z424)</f>
        <v/>
      </c>
      <c r="K425" s="179" t="str">
        <f>IF(PA!AI424="","",PA!AI424)</f>
        <v/>
      </c>
      <c r="L425" s="179" t="str">
        <f>IF(PA!AJ424="","",PA!AJ424)</f>
        <v/>
      </c>
      <c r="M425" s="182" t="str">
        <f>IF(PA!AQ424="","",PA!AQ424)</f>
        <v/>
      </c>
      <c r="N425" s="242"/>
    </row>
    <row r="426" spans="1:14" ht="15" customHeight="1" x14ac:dyDescent="0.3">
      <c r="A426" s="242"/>
      <c r="B426" s="424">
        <f>Data!E420</f>
        <v>16</v>
      </c>
      <c r="C426" s="249" t="str">
        <f>IF(Data!F420="","",Data!F420)</f>
        <v/>
      </c>
      <c r="D426" s="250" t="str">
        <f>IF(Data!H420="","",Data!H420)</f>
        <v/>
      </c>
      <c r="E426" s="249" t="str">
        <f>IF(Data!I420="","",Data!I420)</f>
        <v/>
      </c>
      <c r="F426" s="249" t="str">
        <f>Data!J420</f>
        <v>VIII-K</v>
      </c>
      <c r="G426" s="197"/>
      <c r="H426" s="178" t="str">
        <f>IF(PA!R425="","",PA!R425)</f>
        <v/>
      </c>
      <c r="I426" s="179" t="str">
        <f>IF(PA!S425="","",PA!S425)</f>
        <v/>
      </c>
      <c r="J426" s="182" t="str">
        <f>IF(PA!Z425="","",PA!Z425)</f>
        <v/>
      </c>
      <c r="K426" s="179" t="str">
        <f>IF(PA!AI425="","",PA!AI425)</f>
        <v/>
      </c>
      <c r="L426" s="179" t="str">
        <f>IF(PA!AJ425="","",PA!AJ425)</f>
        <v/>
      </c>
      <c r="M426" s="182" t="str">
        <f>IF(PA!AQ425="","",PA!AQ425)</f>
        <v/>
      </c>
      <c r="N426" s="242"/>
    </row>
    <row r="427" spans="1:14" ht="15" customHeight="1" x14ac:dyDescent="0.3">
      <c r="A427" s="242"/>
      <c r="B427" s="424">
        <f>Data!E421</f>
        <v>17</v>
      </c>
      <c r="C427" s="249" t="str">
        <f>IF(Data!F421="","",Data!F421)</f>
        <v/>
      </c>
      <c r="D427" s="250" t="str">
        <f>IF(Data!H421="","",Data!H421)</f>
        <v/>
      </c>
      <c r="E427" s="249" t="str">
        <f>IF(Data!I421="","",Data!I421)</f>
        <v/>
      </c>
      <c r="F427" s="249" t="str">
        <f>Data!J421</f>
        <v>VIII-K</v>
      </c>
      <c r="G427" s="197"/>
      <c r="H427" s="178" t="str">
        <f>IF(PA!R426="","",PA!R426)</f>
        <v/>
      </c>
      <c r="I427" s="179" t="str">
        <f>IF(PA!S426="","",PA!S426)</f>
        <v/>
      </c>
      <c r="J427" s="182" t="str">
        <f>IF(PA!Z426="","",PA!Z426)</f>
        <v/>
      </c>
      <c r="K427" s="179" t="str">
        <f>IF(PA!AI426="","",PA!AI426)</f>
        <v/>
      </c>
      <c r="L427" s="179" t="str">
        <f>IF(PA!AJ426="","",PA!AJ426)</f>
        <v/>
      </c>
      <c r="M427" s="182" t="str">
        <f>IF(PA!AQ426="","",PA!AQ426)</f>
        <v/>
      </c>
      <c r="N427" s="242"/>
    </row>
    <row r="428" spans="1:14" ht="15" customHeight="1" x14ac:dyDescent="0.3">
      <c r="A428" s="242"/>
      <c r="B428" s="424">
        <f>Data!E422</f>
        <v>18</v>
      </c>
      <c r="C428" s="249" t="str">
        <f>IF(Data!F422="","",Data!F422)</f>
        <v/>
      </c>
      <c r="D428" s="250" t="str">
        <f>IF(Data!H422="","",Data!H422)</f>
        <v/>
      </c>
      <c r="E428" s="249" t="str">
        <f>IF(Data!I422="","",Data!I422)</f>
        <v/>
      </c>
      <c r="F428" s="249" t="str">
        <f>Data!J422</f>
        <v>VIII-K</v>
      </c>
      <c r="G428" s="197"/>
      <c r="H428" s="178" t="str">
        <f>IF(PA!R427="","",PA!R427)</f>
        <v/>
      </c>
      <c r="I428" s="179" t="str">
        <f>IF(PA!S427="","",PA!S427)</f>
        <v/>
      </c>
      <c r="J428" s="182" t="str">
        <f>IF(PA!Z427="","",PA!Z427)</f>
        <v/>
      </c>
      <c r="K428" s="179" t="str">
        <f>IF(PA!AI427="","",PA!AI427)</f>
        <v/>
      </c>
      <c r="L428" s="179" t="str">
        <f>IF(PA!AJ427="","",PA!AJ427)</f>
        <v/>
      </c>
      <c r="M428" s="182" t="str">
        <f>IF(PA!AQ427="","",PA!AQ427)</f>
        <v/>
      </c>
      <c r="N428" s="242"/>
    </row>
    <row r="429" spans="1:14" ht="15" customHeight="1" x14ac:dyDescent="0.3">
      <c r="A429" s="242"/>
      <c r="B429" s="424">
        <f>Data!E423</f>
        <v>19</v>
      </c>
      <c r="C429" s="249" t="str">
        <f>IF(Data!F423="","",Data!F423)</f>
        <v/>
      </c>
      <c r="D429" s="250" t="str">
        <f>IF(Data!H423="","",Data!H423)</f>
        <v/>
      </c>
      <c r="E429" s="249" t="str">
        <f>IF(Data!I423="","",Data!I423)</f>
        <v/>
      </c>
      <c r="F429" s="249" t="str">
        <f>Data!J423</f>
        <v>VIII-K</v>
      </c>
      <c r="G429" s="197"/>
      <c r="H429" s="178" t="str">
        <f>IF(PA!R428="","",PA!R428)</f>
        <v/>
      </c>
      <c r="I429" s="179" t="str">
        <f>IF(PA!S428="","",PA!S428)</f>
        <v/>
      </c>
      <c r="J429" s="182" t="str">
        <f>IF(PA!Z428="","",PA!Z428)</f>
        <v/>
      </c>
      <c r="K429" s="179" t="str">
        <f>IF(PA!AI428="","",PA!AI428)</f>
        <v/>
      </c>
      <c r="L429" s="179" t="str">
        <f>IF(PA!AJ428="","",PA!AJ428)</f>
        <v/>
      </c>
      <c r="M429" s="182" t="str">
        <f>IF(PA!AQ428="","",PA!AQ428)</f>
        <v/>
      </c>
      <c r="N429" s="242"/>
    </row>
    <row r="430" spans="1:14" ht="15" customHeight="1" x14ac:dyDescent="0.3">
      <c r="A430" s="242"/>
      <c r="B430" s="424">
        <f>Data!E424</f>
        <v>20</v>
      </c>
      <c r="C430" s="249" t="str">
        <f>IF(Data!F424="","",Data!F424)</f>
        <v/>
      </c>
      <c r="D430" s="250" t="str">
        <f>IF(Data!H424="","",Data!H424)</f>
        <v/>
      </c>
      <c r="E430" s="249" t="str">
        <f>IF(Data!I424="","",Data!I424)</f>
        <v/>
      </c>
      <c r="F430" s="249" t="str">
        <f>Data!J424</f>
        <v>VIII-K</v>
      </c>
      <c r="G430" s="197"/>
      <c r="H430" s="178" t="str">
        <f>IF(PA!R429="","",PA!R429)</f>
        <v/>
      </c>
      <c r="I430" s="179" t="str">
        <f>IF(PA!S429="","",PA!S429)</f>
        <v/>
      </c>
      <c r="J430" s="182" t="str">
        <f>IF(PA!Z429="","",PA!Z429)</f>
        <v/>
      </c>
      <c r="K430" s="179" t="str">
        <f>IF(PA!AI429="","",PA!AI429)</f>
        <v/>
      </c>
      <c r="L430" s="179" t="str">
        <f>IF(PA!AJ429="","",PA!AJ429)</f>
        <v/>
      </c>
      <c r="M430" s="182" t="str">
        <f>IF(PA!AQ429="","",PA!AQ429)</f>
        <v/>
      </c>
      <c r="N430" s="242"/>
    </row>
    <row r="431" spans="1:14" ht="15" customHeight="1" x14ac:dyDescent="0.3">
      <c r="A431" s="242"/>
      <c r="B431" s="424">
        <f>Data!E425</f>
        <v>21</v>
      </c>
      <c r="C431" s="249" t="str">
        <f>IF(Data!F425="","",Data!F425)</f>
        <v/>
      </c>
      <c r="D431" s="250" t="str">
        <f>IF(Data!H425="","",Data!H425)</f>
        <v/>
      </c>
      <c r="E431" s="249" t="str">
        <f>IF(Data!I425="","",Data!I425)</f>
        <v/>
      </c>
      <c r="F431" s="249" t="str">
        <f>Data!J425</f>
        <v>VIII-K</v>
      </c>
      <c r="G431" s="197"/>
      <c r="H431" s="178" t="str">
        <f>IF(PA!R430="","",PA!R430)</f>
        <v/>
      </c>
      <c r="I431" s="179" t="str">
        <f>IF(PA!S430="","",PA!S430)</f>
        <v/>
      </c>
      <c r="J431" s="182" t="str">
        <f>IF(PA!Z430="","",PA!Z430)</f>
        <v/>
      </c>
      <c r="K431" s="179" t="str">
        <f>IF(PA!AI430="","",PA!AI430)</f>
        <v/>
      </c>
      <c r="L431" s="179" t="str">
        <f>IF(PA!AJ430="","",PA!AJ430)</f>
        <v/>
      </c>
      <c r="M431" s="182" t="str">
        <f>IF(PA!AQ430="","",PA!AQ430)</f>
        <v/>
      </c>
      <c r="N431" s="242"/>
    </row>
    <row r="432" spans="1:14" ht="15" customHeight="1" x14ac:dyDescent="0.3">
      <c r="A432" s="242"/>
      <c r="B432" s="424">
        <f>Data!E426</f>
        <v>22</v>
      </c>
      <c r="C432" s="249" t="str">
        <f>IF(Data!F426="","",Data!F426)</f>
        <v/>
      </c>
      <c r="D432" s="250" t="str">
        <f>IF(Data!H426="","",Data!H426)</f>
        <v/>
      </c>
      <c r="E432" s="249" t="str">
        <f>IF(Data!I426="","",Data!I426)</f>
        <v/>
      </c>
      <c r="F432" s="249" t="str">
        <f>Data!J426</f>
        <v>VIII-K</v>
      </c>
      <c r="G432" s="197"/>
      <c r="H432" s="178" t="str">
        <f>IF(PA!R431="","",PA!R431)</f>
        <v/>
      </c>
      <c r="I432" s="179" t="str">
        <f>IF(PA!S431="","",PA!S431)</f>
        <v/>
      </c>
      <c r="J432" s="182" t="str">
        <f>IF(PA!Z431="","",PA!Z431)</f>
        <v/>
      </c>
      <c r="K432" s="179" t="str">
        <f>IF(PA!AI431="","",PA!AI431)</f>
        <v/>
      </c>
      <c r="L432" s="179" t="str">
        <f>IF(PA!AJ431="","",PA!AJ431)</f>
        <v/>
      </c>
      <c r="M432" s="182" t="str">
        <f>IF(PA!AQ431="","",PA!AQ431)</f>
        <v/>
      </c>
      <c r="N432" s="242"/>
    </row>
    <row r="433" spans="1:14" ht="15" customHeight="1" x14ac:dyDescent="0.3">
      <c r="A433" s="242"/>
      <c r="B433" s="424">
        <f>Data!E427</f>
        <v>23</v>
      </c>
      <c r="C433" s="249" t="str">
        <f>IF(Data!F427="","",Data!F427)</f>
        <v/>
      </c>
      <c r="D433" s="250" t="str">
        <f>IF(Data!H427="","",Data!H427)</f>
        <v/>
      </c>
      <c r="E433" s="249" t="str">
        <f>IF(Data!I427="","",Data!I427)</f>
        <v/>
      </c>
      <c r="F433" s="249" t="str">
        <f>Data!J427</f>
        <v>VIII-K</v>
      </c>
      <c r="G433" s="197"/>
      <c r="H433" s="178" t="str">
        <f>IF(PA!R432="","",PA!R432)</f>
        <v/>
      </c>
      <c r="I433" s="179" t="str">
        <f>IF(PA!S432="","",PA!S432)</f>
        <v/>
      </c>
      <c r="J433" s="182" t="str">
        <f>IF(PA!Z432="","",PA!Z432)</f>
        <v/>
      </c>
      <c r="K433" s="179" t="str">
        <f>IF(PA!AI432="","",PA!AI432)</f>
        <v/>
      </c>
      <c r="L433" s="179" t="str">
        <f>IF(PA!AJ432="","",PA!AJ432)</f>
        <v/>
      </c>
      <c r="M433" s="182" t="str">
        <f>IF(PA!AQ432="","",PA!AQ432)</f>
        <v/>
      </c>
      <c r="N433" s="242"/>
    </row>
    <row r="434" spans="1:14" ht="15" customHeight="1" x14ac:dyDescent="0.3">
      <c r="A434" s="242"/>
      <c r="B434" s="424">
        <f>Data!E428</f>
        <v>24</v>
      </c>
      <c r="C434" s="249" t="str">
        <f>IF(Data!F428="","",Data!F428)</f>
        <v/>
      </c>
      <c r="D434" s="250" t="str">
        <f>IF(Data!H428="","",Data!H428)</f>
        <v/>
      </c>
      <c r="E434" s="249" t="str">
        <f>IF(Data!I428="","",Data!I428)</f>
        <v/>
      </c>
      <c r="F434" s="249" t="str">
        <f>Data!J428</f>
        <v>VIII-K</v>
      </c>
      <c r="G434" s="197"/>
      <c r="H434" s="178" t="str">
        <f>IF(PA!R433="","",PA!R433)</f>
        <v/>
      </c>
      <c r="I434" s="179" t="str">
        <f>IF(PA!S433="","",PA!S433)</f>
        <v/>
      </c>
      <c r="J434" s="182" t="str">
        <f>IF(PA!Z433="","",PA!Z433)</f>
        <v/>
      </c>
      <c r="K434" s="179" t="str">
        <f>IF(PA!AI433="","",PA!AI433)</f>
        <v/>
      </c>
      <c r="L434" s="179" t="str">
        <f>IF(PA!AJ433="","",PA!AJ433)</f>
        <v/>
      </c>
      <c r="M434" s="182" t="str">
        <f>IF(PA!AQ433="","",PA!AQ433)</f>
        <v/>
      </c>
      <c r="N434" s="242"/>
    </row>
    <row r="435" spans="1:14" ht="15" customHeight="1" x14ac:dyDescent="0.3">
      <c r="A435" s="242"/>
      <c r="B435" s="424">
        <f>Data!E429</f>
        <v>25</v>
      </c>
      <c r="C435" s="249" t="str">
        <f>IF(Data!F429="","",Data!F429)</f>
        <v/>
      </c>
      <c r="D435" s="250" t="str">
        <f>IF(Data!H429="","",Data!H429)</f>
        <v/>
      </c>
      <c r="E435" s="249" t="str">
        <f>IF(Data!I429="","",Data!I429)</f>
        <v/>
      </c>
      <c r="F435" s="249" t="str">
        <f>Data!J429</f>
        <v>VIII-K</v>
      </c>
      <c r="G435" s="197"/>
      <c r="H435" s="178" t="str">
        <f>IF(PA!R434="","",PA!R434)</f>
        <v/>
      </c>
      <c r="I435" s="179" t="str">
        <f>IF(PA!S434="","",PA!S434)</f>
        <v/>
      </c>
      <c r="J435" s="182" t="str">
        <f>IF(PA!Z434="","",PA!Z434)</f>
        <v/>
      </c>
      <c r="K435" s="179" t="str">
        <f>IF(PA!AI434="","",PA!AI434)</f>
        <v/>
      </c>
      <c r="L435" s="179" t="str">
        <f>IF(PA!AJ434="","",PA!AJ434)</f>
        <v/>
      </c>
      <c r="M435" s="182" t="str">
        <f>IF(PA!AQ434="","",PA!AQ434)</f>
        <v/>
      </c>
      <c r="N435" s="242"/>
    </row>
    <row r="436" spans="1:14" ht="15" customHeight="1" x14ac:dyDescent="0.3">
      <c r="A436" s="242"/>
      <c r="B436" s="424">
        <f>Data!E430</f>
        <v>26</v>
      </c>
      <c r="C436" s="249" t="str">
        <f>IF(Data!F430="","",Data!F430)</f>
        <v/>
      </c>
      <c r="D436" s="250" t="str">
        <f>IF(Data!H430="","",Data!H430)</f>
        <v/>
      </c>
      <c r="E436" s="249" t="str">
        <f>IF(Data!I430="","",Data!I430)</f>
        <v/>
      </c>
      <c r="F436" s="249" t="str">
        <f>Data!J430</f>
        <v>VIII-K</v>
      </c>
      <c r="G436" s="197"/>
      <c r="H436" s="178" t="str">
        <f>IF(PA!R435="","",PA!R435)</f>
        <v/>
      </c>
      <c r="I436" s="179" t="str">
        <f>IF(PA!S435="","",PA!S435)</f>
        <v/>
      </c>
      <c r="J436" s="182" t="str">
        <f>IF(PA!Z435="","",PA!Z435)</f>
        <v/>
      </c>
      <c r="K436" s="179" t="str">
        <f>IF(PA!AI435="","",PA!AI435)</f>
        <v/>
      </c>
      <c r="L436" s="179" t="str">
        <f>IF(PA!AJ435="","",PA!AJ435)</f>
        <v/>
      </c>
      <c r="M436" s="182" t="str">
        <f>IF(PA!AQ435="","",PA!AQ435)</f>
        <v/>
      </c>
      <c r="N436" s="242"/>
    </row>
    <row r="437" spans="1:14" ht="15" customHeight="1" x14ac:dyDescent="0.3">
      <c r="A437" s="242"/>
      <c r="B437" s="424">
        <f>Data!E431</f>
        <v>27</v>
      </c>
      <c r="C437" s="249" t="str">
        <f>IF(Data!F431="","",Data!F431)</f>
        <v/>
      </c>
      <c r="D437" s="250" t="str">
        <f>IF(Data!H431="","",Data!H431)</f>
        <v/>
      </c>
      <c r="E437" s="249" t="str">
        <f>IF(Data!I431="","",Data!I431)</f>
        <v/>
      </c>
      <c r="F437" s="249" t="str">
        <f>Data!J431</f>
        <v>VIII-K</v>
      </c>
      <c r="G437" s="197"/>
      <c r="H437" s="178" t="str">
        <f>IF(PA!R436="","",PA!R436)</f>
        <v/>
      </c>
      <c r="I437" s="179" t="str">
        <f>IF(PA!S436="","",PA!S436)</f>
        <v/>
      </c>
      <c r="J437" s="182" t="str">
        <f>IF(PA!Z436="","",PA!Z436)</f>
        <v/>
      </c>
      <c r="K437" s="179" t="str">
        <f>IF(PA!AI436="","",PA!AI436)</f>
        <v/>
      </c>
      <c r="L437" s="179" t="str">
        <f>IF(PA!AJ436="","",PA!AJ436)</f>
        <v/>
      </c>
      <c r="M437" s="182" t="str">
        <f>IF(PA!AQ436="","",PA!AQ436)</f>
        <v/>
      </c>
      <c r="N437" s="242"/>
    </row>
    <row r="438" spans="1:14" ht="15" customHeight="1" x14ac:dyDescent="0.3">
      <c r="A438" s="242"/>
      <c r="B438" s="424">
        <f>Data!E432</f>
        <v>28</v>
      </c>
      <c r="C438" s="249" t="str">
        <f>IF(Data!F432="","",Data!F432)</f>
        <v/>
      </c>
      <c r="D438" s="250" t="str">
        <f>IF(Data!H432="","",Data!H432)</f>
        <v/>
      </c>
      <c r="E438" s="249" t="str">
        <f>IF(Data!I432="","",Data!I432)</f>
        <v/>
      </c>
      <c r="F438" s="249" t="str">
        <f>Data!J432</f>
        <v>VIII-K</v>
      </c>
      <c r="G438" s="197"/>
      <c r="H438" s="178" t="str">
        <f>IF(PA!R437="","",PA!R437)</f>
        <v/>
      </c>
      <c r="I438" s="179" t="str">
        <f>IF(PA!S437="","",PA!S437)</f>
        <v/>
      </c>
      <c r="J438" s="182" t="str">
        <f>IF(PA!Z437="","",PA!Z437)</f>
        <v/>
      </c>
      <c r="K438" s="179" t="str">
        <f>IF(PA!AI437="","",PA!AI437)</f>
        <v/>
      </c>
      <c r="L438" s="179" t="str">
        <f>IF(PA!AJ437="","",PA!AJ437)</f>
        <v/>
      </c>
      <c r="M438" s="182" t="str">
        <f>IF(PA!AQ437="","",PA!AQ437)</f>
        <v/>
      </c>
      <c r="N438" s="242"/>
    </row>
    <row r="439" spans="1:14" ht="15" customHeight="1" x14ac:dyDescent="0.3">
      <c r="A439" s="242"/>
      <c r="B439" s="424">
        <f>Data!E433</f>
        <v>29</v>
      </c>
      <c r="C439" s="249" t="str">
        <f>IF(Data!F433="","",Data!F433)</f>
        <v/>
      </c>
      <c r="D439" s="250" t="str">
        <f>IF(Data!H433="","",Data!H433)</f>
        <v/>
      </c>
      <c r="E439" s="249" t="str">
        <f>IF(Data!I433="","",Data!I433)</f>
        <v/>
      </c>
      <c r="F439" s="249" t="str">
        <f>Data!J433</f>
        <v>VIII-K</v>
      </c>
      <c r="G439" s="197"/>
      <c r="H439" s="178" t="str">
        <f>IF(PA!R438="","",PA!R438)</f>
        <v/>
      </c>
      <c r="I439" s="179" t="str">
        <f>IF(PA!S438="","",PA!S438)</f>
        <v/>
      </c>
      <c r="J439" s="182" t="str">
        <f>IF(PA!Z438="","",PA!Z438)</f>
        <v/>
      </c>
      <c r="K439" s="179" t="str">
        <f>IF(PA!AI438="","",PA!AI438)</f>
        <v/>
      </c>
      <c r="L439" s="179" t="str">
        <f>IF(PA!AJ438="","",PA!AJ438)</f>
        <v/>
      </c>
      <c r="M439" s="182" t="str">
        <f>IF(PA!AQ438="","",PA!AQ438)</f>
        <v/>
      </c>
      <c r="N439" s="242"/>
    </row>
    <row r="440" spans="1:14" ht="15" customHeight="1" x14ac:dyDescent="0.3">
      <c r="A440" s="242"/>
      <c r="B440" s="424">
        <f>Data!E434</f>
        <v>30</v>
      </c>
      <c r="C440" s="249" t="str">
        <f>IF(Data!F434="","",Data!F434)</f>
        <v/>
      </c>
      <c r="D440" s="250" t="str">
        <f>IF(Data!H434="","",Data!H434)</f>
        <v/>
      </c>
      <c r="E440" s="249" t="str">
        <f>IF(Data!I434="","",Data!I434)</f>
        <v/>
      </c>
      <c r="F440" s="249" t="str">
        <f>Data!J434</f>
        <v>VIII-K</v>
      </c>
      <c r="G440" s="197"/>
      <c r="H440" s="178" t="str">
        <f>IF(PA!R439="","",PA!R439)</f>
        <v/>
      </c>
      <c r="I440" s="179" t="str">
        <f>IF(PA!S439="","",PA!S439)</f>
        <v/>
      </c>
      <c r="J440" s="182" t="str">
        <f>IF(PA!Z439="","",PA!Z439)</f>
        <v/>
      </c>
      <c r="K440" s="179" t="str">
        <f>IF(PA!AI439="","",PA!AI439)</f>
        <v/>
      </c>
      <c r="L440" s="179" t="str">
        <f>IF(PA!AJ439="","",PA!AJ439)</f>
        <v/>
      </c>
      <c r="M440" s="182" t="str">
        <f>IF(PA!AQ439="","",PA!AQ439)</f>
        <v/>
      </c>
      <c r="N440" s="242"/>
    </row>
    <row r="441" spans="1:14" ht="15" customHeight="1" x14ac:dyDescent="0.3">
      <c r="A441" s="242"/>
      <c r="B441" s="424">
        <f>Data!E435</f>
        <v>31</v>
      </c>
      <c r="C441" s="249" t="str">
        <f>IF(Data!F435="","",Data!F435)</f>
        <v/>
      </c>
      <c r="D441" s="250" t="str">
        <f>IF(Data!H435="","",Data!H435)</f>
        <v/>
      </c>
      <c r="E441" s="249" t="str">
        <f>IF(Data!I435="","",Data!I435)</f>
        <v/>
      </c>
      <c r="F441" s="249" t="str">
        <f>Data!J435</f>
        <v>VIII-K</v>
      </c>
      <c r="G441" s="197"/>
      <c r="H441" s="178" t="str">
        <f>IF(PA!R440="","",PA!R440)</f>
        <v/>
      </c>
      <c r="I441" s="179" t="str">
        <f>IF(PA!S440="","",PA!S440)</f>
        <v/>
      </c>
      <c r="J441" s="182" t="str">
        <f>IF(PA!Z440="","",PA!Z440)</f>
        <v/>
      </c>
      <c r="K441" s="179" t="str">
        <f>IF(PA!AI440="","",PA!AI440)</f>
        <v/>
      </c>
      <c r="L441" s="179" t="str">
        <f>IF(PA!AJ440="","",PA!AJ440)</f>
        <v/>
      </c>
      <c r="M441" s="182" t="str">
        <f>IF(PA!AQ440="","",PA!AQ440)</f>
        <v/>
      </c>
      <c r="N441" s="242"/>
    </row>
    <row r="442" spans="1:14" ht="15" customHeight="1" x14ac:dyDescent="0.3">
      <c r="A442" s="242"/>
      <c r="B442" s="424">
        <f>Data!E436</f>
        <v>32</v>
      </c>
      <c r="C442" s="249" t="str">
        <f>IF(Data!F436="","",Data!F436)</f>
        <v/>
      </c>
      <c r="D442" s="250" t="str">
        <f>IF(Data!H436="","",Data!H436)</f>
        <v/>
      </c>
      <c r="E442" s="249" t="str">
        <f>IF(Data!I436="","",Data!I436)</f>
        <v/>
      </c>
      <c r="F442" s="249" t="str">
        <f>Data!J436</f>
        <v>VIII-K</v>
      </c>
      <c r="G442" s="197"/>
      <c r="H442" s="178" t="str">
        <f>IF(PA!R441="","",PA!R441)</f>
        <v/>
      </c>
      <c r="I442" s="179" t="str">
        <f>IF(PA!S441="","",PA!S441)</f>
        <v/>
      </c>
      <c r="J442" s="182" t="str">
        <f>IF(PA!Z441="","",PA!Z441)</f>
        <v/>
      </c>
      <c r="K442" s="179" t="str">
        <f>IF(PA!AI441="","",PA!AI441)</f>
        <v/>
      </c>
      <c r="L442" s="179" t="str">
        <f>IF(PA!AJ441="","",PA!AJ441)</f>
        <v/>
      </c>
      <c r="M442" s="182" t="str">
        <f>IF(PA!AQ441="","",PA!AQ441)</f>
        <v/>
      </c>
      <c r="N442" s="242"/>
    </row>
    <row r="443" spans="1:14" ht="15" customHeight="1" x14ac:dyDescent="0.3">
      <c r="A443" s="242"/>
      <c r="B443" s="424">
        <f>Data!E437</f>
        <v>33</v>
      </c>
      <c r="C443" s="249" t="str">
        <f>IF(Data!F437="","",Data!F437)</f>
        <v/>
      </c>
      <c r="D443" s="250" t="str">
        <f>IF(Data!H437="","",Data!H437)</f>
        <v/>
      </c>
      <c r="E443" s="249" t="str">
        <f>IF(Data!I437="","",Data!I437)</f>
        <v/>
      </c>
      <c r="F443" s="249" t="str">
        <f>Data!J437</f>
        <v>VIII-K</v>
      </c>
      <c r="G443" s="197"/>
      <c r="H443" s="178" t="str">
        <f>IF(PA!R442="","",PA!R442)</f>
        <v/>
      </c>
      <c r="I443" s="179" t="str">
        <f>IF(PA!S442="","",PA!S442)</f>
        <v/>
      </c>
      <c r="J443" s="182" t="str">
        <f>IF(PA!Z442="","",PA!Z442)</f>
        <v/>
      </c>
      <c r="K443" s="179" t="str">
        <f>IF(PA!AI442="","",PA!AI442)</f>
        <v/>
      </c>
      <c r="L443" s="179" t="str">
        <f>IF(PA!AJ442="","",PA!AJ442)</f>
        <v/>
      </c>
      <c r="M443" s="182" t="str">
        <f>IF(PA!AQ442="","",PA!AQ442)</f>
        <v/>
      </c>
      <c r="N443" s="242"/>
    </row>
    <row r="444" spans="1:14" ht="15" customHeight="1" x14ac:dyDescent="0.3">
      <c r="A444" s="242"/>
      <c r="B444" s="424">
        <f>Data!E438</f>
        <v>34</v>
      </c>
      <c r="C444" s="249" t="str">
        <f>IF(Data!F438="","",Data!F438)</f>
        <v/>
      </c>
      <c r="D444" s="250" t="str">
        <f>IF(Data!H438="","",Data!H438)</f>
        <v/>
      </c>
      <c r="E444" s="249" t="str">
        <f>IF(Data!I438="","",Data!I438)</f>
        <v/>
      </c>
      <c r="F444" s="249" t="str">
        <f>Data!J438</f>
        <v>VIII-K</v>
      </c>
      <c r="G444" s="197"/>
      <c r="H444" s="178" t="str">
        <f>IF(PA!R443="","",PA!R443)</f>
        <v/>
      </c>
      <c r="I444" s="179" t="str">
        <f>IF(PA!S443="","",PA!S443)</f>
        <v/>
      </c>
      <c r="J444" s="182" t="str">
        <f>IF(PA!Z443="","",PA!Z443)</f>
        <v/>
      </c>
      <c r="K444" s="179" t="str">
        <f>IF(PA!AI443="","",PA!AI443)</f>
        <v/>
      </c>
      <c r="L444" s="179" t="str">
        <f>IF(PA!AJ443="","",PA!AJ443)</f>
        <v/>
      </c>
      <c r="M444" s="182" t="str">
        <f>IF(PA!AQ443="","",PA!AQ443)</f>
        <v/>
      </c>
      <c r="N444" s="242"/>
    </row>
    <row r="445" spans="1:14" ht="15" customHeight="1" x14ac:dyDescent="0.3">
      <c r="A445" s="242"/>
      <c r="B445" s="424">
        <f>Data!E439</f>
        <v>35</v>
      </c>
      <c r="C445" s="249" t="str">
        <f>IF(Data!F439="","",Data!F439)</f>
        <v/>
      </c>
      <c r="D445" s="250" t="str">
        <f>IF(Data!H439="","",Data!H439)</f>
        <v/>
      </c>
      <c r="E445" s="249" t="str">
        <f>IF(Data!I439="","",Data!I439)</f>
        <v/>
      </c>
      <c r="F445" s="249" t="str">
        <f>Data!J439</f>
        <v>VIII-K</v>
      </c>
      <c r="G445" s="197"/>
      <c r="H445" s="178" t="str">
        <f>IF(PA!R444="","",PA!R444)</f>
        <v/>
      </c>
      <c r="I445" s="179" t="str">
        <f>IF(PA!S444="","",PA!S444)</f>
        <v/>
      </c>
      <c r="J445" s="182" t="str">
        <f>IF(PA!Z444="","",PA!Z444)</f>
        <v/>
      </c>
      <c r="K445" s="179" t="str">
        <f>IF(PA!AI444="","",PA!AI444)</f>
        <v/>
      </c>
      <c r="L445" s="179" t="str">
        <f>IF(PA!AJ444="","",PA!AJ444)</f>
        <v/>
      </c>
      <c r="M445" s="182" t="str">
        <f>IF(PA!AQ444="","",PA!AQ444)</f>
        <v/>
      </c>
      <c r="N445" s="242"/>
    </row>
    <row r="446" spans="1:14" ht="15" customHeight="1" x14ac:dyDescent="0.3">
      <c r="A446" s="242"/>
      <c r="B446" s="424">
        <f>Data!E440</f>
        <v>36</v>
      </c>
      <c r="C446" s="249" t="str">
        <f>IF(Data!F440="","",Data!F440)</f>
        <v/>
      </c>
      <c r="D446" s="250" t="str">
        <f>IF(Data!H440="","",Data!H440)</f>
        <v/>
      </c>
      <c r="E446" s="249" t="str">
        <f>IF(Data!I440="","",Data!I440)</f>
        <v/>
      </c>
      <c r="F446" s="249" t="str">
        <f>Data!J440</f>
        <v>VIII-K</v>
      </c>
      <c r="G446" s="197"/>
      <c r="H446" s="178" t="str">
        <f>IF(PA!R445="","",PA!R445)</f>
        <v/>
      </c>
      <c r="I446" s="179" t="str">
        <f>IF(PA!S445="","",PA!S445)</f>
        <v/>
      </c>
      <c r="J446" s="182" t="str">
        <f>IF(PA!Z445="","",PA!Z445)</f>
        <v/>
      </c>
      <c r="K446" s="179" t="str">
        <f>IF(PA!AI445="","",PA!AI445)</f>
        <v/>
      </c>
      <c r="L446" s="179" t="str">
        <f>IF(PA!AJ445="","",PA!AJ445)</f>
        <v/>
      </c>
      <c r="M446" s="182" t="str">
        <f>IF(PA!AQ445="","",PA!AQ445)</f>
        <v/>
      </c>
      <c r="N446" s="242"/>
    </row>
    <row r="447" spans="1:14" ht="15" customHeight="1" x14ac:dyDescent="0.3">
      <c r="A447" s="242"/>
      <c r="B447" s="424">
        <f>Data!E441</f>
        <v>37</v>
      </c>
      <c r="C447" s="249" t="str">
        <f>IF(Data!F441="","",Data!F441)</f>
        <v/>
      </c>
      <c r="D447" s="250" t="str">
        <f>IF(Data!H441="","",Data!H441)</f>
        <v/>
      </c>
      <c r="E447" s="249" t="str">
        <f>IF(Data!I441="","",Data!I441)</f>
        <v/>
      </c>
      <c r="F447" s="249" t="str">
        <f>Data!J441</f>
        <v>VIII-K</v>
      </c>
      <c r="G447" s="197"/>
      <c r="H447" s="178" t="str">
        <f>IF(PA!R446="","",PA!R446)</f>
        <v/>
      </c>
      <c r="I447" s="179" t="str">
        <f>IF(PA!S446="","",PA!S446)</f>
        <v/>
      </c>
      <c r="J447" s="182" t="str">
        <f>IF(PA!Z446="","",PA!Z446)</f>
        <v/>
      </c>
      <c r="K447" s="179" t="str">
        <f>IF(PA!AI446="","",PA!AI446)</f>
        <v/>
      </c>
      <c r="L447" s="179" t="str">
        <f>IF(PA!AJ446="","",PA!AJ446)</f>
        <v/>
      </c>
      <c r="M447" s="182" t="str">
        <f>IF(PA!AQ446="","",PA!AQ446)</f>
        <v/>
      </c>
      <c r="N447" s="242"/>
    </row>
    <row r="448" spans="1:14" ht="15" customHeight="1" x14ac:dyDescent="0.3">
      <c r="A448" s="242"/>
      <c r="B448" s="424">
        <f>Data!E442</f>
        <v>38</v>
      </c>
      <c r="C448" s="249" t="str">
        <f>IF(Data!F442="","",Data!F442)</f>
        <v/>
      </c>
      <c r="D448" s="250" t="str">
        <f>IF(Data!H442="","",Data!H442)</f>
        <v/>
      </c>
      <c r="E448" s="249" t="str">
        <f>IF(Data!I442="","",Data!I442)</f>
        <v/>
      </c>
      <c r="F448" s="249" t="str">
        <f>Data!J442</f>
        <v>VIII-K</v>
      </c>
      <c r="G448" s="197"/>
      <c r="H448" s="178" t="str">
        <f>IF(PA!R447="","",PA!R447)</f>
        <v/>
      </c>
      <c r="I448" s="179" t="str">
        <f>IF(PA!S447="","",PA!S447)</f>
        <v/>
      </c>
      <c r="J448" s="182" t="str">
        <f>IF(PA!Z447="","",PA!Z447)</f>
        <v/>
      </c>
      <c r="K448" s="179" t="str">
        <f>IF(PA!AI447="","",PA!AI447)</f>
        <v/>
      </c>
      <c r="L448" s="179" t="str">
        <f>IF(PA!AJ447="","",PA!AJ447)</f>
        <v/>
      </c>
      <c r="M448" s="182" t="str">
        <f>IF(PA!AQ447="","",PA!AQ447)</f>
        <v/>
      </c>
      <c r="N448" s="242"/>
    </row>
    <row r="449" spans="1:14" ht="15" customHeight="1" x14ac:dyDescent="0.3">
      <c r="A449" s="242"/>
      <c r="B449" s="424">
        <f>Data!E443</f>
        <v>39</v>
      </c>
      <c r="C449" s="249" t="str">
        <f>IF(Data!F443="","",Data!F443)</f>
        <v/>
      </c>
      <c r="D449" s="250" t="str">
        <f>IF(Data!H443="","",Data!H443)</f>
        <v/>
      </c>
      <c r="E449" s="249" t="str">
        <f>IF(Data!I443="","",Data!I443)</f>
        <v/>
      </c>
      <c r="F449" s="249" t="str">
        <f>Data!J443</f>
        <v>VIII-K</v>
      </c>
      <c r="G449" s="197"/>
      <c r="H449" s="178" t="str">
        <f>IF(PA!R448="","",PA!R448)</f>
        <v/>
      </c>
      <c r="I449" s="179" t="str">
        <f>IF(PA!S448="","",PA!S448)</f>
        <v/>
      </c>
      <c r="J449" s="182" t="str">
        <f>IF(PA!Z448="","",PA!Z448)</f>
        <v/>
      </c>
      <c r="K449" s="179" t="str">
        <f>IF(PA!AI448="","",PA!AI448)</f>
        <v/>
      </c>
      <c r="L449" s="179" t="str">
        <f>IF(PA!AJ448="","",PA!AJ448)</f>
        <v/>
      </c>
      <c r="M449" s="182" t="str">
        <f>IF(PA!AQ448="","",PA!AQ448)</f>
        <v/>
      </c>
      <c r="N449" s="242"/>
    </row>
    <row r="450" spans="1:14" ht="15" customHeight="1" thickBot="1" x14ac:dyDescent="0.35">
      <c r="A450" s="242"/>
      <c r="B450" s="429">
        <f>Data!E444</f>
        <v>40</v>
      </c>
      <c r="C450" s="430" t="str">
        <f>IF(Data!F444="","",Data!F444)</f>
        <v/>
      </c>
      <c r="D450" s="431" t="str">
        <f>IF(Data!H444="","",Data!H444)</f>
        <v/>
      </c>
      <c r="E450" s="430" t="str">
        <f>IF(Data!I444="","",Data!I444)</f>
        <v/>
      </c>
      <c r="F450" s="430" t="str">
        <f>Data!J444</f>
        <v>VIII-K</v>
      </c>
      <c r="G450" s="432"/>
      <c r="H450" s="433" t="str">
        <f>IF(PA!R449="","",PA!R449)</f>
        <v/>
      </c>
      <c r="I450" s="434" t="str">
        <f>IF(PA!S449="","",PA!S449)</f>
        <v/>
      </c>
      <c r="J450" s="435" t="str">
        <f>IF(PA!Z449="","",PA!Z449)</f>
        <v/>
      </c>
      <c r="K450" s="434" t="str">
        <f>IF(PA!AI449="","",PA!AI449)</f>
        <v/>
      </c>
      <c r="L450" s="434" t="str">
        <f>IF(PA!AJ449="","",PA!AJ449)</f>
        <v/>
      </c>
      <c r="M450" s="435" t="str">
        <f>IF(PA!AQ449="","",PA!AQ449)</f>
        <v/>
      </c>
      <c r="N450" s="242"/>
    </row>
    <row r="451" spans="1:14" ht="15" customHeight="1" thickTop="1" x14ac:dyDescent="0.3">
      <c r="A451" s="242"/>
      <c r="B451" s="426">
        <f>Data!E445</f>
        <v>1</v>
      </c>
      <c r="C451" s="427" t="str">
        <f>IF(Data!F445="","",Data!F445)</f>
        <v/>
      </c>
      <c r="D451" s="428" t="str">
        <f>IF(Data!H445="","",Data!H445)</f>
        <v/>
      </c>
      <c r="E451" s="427" t="str">
        <f>IF(Data!I445="","",Data!I445)</f>
        <v/>
      </c>
      <c r="F451" s="427" t="str">
        <f>Data!J445</f>
        <v>VIII-L</v>
      </c>
      <c r="G451" s="197"/>
      <c r="H451" s="180" t="str">
        <f>IF(PA!R450="","",PA!R450)</f>
        <v/>
      </c>
      <c r="I451" s="181" t="str">
        <f>IF(PA!S450="","",PA!S450)</f>
        <v/>
      </c>
      <c r="J451" s="187" t="str">
        <f>IF(PA!Z450="","",PA!Z450)</f>
        <v/>
      </c>
      <c r="K451" s="181" t="str">
        <f>IF(PA!AI450="","",PA!AI450)</f>
        <v/>
      </c>
      <c r="L451" s="181" t="str">
        <f>IF(PA!AJ450="","",PA!AJ450)</f>
        <v/>
      </c>
      <c r="M451" s="187" t="str">
        <f>IF(PA!AQ450="","",PA!AQ450)</f>
        <v/>
      </c>
      <c r="N451" s="242"/>
    </row>
    <row r="452" spans="1:14" ht="15" customHeight="1" x14ac:dyDescent="0.3">
      <c r="A452" s="242"/>
      <c r="B452" s="424">
        <f>Data!E446</f>
        <v>2</v>
      </c>
      <c r="C452" s="249" t="str">
        <f>IF(Data!F446="","",Data!F446)</f>
        <v/>
      </c>
      <c r="D452" s="250" t="str">
        <f>IF(Data!H446="","",Data!H446)</f>
        <v/>
      </c>
      <c r="E452" s="249" t="str">
        <f>IF(Data!I446="","",Data!I446)</f>
        <v/>
      </c>
      <c r="F452" s="249" t="str">
        <f>Data!J446</f>
        <v>VIII-L</v>
      </c>
      <c r="G452" s="197"/>
      <c r="H452" s="178" t="str">
        <f>IF(PA!R451="","",PA!R451)</f>
        <v/>
      </c>
      <c r="I452" s="179" t="str">
        <f>IF(PA!S451="","",PA!S451)</f>
        <v/>
      </c>
      <c r="J452" s="182" t="str">
        <f>IF(PA!Z451="","",PA!Z451)</f>
        <v/>
      </c>
      <c r="K452" s="179" t="str">
        <f>IF(PA!AI451="","",PA!AI451)</f>
        <v/>
      </c>
      <c r="L452" s="179" t="str">
        <f>IF(PA!AJ451="","",PA!AJ451)</f>
        <v/>
      </c>
      <c r="M452" s="182" t="str">
        <f>IF(PA!AQ451="","",PA!AQ451)</f>
        <v/>
      </c>
      <c r="N452" s="242"/>
    </row>
    <row r="453" spans="1:14" ht="15" customHeight="1" x14ac:dyDescent="0.3">
      <c r="A453" s="242"/>
      <c r="B453" s="424">
        <f>Data!E447</f>
        <v>3</v>
      </c>
      <c r="C453" s="249" t="str">
        <f>IF(Data!F447="","",Data!F447)</f>
        <v/>
      </c>
      <c r="D453" s="250" t="str">
        <f>IF(Data!H447="","",Data!H447)</f>
        <v/>
      </c>
      <c r="E453" s="249" t="str">
        <f>IF(Data!I447="","",Data!I447)</f>
        <v/>
      </c>
      <c r="F453" s="249" t="str">
        <f>Data!J447</f>
        <v>VIII-L</v>
      </c>
      <c r="G453" s="197"/>
      <c r="H453" s="178" t="str">
        <f>IF(PA!R452="","",PA!R452)</f>
        <v/>
      </c>
      <c r="I453" s="179" t="str">
        <f>IF(PA!S452="","",PA!S452)</f>
        <v/>
      </c>
      <c r="J453" s="182" t="str">
        <f>IF(PA!Z452="","",PA!Z452)</f>
        <v/>
      </c>
      <c r="K453" s="179" t="str">
        <f>IF(PA!AI452="","",PA!AI452)</f>
        <v/>
      </c>
      <c r="L453" s="179" t="str">
        <f>IF(PA!AJ452="","",PA!AJ452)</f>
        <v/>
      </c>
      <c r="M453" s="182" t="str">
        <f>IF(PA!AQ452="","",PA!AQ452)</f>
        <v/>
      </c>
      <c r="N453" s="242"/>
    </row>
    <row r="454" spans="1:14" ht="15" customHeight="1" x14ac:dyDescent="0.3">
      <c r="A454" s="242"/>
      <c r="B454" s="424">
        <f>Data!E448</f>
        <v>4</v>
      </c>
      <c r="C454" s="249" t="str">
        <f>IF(Data!F448="","",Data!F448)</f>
        <v/>
      </c>
      <c r="D454" s="250" t="str">
        <f>IF(Data!H448="","",Data!H448)</f>
        <v/>
      </c>
      <c r="E454" s="249" t="str">
        <f>IF(Data!I448="","",Data!I448)</f>
        <v/>
      </c>
      <c r="F454" s="249" t="str">
        <f>Data!J448</f>
        <v>VIII-L</v>
      </c>
      <c r="G454" s="197"/>
      <c r="H454" s="178" t="str">
        <f>IF(PA!R453="","",PA!R453)</f>
        <v/>
      </c>
      <c r="I454" s="179" t="str">
        <f>IF(PA!S453="","",PA!S453)</f>
        <v/>
      </c>
      <c r="J454" s="182" t="str">
        <f>IF(PA!Z453="","",PA!Z453)</f>
        <v/>
      </c>
      <c r="K454" s="179" t="str">
        <f>IF(PA!AI453="","",PA!AI453)</f>
        <v/>
      </c>
      <c r="L454" s="179" t="str">
        <f>IF(PA!AJ453="","",PA!AJ453)</f>
        <v/>
      </c>
      <c r="M454" s="182" t="str">
        <f>IF(PA!AQ453="","",PA!AQ453)</f>
        <v/>
      </c>
      <c r="N454" s="242"/>
    </row>
    <row r="455" spans="1:14" ht="15" customHeight="1" x14ac:dyDescent="0.3">
      <c r="A455" s="242"/>
      <c r="B455" s="424">
        <f>Data!E449</f>
        <v>5</v>
      </c>
      <c r="C455" s="249" t="str">
        <f>IF(Data!F449="","",Data!F449)</f>
        <v/>
      </c>
      <c r="D455" s="250" t="str">
        <f>IF(Data!H449="","",Data!H449)</f>
        <v/>
      </c>
      <c r="E455" s="249" t="str">
        <f>IF(Data!I449="","",Data!I449)</f>
        <v/>
      </c>
      <c r="F455" s="249" t="str">
        <f>Data!J449</f>
        <v>VIII-L</v>
      </c>
      <c r="G455" s="197"/>
      <c r="H455" s="178" t="str">
        <f>IF(PA!R454="","",PA!R454)</f>
        <v/>
      </c>
      <c r="I455" s="179" t="str">
        <f>IF(PA!S454="","",PA!S454)</f>
        <v/>
      </c>
      <c r="J455" s="182" t="str">
        <f>IF(PA!Z454="","",PA!Z454)</f>
        <v/>
      </c>
      <c r="K455" s="179" t="str">
        <f>IF(PA!AI454="","",PA!AI454)</f>
        <v/>
      </c>
      <c r="L455" s="179" t="str">
        <f>IF(PA!AJ454="","",PA!AJ454)</f>
        <v/>
      </c>
      <c r="M455" s="182" t="str">
        <f>IF(PA!AQ454="","",PA!AQ454)</f>
        <v/>
      </c>
      <c r="N455" s="242"/>
    </row>
    <row r="456" spans="1:14" ht="15" customHeight="1" x14ac:dyDescent="0.3">
      <c r="A456" s="242"/>
      <c r="B456" s="424">
        <f>Data!E450</f>
        <v>6</v>
      </c>
      <c r="C456" s="249" t="str">
        <f>IF(Data!F450="","",Data!F450)</f>
        <v/>
      </c>
      <c r="D456" s="250" t="str">
        <f>IF(Data!H450="","",Data!H450)</f>
        <v/>
      </c>
      <c r="E456" s="249" t="str">
        <f>IF(Data!I450="","",Data!I450)</f>
        <v/>
      </c>
      <c r="F456" s="249" t="str">
        <f>Data!J450</f>
        <v>VIII-L</v>
      </c>
      <c r="G456" s="197"/>
      <c r="H456" s="178" t="str">
        <f>IF(PA!R455="","",PA!R455)</f>
        <v/>
      </c>
      <c r="I456" s="179" t="str">
        <f>IF(PA!S455="","",PA!S455)</f>
        <v/>
      </c>
      <c r="J456" s="182" t="str">
        <f>IF(PA!Z455="","",PA!Z455)</f>
        <v/>
      </c>
      <c r="K456" s="179" t="str">
        <f>IF(PA!AI455="","",PA!AI455)</f>
        <v/>
      </c>
      <c r="L456" s="179" t="str">
        <f>IF(PA!AJ455="","",PA!AJ455)</f>
        <v/>
      </c>
      <c r="M456" s="182" t="str">
        <f>IF(PA!AQ455="","",PA!AQ455)</f>
        <v/>
      </c>
      <c r="N456" s="242"/>
    </row>
    <row r="457" spans="1:14" ht="15" customHeight="1" x14ac:dyDescent="0.3">
      <c r="A457" s="242"/>
      <c r="B457" s="424">
        <f>Data!E451</f>
        <v>7</v>
      </c>
      <c r="C457" s="249" t="str">
        <f>IF(Data!F451="","",Data!F451)</f>
        <v/>
      </c>
      <c r="D457" s="250" t="str">
        <f>IF(Data!H451="","",Data!H451)</f>
        <v/>
      </c>
      <c r="E457" s="249" t="str">
        <f>IF(Data!I451="","",Data!I451)</f>
        <v/>
      </c>
      <c r="F457" s="249" t="str">
        <f>Data!J451</f>
        <v>VIII-L</v>
      </c>
      <c r="G457" s="197"/>
      <c r="H457" s="178" t="str">
        <f>IF(PA!R456="","",PA!R456)</f>
        <v/>
      </c>
      <c r="I457" s="179" t="str">
        <f>IF(PA!S456="","",PA!S456)</f>
        <v/>
      </c>
      <c r="J457" s="182" t="str">
        <f>IF(PA!Z456="","",PA!Z456)</f>
        <v/>
      </c>
      <c r="K457" s="179" t="str">
        <f>IF(PA!AI456="","",PA!AI456)</f>
        <v/>
      </c>
      <c r="L457" s="179" t="str">
        <f>IF(PA!AJ456="","",PA!AJ456)</f>
        <v/>
      </c>
      <c r="M457" s="182" t="str">
        <f>IF(PA!AQ456="","",PA!AQ456)</f>
        <v/>
      </c>
      <c r="N457" s="242"/>
    </row>
    <row r="458" spans="1:14" ht="15" customHeight="1" x14ac:dyDescent="0.3">
      <c r="A458" s="242"/>
      <c r="B458" s="424">
        <f>Data!E452</f>
        <v>8</v>
      </c>
      <c r="C458" s="249" t="str">
        <f>IF(Data!F452="","",Data!F452)</f>
        <v/>
      </c>
      <c r="D458" s="250" t="str">
        <f>IF(Data!H452="","",Data!H452)</f>
        <v/>
      </c>
      <c r="E458" s="249" t="str">
        <f>IF(Data!I452="","",Data!I452)</f>
        <v/>
      </c>
      <c r="F458" s="249" t="str">
        <f>Data!J452</f>
        <v>VIII-L</v>
      </c>
      <c r="G458" s="197"/>
      <c r="H458" s="178" t="str">
        <f>IF(PA!R457="","",PA!R457)</f>
        <v/>
      </c>
      <c r="I458" s="179" t="str">
        <f>IF(PA!S457="","",PA!S457)</f>
        <v/>
      </c>
      <c r="J458" s="182" t="str">
        <f>IF(PA!Z457="","",PA!Z457)</f>
        <v/>
      </c>
      <c r="K458" s="179" t="str">
        <f>IF(PA!AI457="","",PA!AI457)</f>
        <v/>
      </c>
      <c r="L458" s="179" t="str">
        <f>IF(PA!AJ457="","",PA!AJ457)</f>
        <v/>
      </c>
      <c r="M458" s="182" t="str">
        <f>IF(PA!AQ457="","",PA!AQ457)</f>
        <v/>
      </c>
      <c r="N458" s="242"/>
    </row>
    <row r="459" spans="1:14" ht="15" customHeight="1" x14ac:dyDescent="0.3">
      <c r="A459" s="242"/>
      <c r="B459" s="424">
        <f>Data!E453</f>
        <v>9</v>
      </c>
      <c r="C459" s="249" t="str">
        <f>IF(Data!F453="","",Data!F453)</f>
        <v/>
      </c>
      <c r="D459" s="250" t="str">
        <f>IF(Data!H453="","",Data!H453)</f>
        <v/>
      </c>
      <c r="E459" s="249" t="str">
        <f>IF(Data!I453="","",Data!I453)</f>
        <v/>
      </c>
      <c r="F459" s="249" t="str">
        <f>Data!J453</f>
        <v>VIII-L</v>
      </c>
      <c r="G459" s="197"/>
      <c r="H459" s="178" t="str">
        <f>IF(PA!R458="","",PA!R458)</f>
        <v/>
      </c>
      <c r="I459" s="179" t="str">
        <f>IF(PA!S458="","",PA!S458)</f>
        <v/>
      </c>
      <c r="J459" s="182" t="str">
        <f>IF(PA!Z458="","",PA!Z458)</f>
        <v/>
      </c>
      <c r="K459" s="179" t="str">
        <f>IF(PA!AI458="","",PA!AI458)</f>
        <v/>
      </c>
      <c r="L459" s="179" t="str">
        <f>IF(PA!AJ458="","",PA!AJ458)</f>
        <v/>
      </c>
      <c r="M459" s="182" t="str">
        <f>IF(PA!AQ458="","",PA!AQ458)</f>
        <v/>
      </c>
      <c r="N459" s="242"/>
    </row>
    <row r="460" spans="1:14" ht="15" customHeight="1" x14ac:dyDescent="0.3">
      <c r="A460" s="242"/>
      <c r="B460" s="424">
        <f>Data!E454</f>
        <v>10</v>
      </c>
      <c r="C460" s="249" t="str">
        <f>IF(Data!F454="","",Data!F454)</f>
        <v/>
      </c>
      <c r="D460" s="250" t="str">
        <f>IF(Data!H454="","",Data!H454)</f>
        <v/>
      </c>
      <c r="E460" s="249" t="str">
        <f>IF(Data!I454="","",Data!I454)</f>
        <v/>
      </c>
      <c r="F460" s="249" t="str">
        <f>Data!J454</f>
        <v>VIII-L</v>
      </c>
      <c r="G460" s="197"/>
      <c r="H460" s="178" t="str">
        <f>IF(PA!R459="","",PA!R459)</f>
        <v/>
      </c>
      <c r="I460" s="179" t="str">
        <f>IF(PA!S459="","",PA!S459)</f>
        <v/>
      </c>
      <c r="J460" s="182" t="str">
        <f>IF(PA!Z459="","",PA!Z459)</f>
        <v/>
      </c>
      <c r="K460" s="179" t="str">
        <f>IF(PA!AI459="","",PA!AI459)</f>
        <v/>
      </c>
      <c r="L460" s="179" t="str">
        <f>IF(PA!AJ459="","",PA!AJ459)</f>
        <v/>
      </c>
      <c r="M460" s="182" t="str">
        <f>IF(PA!AQ459="","",PA!AQ459)</f>
        <v/>
      </c>
      <c r="N460" s="242"/>
    </row>
    <row r="461" spans="1:14" ht="15" customHeight="1" x14ac:dyDescent="0.3">
      <c r="A461" s="242"/>
      <c r="B461" s="424">
        <f>Data!E455</f>
        <v>11</v>
      </c>
      <c r="C461" s="249" t="str">
        <f>IF(Data!F455="","",Data!F455)</f>
        <v/>
      </c>
      <c r="D461" s="250" t="str">
        <f>IF(Data!H455="","",Data!H455)</f>
        <v/>
      </c>
      <c r="E461" s="249" t="str">
        <f>IF(Data!I455="","",Data!I455)</f>
        <v/>
      </c>
      <c r="F461" s="249" t="str">
        <f>Data!J455</f>
        <v>VIII-L</v>
      </c>
      <c r="G461" s="197"/>
      <c r="H461" s="178" t="str">
        <f>IF(PA!R460="","",PA!R460)</f>
        <v/>
      </c>
      <c r="I461" s="179" t="str">
        <f>IF(PA!S460="","",PA!S460)</f>
        <v/>
      </c>
      <c r="J461" s="182" t="str">
        <f>IF(PA!Z460="","",PA!Z460)</f>
        <v/>
      </c>
      <c r="K461" s="179" t="str">
        <f>IF(PA!AI460="","",PA!AI460)</f>
        <v/>
      </c>
      <c r="L461" s="179" t="str">
        <f>IF(PA!AJ460="","",PA!AJ460)</f>
        <v/>
      </c>
      <c r="M461" s="182" t="str">
        <f>IF(PA!AQ460="","",PA!AQ460)</f>
        <v/>
      </c>
      <c r="N461" s="242"/>
    </row>
    <row r="462" spans="1:14" ht="15" customHeight="1" x14ac:dyDescent="0.3">
      <c r="A462" s="242"/>
      <c r="B462" s="424">
        <f>Data!E456</f>
        <v>12</v>
      </c>
      <c r="C462" s="249" t="str">
        <f>IF(Data!F456="","",Data!F456)</f>
        <v/>
      </c>
      <c r="D462" s="250" t="str">
        <f>IF(Data!H456="","",Data!H456)</f>
        <v/>
      </c>
      <c r="E462" s="249" t="str">
        <f>IF(Data!I456="","",Data!I456)</f>
        <v/>
      </c>
      <c r="F462" s="249" t="str">
        <f>Data!J456</f>
        <v>VIII-L</v>
      </c>
      <c r="G462" s="197"/>
      <c r="H462" s="178" t="str">
        <f>IF(PA!R461="","",PA!R461)</f>
        <v/>
      </c>
      <c r="I462" s="179" t="str">
        <f>IF(PA!S461="","",PA!S461)</f>
        <v/>
      </c>
      <c r="J462" s="182" t="str">
        <f>IF(PA!Z461="","",PA!Z461)</f>
        <v/>
      </c>
      <c r="K462" s="179" t="str">
        <f>IF(PA!AI461="","",PA!AI461)</f>
        <v/>
      </c>
      <c r="L462" s="179" t="str">
        <f>IF(PA!AJ461="","",PA!AJ461)</f>
        <v/>
      </c>
      <c r="M462" s="182" t="str">
        <f>IF(PA!AQ461="","",PA!AQ461)</f>
        <v/>
      </c>
      <c r="N462" s="242"/>
    </row>
    <row r="463" spans="1:14" ht="15" customHeight="1" x14ac:dyDescent="0.3">
      <c r="A463" s="242"/>
      <c r="B463" s="424">
        <f>Data!E457</f>
        <v>13</v>
      </c>
      <c r="C463" s="249" t="str">
        <f>IF(Data!F457="","",Data!F457)</f>
        <v/>
      </c>
      <c r="D463" s="250" t="str">
        <f>IF(Data!H457="","",Data!H457)</f>
        <v/>
      </c>
      <c r="E463" s="249" t="str">
        <f>IF(Data!I457="","",Data!I457)</f>
        <v/>
      </c>
      <c r="F463" s="249" t="str">
        <f>Data!J457</f>
        <v>VIII-L</v>
      </c>
      <c r="G463" s="197"/>
      <c r="H463" s="178" t="str">
        <f>IF(PA!R462="","",PA!R462)</f>
        <v/>
      </c>
      <c r="I463" s="179" t="str">
        <f>IF(PA!S462="","",PA!S462)</f>
        <v/>
      </c>
      <c r="J463" s="182" t="str">
        <f>IF(PA!Z462="","",PA!Z462)</f>
        <v/>
      </c>
      <c r="K463" s="179" t="str">
        <f>IF(PA!AI462="","",PA!AI462)</f>
        <v/>
      </c>
      <c r="L463" s="179" t="str">
        <f>IF(PA!AJ462="","",PA!AJ462)</f>
        <v/>
      </c>
      <c r="M463" s="182" t="str">
        <f>IF(PA!AQ462="","",PA!AQ462)</f>
        <v/>
      </c>
      <c r="N463" s="242"/>
    </row>
    <row r="464" spans="1:14" ht="15" customHeight="1" x14ac:dyDescent="0.3">
      <c r="A464" s="242"/>
      <c r="B464" s="424">
        <f>Data!E458</f>
        <v>14</v>
      </c>
      <c r="C464" s="249" t="str">
        <f>IF(Data!F458="","",Data!F458)</f>
        <v/>
      </c>
      <c r="D464" s="250" t="str">
        <f>IF(Data!H458="","",Data!H458)</f>
        <v/>
      </c>
      <c r="E464" s="249" t="str">
        <f>IF(Data!I458="","",Data!I458)</f>
        <v/>
      </c>
      <c r="F464" s="249" t="str">
        <f>Data!J458</f>
        <v>VIII-L</v>
      </c>
      <c r="G464" s="197"/>
      <c r="H464" s="178" t="str">
        <f>IF(PA!R463="","",PA!R463)</f>
        <v/>
      </c>
      <c r="I464" s="179" t="str">
        <f>IF(PA!S463="","",PA!S463)</f>
        <v/>
      </c>
      <c r="J464" s="182" t="str">
        <f>IF(PA!Z463="","",PA!Z463)</f>
        <v/>
      </c>
      <c r="K464" s="179" t="str">
        <f>IF(PA!AI463="","",PA!AI463)</f>
        <v/>
      </c>
      <c r="L464" s="179" t="str">
        <f>IF(PA!AJ463="","",PA!AJ463)</f>
        <v/>
      </c>
      <c r="M464" s="182" t="str">
        <f>IF(PA!AQ463="","",PA!AQ463)</f>
        <v/>
      </c>
      <c r="N464" s="242"/>
    </row>
    <row r="465" spans="1:14" ht="15" customHeight="1" x14ac:dyDescent="0.3">
      <c r="A465" s="242"/>
      <c r="B465" s="424">
        <f>Data!E459</f>
        <v>15</v>
      </c>
      <c r="C465" s="249" t="str">
        <f>IF(Data!F459="","",Data!F459)</f>
        <v/>
      </c>
      <c r="D465" s="250" t="str">
        <f>IF(Data!H459="","",Data!H459)</f>
        <v/>
      </c>
      <c r="E465" s="249" t="str">
        <f>IF(Data!I459="","",Data!I459)</f>
        <v/>
      </c>
      <c r="F465" s="249" t="str">
        <f>Data!J459</f>
        <v>VIII-L</v>
      </c>
      <c r="G465" s="197"/>
      <c r="H465" s="178" t="str">
        <f>IF(PA!R464="","",PA!R464)</f>
        <v/>
      </c>
      <c r="I465" s="179" t="str">
        <f>IF(PA!S464="","",PA!S464)</f>
        <v/>
      </c>
      <c r="J465" s="182" t="str">
        <f>IF(PA!Z464="","",PA!Z464)</f>
        <v/>
      </c>
      <c r="K465" s="179" t="str">
        <f>IF(PA!AI464="","",PA!AI464)</f>
        <v/>
      </c>
      <c r="L465" s="179" t="str">
        <f>IF(PA!AJ464="","",PA!AJ464)</f>
        <v/>
      </c>
      <c r="M465" s="182" t="str">
        <f>IF(PA!AQ464="","",PA!AQ464)</f>
        <v/>
      </c>
      <c r="N465" s="242"/>
    </row>
    <row r="466" spans="1:14" ht="15" customHeight="1" x14ac:dyDescent="0.3">
      <c r="A466" s="242"/>
      <c r="B466" s="424">
        <f>Data!E460</f>
        <v>16</v>
      </c>
      <c r="C466" s="249" t="str">
        <f>IF(Data!F460="","",Data!F460)</f>
        <v/>
      </c>
      <c r="D466" s="250" t="str">
        <f>IF(Data!H460="","",Data!H460)</f>
        <v/>
      </c>
      <c r="E466" s="249" t="str">
        <f>IF(Data!I460="","",Data!I460)</f>
        <v/>
      </c>
      <c r="F466" s="249" t="str">
        <f>Data!J460</f>
        <v>VIII-L</v>
      </c>
      <c r="G466" s="197"/>
      <c r="H466" s="178" t="str">
        <f>IF(PA!R465="","",PA!R465)</f>
        <v/>
      </c>
      <c r="I466" s="179" t="str">
        <f>IF(PA!S465="","",PA!S465)</f>
        <v/>
      </c>
      <c r="J466" s="182" t="str">
        <f>IF(PA!Z465="","",PA!Z465)</f>
        <v/>
      </c>
      <c r="K466" s="179" t="str">
        <f>IF(PA!AI465="","",PA!AI465)</f>
        <v/>
      </c>
      <c r="L466" s="179" t="str">
        <f>IF(PA!AJ465="","",PA!AJ465)</f>
        <v/>
      </c>
      <c r="M466" s="182" t="str">
        <f>IF(PA!AQ465="","",PA!AQ465)</f>
        <v/>
      </c>
      <c r="N466" s="242"/>
    </row>
    <row r="467" spans="1:14" ht="15" customHeight="1" x14ac:dyDescent="0.3">
      <c r="A467" s="242"/>
      <c r="B467" s="424">
        <f>Data!E461</f>
        <v>17</v>
      </c>
      <c r="C467" s="249" t="str">
        <f>IF(Data!F461="","",Data!F461)</f>
        <v/>
      </c>
      <c r="D467" s="250" t="str">
        <f>IF(Data!H461="","",Data!H461)</f>
        <v/>
      </c>
      <c r="E467" s="249" t="str">
        <f>IF(Data!I461="","",Data!I461)</f>
        <v/>
      </c>
      <c r="F467" s="249" t="str">
        <f>Data!J461</f>
        <v>VIII-L</v>
      </c>
      <c r="G467" s="197"/>
      <c r="H467" s="178" t="str">
        <f>IF(PA!R466="","",PA!R466)</f>
        <v/>
      </c>
      <c r="I467" s="179" t="str">
        <f>IF(PA!S466="","",PA!S466)</f>
        <v/>
      </c>
      <c r="J467" s="182" t="str">
        <f>IF(PA!Z466="","",PA!Z466)</f>
        <v/>
      </c>
      <c r="K467" s="179" t="str">
        <f>IF(PA!AI466="","",PA!AI466)</f>
        <v/>
      </c>
      <c r="L467" s="179" t="str">
        <f>IF(PA!AJ466="","",PA!AJ466)</f>
        <v/>
      </c>
      <c r="M467" s="182" t="str">
        <f>IF(PA!AQ466="","",PA!AQ466)</f>
        <v/>
      </c>
      <c r="N467" s="242"/>
    </row>
    <row r="468" spans="1:14" ht="15" customHeight="1" x14ac:dyDescent="0.3">
      <c r="A468" s="242"/>
      <c r="B468" s="424">
        <f>Data!E462</f>
        <v>18</v>
      </c>
      <c r="C468" s="249" t="str">
        <f>IF(Data!F462="","",Data!F462)</f>
        <v/>
      </c>
      <c r="D468" s="250" t="str">
        <f>IF(Data!H462="","",Data!H462)</f>
        <v/>
      </c>
      <c r="E468" s="249" t="str">
        <f>IF(Data!I462="","",Data!I462)</f>
        <v/>
      </c>
      <c r="F468" s="249" t="str">
        <f>Data!J462</f>
        <v>VIII-L</v>
      </c>
      <c r="G468" s="197"/>
      <c r="H468" s="178" t="str">
        <f>IF(PA!R467="","",PA!R467)</f>
        <v/>
      </c>
      <c r="I468" s="179" t="str">
        <f>IF(PA!S467="","",PA!S467)</f>
        <v/>
      </c>
      <c r="J468" s="182" t="str">
        <f>IF(PA!Z467="","",PA!Z467)</f>
        <v/>
      </c>
      <c r="K468" s="179" t="str">
        <f>IF(PA!AI467="","",PA!AI467)</f>
        <v/>
      </c>
      <c r="L468" s="179" t="str">
        <f>IF(PA!AJ467="","",PA!AJ467)</f>
        <v/>
      </c>
      <c r="M468" s="182" t="str">
        <f>IF(PA!AQ467="","",PA!AQ467)</f>
        <v/>
      </c>
      <c r="N468" s="242"/>
    </row>
    <row r="469" spans="1:14" ht="15" customHeight="1" x14ac:dyDescent="0.3">
      <c r="A469" s="242"/>
      <c r="B469" s="424">
        <f>Data!E463</f>
        <v>19</v>
      </c>
      <c r="C469" s="249" t="str">
        <f>IF(Data!F463="","",Data!F463)</f>
        <v/>
      </c>
      <c r="D469" s="250" t="str">
        <f>IF(Data!H463="","",Data!H463)</f>
        <v/>
      </c>
      <c r="E469" s="249" t="str">
        <f>IF(Data!I463="","",Data!I463)</f>
        <v/>
      </c>
      <c r="F469" s="249" t="str">
        <f>Data!J463</f>
        <v>VIII-L</v>
      </c>
      <c r="G469" s="197"/>
      <c r="H469" s="178" t="str">
        <f>IF(PA!R468="","",PA!R468)</f>
        <v/>
      </c>
      <c r="I469" s="179" t="str">
        <f>IF(PA!S468="","",PA!S468)</f>
        <v/>
      </c>
      <c r="J469" s="182" t="str">
        <f>IF(PA!Z468="","",PA!Z468)</f>
        <v/>
      </c>
      <c r="K469" s="179" t="str">
        <f>IF(PA!AI468="","",PA!AI468)</f>
        <v/>
      </c>
      <c r="L469" s="179" t="str">
        <f>IF(PA!AJ468="","",PA!AJ468)</f>
        <v/>
      </c>
      <c r="M469" s="182" t="str">
        <f>IF(PA!AQ468="","",PA!AQ468)</f>
        <v/>
      </c>
      <c r="N469" s="242"/>
    </row>
    <row r="470" spans="1:14" ht="15" customHeight="1" x14ac:dyDescent="0.3">
      <c r="A470" s="242"/>
      <c r="B470" s="424">
        <f>Data!E464</f>
        <v>20</v>
      </c>
      <c r="C470" s="249" t="str">
        <f>IF(Data!F464="","",Data!F464)</f>
        <v/>
      </c>
      <c r="D470" s="250" t="str">
        <f>IF(Data!H464="","",Data!H464)</f>
        <v/>
      </c>
      <c r="E470" s="249" t="str">
        <f>IF(Data!I464="","",Data!I464)</f>
        <v/>
      </c>
      <c r="F470" s="249" t="str">
        <f>Data!J464</f>
        <v>VIII-L</v>
      </c>
      <c r="G470" s="197"/>
      <c r="H470" s="178" t="str">
        <f>IF(PA!R469="","",PA!R469)</f>
        <v/>
      </c>
      <c r="I470" s="179" t="str">
        <f>IF(PA!S469="","",PA!S469)</f>
        <v/>
      </c>
      <c r="J470" s="182" t="str">
        <f>IF(PA!Z469="","",PA!Z469)</f>
        <v/>
      </c>
      <c r="K470" s="179" t="str">
        <f>IF(PA!AI469="","",PA!AI469)</f>
        <v/>
      </c>
      <c r="L470" s="179" t="str">
        <f>IF(PA!AJ469="","",PA!AJ469)</f>
        <v/>
      </c>
      <c r="M470" s="182" t="str">
        <f>IF(PA!AQ469="","",PA!AQ469)</f>
        <v/>
      </c>
      <c r="N470" s="242"/>
    </row>
    <row r="471" spans="1:14" ht="15" customHeight="1" x14ac:dyDescent="0.3">
      <c r="A471" s="242"/>
      <c r="B471" s="424">
        <f>Data!E465</f>
        <v>21</v>
      </c>
      <c r="C471" s="249" t="str">
        <f>IF(Data!F465="","",Data!F465)</f>
        <v/>
      </c>
      <c r="D471" s="250" t="str">
        <f>IF(Data!H465="","",Data!H465)</f>
        <v/>
      </c>
      <c r="E471" s="249" t="str">
        <f>IF(Data!I465="","",Data!I465)</f>
        <v/>
      </c>
      <c r="F471" s="249" t="str">
        <f>Data!J465</f>
        <v>VIII-L</v>
      </c>
      <c r="G471" s="197"/>
      <c r="H471" s="178" t="str">
        <f>IF(PA!R470="","",PA!R470)</f>
        <v/>
      </c>
      <c r="I471" s="179" t="str">
        <f>IF(PA!S470="","",PA!S470)</f>
        <v/>
      </c>
      <c r="J471" s="182" t="str">
        <f>IF(PA!Z470="","",PA!Z470)</f>
        <v/>
      </c>
      <c r="K471" s="179" t="str">
        <f>IF(PA!AI470="","",PA!AI470)</f>
        <v/>
      </c>
      <c r="L471" s="179" t="str">
        <f>IF(PA!AJ470="","",PA!AJ470)</f>
        <v/>
      </c>
      <c r="M471" s="182" t="str">
        <f>IF(PA!AQ470="","",PA!AQ470)</f>
        <v/>
      </c>
      <c r="N471" s="242"/>
    </row>
    <row r="472" spans="1:14" ht="15" customHeight="1" x14ac:dyDescent="0.3">
      <c r="A472" s="242"/>
      <c r="B472" s="424">
        <f>Data!E466</f>
        <v>22</v>
      </c>
      <c r="C472" s="249" t="str">
        <f>IF(Data!F466="","",Data!F466)</f>
        <v/>
      </c>
      <c r="D472" s="250" t="str">
        <f>IF(Data!H466="","",Data!H466)</f>
        <v/>
      </c>
      <c r="E472" s="249" t="str">
        <f>IF(Data!I466="","",Data!I466)</f>
        <v/>
      </c>
      <c r="F472" s="249" t="str">
        <f>Data!J466</f>
        <v>VIII-L</v>
      </c>
      <c r="G472" s="197"/>
      <c r="H472" s="178" t="str">
        <f>IF(PA!R471="","",PA!R471)</f>
        <v/>
      </c>
      <c r="I472" s="179" t="str">
        <f>IF(PA!S471="","",PA!S471)</f>
        <v/>
      </c>
      <c r="J472" s="182" t="str">
        <f>IF(PA!Z471="","",PA!Z471)</f>
        <v/>
      </c>
      <c r="K472" s="179" t="str">
        <f>IF(PA!AI471="","",PA!AI471)</f>
        <v/>
      </c>
      <c r="L472" s="179" t="str">
        <f>IF(PA!AJ471="","",PA!AJ471)</f>
        <v/>
      </c>
      <c r="M472" s="182" t="str">
        <f>IF(PA!AQ471="","",PA!AQ471)</f>
        <v/>
      </c>
      <c r="N472" s="242"/>
    </row>
    <row r="473" spans="1:14" ht="15" customHeight="1" x14ac:dyDescent="0.3">
      <c r="A473" s="242"/>
      <c r="B473" s="424">
        <f>Data!E467</f>
        <v>23</v>
      </c>
      <c r="C473" s="249" t="str">
        <f>IF(Data!F467="","",Data!F467)</f>
        <v/>
      </c>
      <c r="D473" s="250" t="str">
        <f>IF(Data!H467="","",Data!H467)</f>
        <v/>
      </c>
      <c r="E473" s="249" t="str">
        <f>IF(Data!I467="","",Data!I467)</f>
        <v/>
      </c>
      <c r="F473" s="249" t="str">
        <f>Data!J467</f>
        <v>VIII-L</v>
      </c>
      <c r="G473" s="197"/>
      <c r="H473" s="178" t="str">
        <f>IF(PA!R472="","",PA!R472)</f>
        <v/>
      </c>
      <c r="I473" s="179" t="str">
        <f>IF(PA!S472="","",PA!S472)</f>
        <v/>
      </c>
      <c r="J473" s="182" t="str">
        <f>IF(PA!Z472="","",PA!Z472)</f>
        <v/>
      </c>
      <c r="K473" s="179" t="str">
        <f>IF(PA!AI472="","",PA!AI472)</f>
        <v/>
      </c>
      <c r="L473" s="179" t="str">
        <f>IF(PA!AJ472="","",PA!AJ472)</f>
        <v/>
      </c>
      <c r="M473" s="182" t="str">
        <f>IF(PA!AQ472="","",PA!AQ472)</f>
        <v/>
      </c>
      <c r="N473" s="242"/>
    </row>
    <row r="474" spans="1:14" ht="15" customHeight="1" x14ac:dyDescent="0.3">
      <c r="A474" s="242"/>
      <c r="B474" s="424">
        <f>Data!E468</f>
        <v>24</v>
      </c>
      <c r="C474" s="249" t="str">
        <f>IF(Data!F468="","",Data!F468)</f>
        <v/>
      </c>
      <c r="D474" s="250" t="str">
        <f>IF(Data!H468="","",Data!H468)</f>
        <v/>
      </c>
      <c r="E474" s="249" t="str">
        <f>IF(Data!I468="","",Data!I468)</f>
        <v/>
      </c>
      <c r="F474" s="249" t="str">
        <f>Data!J468</f>
        <v>VIII-L</v>
      </c>
      <c r="G474" s="197"/>
      <c r="H474" s="178" t="str">
        <f>IF(PA!R473="","",PA!R473)</f>
        <v/>
      </c>
      <c r="I474" s="179" t="str">
        <f>IF(PA!S473="","",PA!S473)</f>
        <v/>
      </c>
      <c r="J474" s="182" t="str">
        <f>IF(PA!Z473="","",PA!Z473)</f>
        <v/>
      </c>
      <c r="K474" s="179" t="str">
        <f>IF(PA!AI473="","",PA!AI473)</f>
        <v/>
      </c>
      <c r="L474" s="179" t="str">
        <f>IF(PA!AJ473="","",PA!AJ473)</f>
        <v/>
      </c>
      <c r="M474" s="182" t="str">
        <f>IF(PA!AQ473="","",PA!AQ473)</f>
        <v/>
      </c>
      <c r="N474" s="242"/>
    </row>
    <row r="475" spans="1:14" ht="15" customHeight="1" x14ac:dyDescent="0.3">
      <c r="A475" s="242"/>
      <c r="B475" s="424">
        <f>Data!E469</f>
        <v>25</v>
      </c>
      <c r="C475" s="249" t="str">
        <f>IF(Data!F469="","",Data!F469)</f>
        <v/>
      </c>
      <c r="D475" s="250" t="str">
        <f>IF(Data!H469="","",Data!H469)</f>
        <v/>
      </c>
      <c r="E475" s="249" t="str">
        <f>IF(Data!I469="","",Data!I469)</f>
        <v/>
      </c>
      <c r="F475" s="249" t="str">
        <f>Data!J469</f>
        <v>VIII-L</v>
      </c>
      <c r="G475" s="197"/>
      <c r="H475" s="178" t="str">
        <f>IF(PA!R474="","",PA!R474)</f>
        <v/>
      </c>
      <c r="I475" s="179" t="str">
        <f>IF(PA!S474="","",PA!S474)</f>
        <v/>
      </c>
      <c r="J475" s="182" t="str">
        <f>IF(PA!Z474="","",PA!Z474)</f>
        <v/>
      </c>
      <c r="K475" s="179" t="str">
        <f>IF(PA!AI474="","",PA!AI474)</f>
        <v/>
      </c>
      <c r="L475" s="179" t="str">
        <f>IF(PA!AJ474="","",PA!AJ474)</f>
        <v/>
      </c>
      <c r="M475" s="182" t="str">
        <f>IF(PA!AQ474="","",PA!AQ474)</f>
        <v/>
      </c>
      <c r="N475" s="242"/>
    </row>
    <row r="476" spans="1:14" ht="15" customHeight="1" x14ac:dyDescent="0.3">
      <c r="A476" s="242"/>
      <c r="B476" s="424">
        <f>Data!E470</f>
        <v>26</v>
      </c>
      <c r="C476" s="249" t="str">
        <f>IF(Data!F470="","",Data!F470)</f>
        <v/>
      </c>
      <c r="D476" s="250" t="str">
        <f>IF(Data!H470="","",Data!H470)</f>
        <v/>
      </c>
      <c r="E476" s="249" t="str">
        <f>IF(Data!I470="","",Data!I470)</f>
        <v/>
      </c>
      <c r="F476" s="249" t="str">
        <f>Data!J470</f>
        <v>VIII-L</v>
      </c>
      <c r="G476" s="197"/>
      <c r="H476" s="178" t="str">
        <f>IF(PA!R475="","",PA!R475)</f>
        <v/>
      </c>
      <c r="I476" s="179" t="str">
        <f>IF(PA!S475="","",PA!S475)</f>
        <v/>
      </c>
      <c r="J476" s="182" t="str">
        <f>IF(PA!Z475="","",PA!Z475)</f>
        <v/>
      </c>
      <c r="K476" s="179" t="str">
        <f>IF(PA!AI475="","",PA!AI475)</f>
        <v/>
      </c>
      <c r="L476" s="179" t="str">
        <f>IF(PA!AJ475="","",PA!AJ475)</f>
        <v/>
      </c>
      <c r="M476" s="182" t="str">
        <f>IF(PA!AQ475="","",PA!AQ475)</f>
        <v/>
      </c>
      <c r="N476" s="242"/>
    </row>
    <row r="477" spans="1:14" ht="15" customHeight="1" x14ac:dyDescent="0.3">
      <c r="A477" s="242"/>
      <c r="B477" s="424">
        <f>Data!E471</f>
        <v>27</v>
      </c>
      <c r="C477" s="249" t="str">
        <f>IF(Data!F471="","",Data!F471)</f>
        <v/>
      </c>
      <c r="D477" s="250" t="str">
        <f>IF(Data!H471="","",Data!H471)</f>
        <v/>
      </c>
      <c r="E477" s="249" t="str">
        <f>IF(Data!I471="","",Data!I471)</f>
        <v/>
      </c>
      <c r="F477" s="249" t="str">
        <f>Data!J471</f>
        <v>VIII-L</v>
      </c>
      <c r="G477" s="197"/>
      <c r="H477" s="178" t="str">
        <f>IF(PA!R476="","",PA!R476)</f>
        <v/>
      </c>
      <c r="I477" s="179" t="str">
        <f>IF(PA!S476="","",PA!S476)</f>
        <v/>
      </c>
      <c r="J477" s="182" t="str">
        <f>IF(PA!Z476="","",PA!Z476)</f>
        <v/>
      </c>
      <c r="K477" s="179" t="str">
        <f>IF(PA!AI476="","",PA!AI476)</f>
        <v/>
      </c>
      <c r="L477" s="179" t="str">
        <f>IF(PA!AJ476="","",PA!AJ476)</f>
        <v/>
      </c>
      <c r="M477" s="182" t="str">
        <f>IF(PA!AQ476="","",PA!AQ476)</f>
        <v/>
      </c>
      <c r="N477" s="242"/>
    </row>
    <row r="478" spans="1:14" ht="15" customHeight="1" x14ac:dyDescent="0.3">
      <c r="A478" s="242"/>
      <c r="B478" s="424">
        <f>Data!E472</f>
        <v>28</v>
      </c>
      <c r="C478" s="249" t="str">
        <f>IF(Data!F472="","",Data!F472)</f>
        <v/>
      </c>
      <c r="D478" s="250" t="str">
        <f>IF(Data!H472="","",Data!H472)</f>
        <v/>
      </c>
      <c r="E478" s="249" t="str">
        <f>IF(Data!I472="","",Data!I472)</f>
        <v/>
      </c>
      <c r="F478" s="249" t="str">
        <f>Data!J472</f>
        <v>VIII-L</v>
      </c>
      <c r="G478" s="197"/>
      <c r="H478" s="178" t="str">
        <f>IF(PA!R477="","",PA!R477)</f>
        <v/>
      </c>
      <c r="I478" s="179" t="str">
        <f>IF(PA!S477="","",PA!S477)</f>
        <v/>
      </c>
      <c r="J478" s="182" t="str">
        <f>IF(PA!Z477="","",PA!Z477)</f>
        <v/>
      </c>
      <c r="K478" s="179" t="str">
        <f>IF(PA!AI477="","",PA!AI477)</f>
        <v/>
      </c>
      <c r="L478" s="179" t="str">
        <f>IF(PA!AJ477="","",PA!AJ477)</f>
        <v/>
      </c>
      <c r="M478" s="182" t="str">
        <f>IF(PA!AQ477="","",PA!AQ477)</f>
        <v/>
      </c>
      <c r="N478" s="242"/>
    </row>
    <row r="479" spans="1:14" ht="15" customHeight="1" x14ac:dyDescent="0.3">
      <c r="A479" s="242"/>
      <c r="B479" s="424">
        <f>Data!E473</f>
        <v>29</v>
      </c>
      <c r="C479" s="249" t="str">
        <f>IF(Data!F473="","",Data!F473)</f>
        <v/>
      </c>
      <c r="D479" s="250" t="str">
        <f>IF(Data!H473="","",Data!H473)</f>
        <v/>
      </c>
      <c r="E479" s="249" t="str">
        <f>IF(Data!I473="","",Data!I473)</f>
        <v/>
      </c>
      <c r="F479" s="249" t="str">
        <f>Data!J473</f>
        <v>VIII-L</v>
      </c>
      <c r="G479" s="197"/>
      <c r="H479" s="178" t="str">
        <f>IF(PA!R478="","",PA!R478)</f>
        <v/>
      </c>
      <c r="I479" s="179" t="str">
        <f>IF(PA!S478="","",PA!S478)</f>
        <v/>
      </c>
      <c r="J479" s="182" t="str">
        <f>IF(PA!Z478="","",PA!Z478)</f>
        <v/>
      </c>
      <c r="K479" s="179" t="str">
        <f>IF(PA!AI478="","",PA!AI478)</f>
        <v/>
      </c>
      <c r="L479" s="179" t="str">
        <f>IF(PA!AJ478="","",PA!AJ478)</f>
        <v/>
      </c>
      <c r="M479" s="182" t="str">
        <f>IF(PA!AQ478="","",PA!AQ478)</f>
        <v/>
      </c>
      <c r="N479" s="242"/>
    </row>
    <row r="480" spans="1:14" ht="15" customHeight="1" x14ac:dyDescent="0.3">
      <c r="A480" s="242"/>
      <c r="B480" s="424">
        <f>Data!E474</f>
        <v>30</v>
      </c>
      <c r="C480" s="249" t="str">
        <f>IF(Data!F474="","",Data!F474)</f>
        <v/>
      </c>
      <c r="D480" s="250" t="str">
        <f>IF(Data!H474="","",Data!H474)</f>
        <v/>
      </c>
      <c r="E480" s="249" t="str">
        <f>IF(Data!I474="","",Data!I474)</f>
        <v/>
      </c>
      <c r="F480" s="249" t="str">
        <f>Data!J474</f>
        <v>VIII-L</v>
      </c>
      <c r="G480" s="197"/>
      <c r="H480" s="178" t="str">
        <f>IF(PA!R479="","",PA!R479)</f>
        <v/>
      </c>
      <c r="I480" s="179" t="str">
        <f>IF(PA!S479="","",PA!S479)</f>
        <v/>
      </c>
      <c r="J480" s="182" t="str">
        <f>IF(PA!Z479="","",PA!Z479)</f>
        <v/>
      </c>
      <c r="K480" s="179" t="str">
        <f>IF(PA!AI479="","",PA!AI479)</f>
        <v/>
      </c>
      <c r="L480" s="179" t="str">
        <f>IF(PA!AJ479="","",PA!AJ479)</f>
        <v/>
      </c>
      <c r="M480" s="182" t="str">
        <f>IF(PA!AQ479="","",PA!AQ479)</f>
        <v/>
      </c>
      <c r="N480" s="242"/>
    </row>
    <row r="481" spans="1:14" ht="15" customHeight="1" x14ac:dyDescent="0.3">
      <c r="A481" s="242"/>
      <c r="B481" s="424">
        <f>Data!E475</f>
        <v>31</v>
      </c>
      <c r="C481" s="249" t="str">
        <f>IF(Data!F475="","",Data!F475)</f>
        <v/>
      </c>
      <c r="D481" s="250" t="str">
        <f>IF(Data!H475="","",Data!H475)</f>
        <v/>
      </c>
      <c r="E481" s="249" t="str">
        <f>IF(Data!I475="","",Data!I475)</f>
        <v/>
      </c>
      <c r="F481" s="249" t="str">
        <f>Data!J475</f>
        <v>VIII-L</v>
      </c>
      <c r="G481" s="197"/>
      <c r="H481" s="178" t="str">
        <f>IF(PA!R480="","",PA!R480)</f>
        <v/>
      </c>
      <c r="I481" s="179" t="str">
        <f>IF(PA!S480="","",PA!S480)</f>
        <v/>
      </c>
      <c r="J481" s="182" t="str">
        <f>IF(PA!Z480="","",PA!Z480)</f>
        <v/>
      </c>
      <c r="K481" s="179" t="str">
        <f>IF(PA!AI480="","",PA!AI480)</f>
        <v/>
      </c>
      <c r="L481" s="179" t="str">
        <f>IF(PA!AJ480="","",PA!AJ480)</f>
        <v/>
      </c>
      <c r="M481" s="182" t="str">
        <f>IF(PA!AQ480="","",PA!AQ480)</f>
        <v/>
      </c>
      <c r="N481" s="242"/>
    </row>
    <row r="482" spans="1:14" ht="15" customHeight="1" x14ac:dyDescent="0.3">
      <c r="A482" s="242"/>
      <c r="B482" s="424">
        <f>Data!E476</f>
        <v>32</v>
      </c>
      <c r="C482" s="249" t="str">
        <f>IF(Data!F476="","",Data!F476)</f>
        <v/>
      </c>
      <c r="D482" s="250" t="str">
        <f>IF(Data!H476="","",Data!H476)</f>
        <v/>
      </c>
      <c r="E482" s="249" t="str">
        <f>IF(Data!I476="","",Data!I476)</f>
        <v/>
      </c>
      <c r="F482" s="249" t="str">
        <f>Data!J476</f>
        <v>VIII-L</v>
      </c>
      <c r="G482" s="197"/>
      <c r="H482" s="178" t="str">
        <f>IF(PA!R481="","",PA!R481)</f>
        <v/>
      </c>
      <c r="I482" s="179" t="str">
        <f>IF(PA!S481="","",PA!S481)</f>
        <v/>
      </c>
      <c r="J482" s="182" t="str">
        <f>IF(PA!Z481="","",PA!Z481)</f>
        <v/>
      </c>
      <c r="K482" s="179" t="str">
        <f>IF(PA!AI481="","",PA!AI481)</f>
        <v/>
      </c>
      <c r="L482" s="179" t="str">
        <f>IF(PA!AJ481="","",PA!AJ481)</f>
        <v/>
      </c>
      <c r="M482" s="182" t="str">
        <f>IF(PA!AQ481="","",PA!AQ481)</f>
        <v/>
      </c>
      <c r="N482" s="242"/>
    </row>
    <row r="483" spans="1:14" ht="15" customHeight="1" x14ac:dyDescent="0.3">
      <c r="A483" s="242"/>
      <c r="B483" s="424">
        <f>Data!E477</f>
        <v>33</v>
      </c>
      <c r="C483" s="249" t="str">
        <f>IF(Data!F477="","",Data!F477)</f>
        <v/>
      </c>
      <c r="D483" s="250" t="str">
        <f>IF(Data!H477="","",Data!H477)</f>
        <v/>
      </c>
      <c r="E483" s="249" t="str">
        <f>IF(Data!I477="","",Data!I477)</f>
        <v/>
      </c>
      <c r="F483" s="249" t="str">
        <f>Data!J477</f>
        <v>VIII-L</v>
      </c>
      <c r="G483" s="197"/>
      <c r="H483" s="178" t="str">
        <f>IF(PA!R482="","",PA!R482)</f>
        <v/>
      </c>
      <c r="I483" s="179" t="str">
        <f>IF(PA!S482="","",PA!S482)</f>
        <v/>
      </c>
      <c r="J483" s="182" t="str">
        <f>IF(PA!Z482="","",PA!Z482)</f>
        <v/>
      </c>
      <c r="K483" s="179" t="str">
        <f>IF(PA!AI482="","",PA!AI482)</f>
        <v/>
      </c>
      <c r="L483" s="179" t="str">
        <f>IF(PA!AJ482="","",PA!AJ482)</f>
        <v/>
      </c>
      <c r="M483" s="182" t="str">
        <f>IF(PA!AQ482="","",PA!AQ482)</f>
        <v/>
      </c>
      <c r="N483" s="242"/>
    </row>
    <row r="484" spans="1:14" ht="15" customHeight="1" x14ac:dyDescent="0.3">
      <c r="A484" s="242"/>
      <c r="B484" s="424">
        <f>Data!E478</f>
        <v>34</v>
      </c>
      <c r="C484" s="249" t="str">
        <f>IF(Data!F478="","",Data!F478)</f>
        <v/>
      </c>
      <c r="D484" s="250" t="str">
        <f>IF(Data!H478="","",Data!H478)</f>
        <v/>
      </c>
      <c r="E484" s="249" t="str">
        <f>IF(Data!I478="","",Data!I478)</f>
        <v/>
      </c>
      <c r="F484" s="249" t="str">
        <f>Data!J478</f>
        <v>VIII-L</v>
      </c>
      <c r="G484" s="197"/>
      <c r="H484" s="178" t="str">
        <f>IF(PA!R483="","",PA!R483)</f>
        <v/>
      </c>
      <c r="I484" s="179" t="str">
        <f>IF(PA!S483="","",PA!S483)</f>
        <v/>
      </c>
      <c r="J484" s="182" t="str">
        <f>IF(PA!Z483="","",PA!Z483)</f>
        <v/>
      </c>
      <c r="K484" s="179" t="str">
        <f>IF(PA!AI483="","",PA!AI483)</f>
        <v/>
      </c>
      <c r="L484" s="179" t="str">
        <f>IF(PA!AJ483="","",PA!AJ483)</f>
        <v/>
      </c>
      <c r="M484" s="182" t="str">
        <f>IF(PA!AQ483="","",PA!AQ483)</f>
        <v/>
      </c>
      <c r="N484" s="242"/>
    </row>
    <row r="485" spans="1:14" ht="15" customHeight="1" x14ac:dyDescent="0.3">
      <c r="A485" s="242"/>
      <c r="B485" s="424">
        <f>Data!E479</f>
        <v>35</v>
      </c>
      <c r="C485" s="249" t="str">
        <f>IF(Data!F479="","",Data!F479)</f>
        <v/>
      </c>
      <c r="D485" s="250" t="str">
        <f>IF(Data!H479="","",Data!H479)</f>
        <v/>
      </c>
      <c r="E485" s="249" t="str">
        <f>IF(Data!I479="","",Data!I479)</f>
        <v/>
      </c>
      <c r="F485" s="249" t="str">
        <f>Data!J479</f>
        <v>VIII-L</v>
      </c>
      <c r="G485" s="197"/>
      <c r="H485" s="178" t="str">
        <f>IF(PA!R484="","",PA!R484)</f>
        <v/>
      </c>
      <c r="I485" s="179" t="str">
        <f>IF(PA!S484="","",PA!S484)</f>
        <v/>
      </c>
      <c r="J485" s="182" t="str">
        <f>IF(PA!Z484="","",PA!Z484)</f>
        <v/>
      </c>
      <c r="K485" s="179" t="str">
        <f>IF(PA!AI484="","",PA!AI484)</f>
        <v/>
      </c>
      <c r="L485" s="179" t="str">
        <f>IF(PA!AJ484="","",PA!AJ484)</f>
        <v/>
      </c>
      <c r="M485" s="182" t="str">
        <f>IF(PA!AQ484="","",PA!AQ484)</f>
        <v/>
      </c>
      <c r="N485" s="242"/>
    </row>
    <row r="486" spans="1:14" ht="15" customHeight="1" x14ac:dyDescent="0.3">
      <c r="A486" s="242"/>
      <c r="B486" s="424">
        <f>Data!E480</f>
        <v>36</v>
      </c>
      <c r="C486" s="249" t="str">
        <f>IF(Data!F480="","",Data!F480)</f>
        <v/>
      </c>
      <c r="D486" s="250" t="str">
        <f>IF(Data!H480="","",Data!H480)</f>
        <v/>
      </c>
      <c r="E486" s="249" t="str">
        <f>IF(Data!I480="","",Data!I480)</f>
        <v/>
      </c>
      <c r="F486" s="249" t="str">
        <f>Data!J480</f>
        <v>VIII-L</v>
      </c>
      <c r="G486" s="197"/>
      <c r="H486" s="178" t="str">
        <f>IF(PA!R485="","",PA!R485)</f>
        <v/>
      </c>
      <c r="I486" s="179" t="str">
        <f>IF(PA!S485="","",PA!S485)</f>
        <v/>
      </c>
      <c r="J486" s="182" t="str">
        <f>IF(PA!Z485="","",PA!Z485)</f>
        <v/>
      </c>
      <c r="K486" s="179" t="str">
        <f>IF(PA!AI485="","",PA!AI485)</f>
        <v/>
      </c>
      <c r="L486" s="179" t="str">
        <f>IF(PA!AJ485="","",PA!AJ485)</f>
        <v/>
      </c>
      <c r="M486" s="182" t="str">
        <f>IF(PA!AQ485="","",PA!AQ485)</f>
        <v/>
      </c>
      <c r="N486" s="242"/>
    </row>
    <row r="487" spans="1:14" ht="15" customHeight="1" x14ac:dyDescent="0.3">
      <c r="A487" s="242"/>
      <c r="B487" s="424">
        <f>Data!E481</f>
        <v>37</v>
      </c>
      <c r="C487" s="249" t="str">
        <f>IF(Data!F481="","",Data!F481)</f>
        <v/>
      </c>
      <c r="D487" s="250" t="str">
        <f>IF(Data!H481="","",Data!H481)</f>
        <v/>
      </c>
      <c r="E487" s="249" t="str">
        <f>IF(Data!I481="","",Data!I481)</f>
        <v/>
      </c>
      <c r="F487" s="249" t="str">
        <f>Data!J481</f>
        <v>VIII-L</v>
      </c>
      <c r="G487" s="197"/>
      <c r="H487" s="178" t="str">
        <f>IF(PA!R486="","",PA!R486)</f>
        <v/>
      </c>
      <c r="I487" s="179" t="str">
        <f>IF(PA!S486="","",PA!S486)</f>
        <v/>
      </c>
      <c r="J487" s="182" t="str">
        <f>IF(PA!Z486="","",PA!Z486)</f>
        <v/>
      </c>
      <c r="K487" s="179" t="str">
        <f>IF(PA!AI486="","",PA!AI486)</f>
        <v/>
      </c>
      <c r="L487" s="179" t="str">
        <f>IF(PA!AJ486="","",PA!AJ486)</f>
        <v/>
      </c>
      <c r="M487" s="182" t="str">
        <f>IF(PA!AQ486="","",PA!AQ486)</f>
        <v/>
      </c>
      <c r="N487" s="242"/>
    </row>
    <row r="488" spans="1:14" ht="15" customHeight="1" x14ac:dyDescent="0.3">
      <c r="A488" s="242"/>
      <c r="B488" s="424">
        <f>Data!E482</f>
        <v>38</v>
      </c>
      <c r="C488" s="249" t="str">
        <f>IF(Data!F482="","",Data!F482)</f>
        <v/>
      </c>
      <c r="D488" s="250" t="str">
        <f>IF(Data!H482="","",Data!H482)</f>
        <v/>
      </c>
      <c r="E488" s="249" t="str">
        <f>IF(Data!I482="","",Data!I482)</f>
        <v/>
      </c>
      <c r="F488" s="249" t="str">
        <f>Data!J482</f>
        <v>VIII-L</v>
      </c>
      <c r="G488" s="197"/>
      <c r="H488" s="178" t="str">
        <f>IF(PA!R487="","",PA!R487)</f>
        <v/>
      </c>
      <c r="I488" s="179" t="str">
        <f>IF(PA!S487="","",PA!S487)</f>
        <v/>
      </c>
      <c r="J488" s="182" t="str">
        <f>IF(PA!Z487="","",PA!Z487)</f>
        <v/>
      </c>
      <c r="K488" s="179" t="str">
        <f>IF(PA!AI487="","",PA!AI487)</f>
        <v/>
      </c>
      <c r="L488" s="179" t="str">
        <f>IF(PA!AJ487="","",PA!AJ487)</f>
        <v/>
      </c>
      <c r="M488" s="182" t="str">
        <f>IF(PA!AQ487="","",PA!AQ487)</f>
        <v/>
      </c>
      <c r="N488" s="242"/>
    </row>
    <row r="489" spans="1:14" ht="15" customHeight="1" x14ac:dyDescent="0.3">
      <c r="A489" s="242"/>
      <c r="B489" s="424">
        <f>Data!E483</f>
        <v>39</v>
      </c>
      <c r="C489" s="249" t="str">
        <f>IF(Data!F483="","",Data!F483)</f>
        <v/>
      </c>
      <c r="D489" s="250" t="str">
        <f>IF(Data!H483="","",Data!H483)</f>
        <v/>
      </c>
      <c r="E489" s="249" t="str">
        <f>IF(Data!I483="","",Data!I483)</f>
        <v/>
      </c>
      <c r="F489" s="249" t="str">
        <f>Data!J483</f>
        <v>VIII-L</v>
      </c>
      <c r="G489" s="197"/>
      <c r="H489" s="178" t="str">
        <f>IF(PA!R488="","",PA!R488)</f>
        <v/>
      </c>
      <c r="I489" s="179" t="str">
        <f>IF(PA!S488="","",PA!S488)</f>
        <v/>
      </c>
      <c r="J489" s="182" t="str">
        <f>IF(PA!Z488="","",PA!Z488)</f>
        <v/>
      </c>
      <c r="K489" s="179" t="str">
        <f>IF(PA!AI488="","",PA!AI488)</f>
        <v/>
      </c>
      <c r="L489" s="179" t="str">
        <f>IF(PA!AJ488="","",PA!AJ488)</f>
        <v/>
      </c>
      <c r="M489" s="182" t="str">
        <f>IF(PA!AQ488="","",PA!AQ488)</f>
        <v/>
      </c>
      <c r="N489" s="242"/>
    </row>
    <row r="490" spans="1:14" ht="15" customHeight="1" thickBot="1" x14ac:dyDescent="0.35">
      <c r="A490" s="242"/>
      <c r="B490" s="429">
        <f>Data!E484</f>
        <v>40</v>
      </c>
      <c r="C490" s="430" t="str">
        <f>IF(Data!F484="","",Data!F484)</f>
        <v/>
      </c>
      <c r="D490" s="431" t="str">
        <f>IF(Data!H484="","",Data!H484)</f>
        <v/>
      </c>
      <c r="E490" s="430" t="str">
        <f>IF(Data!I484="","",Data!I484)</f>
        <v/>
      </c>
      <c r="F490" s="430" t="str">
        <f>Data!J484</f>
        <v>VIII-L</v>
      </c>
      <c r="G490" s="432"/>
      <c r="H490" s="433" t="str">
        <f>IF(PA!R489="","",PA!R489)</f>
        <v/>
      </c>
      <c r="I490" s="434" t="str">
        <f>IF(PA!S489="","",PA!S489)</f>
        <v/>
      </c>
      <c r="J490" s="435" t="str">
        <f>IF(PA!Z489="","",PA!Z489)</f>
        <v/>
      </c>
      <c r="K490" s="434" t="str">
        <f>IF(PA!AI489="","",PA!AI489)</f>
        <v/>
      </c>
      <c r="L490" s="434" t="str">
        <f>IF(PA!AJ489="","",PA!AJ489)</f>
        <v/>
      </c>
      <c r="M490" s="435" t="str">
        <f>IF(PA!AQ489="","",PA!AQ489)</f>
        <v/>
      </c>
      <c r="N490" s="242"/>
    </row>
    <row r="491" spans="1:14" ht="15" customHeight="1" thickTop="1" x14ac:dyDescent="0.3">
      <c r="A491" s="242"/>
      <c r="B491" s="426">
        <f>Data!E485</f>
        <v>1</v>
      </c>
      <c r="C491" s="427" t="str">
        <f>IF(Data!F485="","",Data!F485)</f>
        <v/>
      </c>
      <c r="D491" s="428" t="str">
        <f>IF(Data!H485="","",Data!H485)</f>
        <v/>
      </c>
      <c r="E491" s="427" t="str">
        <f>IF(Data!I485="","",Data!I485)</f>
        <v/>
      </c>
      <c r="F491" s="427" t="str">
        <f>Data!J485</f>
        <v>VIII-M</v>
      </c>
      <c r="G491" s="197"/>
      <c r="H491" s="180" t="str">
        <f>IF(PA!R490="","",PA!R490)</f>
        <v/>
      </c>
      <c r="I491" s="181" t="str">
        <f>IF(PA!S490="","",PA!S490)</f>
        <v/>
      </c>
      <c r="J491" s="187" t="str">
        <f>IF(PA!Z490="","",PA!Z490)</f>
        <v/>
      </c>
      <c r="K491" s="181" t="str">
        <f>IF(PA!AI490="","",PA!AI490)</f>
        <v/>
      </c>
      <c r="L491" s="181" t="str">
        <f>IF(PA!AJ490="","",PA!AJ490)</f>
        <v/>
      </c>
      <c r="M491" s="187" t="str">
        <f>IF(PA!AQ490="","",PA!AQ490)</f>
        <v/>
      </c>
      <c r="N491" s="242"/>
    </row>
    <row r="492" spans="1:14" ht="15" customHeight="1" x14ac:dyDescent="0.3">
      <c r="A492" s="242"/>
      <c r="B492" s="424">
        <f>Data!E486</f>
        <v>2</v>
      </c>
      <c r="C492" s="249" t="str">
        <f>IF(Data!F486="","",Data!F486)</f>
        <v/>
      </c>
      <c r="D492" s="250" t="str">
        <f>IF(Data!H486="","",Data!H486)</f>
        <v/>
      </c>
      <c r="E492" s="249" t="str">
        <f>IF(Data!I486="","",Data!I486)</f>
        <v/>
      </c>
      <c r="F492" s="249" t="str">
        <f>Data!J486</f>
        <v>VIII-M</v>
      </c>
      <c r="G492" s="197"/>
      <c r="H492" s="178" t="str">
        <f>IF(PA!R491="","",PA!R491)</f>
        <v/>
      </c>
      <c r="I492" s="179" t="str">
        <f>IF(PA!S491="","",PA!S491)</f>
        <v/>
      </c>
      <c r="J492" s="182" t="str">
        <f>IF(PA!Z491="","",PA!Z491)</f>
        <v/>
      </c>
      <c r="K492" s="179" t="str">
        <f>IF(PA!AI491="","",PA!AI491)</f>
        <v/>
      </c>
      <c r="L492" s="179" t="str">
        <f>IF(PA!AJ491="","",PA!AJ491)</f>
        <v/>
      </c>
      <c r="M492" s="182" t="str">
        <f>IF(PA!AQ491="","",PA!AQ491)</f>
        <v/>
      </c>
      <c r="N492" s="242"/>
    </row>
    <row r="493" spans="1:14" ht="15" customHeight="1" x14ac:dyDescent="0.3">
      <c r="A493" s="242"/>
      <c r="B493" s="424">
        <f>Data!E487</f>
        <v>3</v>
      </c>
      <c r="C493" s="249" t="str">
        <f>IF(Data!F487="","",Data!F487)</f>
        <v/>
      </c>
      <c r="D493" s="250" t="str">
        <f>IF(Data!H487="","",Data!H487)</f>
        <v/>
      </c>
      <c r="E493" s="249" t="str">
        <f>IF(Data!I487="","",Data!I487)</f>
        <v/>
      </c>
      <c r="F493" s="249" t="str">
        <f>Data!J487</f>
        <v>VIII-M</v>
      </c>
      <c r="G493" s="197"/>
      <c r="H493" s="178" t="str">
        <f>IF(PA!R492="","",PA!R492)</f>
        <v/>
      </c>
      <c r="I493" s="179" t="str">
        <f>IF(PA!S492="","",PA!S492)</f>
        <v/>
      </c>
      <c r="J493" s="182" t="str">
        <f>IF(PA!Z492="","",PA!Z492)</f>
        <v/>
      </c>
      <c r="K493" s="179" t="str">
        <f>IF(PA!AI492="","",PA!AI492)</f>
        <v/>
      </c>
      <c r="L493" s="179" t="str">
        <f>IF(PA!AJ492="","",PA!AJ492)</f>
        <v/>
      </c>
      <c r="M493" s="182" t="str">
        <f>IF(PA!AQ492="","",PA!AQ492)</f>
        <v/>
      </c>
      <c r="N493" s="242"/>
    </row>
    <row r="494" spans="1:14" ht="15" customHeight="1" x14ac:dyDescent="0.3">
      <c r="A494" s="242"/>
      <c r="B494" s="424">
        <f>Data!E488</f>
        <v>4</v>
      </c>
      <c r="C494" s="249" t="str">
        <f>IF(Data!F488="","",Data!F488)</f>
        <v/>
      </c>
      <c r="D494" s="250" t="str">
        <f>IF(Data!H488="","",Data!H488)</f>
        <v/>
      </c>
      <c r="E494" s="249" t="str">
        <f>IF(Data!I488="","",Data!I488)</f>
        <v/>
      </c>
      <c r="F494" s="249" t="str">
        <f>Data!J488</f>
        <v>VIII-M</v>
      </c>
      <c r="G494" s="197"/>
      <c r="H494" s="178" t="str">
        <f>IF(PA!R493="","",PA!R493)</f>
        <v/>
      </c>
      <c r="I494" s="179" t="str">
        <f>IF(PA!S493="","",PA!S493)</f>
        <v/>
      </c>
      <c r="J494" s="182" t="str">
        <f>IF(PA!Z493="","",PA!Z493)</f>
        <v/>
      </c>
      <c r="K494" s="179" t="str">
        <f>IF(PA!AI493="","",PA!AI493)</f>
        <v/>
      </c>
      <c r="L494" s="179" t="str">
        <f>IF(PA!AJ493="","",PA!AJ493)</f>
        <v/>
      </c>
      <c r="M494" s="182" t="str">
        <f>IF(PA!AQ493="","",PA!AQ493)</f>
        <v/>
      </c>
      <c r="N494" s="242"/>
    </row>
    <row r="495" spans="1:14" ht="15" customHeight="1" x14ac:dyDescent="0.3">
      <c r="A495" s="242"/>
      <c r="B495" s="424">
        <f>Data!E489</f>
        <v>5</v>
      </c>
      <c r="C495" s="249" t="str">
        <f>IF(Data!F489="","",Data!F489)</f>
        <v/>
      </c>
      <c r="D495" s="250" t="str">
        <f>IF(Data!H489="","",Data!H489)</f>
        <v/>
      </c>
      <c r="E495" s="249" t="str">
        <f>IF(Data!I489="","",Data!I489)</f>
        <v/>
      </c>
      <c r="F495" s="249" t="str">
        <f>Data!J489</f>
        <v>VIII-M</v>
      </c>
      <c r="G495" s="197"/>
      <c r="H495" s="178" t="str">
        <f>IF(PA!R494="","",PA!R494)</f>
        <v/>
      </c>
      <c r="I495" s="179" t="str">
        <f>IF(PA!S494="","",PA!S494)</f>
        <v/>
      </c>
      <c r="J495" s="182" t="str">
        <f>IF(PA!Z494="","",PA!Z494)</f>
        <v/>
      </c>
      <c r="K495" s="179" t="str">
        <f>IF(PA!AI494="","",PA!AI494)</f>
        <v/>
      </c>
      <c r="L495" s="179" t="str">
        <f>IF(PA!AJ494="","",PA!AJ494)</f>
        <v/>
      </c>
      <c r="M495" s="182" t="str">
        <f>IF(PA!AQ494="","",PA!AQ494)</f>
        <v/>
      </c>
      <c r="N495" s="242"/>
    </row>
    <row r="496" spans="1:14" ht="15" customHeight="1" x14ac:dyDescent="0.3">
      <c r="A496" s="242"/>
      <c r="B496" s="424">
        <f>Data!E490</f>
        <v>6</v>
      </c>
      <c r="C496" s="249" t="str">
        <f>IF(Data!F490="","",Data!F490)</f>
        <v/>
      </c>
      <c r="D496" s="250" t="str">
        <f>IF(Data!H490="","",Data!H490)</f>
        <v/>
      </c>
      <c r="E496" s="249" t="str">
        <f>IF(Data!I490="","",Data!I490)</f>
        <v/>
      </c>
      <c r="F496" s="249" t="str">
        <f>Data!J490</f>
        <v>VIII-M</v>
      </c>
      <c r="G496" s="197"/>
      <c r="H496" s="178" t="str">
        <f>IF(PA!R495="","",PA!R495)</f>
        <v/>
      </c>
      <c r="I496" s="179" t="str">
        <f>IF(PA!S495="","",PA!S495)</f>
        <v/>
      </c>
      <c r="J496" s="182" t="str">
        <f>IF(PA!Z495="","",PA!Z495)</f>
        <v/>
      </c>
      <c r="K496" s="179" t="str">
        <f>IF(PA!AI495="","",PA!AI495)</f>
        <v/>
      </c>
      <c r="L496" s="179" t="str">
        <f>IF(PA!AJ495="","",PA!AJ495)</f>
        <v/>
      </c>
      <c r="M496" s="182" t="str">
        <f>IF(PA!AQ495="","",PA!AQ495)</f>
        <v/>
      </c>
      <c r="N496" s="242"/>
    </row>
    <row r="497" spans="1:14" ht="15" customHeight="1" x14ac:dyDescent="0.3">
      <c r="A497" s="242"/>
      <c r="B497" s="424">
        <f>Data!E491</f>
        <v>7</v>
      </c>
      <c r="C497" s="249" t="str">
        <f>IF(Data!F491="","",Data!F491)</f>
        <v/>
      </c>
      <c r="D497" s="250" t="str">
        <f>IF(Data!H491="","",Data!H491)</f>
        <v/>
      </c>
      <c r="E497" s="249" t="str">
        <f>IF(Data!I491="","",Data!I491)</f>
        <v/>
      </c>
      <c r="F497" s="249" t="str">
        <f>Data!J491</f>
        <v>VIII-M</v>
      </c>
      <c r="G497" s="197"/>
      <c r="H497" s="178" t="str">
        <f>IF(PA!R496="","",PA!R496)</f>
        <v/>
      </c>
      <c r="I497" s="179" t="str">
        <f>IF(PA!S496="","",PA!S496)</f>
        <v/>
      </c>
      <c r="J497" s="182" t="str">
        <f>IF(PA!Z496="","",PA!Z496)</f>
        <v/>
      </c>
      <c r="K497" s="179" t="str">
        <f>IF(PA!AI496="","",PA!AI496)</f>
        <v/>
      </c>
      <c r="L497" s="179" t="str">
        <f>IF(PA!AJ496="","",PA!AJ496)</f>
        <v/>
      </c>
      <c r="M497" s="182" t="str">
        <f>IF(PA!AQ496="","",PA!AQ496)</f>
        <v/>
      </c>
      <c r="N497" s="242"/>
    </row>
    <row r="498" spans="1:14" ht="15" customHeight="1" x14ac:dyDescent="0.3">
      <c r="A498" s="242"/>
      <c r="B498" s="424">
        <f>Data!E492</f>
        <v>8</v>
      </c>
      <c r="C498" s="249" t="str">
        <f>IF(Data!F492="","",Data!F492)</f>
        <v/>
      </c>
      <c r="D498" s="250" t="str">
        <f>IF(Data!H492="","",Data!H492)</f>
        <v/>
      </c>
      <c r="E498" s="249" t="str">
        <f>IF(Data!I492="","",Data!I492)</f>
        <v/>
      </c>
      <c r="F498" s="249" t="str">
        <f>Data!J492</f>
        <v>VIII-M</v>
      </c>
      <c r="G498" s="197"/>
      <c r="H498" s="178" t="str">
        <f>IF(PA!R497="","",PA!R497)</f>
        <v/>
      </c>
      <c r="I498" s="179" t="str">
        <f>IF(PA!S497="","",PA!S497)</f>
        <v/>
      </c>
      <c r="J498" s="182" t="str">
        <f>IF(PA!Z497="","",PA!Z497)</f>
        <v/>
      </c>
      <c r="K498" s="179" t="str">
        <f>IF(PA!AI497="","",PA!AI497)</f>
        <v/>
      </c>
      <c r="L498" s="179" t="str">
        <f>IF(PA!AJ497="","",PA!AJ497)</f>
        <v/>
      </c>
      <c r="M498" s="182" t="str">
        <f>IF(PA!AQ497="","",PA!AQ497)</f>
        <v/>
      </c>
      <c r="N498" s="242"/>
    </row>
    <row r="499" spans="1:14" ht="15" customHeight="1" x14ac:dyDescent="0.3">
      <c r="A499" s="242"/>
      <c r="B499" s="424">
        <f>Data!E493</f>
        <v>9</v>
      </c>
      <c r="C499" s="249" t="str">
        <f>IF(Data!F493="","",Data!F493)</f>
        <v/>
      </c>
      <c r="D499" s="250" t="str">
        <f>IF(Data!H493="","",Data!H493)</f>
        <v/>
      </c>
      <c r="E499" s="249" t="str">
        <f>IF(Data!I493="","",Data!I493)</f>
        <v/>
      </c>
      <c r="F499" s="249" t="str">
        <f>Data!J493</f>
        <v>VIII-M</v>
      </c>
      <c r="G499" s="197"/>
      <c r="H499" s="178" t="str">
        <f>IF(PA!R498="","",PA!R498)</f>
        <v/>
      </c>
      <c r="I499" s="179" t="str">
        <f>IF(PA!S498="","",PA!S498)</f>
        <v/>
      </c>
      <c r="J499" s="182" t="str">
        <f>IF(PA!Z498="","",PA!Z498)</f>
        <v/>
      </c>
      <c r="K499" s="179" t="str">
        <f>IF(PA!AI498="","",PA!AI498)</f>
        <v/>
      </c>
      <c r="L499" s="179" t="str">
        <f>IF(PA!AJ498="","",PA!AJ498)</f>
        <v/>
      </c>
      <c r="M499" s="182" t="str">
        <f>IF(PA!AQ498="","",PA!AQ498)</f>
        <v/>
      </c>
      <c r="N499" s="242"/>
    </row>
    <row r="500" spans="1:14" ht="15" customHeight="1" x14ac:dyDescent="0.3">
      <c r="A500" s="242"/>
      <c r="B500" s="424">
        <f>Data!E494</f>
        <v>10</v>
      </c>
      <c r="C500" s="249" t="str">
        <f>IF(Data!F494="","",Data!F494)</f>
        <v/>
      </c>
      <c r="D500" s="250" t="str">
        <f>IF(Data!H494="","",Data!H494)</f>
        <v/>
      </c>
      <c r="E500" s="249" t="str">
        <f>IF(Data!I494="","",Data!I494)</f>
        <v/>
      </c>
      <c r="F500" s="249" t="str">
        <f>Data!J494</f>
        <v>VIII-M</v>
      </c>
      <c r="G500" s="197"/>
      <c r="H500" s="178" t="str">
        <f>IF(PA!R499="","",PA!R499)</f>
        <v/>
      </c>
      <c r="I500" s="179" t="str">
        <f>IF(PA!S499="","",PA!S499)</f>
        <v/>
      </c>
      <c r="J500" s="182" t="str">
        <f>IF(PA!Z499="","",PA!Z499)</f>
        <v/>
      </c>
      <c r="K500" s="179" t="str">
        <f>IF(PA!AI499="","",PA!AI499)</f>
        <v/>
      </c>
      <c r="L500" s="179" t="str">
        <f>IF(PA!AJ499="","",PA!AJ499)</f>
        <v/>
      </c>
      <c r="M500" s="182" t="str">
        <f>IF(PA!AQ499="","",PA!AQ499)</f>
        <v/>
      </c>
      <c r="N500" s="242"/>
    </row>
    <row r="501" spans="1:14" ht="15" customHeight="1" x14ac:dyDescent="0.3">
      <c r="A501" s="242"/>
      <c r="B501" s="424">
        <f>Data!E495</f>
        <v>11</v>
      </c>
      <c r="C501" s="249" t="str">
        <f>IF(Data!F495="","",Data!F495)</f>
        <v/>
      </c>
      <c r="D501" s="250" t="str">
        <f>IF(Data!H495="","",Data!H495)</f>
        <v/>
      </c>
      <c r="E501" s="249" t="str">
        <f>IF(Data!I495="","",Data!I495)</f>
        <v/>
      </c>
      <c r="F501" s="249" t="str">
        <f>Data!J495</f>
        <v>VIII-M</v>
      </c>
      <c r="G501" s="197"/>
      <c r="H501" s="178" t="str">
        <f>IF(PA!R500="","",PA!R500)</f>
        <v/>
      </c>
      <c r="I501" s="179" t="str">
        <f>IF(PA!S500="","",PA!S500)</f>
        <v/>
      </c>
      <c r="J501" s="182" t="str">
        <f>IF(PA!Z500="","",PA!Z500)</f>
        <v/>
      </c>
      <c r="K501" s="179" t="str">
        <f>IF(PA!AI500="","",PA!AI500)</f>
        <v/>
      </c>
      <c r="L501" s="179" t="str">
        <f>IF(PA!AJ500="","",PA!AJ500)</f>
        <v/>
      </c>
      <c r="M501" s="182" t="str">
        <f>IF(PA!AQ500="","",PA!AQ500)</f>
        <v/>
      </c>
      <c r="N501" s="242"/>
    </row>
    <row r="502" spans="1:14" ht="15" customHeight="1" x14ac:dyDescent="0.3">
      <c r="A502" s="242"/>
      <c r="B502" s="424">
        <f>Data!E496</f>
        <v>12</v>
      </c>
      <c r="C502" s="249" t="str">
        <f>IF(Data!F496="","",Data!F496)</f>
        <v/>
      </c>
      <c r="D502" s="250" t="str">
        <f>IF(Data!H496="","",Data!H496)</f>
        <v/>
      </c>
      <c r="E502" s="249" t="str">
        <f>IF(Data!I496="","",Data!I496)</f>
        <v/>
      </c>
      <c r="F502" s="249" t="str">
        <f>Data!J496</f>
        <v>VIII-M</v>
      </c>
      <c r="G502" s="197"/>
      <c r="H502" s="178" t="str">
        <f>IF(PA!R501="","",PA!R501)</f>
        <v/>
      </c>
      <c r="I502" s="179" t="str">
        <f>IF(PA!S501="","",PA!S501)</f>
        <v/>
      </c>
      <c r="J502" s="182" t="str">
        <f>IF(PA!Z501="","",PA!Z501)</f>
        <v/>
      </c>
      <c r="K502" s="179" t="str">
        <f>IF(PA!AI501="","",PA!AI501)</f>
        <v/>
      </c>
      <c r="L502" s="179" t="str">
        <f>IF(PA!AJ501="","",PA!AJ501)</f>
        <v/>
      </c>
      <c r="M502" s="182" t="str">
        <f>IF(PA!AQ501="","",PA!AQ501)</f>
        <v/>
      </c>
      <c r="N502" s="242"/>
    </row>
    <row r="503" spans="1:14" ht="15" customHeight="1" x14ac:dyDescent="0.3">
      <c r="A503" s="242"/>
      <c r="B503" s="424">
        <f>Data!E497</f>
        <v>13</v>
      </c>
      <c r="C503" s="249" t="str">
        <f>IF(Data!F497="","",Data!F497)</f>
        <v/>
      </c>
      <c r="D503" s="250" t="str">
        <f>IF(Data!H497="","",Data!H497)</f>
        <v/>
      </c>
      <c r="E503" s="249" t="str">
        <f>IF(Data!I497="","",Data!I497)</f>
        <v/>
      </c>
      <c r="F503" s="249" t="str">
        <f>Data!J497</f>
        <v>VIII-M</v>
      </c>
      <c r="G503" s="197"/>
      <c r="H503" s="178" t="str">
        <f>IF(PA!R502="","",PA!R502)</f>
        <v/>
      </c>
      <c r="I503" s="179" t="str">
        <f>IF(PA!S502="","",PA!S502)</f>
        <v/>
      </c>
      <c r="J503" s="182" t="str">
        <f>IF(PA!Z502="","",PA!Z502)</f>
        <v/>
      </c>
      <c r="K503" s="179" t="str">
        <f>IF(PA!AI502="","",PA!AI502)</f>
        <v/>
      </c>
      <c r="L503" s="179" t="str">
        <f>IF(PA!AJ502="","",PA!AJ502)</f>
        <v/>
      </c>
      <c r="M503" s="182" t="str">
        <f>IF(PA!AQ502="","",PA!AQ502)</f>
        <v/>
      </c>
      <c r="N503" s="242"/>
    </row>
    <row r="504" spans="1:14" ht="15" customHeight="1" x14ac:dyDescent="0.3">
      <c r="A504" s="242"/>
      <c r="B504" s="424">
        <f>Data!E498</f>
        <v>14</v>
      </c>
      <c r="C504" s="249" t="str">
        <f>IF(Data!F498="","",Data!F498)</f>
        <v/>
      </c>
      <c r="D504" s="250" t="str">
        <f>IF(Data!H498="","",Data!H498)</f>
        <v/>
      </c>
      <c r="E504" s="249" t="str">
        <f>IF(Data!I498="","",Data!I498)</f>
        <v/>
      </c>
      <c r="F504" s="249" t="str">
        <f>Data!J498</f>
        <v>VIII-M</v>
      </c>
      <c r="G504" s="197"/>
      <c r="H504" s="178" t="str">
        <f>IF(PA!R503="","",PA!R503)</f>
        <v/>
      </c>
      <c r="I504" s="179" t="str">
        <f>IF(PA!S503="","",PA!S503)</f>
        <v/>
      </c>
      <c r="J504" s="182" t="str">
        <f>IF(PA!Z503="","",PA!Z503)</f>
        <v/>
      </c>
      <c r="K504" s="179" t="str">
        <f>IF(PA!AI503="","",PA!AI503)</f>
        <v/>
      </c>
      <c r="L504" s="179" t="str">
        <f>IF(PA!AJ503="","",PA!AJ503)</f>
        <v/>
      </c>
      <c r="M504" s="182" t="str">
        <f>IF(PA!AQ503="","",PA!AQ503)</f>
        <v/>
      </c>
      <c r="N504" s="242"/>
    </row>
    <row r="505" spans="1:14" ht="15" customHeight="1" x14ac:dyDescent="0.3">
      <c r="A505" s="242"/>
      <c r="B505" s="424">
        <f>Data!E499</f>
        <v>15</v>
      </c>
      <c r="C505" s="249" t="str">
        <f>IF(Data!F499="","",Data!F499)</f>
        <v/>
      </c>
      <c r="D505" s="250" t="str">
        <f>IF(Data!H499="","",Data!H499)</f>
        <v/>
      </c>
      <c r="E505" s="249" t="str">
        <f>IF(Data!I499="","",Data!I499)</f>
        <v/>
      </c>
      <c r="F505" s="249" t="str">
        <f>Data!J499</f>
        <v>VIII-M</v>
      </c>
      <c r="G505" s="197"/>
      <c r="H505" s="178" t="str">
        <f>IF(PA!R504="","",PA!R504)</f>
        <v/>
      </c>
      <c r="I505" s="179" t="str">
        <f>IF(PA!S504="","",PA!S504)</f>
        <v/>
      </c>
      <c r="J505" s="182" t="str">
        <f>IF(PA!Z504="","",PA!Z504)</f>
        <v/>
      </c>
      <c r="K505" s="179" t="str">
        <f>IF(PA!AI504="","",PA!AI504)</f>
        <v/>
      </c>
      <c r="L505" s="179" t="str">
        <f>IF(PA!AJ504="","",PA!AJ504)</f>
        <v/>
      </c>
      <c r="M505" s="182" t="str">
        <f>IF(PA!AQ504="","",PA!AQ504)</f>
        <v/>
      </c>
      <c r="N505" s="242"/>
    </row>
    <row r="506" spans="1:14" ht="15" customHeight="1" x14ac:dyDescent="0.3">
      <c r="A506" s="242"/>
      <c r="B506" s="424">
        <f>Data!E500</f>
        <v>16</v>
      </c>
      <c r="C506" s="249" t="str">
        <f>IF(Data!F500="","",Data!F500)</f>
        <v/>
      </c>
      <c r="D506" s="250" t="str">
        <f>IF(Data!H500="","",Data!H500)</f>
        <v/>
      </c>
      <c r="E506" s="249" t="str">
        <f>IF(Data!I500="","",Data!I500)</f>
        <v/>
      </c>
      <c r="F506" s="249" t="str">
        <f>Data!J500</f>
        <v>VIII-M</v>
      </c>
      <c r="G506" s="197"/>
      <c r="H506" s="178" t="str">
        <f>IF(PA!R505="","",PA!R505)</f>
        <v/>
      </c>
      <c r="I506" s="179" t="str">
        <f>IF(PA!S505="","",PA!S505)</f>
        <v/>
      </c>
      <c r="J506" s="182" t="str">
        <f>IF(PA!Z505="","",PA!Z505)</f>
        <v/>
      </c>
      <c r="K506" s="179" t="str">
        <f>IF(PA!AI505="","",PA!AI505)</f>
        <v/>
      </c>
      <c r="L506" s="179" t="str">
        <f>IF(PA!AJ505="","",PA!AJ505)</f>
        <v/>
      </c>
      <c r="M506" s="182" t="str">
        <f>IF(PA!AQ505="","",PA!AQ505)</f>
        <v/>
      </c>
      <c r="N506" s="242"/>
    </row>
    <row r="507" spans="1:14" ht="15" customHeight="1" x14ac:dyDescent="0.3">
      <c r="A507" s="242"/>
      <c r="B507" s="424">
        <f>Data!E501</f>
        <v>17</v>
      </c>
      <c r="C507" s="249" t="str">
        <f>IF(Data!F501="","",Data!F501)</f>
        <v/>
      </c>
      <c r="D507" s="250" t="str">
        <f>IF(Data!H501="","",Data!H501)</f>
        <v/>
      </c>
      <c r="E507" s="249" t="str">
        <f>IF(Data!I501="","",Data!I501)</f>
        <v/>
      </c>
      <c r="F507" s="249" t="str">
        <f>Data!J501</f>
        <v>VIII-M</v>
      </c>
      <c r="G507" s="197"/>
      <c r="H507" s="178" t="str">
        <f>IF(PA!R506="","",PA!R506)</f>
        <v/>
      </c>
      <c r="I507" s="179" t="str">
        <f>IF(PA!S506="","",PA!S506)</f>
        <v/>
      </c>
      <c r="J507" s="182" t="str">
        <f>IF(PA!Z506="","",PA!Z506)</f>
        <v/>
      </c>
      <c r="K507" s="179" t="str">
        <f>IF(PA!AI506="","",PA!AI506)</f>
        <v/>
      </c>
      <c r="L507" s="179" t="str">
        <f>IF(PA!AJ506="","",PA!AJ506)</f>
        <v/>
      </c>
      <c r="M507" s="182" t="str">
        <f>IF(PA!AQ506="","",PA!AQ506)</f>
        <v/>
      </c>
      <c r="N507" s="242"/>
    </row>
    <row r="508" spans="1:14" ht="15" customHeight="1" x14ac:dyDescent="0.3">
      <c r="A508" s="242"/>
      <c r="B508" s="424">
        <f>Data!E502</f>
        <v>18</v>
      </c>
      <c r="C508" s="249" t="str">
        <f>IF(Data!F502="","",Data!F502)</f>
        <v/>
      </c>
      <c r="D508" s="250" t="str">
        <f>IF(Data!H502="","",Data!H502)</f>
        <v/>
      </c>
      <c r="E508" s="249" t="str">
        <f>IF(Data!I502="","",Data!I502)</f>
        <v/>
      </c>
      <c r="F508" s="249" t="str">
        <f>Data!J502</f>
        <v>VIII-M</v>
      </c>
      <c r="G508" s="197"/>
      <c r="H508" s="178" t="str">
        <f>IF(PA!R507="","",PA!R507)</f>
        <v/>
      </c>
      <c r="I508" s="179" t="str">
        <f>IF(PA!S507="","",PA!S507)</f>
        <v/>
      </c>
      <c r="J508" s="182" t="str">
        <f>IF(PA!Z507="","",PA!Z507)</f>
        <v/>
      </c>
      <c r="K508" s="179" t="str">
        <f>IF(PA!AI507="","",PA!AI507)</f>
        <v/>
      </c>
      <c r="L508" s="179" t="str">
        <f>IF(PA!AJ507="","",PA!AJ507)</f>
        <v/>
      </c>
      <c r="M508" s="182" t="str">
        <f>IF(PA!AQ507="","",PA!AQ507)</f>
        <v/>
      </c>
      <c r="N508" s="242"/>
    </row>
    <row r="509" spans="1:14" ht="15" customHeight="1" x14ac:dyDescent="0.3">
      <c r="A509" s="242"/>
      <c r="B509" s="424">
        <f>Data!E503</f>
        <v>19</v>
      </c>
      <c r="C509" s="249" t="str">
        <f>IF(Data!F503="","",Data!F503)</f>
        <v/>
      </c>
      <c r="D509" s="250" t="str">
        <f>IF(Data!H503="","",Data!H503)</f>
        <v/>
      </c>
      <c r="E509" s="249" t="str">
        <f>IF(Data!I503="","",Data!I503)</f>
        <v/>
      </c>
      <c r="F509" s="249" t="str">
        <f>Data!J503</f>
        <v>VIII-M</v>
      </c>
      <c r="G509" s="197"/>
      <c r="H509" s="178" t="str">
        <f>IF(PA!R508="","",PA!R508)</f>
        <v/>
      </c>
      <c r="I509" s="179" t="str">
        <f>IF(PA!S508="","",PA!S508)</f>
        <v/>
      </c>
      <c r="J509" s="182" t="str">
        <f>IF(PA!Z508="","",PA!Z508)</f>
        <v/>
      </c>
      <c r="K509" s="179" t="str">
        <f>IF(PA!AI508="","",PA!AI508)</f>
        <v/>
      </c>
      <c r="L509" s="179" t="str">
        <f>IF(PA!AJ508="","",PA!AJ508)</f>
        <v/>
      </c>
      <c r="M509" s="182" t="str">
        <f>IF(PA!AQ508="","",PA!AQ508)</f>
        <v/>
      </c>
      <c r="N509" s="242"/>
    </row>
    <row r="510" spans="1:14" ht="15" customHeight="1" x14ac:dyDescent="0.3">
      <c r="A510" s="242"/>
      <c r="B510" s="424">
        <f>Data!E504</f>
        <v>20</v>
      </c>
      <c r="C510" s="249" t="str">
        <f>IF(Data!F504="","",Data!F504)</f>
        <v/>
      </c>
      <c r="D510" s="250" t="str">
        <f>IF(Data!H504="","",Data!H504)</f>
        <v/>
      </c>
      <c r="E510" s="249" t="str">
        <f>IF(Data!I504="","",Data!I504)</f>
        <v/>
      </c>
      <c r="F510" s="249" t="str">
        <f>Data!J504</f>
        <v>VIII-M</v>
      </c>
      <c r="G510" s="197"/>
      <c r="H510" s="178" t="str">
        <f>IF(PA!R509="","",PA!R509)</f>
        <v/>
      </c>
      <c r="I510" s="179" t="str">
        <f>IF(PA!S509="","",PA!S509)</f>
        <v/>
      </c>
      <c r="J510" s="182" t="str">
        <f>IF(PA!Z509="","",PA!Z509)</f>
        <v/>
      </c>
      <c r="K510" s="179" t="str">
        <f>IF(PA!AI509="","",PA!AI509)</f>
        <v/>
      </c>
      <c r="L510" s="179" t="str">
        <f>IF(PA!AJ509="","",PA!AJ509)</f>
        <v/>
      </c>
      <c r="M510" s="182" t="str">
        <f>IF(PA!AQ509="","",PA!AQ509)</f>
        <v/>
      </c>
      <c r="N510" s="242"/>
    </row>
    <row r="511" spans="1:14" ht="15" customHeight="1" x14ac:dyDescent="0.3">
      <c r="A511" s="242"/>
      <c r="B511" s="424">
        <f>Data!E505</f>
        <v>21</v>
      </c>
      <c r="C511" s="249" t="str">
        <f>IF(Data!F505="","",Data!F505)</f>
        <v/>
      </c>
      <c r="D511" s="250" t="str">
        <f>IF(Data!H505="","",Data!H505)</f>
        <v/>
      </c>
      <c r="E511" s="249" t="str">
        <f>IF(Data!I505="","",Data!I505)</f>
        <v/>
      </c>
      <c r="F511" s="249" t="str">
        <f>Data!J505</f>
        <v>VIII-M</v>
      </c>
      <c r="G511" s="197"/>
      <c r="H511" s="178" t="str">
        <f>IF(PA!R510="","",PA!R510)</f>
        <v/>
      </c>
      <c r="I511" s="179" t="str">
        <f>IF(PA!S510="","",PA!S510)</f>
        <v/>
      </c>
      <c r="J511" s="182" t="str">
        <f>IF(PA!Z510="","",PA!Z510)</f>
        <v/>
      </c>
      <c r="K511" s="179" t="str">
        <f>IF(PA!AI510="","",PA!AI510)</f>
        <v/>
      </c>
      <c r="L511" s="179" t="str">
        <f>IF(PA!AJ510="","",PA!AJ510)</f>
        <v/>
      </c>
      <c r="M511" s="182" t="str">
        <f>IF(PA!AQ510="","",PA!AQ510)</f>
        <v/>
      </c>
      <c r="N511" s="242"/>
    </row>
    <row r="512" spans="1:14" ht="15" customHeight="1" x14ac:dyDescent="0.3">
      <c r="A512" s="242"/>
      <c r="B512" s="424">
        <f>Data!E506</f>
        <v>22</v>
      </c>
      <c r="C512" s="249" t="str">
        <f>IF(Data!F506="","",Data!F506)</f>
        <v/>
      </c>
      <c r="D512" s="250" t="str">
        <f>IF(Data!H506="","",Data!H506)</f>
        <v/>
      </c>
      <c r="E512" s="249" t="str">
        <f>IF(Data!I506="","",Data!I506)</f>
        <v/>
      </c>
      <c r="F512" s="249" t="str">
        <f>Data!J506</f>
        <v>VIII-M</v>
      </c>
      <c r="G512" s="197"/>
      <c r="H512" s="178" t="str">
        <f>IF(PA!R511="","",PA!R511)</f>
        <v/>
      </c>
      <c r="I512" s="179" t="str">
        <f>IF(PA!S511="","",PA!S511)</f>
        <v/>
      </c>
      <c r="J512" s="182" t="str">
        <f>IF(PA!Z511="","",PA!Z511)</f>
        <v/>
      </c>
      <c r="K512" s="179" t="str">
        <f>IF(PA!AI511="","",PA!AI511)</f>
        <v/>
      </c>
      <c r="L512" s="179" t="str">
        <f>IF(PA!AJ511="","",PA!AJ511)</f>
        <v/>
      </c>
      <c r="M512" s="182" t="str">
        <f>IF(PA!AQ511="","",PA!AQ511)</f>
        <v/>
      </c>
      <c r="N512" s="242"/>
    </row>
    <row r="513" spans="1:14" ht="15" customHeight="1" x14ac:dyDescent="0.3">
      <c r="A513" s="242"/>
      <c r="B513" s="424">
        <f>Data!E507</f>
        <v>23</v>
      </c>
      <c r="C513" s="249" t="str">
        <f>IF(Data!F507="","",Data!F507)</f>
        <v/>
      </c>
      <c r="D513" s="250" t="str">
        <f>IF(Data!H507="","",Data!H507)</f>
        <v/>
      </c>
      <c r="E513" s="249" t="str">
        <f>IF(Data!I507="","",Data!I507)</f>
        <v/>
      </c>
      <c r="F513" s="249" t="str">
        <f>Data!J507</f>
        <v>VIII-M</v>
      </c>
      <c r="G513" s="197"/>
      <c r="H513" s="178" t="str">
        <f>IF(PA!R512="","",PA!R512)</f>
        <v/>
      </c>
      <c r="I513" s="179" t="str">
        <f>IF(PA!S512="","",PA!S512)</f>
        <v/>
      </c>
      <c r="J513" s="182" t="str">
        <f>IF(PA!Z512="","",PA!Z512)</f>
        <v/>
      </c>
      <c r="K513" s="179" t="str">
        <f>IF(PA!AI512="","",PA!AI512)</f>
        <v/>
      </c>
      <c r="L513" s="179" t="str">
        <f>IF(PA!AJ512="","",PA!AJ512)</f>
        <v/>
      </c>
      <c r="M513" s="182" t="str">
        <f>IF(PA!AQ512="","",PA!AQ512)</f>
        <v/>
      </c>
      <c r="N513" s="242"/>
    </row>
    <row r="514" spans="1:14" ht="15" customHeight="1" x14ac:dyDescent="0.3">
      <c r="A514" s="242"/>
      <c r="B514" s="424">
        <f>Data!E508</f>
        <v>24</v>
      </c>
      <c r="C514" s="249" t="str">
        <f>IF(Data!F508="","",Data!F508)</f>
        <v/>
      </c>
      <c r="D514" s="250" t="str">
        <f>IF(Data!H508="","",Data!H508)</f>
        <v/>
      </c>
      <c r="E514" s="249" t="str">
        <f>IF(Data!I508="","",Data!I508)</f>
        <v/>
      </c>
      <c r="F514" s="249" t="str">
        <f>Data!J508</f>
        <v>VIII-M</v>
      </c>
      <c r="G514" s="197"/>
      <c r="H514" s="178" t="str">
        <f>IF(PA!R513="","",PA!R513)</f>
        <v/>
      </c>
      <c r="I514" s="179" t="str">
        <f>IF(PA!S513="","",PA!S513)</f>
        <v/>
      </c>
      <c r="J514" s="182" t="str">
        <f>IF(PA!Z513="","",PA!Z513)</f>
        <v/>
      </c>
      <c r="K514" s="179" t="str">
        <f>IF(PA!AI513="","",PA!AI513)</f>
        <v/>
      </c>
      <c r="L514" s="179" t="str">
        <f>IF(PA!AJ513="","",PA!AJ513)</f>
        <v/>
      </c>
      <c r="M514" s="182" t="str">
        <f>IF(PA!AQ513="","",PA!AQ513)</f>
        <v/>
      </c>
      <c r="N514" s="242"/>
    </row>
    <row r="515" spans="1:14" ht="15" customHeight="1" x14ac:dyDescent="0.3">
      <c r="A515" s="242"/>
      <c r="B515" s="424">
        <f>Data!E509</f>
        <v>25</v>
      </c>
      <c r="C515" s="249" t="str">
        <f>IF(Data!F509="","",Data!F509)</f>
        <v/>
      </c>
      <c r="D515" s="250" t="str">
        <f>IF(Data!H509="","",Data!H509)</f>
        <v/>
      </c>
      <c r="E515" s="249" t="str">
        <f>IF(Data!I509="","",Data!I509)</f>
        <v/>
      </c>
      <c r="F515" s="249" t="str">
        <f>Data!J509</f>
        <v>VIII-M</v>
      </c>
      <c r="G515" s="197"/>
      <c r="H515" s="178" t="str">
        <f>IF(PA!R514="","",PA!R514)</f>
        <v/>
      </c>
      <c r="I515" s="179" t="str">
        <f>IF(PA!S514="","",PA!S514)</f>
        <v/>
      </c>
      <c r="J515" s="182" t="str">
        <f>IF(PA!Z514="","",PA!Z514)</f>
        <v/>
      </c>
      <c r="K515" s="179" t="str">
        <f>IF(PA!AI514="","",PA!AI514)</f>
        <v/>
      </c>
      <c r="L515" s="179" t="str">
        <f>IF(PA!AJ514="","",PA!AJ514)</f>
        <v/>
      </c>
      <c r="M515" s="182" t="str">
        <f>IF(PA!AQ514="","",PA!AQ514)</f>
        <v/>
      </c>
      <c r="N515" s="242"/>
    </row>
    <row r="516" spans="1:14" ht="15" customHeight="1" x14ac:dyDescent="0.3">
      <c r="A516" s="242"/>
      <c r="B516" s="424">
        <f>Data!E510</f>
        <v>26</v>
      </c>
      <c r="C516" s="249" t="str">
        <f>IF(Data!F510="","",Data!F510)</f>
        <v/>
      </c>
      <c r="D516" s="250" t="str">
        <f>IF(Data!H510="","",Data!H510)</f>
        <v/>
      </c>
      <c r="E516" s="249" t="str">
        <f>IF(Data!I510="","",Data!I510)</f>
        <v/>
      </c>
      <c r="F516" s="249" t="str">
        <f>Data!J510</f>
        <v>VIII-M</v>
      </c>
      <c r="G516" s="197"/>
      <c r="H516" s="178" t="str">
        <f>IF(PA!R515="","",PA!R515)</f>
        <v/>
      </c>
      <c r="I516" s="179" t="str">
        <f>IF(PA!S515="","",PA!S515)</f>
        <v/>
      </c>
      <c r="J516" s="182" t="str">
        <f>IF(PA!Z515="","",PA!Z515)</f>
        <v/>
      </c>
      <c r="K516" s="179" t="str">
        <f>IF(PA!AI515="","",PA!AI515)</f>
        <v/>
      </c>
      <c r="L516" s="179" t="str">
        <f>IF(PA!AJ515="","",PA!AJ515)</f>
        <v/>
      </c>
      <c r="M516" s="182" t="str">
        <f>IF(PA!AQ515="","",PA!AQ515)</f>
        <v/>
      </c>
      <c r="N516" s="242"/>
    </row>
    <row r="517" spans="1:14" ht="15" customHeight="1" x14ac:dyDescent="0.3">
      <c r="A517" s="242"/>
      <c r="B517" s="424">
        <f>Data!E511</f>
        <v>27</v>
      </c>
      <c r="C517" s="249" t="str">
        <f>IF(Data!F511="","",Data!F511)</f>
        <v/>
      </c>
      <c r="D517" s="250" t="str">
        <f>IF(Data!H511="","",Data!H511)</f>
        <v/>
      </c>
      <c r="E517" s="249" t="str">
        <f>IF(Data!I511="","",Data!I511)</f>
        <v/>
      </c>
      <c r="F517" s="249" t="str">
        <f>Data!J511</f>
        <v>VIII-M</v>
      </c>
      <c r="G517" s="197"/>
      <c r="H517" s="178" t="str">
        <f>IF(PA!R516="","",PA!R516)</f>
        <v/>
      </c>
      <c r="I517" s="179" t="str">
        <f>IF(PA!S516="","",PA!S516)</f>
        <v/>
      </c>
      <c r="J517" s="182" t="str">
        <f>IF(PA!Z516="","",PA!Z516)</f>
        <v/>
      </c>
      <c r="K517" s="179" t="str">
        <f>IF(PA!AI516="","",PA!AI516)</f>
        <v/>
      </c>
      <c r="L517" s="179" t="str">
        <f>IF(PA!AJ516="","",PA!AJ516)</f>
        <v/>
      </c>
      <c r="M517" s="182" t="str">
        <f>IF(PA!AQ516="","",PA!AQ516)</f>
        <v/>
      </c>
      <c r="N517" s="242"/>
    </row>
    <row r="518" spans="1:14" ht="15" customHeight="1" x14ac:dyDescent="0.3">
      <c r="A518" s="242"/>
      <c r="B518" s="424">
        <f>Data!E512</f>
        <v>28</v>
      </c>
      <c r="C518" s="249" t="str">
        <f>IF(Data!F512="","",Data!F512)</f>
        <v/>
      </c>
      <c r="D518" s="250" t="str">
        <f>IF(Data!H512="","",Data!H512)</f>
        <v/>
      </c>
      <c r="E518" s="249" t="str">
        <f>IF(Data!I512="","",Data!I512)</f>
        <v/>
      </c>
      <c r="F518" s="249" t="str">
        <f>Data!J512</f>
        <v>VIII-M</v>
      </c>
      <c r="G518" s="197"/>
      <c r="H518" s="178" t="str">
        <f>IF(PA!R517="","",PA!R517)</f>
        <v/>
      </c>
      <c r="I518" s="179" t="str">
        <f>IF(PA!S517="","",PA!S517)</f>
        <v/>
      </c>
      <c r="J518" s="182" t="str">
        <f>IF(PA!Z517="","",PA!Z517)</f>
        <v/>
      </c>
      <c r="K518" s="179" t="str">
        <f>IF(PA!AI517="","",PA!AI517)</f>
        <v/>
      </c>
      <c r="L518" s="179" t="str">
        <f>IF(PA!AJ517="","",PA!AJ517)</f>
        <v/>
      </c>
      <c r="M518" s="182" t="str">
        <f>IF(PA!AQ517="","",PA!AQ517)</f>
        <v/>
      </c>
      <c r="N518" s="242"/>
    </row>
    <row r="519" spans="1:14" ht="15" customHeight="1" x14ac:dyDescent="0.3">
      <c r="A519" s="242"/>
      <c r="B519" s="424">
        <f>Data!E513</f>
        <v>29</v>
      </c>
      <c r="C519" s="249" t="str">
        <f>IF(Data!F513="","",Data!F513)</f>
        <v/>
      </c>
      <c r="D519" s="250" t="str">
        <f>IF(Data!H513="","",Data!H513)</f>
        <v/>
      </c>
      <c r="E519" s="249" t="str">
        <f>IF(Data!I513="","",Data!I513)</f>
        <v/>
      </c>
      <c r="F519" s="249" t="str">
        <f>Data!J513</f>
        <v>VIII-M</v>
      </c>
      <c r="G519" s="197"/>
      <c r="H519" s="178" t="str">
        <f>IF(PA!R518="","",PA!R518)</f>
        <v/>
      </c>
      <c r="I519" s="179" t="str">
        <f>IF(PA!S518="","",PA!S518)</f>
        <v/>
      </c>
      <c r="J519" s="182" t="str">
        <f>IF(PA!Z518="","",PA!Z518)</f>
        <v/>
      </c>
      <c r="K519" s="179" t="str">
        <f>IF(PA!AI518="","",PA!AI518)</f>
        <v/>
      </c>
      <c r="L519" s="179" t="str">
        <f>IF(PA!AJ518="","",PA!AJ518)</f>
        <v/>
      </c>
      <c r="M519" s="182" t="str">
        <f>IF(PA!AQ518="","",PA!AQ518)</f>
        <v/>
      </c>
      <c r="N519" s="242"/>
    </row>
    <row r="520" spans="1:14" ht="15" customHeight="1" x14ac:dyDescent="0.3">
      <c r="A520" s="242"/>
      <c r="B520" s="424">
        <f>Data!E514</f>
        <v>30</v>
      </c>
      <c r="C520" s="249" t="str">
        <f>IF(Data!F514="","",Data!F514)</f>
        <v/>
      </c>
      <c r="D520" s="250" t="str">
        <f>IF(Data!H514="","",Data!H514)</f>
        <v/>
      </c>
      <c r="E520" s="249" t="str">
        <f>IF(Data!I514="","",Data!I514)</f>
        <v/>
      </c>
      <c r="F520" s="249" t="str">
        <f>Data!J514</f>
        <v>VIII-M</v>
      </c>
      <c r="G520" s="197"/>
      <c r="H520" s="178" t="str">
        <f>IF(PA!R519="","",PA!R519)</f>
        <v/>
      </c>
      <c r="I520" s="179" t="str">
        <f>IF(PA!S519="","",PA!S519)</f>
        <v/>
      </c>
      <c r="J520" s="182" t="str">
        <f>IF(PA!Z519="","",PA!Z519)</f>
        <v/>
      </c>
      <c r="K520" s="179" t="str">
        <f>IF(PA!AI519="","",PA!AI519)</f>
        <v/>
      </c>
      <c r="L520" s="179" t="str">
        <f>IF(PA!AJ519="","",PA!AJ519)</f>
        <v/>
      </c>
      <c r="M520" s="182" t="str">
        <f>IF(PA!AQ519="","",PA!AQ519)</f>
        <v/>
      </c>
      <c r="N520" s="242"/>
    </row>
    <row r="521" spans="1:14" ht="15" customHeight="1" x14ac:dyDescent="0.3">
      <c r="A521" s="242"/>
      <c r="B521" s="424">
        <f>Data!E515</f>
        <v>31</v>
      </c>
      <c r="C521" s="249" t="str">
        <f>IF(Data!F515="","",Data!F515)</f>
        <v/>
      </c>
      <c r="D521" s="250" t="str">
        <f>IF(Data!H515="","",Data!H515)</f>
        <v/>
      </c>
      <c r="E521" s="249" t="str">
        <f>IF(Data!I515="","",Data!I515)</f>
        <v/>
      </c>
      <c r="F521" s="249" t="str">
        <f>Data!J515</f>
        <v>VIII-M</v>
      </c>
      <c r="G521" s="197"/>
      <c r="H521" s="178" t="str">
        <f>IF(PA!R520="","",PA!R520)</f>
        <v/>
      </c>
      <c r="I521" s="179" t="str">
        <f>IF(PA!S520="","",PA!S520)</f>
        <v/>
      </c>
      <c r="J521" s="182" t="str">
        <f>IF(PA!Z520="","",PA!Z520)</f>
        <v/>
      </c>
      <c r="K521" s="179" t="str">
        <f>IF(PA!AI520="","",PA!AI520)</f>
        <v/>
      </c>
      <c r="L521" s="179" t="str">
        <f>IF(PA!AJ520="","",PA!AJ520)</f>
        <v/>
      </c>
      <c r="M521" s="182" t="str">
        <f>IF(PA!AQ520="","",PA!AQ520)</f>
        <v/>
      </c>
      <c r="N521" s="242"/>
    </row>
    <row r="522" spans="1:14" ht="15" customHeight="1" x14ac:dyDescent="0.3">
      <c r="A522" s="242"/>
      <c r="B522" s="424">
        <f>Data!E516</f>
        <v>32</v>
      </c>
      <c r="C522" s="249" t="str">
        <f>IF(Data!F516="","",Data!F516)</f>
        <v/>
      </c>
      <c r="D522" s="250" t="str">
        <f>IF(Data!H516="","",Data!H516)</f>
        <v/>
      </c>
      <c r="E522" s="249" t="str">
        <f>IF(Data!I516="","",Data!I516)</f>
        <v/>
      </c>
      <c r="F522" s="249" t="str">
        <f>Data!J516</f>
        <v>VIII-M</v>
      </c>
      <c r="G522" s="197"/>
      <c r="H522" s="178" t="str">
        <f>IF(PA!R521="","",PA!R521)</f>
        <v/>
      </c>
      <c r="I522" s="179" t="str">
        <f>IF(PA!S521="","",PA!S521)</f>
        <v/>
      </c>
      <c r="J522" s="182" t="str">
        <f>IF(PA!Z521="","",PA!Z521)</f>
        <v/>
      </c>
      <c r="K522" s="179" t="str">
        <f>IF(PA!AI521="","",PA!AI521)</f>
        <v/>
      </c>
      <c r="L522" s="179" t="str">
        <f>IF(PA!AJ521="","",PA!AJ521)</f>
        <v/>
      </c>
      <c r="M522" s="182" t="str">
        <f>IF(PA!AQ521="","",PA!AQ521)</f>
        <v/>
      </c>
      <c r="N522" s="242"/>
    </row>
    <row r="523" spans="1:14" ht="15" customHeight="1" x14ac:dyDescent="0.3">
      <c r="A523" s="242"/>
      <c r="B523" s="424">
        <f>Data!E517</f>
        <v>33</v>
      </c>
      <c r="C523" s="249" t="str">
        <f>IF(Data!F517="","",Data!F517)</f>
        <v/>
      </c>
      <c r="D523" s="250" t="str">
        <f>IF(Data!H517="","",Data!H517)</f>
        <v/>
      </c>
      <c r="E523" s="249" t="str">
        <f>IF(Data!I517="","",Data!I517)</f>
        <v/>
      </c>
      <c r="F523" s="249" t="str">
        <f>Data!J517</f>
        <v>VIII-M</v>
      </c>
      <c r="G523" s="197"/>
      <c r="H523" s="178" t="str">
        <f>IF(PA!R522="","",PA!R522)</f>
        <v/>
      </c>
      <c r="I523" s="179" t="str">
        <f>IF(PA!S522="","",PA!S522)</f>
        <v/>
      </c>
      <c r="J523" s="182" t="str">
        <f>IF(PA!Z522="","",PA!Z522)</f>
        <v/>
      </c>
      <c r="K523" s="179" t="str">
        <f>IF(PA!AI522="","",PA!AI522)</f>
        <v/>
      </c>
      <c r="L523" s="179" t="str">
        <f>IF(PA!AJ522="","",PA!AJ522)</f>
        <v/>
      </c>
      <c r="M523" s="182" t="str">
        <f>IF(PA!AQ522="","",PA!AQ522)</f>
        <v/>
      </c>
      <c r="N523" s="242"/>
    </row>
    <row r="524" spans="1:14" ht="15" customHeight="1" x14ac:dyDescent="0.3">
      <c r="A524" s="242"/>
      <c r="B524" s="424">
        <f>Data!E518</f>
        <v>34</v>
      </c>
      <c r="C524" s="249" t="str">
        <f>IF(Data!F518="","",Data!F518)</f>
        <v/>
      </c>
      <c r="D524" s="250" t="str">
        <f>IF(Data!H518="","",Data!H518)</f>
        <v/>
      </c>
      <c r="E524" s="249" t="str">
        <f>IF(Data!I518="","",Data!I518)</f>
        <v/>
      </c>
      <c r="F524" s="249" t="str">
        <f>Data!J518</f>
        <v>VIII-M</v>
      </c>
      <c r="G524" s="197"/>
      <c r="H524" s="178" t="str">
        <f>IF(PA!R523="","",PA!R523)</f>
        <v/>
      </c>
      <c r="I524" s="179" t="str">
        <f>IF(PA!S523="","",PA!S523)</f>
        <v/>
      </c>
      <c r="J524" s="182" t="str">
        <f>IF(PA!Z523="","",PA!Z523)</f>
        <v/>
      </c>
      <c r="K524" s="179" t="str">
        <f>IF(PA!AI523="","",PA!AI523)</f>
        <v/>
      </c>
      <c r="L524" s="179" t="str">
        <f>IF(PA!AJ523="","",PA!AJ523)</f>
        <v/>
      </c>
      <c r="M524" s="182" t="str">
        <f>IF(PA!AQ523="","",PA!AQ523)</f>
        <v/>
      </c>
      <c r="N524" s="242"/>
    </row>
    <row r="525" spans="1:14" ht="15" customHeight="1" x14ac:dyDescent="0.3">
      <c r="A525" s="242"/>
      <c r="B525" s="424">
        <f>Data!E519</f>
        <v>35</v>
      </c>
      <c r="C525" s="249" t="str">
        <f>IF(Data!F519="","",Data!F519)</f>
        <v/>
      </c>
      <c r="D525" s="250" t="str">
        <f>IF(Data!H519="","",Data!H519)</f>
        <v/>
      </c>
      <c r="E525" s="249" t="str">
        <f>IF(Data!I519="","",Data!I519)</f>
        <v/>
      </c>
      <c r="F525" s="249" t="str">
        <f>Data!J519</f>
        <v>VIII-M</v>
      </c>
      <c r="G525" s="197"/>
      <c r="H525" s="178" t="str">
        <f>IF(PA!R524="","",PA!R524)</f>
        <v/>
      </c>
      <c r="I525" s="179" t="str">
        <f>IF(PA!S524="","",PA!S524)</f>
        <v/>
      </c>
      <c r="J525" s="182" t="str">
        <f>IF(PA!Z524="","",PA!Z524)</f>
        <v/>
      </c>
      <c r="K525" s="179" t="str">
        <f>IF(PA!AI524="","",PA!AI524)</f>
        <v/>
      </c>
      <c r="L525" s="179" t="str">
        <f>IF(PA!AJ524="","",PA!AJ524)</f>
        <v/>
      </c>
      <c r="M525" s="182" t="str">
        <f>IF(PA!AQ524="","",PA!AQ524)</f>
        <v/>
      </c>
      <c r="N525" s="242"/>
    </row>
    <row r="526" spans="1:14" ht="15" customHeight="1" x14ac:dyDescent="0.3">
      <c r="A526" s="242"/>
      <c r="B526" s="424">
        <f>Data!E520</f>
        <v>36</v>
      </c>
      <c r="C526" s="249" t="str">
        <f>IF(Data!F520="","",Data!F520)</f>
        <v/>
      </c>
      <c r="D526" s="250" t="str">
        <f>IF(Data!H520="","",Data!H520)</f>
        <v/>
      </c>
      <c r="E526" s="249" t="str">
        <f>IF(Data!I520="","",Data!I520)</f>
        <v/>
      </c>
      <c r="F526" s="249" t="str">
        <f>Data!J520</f>
        <v>VIII-M</v>
      </c>
      <c r="G526" s="197"/>
      <c r="H526" s="178" t="str">
        <f>IF(PA!R525="","",PA!R525)</f>
        <v/>
      </c>
      <c r="I526" s="179" t="str">
        <f>IF(PA!S525="","",PA!S525)</f>
        <v/>
      </c>
      <c r="J526" s="182" t="str">
        <f>IF(PA!Z525="","",PA!Z525)</f>
        <v/>
      </c>
      <c r="K526" s="179" t="str">
        <f>IF(PA!AI525="","",PA!AI525)</f>
        <v/>
      </c>
      <c r="L526" s="179" t="str">
        <f>IF(PA!AJ525="","",PA!AJ525)</f>
        <v/>
      </c>
      <c r="M526" s="182" t="str">
        <f>IF(PA!AQ525="","",PA!AQ525)</f>
        <v/>
      </c>
      <c r="N526" s="242"/>
    </row>
    <row r="527" spans="1:14" ht="15" customHeight="1" x14ac:dyDescent="0.3">
      <c r="A527" s="242"/>
      <c r="B527" s="424">
        <f>Data!E521</f>
        <v>37</v>
      </c>
      <c r="C527" s="249" t="str">
        <f>IF(Data!F521="","",Data!F521)</f>
        <v/>
      </c>
      <c r="D527" s="250" t="str">
        <f>IF(Data!H521="","",Data!H521)</f>
        <v/>
      </c>
      <c r="E527" s="249" t="str">
        <f>IF(Data!I521="","",Data!I521)</f>
        <v/>
      </c>
      <c r="F527" s="249" t="str">
        <f>Data!J521</f>
        <v>VIII-M</v>
      </c>
      <c r="G527" s="197"/>
      <c r="H527" s="178" t="str">
        <f>IF(PA!R526="","",PA!R526)</f>
        <v/>
      </c>
      <c r="I527" s="179" t="str">
        <f>IF(PA!S526="","",PA!S526)</f>
        <v/>
      </c>
      <c r="J527" s="182" t="str">
        <f>IF(PA!Z526="","",PA!Z526)</f>
        <v/>
      </c>
      <c r="K527" s="179" t="str">
        <f>IF(PA!AI526="","",PA!AI526)</f>
        <v/>
      </c>
      <c r="L527" s="179" t="str">
        <f>IF(PA!AJ526="","",PA!AJ526)</f>
        <v/>
      </c>
      <c r="M527" s="182" t="str">
        <f>IF(PA!AQ526="","",PA!AQ526)</f>
        <v/>
      </c>
      <c r="N527" s="242"/>
    </row>
    <row r="528" spans="1:14" ht="15" customHeight="1" x14ac:dyDescent="0.3">
      <c r="A528" s="242"/>
      <c r="B528" s="424">
        <f>Data!E522</f>
        <v>38</v>
      </c>
      <c r="C528" s="249" t="str">
        <f>IF(Data!F522="","",Data!F522)</f>
        <v/>
      </c>
      <c r="D528" s="250" t="str">
        <f>IF(Data!H522="","",Data!H522)</f>
        <v/>
      </c>
      <c r="E528" s="249" t="str">
        <f>IF(Data!I522="","",Data!I522)</f>
        <v/>
      </c>
      <c r="F528" s="249" t="str">
        <f>Data!J522</f>
        <v>VIII-M</v>
      </c>
      <c r="G528" s="197"/>
      <c r="H528" s="178" t="str">
        <f>IF(PA!R527="","",PA!R527)</f>
        <v/>
      </c>
      <c r="I528" s="179" t="str">
        <f>IF(PA!S527="","",PA!S527)</f>
        <v/>
      </c>
      <c r="J528" s="182" t="str">
        <f>IF(PA!Z527="","",PA!Z527)</f>
        <v/>
      </c>
      <c r="K528" s="179" t="str">
        <f>IF(PA!AI527="","",PA!AI527)</f>
        <v/>
      </c>
      <c r="L528" s="179" t="str">
        <f>IF(PA!AJ527="","",PA!AJ527)</f>
        <v/>
      </c>
      <c r="M528" s="182" t="str">
        <f>IF(PA!AQ527="","",PA!AQ527)</f>
        <v/>
      </c>
      <c r="N528" s="242"/>
    </row>
    <row r="529" spans="1:14" ht="15" customHeight="1" x14ac:dyDescent="0.3">
      <c r="A529" s="242"/>
      <c r="B529" s="424">
        <f>Data!E523</f>
        <v>39</v>
      </c>
      <c r="C529" s="249" t="str">
        <f>IF(Data!F523="","",Data!F523)</f>
        <v/>
      </c>
      <c r="D529" s="250" t="str">
        <f>IF(Data!H523="","",Data!H523)</f>
        <v/>
      </c>
      <c r="E529" s="249" t="str">
        <f>IF(Data!I523="","",Data!I523)</f>
        <v/>
      </c>
      <c r="F529" s="249" t="str">
        <f>Data!J523</f>
        <v>VIII-M</v>
      </c>
      <c r="G529" s="197"/>
      <c r="H529" s="178" t="str">
        <f>IF(PA!R528="","",PA!R528)</f>
        <v/>
      </c>
      <c r="I529" s="179" t="str">
        <f>IF(PA!S528="","",PA!S528)</f>
        <v/>
      </c>
      <c r="J529" s="182" t="str">
        <f>IF(PA!Z528="","",PA!Z528)</f>
        <v/>
      </c>
      <c r="K529" s="179" t="str">
        <f>IF(PA!AI528="","",PA!AI528)</f>
        <v/>
      </c>
      <c r="L529" s="179" t="str">
        <f>IF(PA!AJ528="","",PA!AJ528)</f>
        <v/>
      </c>
      <c r="M529" s="182" t="str">
        <f>IF(PA!AQ528="","",PA!AQ528)</f>
        <v/>
      </c>
      <c r="N529" s="242"/>
    </row>
    <row r="530" spans="1:14" ht="15" customHeight="1" thickBot="1" x14ac:dyDescent="0.35">
      <c r="A530" s="242"/>
      <c r="B530" s="429">
        <f>Data!E524</f>
        <v>40</v>
      </c>
      <c r="C530" s="430" t="str">
        <f>IF(Data!F524="","",Data!F524)</f>
        <v/>
      </c>
      <c r="D530" s="431" t="str">
        <f>IF(Data!H524="","",Data!H524)</f>
        <v/>
      </c>
      <c r="E530" s="430" t="str">
        <f>IF(Data!I524="","",Data!I524)</f>
        <v/>
      </c>
      <c r="F530" s="430" t="str">
        <f>Data!J524</f>
        <v>VIII-M</v>
      </c>
      <c r="G530" s="432"/>
      <c r="H530" s="433" t="str">
        <f>IF(PA!R529="","",PA!R529)</f>
        <v/>
      </c>
      <c r="I530" s="434" t="str">
        <f>IF(PA!S529="","",PA!S529)</f>
        <v/>
      </c>
      <c r="J530" s="435" t="str">
        <f>IF(PA!Z529="","",PA!Z529)</f>
        <v/>
      </c>
      <c r="K530" s="434" t="str">
        <f>IF(PA!AI529="","",PA!AI529)</f>
        <v/>
      </c>
      <c r="L530" s="434" t="str">
        <f>IF(PA!AJ529="","",PA!AJ529)</f>
        <v/>
      </c>
      <c r="M530" s="435" t="str">
        <f>IF(PA!AQ529="","",PA!AQ529)</f>
        <v/>
      </c>
      <c r="N530" s="242"/>
    </row>
    <row r="531" spans="1:14" ht="13.8" thickTop="1" x14ac:dyDescent="0.3">
      <c r="A531" s="242"/>
      <c r="B531" s="186"/>
      <c r="C531" s="186"/>
      <c r="D531" s="186"/>
      <c r="E531" s="186"/>
      <c r="F531" s="186"/>
      <c r="G531" s="186"/>
      <c r="H531" s="186"/>
      <c r="I531" s="186"/>
      <c r="J531" s="186"/>
      <c r="K531" s="186"/>
      <c r="L531" s="186"/>
      <c r="M531" s="186"/>
      <c r="N531" s="243">
        <v>51</v>
      </c>
    </row>
    <row r="532" spans="1:14" ht="13.2" x14ac:dyDescent="0.3">
      <c r="A532" s="242"/>
      <c r="B532" s="19"/>
      <c r="C532" s="19"/>
      <c r="D532" s="19"/>
      <c r="E532" s="19"/>
      <c r="F532" s="19"/>
      <c r="G532" s="19"/>
      <c r="H532" s="19" t="s">
        <v>87</v>
      </c>
      <c r="I532" s="19"/>
      <c r="J532" s="19"/>
      <c r="K532" s="105"/>
      <c r="L532" s="105"/>
      <c r="M532" s="105"/>
      <c r="N532" s="242">
        <v>52</v>
      </c>
    </row>
    <row r="533" spans="1:14" s="19" customFormat="1" ht="14.25" customHeight="1" x14ac:dyDescent="0.3">
      <c r="A533" s="244"/>
      <c r="C533" s="106"/>
      <c r="H533" s="19" t="str">
        <f>"Guru Mata Pelajaran "&amp;Data!C6</f>
        <v xml:space="preserve">Guru Mata Pelajaran </v>
      </c>
      <c r="K533" s="106"/>
      <c r="L533" s="106"/>
      <c r="M533" s="106"/>
      <c r="N533" s="243">
        <v>53</v>
      </c>
    </row>
    <row r="534" spans="1:14" s="19" customFormat="1" ht="14.25" customHeight="1" x14ac:dyDescent="0.3">
      <c r="A534" s="244"/>
      <c r="C534" s="106"/>
      <c r="K534" s="106"/>
      <c r="L534" s="106"/>
      <c r="M534" s="106"/>
      <c r="N534" s="242">
        <v>54</v>
      </c>
    </row>
    <row r="535" spans="1:14" s="19" customFormat="1" ht="14.25" customHeight="1" x14ac:dyDescent="0.3">
      <c r="A535" s="244"/>
      <c r="C535" s="106"/>
      <c r="K535" s="106"/>
      <c r="L535" s="106"/>
      <c r="M535" s="106"/>
      <c r="N535" s="243">
        <v>55</v>
      </c>
    </row>
    <row r="536" spans="1:14" s="19" customFormat="1" ht="14.25" customHeight="1" x14ac:dyDescent="0.3">
      <c r="A536" s="244"/>
      <c r="H536" s="107" t="str">
        <f>Data!C7</f>
        <v>Nama Anda</v>
      </c>
      <c r="I536" s="107"/>
      <c r="J536" s="107"/>
      <c r="K536" s="105"/>
      <c r="L536" s="105"/>
      <c r="M536" s="105"/>
      <c r="N536" s="242">
        <v>56</v>
      </c>
    </row>
    <row r="537" spans="1:14" s="19" customFormat="1" ht="14.25" customHeight="1" x14ac:dyDescent="0.3">
      <c r="A537" s="244"/>
      <c r="H537" s="19" t="str">
        <f>"NIP. "&amp;Data!C8</f>
        <v xml:space="preserve">NIP. </v>
      </c>
      <c r="K537" s="105"/>
      <c r="L537" s="105"/>
      <c r="M537" s="105"/>
      <c r="N537" s="243">
        <v>57</v>
      </c>
    </row>
    <row r="538" spans="1:14" ht="16.5" customHeight="1" x14ac:dyDescent="0.3">
      <c r="A538" s="242"/>
      <c r="B538" s="242"/>
      <c r="C538" s="243"/>
      <c r="D538" s="242"/>
      <c r="E538" s="242"/>
      <c r="F538" s="242"/>
      <c r="G538" s="242"/>
      <c r="H538" s="243"/>
      <c r="I538" s="243"/>
      <c r="J538" s="243"/>
      <c r="K538" s="243"/>
      <c r="L538" s="243"/>
      <c r="M538" s="243"/>
      <c r="N538" s="242"/>
    </row>
    <row r="539" spans="1:14" ht="11.4" hidden="1" x14ac:dyDescent="0.3"/>
    <row r="540" spans="1:14" ht="11.4" hidden="1" x14ac:dyDescent="0.3"/>
    <row r="541" spans="1:14" ht="11.4" hidden="1" x14ac:dyDescent="0.3"/>
    <row r="542" spans="1:14" ht="11.4" hidden="1" x14ac:dyDescent="0.3"/>
    <row r="543" spans="1:14" ht="11.4" hidden="1" x14ac:dyDescent="0.3"/>
    <row r="544" spans="1:14" ht="11.4" hidden="1" x14ac:dyDescent="0.3"/>
    <row r="545" ht="11.4" hidden="1" x14ac:dyDescent="0.3"/>
    <row r="546" ht="11.4" hidden="1" x14ac:dyDescent="0.3"/>
    <row r="547" ht="0.6" customHeight="1" x14ac:dyDescent="0.3"/>
    <row r="548" ht="0.6" customHeight="1" x14ac:dyDescent="0.3"/>
    <row r="549" ht="0.6" customHeight="1" x14ac:dyDescent="0.3"/>
    <row r="550" ht="0.6" customHeight="1" x14ac:dyDescent="0.3"/>
    <row r="551" ht="0.6" customHeight="1" x14ac:dyDescent="0.3"/>
    <row r="552" ht="0.6" customHeight="1" x14ac:dyDescent="0.3"/>
    <row r="553" ht="0.6" customHeight="1" x14ac:dyDescent="0.3"/>
    <row r="554" ht="0.6" customHeight="1" x14ac:dyDescent="0.3"/>
    <row r="555" ht="0.6" customHeight="1" x14ac:dyDescent="0.3"/>
    <row r="556" ht="0.6" customHeight="1" x14ac:dyDescent="0.3"/>
    <row r="557" ht="0.6" customHeight="1" x14ac:dyDescent="0.3"/>
    <row r="558" ht="0.6" customHeight="1" x14ac:dyDescent="0.3"/>
    <row r="559" ht="0.6" customHeight="1" x14ac:dyDescent="0.3"/>
    <row r="560" ht="0.6" customHeight="1" x14ac:dyDescent="0.3"/>
    <row r="561" ht="0.6" customHeight="1" x14ac:dyDescent="0.3"/>
    <row r="562" ht="0.6" customHeight="1" x14ac:dyDescent="0.3"/>
    <row r="563" ht="0.6" customHeight="1" x14ac:dyDescent="0.3"/>
    <row r="564" ht="0.6" customHeight="1" x14ac:dyDescent="0.3"/>
    <row r="565" ht="0.6" customHeight="1" x14ac:dyDescent="0.3"/>
    <row r="566" ht="0.6" customHeight="1" x14ac:dyDescent="0.3"/>
    <row r="567" ht="0.6" customHeight="1" x14ac:dyDescent="0.3"/>
    <row r="568" ht="0.6" customHeight="1" x14ac:dyDescent="0.3"/>
    <row r="569" ht="0.6" customHeight="1" x14ac:dyDescent="0.3"/>
    <row r="570" ht="0.6" customHeight="1" x14ac:dyDescent="0.3"/>
    <row r="571" ht="0.6" customHeight="1" x14ac:dyDescent="0.3"/>
    <row r="572" ht="0.6" customHeight="1" x14ac:dyDescent="0.3"/>
    <row r="573" ht="0.6" customHeight="1" x14ac:dyDescent="0.3"/>
    <row r="574" ht="0.6" customHeight="1" x14ac:dyDescent="0.3"/>
    <row r="575" ht="0.6" customHeight="1" x14ac:dyDescent="0.3"/>
    <row r="576" ht="0.6" customHeight="1" x14ac:dyDescent="0.3"/>
    <row r="577" ht="0.6" customHeight="1" x14ac:dyDescent="0.3"/>
    <row r="578" ht="0.6" customHeight="1" x14ac:dyDescent="0.3"/>
    <row r="579" ht="0.6" customHeight="1" x14ac:dyDescent="0.3"/>
    <row r="580" ht="0.6" customHeight="1" x14ac:dyDescent="0.3"/>
    <row r="581" ht="0.6" customHeight="1" x14ac:dyDescent="0.3"/>
    <row r="582" ht="0.6" customHeight="1" x14ac:dyDescent="0.3"/>
    <row r="583" ht="0.6" customHeight="1" x14ac:dyDescent="0.3"/>
    <row r="584" ht="0.6" customHeight="1" x14ac:dyDescent="0.3"/>
    <row r="585" ht="0.6" customHeight="1" x14ac:dyDescent="0.3"/>
    <row r="586" ht="0.6" customHeight="1" x14ac:dyDescent="0.3"/>
    <row r="587" ht="0.6" customHeight="1" x14ac:dyDescent="0.3"/>
    <row r="588" ht="0.6" customHeight="1" x14ac:dyDescent="0.3"/>
    <row r="589" ht="0.6" customHeight="1" x14ac:dyDescent="0.3"/>
    <row r="590" ht="0.6" customHeight="1" x14ac:dyDescent="0.3"/>
    <row r="591" ht="0.6" customHeight="1" x14ac:dyDescent="0.3"/>
  </sheetData>
  <sheetProtection autoFilter="0"/>
  <autoFilter ref="F10:G482" xr:uid="{00000000-0009-0000-0000-000005000000}"/>
  <mergeCells count="9">
    <mergeCell ref="K8:M8"/>
    <mergeCell ref="K7:M7"/>
    <mergeCell ref="H7:J7"/>
    <mergeCell ref="F7:F9"/>
    <mergeCell ref="B7:B9"/>
    <mergeCell ref="C7:C9"/>
    <mergeCell ref="D7:D9"/>
    <mergeCell ref="E7:E9"/>
    <mergeCell ref="H8:J8"/>
  </mergeCells>
  <conditionalFormatting sqref="B11:M11 H12:M369 F12:F410 B12:B410">
    <cfRule type="expression" dxfId="31" priority="80">
      <formula>AND($B11&lt;&gt;"",$B12="")</formula>
    </cfRule>
    <cfRule type="expression" dxfId="30" priority="81">
      <formula>$B11=""</formula>
    </cfRule>
  </conditionalFormatting>
  <conditionalFormatting sqref="C12:E410 G12:G410">
    <cfRule type="expression" dxfId="29" priority="3540">
      <formula>AND($B12&lt;&gt;"",#REF!="")</formula>
    </cfRule>
    <cfRule type="expression" dxfId="28" priority="3541">
      <formula>$B12=""</formula>
    </cfRule>
  </conditionalFormatting>
  <conditionalFormatting sqref="H370:M410">
    <cfRule type="expression" dxfId="27" priority="4267">
      <formula>AND($B370&lt;&gt;"",$B451="")</formula>
    </cfRule>
    <cfRule type="expression" dxfId="26" priority="4268">
      <formula>$B370=""</formula>
    </cfRule>
  </conditionalFormatting>
  <conditionalFormatting sqref="H411:M449 F411:F449 B411:B449">
    <cfRule type="expression" dxfId="25" priority="23">
      <formula>AND($B411&lt;&gt;"",$B412="")</formula>
    </cfRule>
    <cfRule type="expression" dxfId="24" priority="24">
      <formula>$B411=""</formula>
    </cfRule>
  </conditionalFormatting>
  <conditionalFormatting sqref="C411:E449 G411:G449">
    <cfRule type="expression" dxfId="23" priority="25">
      <formula>AND($B411&lt;&gt;"",#REF!="")</formula>
    </cfRule>
    <cfRule type="expression" dxfId="22" priority="26">
      <formula>$B411=""</formula>
    </cfRule>
  </conditionalFormatting>
  <conditionalFormatting sqref="H452:M489 F452:F490 B452:B490">
    <cfRule type="expression" dxfId="21" priority="17">
      <formula>AND($B452&lt;&gt;"",$B453="")</formula>
    </cfRule>
    <cfRule type="expression" dxfId="20" priority="18">
      <formula>$B452=""</formula>
    </cfRule>
  </conditionalFormatting>
  <conditionalFormatting sqref="C452:E490 G452:G490">
    <cfRule type="expression" dxfId="19" priority="19">
      <formula>AND($B452&lt;&gt;"",#REF!="")</formula>
    </cfRule>
    <cfRule type="expression" dxfId="18" priority="20">
      <formula>$B452=""</formula>
    </cfRule>
  </conditionalFormatting>
  <conditionalFormatting sqref="H490:M490">
    <cfRule type="expression" dxfId="17" priority="21">
      <formula>AND($B490&lt;&gt;"",$B571="")</formula>
    </cfRule>
    <cfRule type="expression" dxfId="16" priority="22">
      <formula>$B490=""</formula>
    </cfRule>
  </conditionalFormatting>
  <conditionalFormatting sqref="H491:M529 F491:F530 B491:B530">
    <cfRule type="expression" dxfId="15" priority="11">
      <formula>AND($B491&lt;&gt;"",$B492="")</formula>
    </cfRule>
    <cfRule type="expression" dxfId="14" priority="12">
      <formula>$B491=""</formula>
    </cfRule>
  </conditionalFormatting>
  <conditionalFormatting sqref="C491:E530 G491:G530">
    <cfRule type="expression" dxfId="13" priority="13">
      <formula>AND($B491&lt;&gt;"",#REF!="")</formula>
    </cfRule>
    <cfRule type="expression" dxfId="12" priority="14">
      <formula>$B491=""</formula>
    </cfRule>
  </conditionalFormatting>
  <conditionalFormatting sqref="H530:M530">
    <cfRule type="expression" dxfId="11" priority="15">
      <formula>AND($B530&lt;&gt;"",$B611="")</formula>
    </cfRule>
    <cfRule type="expression" dxfId="10" priority="16">
      <formula>$B530=""</formula>
    </cfRule>
  </conditionalFormatting>
  <conditionalFormatting sqref="F450 B450">
    <cfRule type="expression" dxfId="9" priority="5">
      <formula>AND($B450&lt;&gt;"",$B451="")</formula>
    </cfRule>
    <cfRule type="expression" dxfId="8" priority="6">
      <formula>$B450=""</formula>
    </cfRule>
  </conditionalFormatting>
  <conditionalFormatting sqref="C450:E450 G450">
    <cfRule type="expression" dxfId="7" priority="7">
      <formula>AND($B450&lt;&gt;"",#REF!="")</formula>
    </cfRule>
    <cfRule type="expression" dxfId="6" priority="8">
      <formula>$B450=""</formula>
    </cfRule>
  </conditionalFormatting>
  <conditionalFormatting sqref="H450:M450">
    <cfRule type="expression" dxfId="5" priority="9">
      <formula>AND($B450&lt;&gt;"",$B531="")</formula>
    </cfRule>
    <cfRule type="expression" dxfId="4" priority="10">
      <formula>$B450=""</formula>
    </cfRule>
  </conditionalFormatting>
  <conditionalFormatting sqref="H451:M451 F451 B451">
    <cfRule type="expression" dxfId="3" priority="1">
      <formula>AND($B451&lt;&gt;"",$B452="")</formula>
    </cfRule>
    <cfRule type="expression" dxfId="2" priority="2">
      <formula>$B451=""</formula>
    </cfRule>
  </conditionalFormatting>
  <conditionalFormatting sqref="C451:E451 G451">
    <cfRule type="expression" dxfId="1" priority="3">
      <formula>AND($B451&lt;&gt;"",#REF!="")</formula>
    </cfRule>
    <cfRule type="expression" dxfId="0" priority="4">
      <formula>$B451=""</formula>
    </cfRule>
  </conditionalFormatting>
  <pageMargins left="0.51" right="0.27559055118110237" top="0.41" bottom="0.46" header="0.31496062992125984" footer="0.31496062992125984"/>
  <pageSetup paperSize="9" pageOrder="overThenDown"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527"/>
  <sheetViews>
    <sheetView workbookViewId="0">
      <pane xSplit="6" ySplit="7" topLeftCell="G332" activePane="bottomRight" state="frozen"/>
      <selection pane="topRight" activeCell="G1" sqref="G1"/>
      <selection pane="bottomLeft" activeCell="A8" sqref="A8"/>
      <selection pane="bottomRight" sqref="A1:M1"/>
    </sheetView>
  </sheetViews>
  <sheetFormatPr defaultColWidth="9.109375" defaultRowHeight="0" customHeight="1" zeroHeight="1" x14ac:dyDescent="0.3"/>
  <cols>
    <col min="1" max="1" width="3.88671875" customWidth="1"/>
    <col min="2" max="2" width="6.6640625" customWidth="1"/>
    <col min="3" max="3" width="16.5546875" customWidth="1"/>
    <col min="4" max="4" width="29.6640625" customWidth="1"/>
    <col min="5" max="5" width="3.88671875" bestFit="1" customWidth="1"/>
    <col min="6" max="6" width="6.33203125" bestFit="1" customWidth="1"/>
    <col min="7" max="7" width="4.88671875" customWidth="1"/>
    <col min="8" max="8" width="4.109375" customWidth="1"/>
    <col min="9" max="9" width="4.88671875" customWidth="1"/>
    <col min="10" max="10" width="4.109375" customWidth="1"/>
    <col min="11" max="11" width="5" bestFit="1" customWidth="1"/>
    <col min="12" max="13" width="4.109375" customWidth="1"/>
    <col min="14" max="14" width="9.109375" customWidth="1"/>
  </cols>
  <sheetData>
    <row r="1" spans="1:13" ht="26.25" customHeight="1" x14ac:dyDescent="0.3">
      <c r="A1" s="575" t="s">
        <v>180</v>
      </c>
      <c r="B1" s="575"/>
      <c r="C1" s="575"/>
      <c r="D1" s="575"/>
      <c r="E1" s="575"/>
      <c r="F1" s="575"/>
      <c r="G1" s="575"/>
      <c r="H1" s="575"/>
      <c r="I1" s="575"/>
      <c r="J1" s="575"/>
      <c r="K1" s="575"/>
      <c r="L1" s="575"/>
      <c r="M1" s="575"/>
    </row>
    <row r="2" spans="1:13" ht="18" customHeight="1" x14ac:dyDescent="0.3">
      <c r="D2" s="321"/>
      <c r="E2" s="322"/>
      <c r="F2" s="322"/>
    </row>
    <row r="3" spans="1:13" ht="14.4" hidden="1" x14ac:dyDescent="0.3">
      <c r="G3" s="323">
        <v>1</v>
      </c>
      <c r="H3" s="323">
        <v>2</v>
      </c>
      <c r="I3" s="323">
        <v>3</v>
      </c>
      <c r="J3" s="323">
        <v>4</v>
      </c>
      <c r="K3" s="323">
        <v>5</v>
      </c>
      <c r="L3" s="323">
        <v>6</v>
      </c>
      <c r="M3" s="323">
        <v>7</v>
      </c>
    </row>
    <row r="4" spans="1:13" ht="15" customHeight="1" x14ac:dyDescent="0.3">
      <c r="A4" s="587" t="s">
        <v>0</v>
      </c>
      <c r="B4" s="588" t="s">
        <v>168</v>
      </c>
      <c r="C4" s="589" t="s">
        <v>116</v>
      </c>
      <c r="D4" s="587" t="s">
        <v>169</v>
      </c>
      <c r="E4" s="588" t="s">
        <v>170</v>
      </c>
      <c r="F4" s="587" t="s">
        <v>118</v>
      </c>
      <c r="G4" s="584">
        <f>Data!C6</f>
        <v>0</v>
      </c>
      <c r="H4" s="585"/>
      <c r="I4" s="585"/>
      <c r="J4" s="585"/>
      <c r="K4" s="585"/>
      <c r="L4" s="585"/>
      <c r="M4" s="586"/>
    </row>
    <row r="5" spans="1:13" ht="15" customHeight="1" x14ac:dyDescent="0.3">
      <c r="A5" s="587"/>
      <c r="B5" s="588"/>
      <c r="C5" s="590"/>
      <c r="D5" s="587"/>
      <c r="E5" s="588"/>
      <c r="F5" s="587"/>
      <c r="G5" s="578" t="s">
        <v>171</v>
      </c>
      <c r="H5" s="579"/>
      <c r="I5" s="580"/>
      <c r="J5" s="581" t="s">
        <v>172</v>
      </c>
      <c r="K5" s="582"/>
      <c r="L5" s="583"/>
      <c r="M5" s="576" t="s">
        <v>179</v>
      </c>
    </row>
    <row r="6" spans="1:13" ht="39.75" customHeight="1" thickBot="1" x14ac:dyDescent="0.35">
      <c r="A6" s="587"/>
      <c r="B6" s="588"/>
      <c r="C6" s="591"/>
      <c r="D6" s="587"/>
      <c r="E6" s="588"/>
      <c r="F6" s="587"/>
      <c r="G6" s="324" t="s">
        <v>173</v>
      </c>
      <c r="H6" s="324" t="s">
        <v>174</v>
      </c>
      <c r="I6" s="324" t="s">
        <v>175</v>
      </c>
      <c r="J6" s="325" t="s">
        <v>176</v>
      </c>
      <c r="K6" s="325" t="s">
        <v>177</v>
      </c>
      <c r="L6" s="325" t="s">
        <v>178</v>
      </c>
      <c r="M6" s="577"/>
    </row>
    <row r="7" spans="1:13" ht="18" customHeight="1" thickTop="1" thickBot="1" x14ac:dyDescent="0.35">
      <c r="A7" s="337"/>
      <c r="B7" s="338"/>
      <c r="C7" s="338"/>
      <c r="D7" s="337"/>
      <c r="E7" s="338"/>
      <c r="F7" s="252"/>
      <c r="G7" s="339"/>
      <c r="H7" s="340"/>
      <c r="I7" s="340"/>
      <c r="J7" s="341"/>
      <c r="K7" s="341"/>
      <c r="L7" s="341"/>
      <c r="M7" s="342"/>
    </row>
    <row r="8" spans="1:13" ht="14.4" x14ac:dyDescent="0.3">
      <c r="A8" s="329">
        <f>Data!E5</f>
        <v>1</v>
      </c>
      <c r="B8" s="330" t="str">
        <f>IF(Data!F5="","",Data!F5)</f>
        <v>03503</v>
      </c>
      <c r="C8" s="330">
        <f>IF(Data!G5="","",Data!G5)</f>
        <v>3128140791</v>
      </c>
      <c r="D8" s="331" t="str">
        <f>IF(Data!H5="","",Data!H5)</f>
        <v>Achmad Bachtiar Nasir</v>
      </c>
      <c r="E8" s="330" t="str">
        <f>IF(Data!I5="","",Data!I5)</f>
        <v>Laki-laki</v>
      </c>
      <c r="F8" s="332" t="str">
        <f>IF(Data!J5="","",Data!J5)</f>
        <v>VIII-A</v>
      </c>
      <c r="G8" s="326" t="str">
        <f>IF(PA!G10="","",PA!G10)</f>
        <v/>
      </c>
      <c r="H8" s="327" t="str">
        <f>IF(PA!H10="","",PA!H10)</f>
        <v/>
      </c>
      <c r="I8" s="327" t="str">
        <f>IF(PA!I10="","",PA!I10)</f>
        <v/>
      </c>
      <c r="J8" s="327" t="str">
        <f>IF(PA!AA10="","",PA!AA10)</f>
        <v/>
      </c>
      <c r="K8" s="327" t="str">
        <f>IF(PA!AB10="","",PA!AB10)</f>
        <v/>
      </c>
      <c r="L8" s="327" t="str">
        <f>IF(PA!AC10="","",PA!AC10)</f>
        <v/>
      </c>
      <c r="M8" s="328" t="str">
        <f>IF(PA!P10="","",PA!P10)</f>
        <v/>
      </c>
    </row>
    <row r="9" spans="1:13" ht="14.4" x14ac:dyDescent="0.3">
      <c r="A9" s="329">
        <f>Data!E6</f>
        <v>2</v>
      </c>
      <c r="B9" s="330" t="str">
        <f>IF(Data!F6="","",Data!F6)</f>
        <v>03505</v>
      </c>
      <c r="C9" s="330">
        <f>IF(Data!G6="","",Data!G6)</f>
        <v>3123785760</v>
      </c>
      <c r="D9" s="331" t="str">
        <f>IF(Data!H6="","",Data!H6)</f>
        <v>Achmad Kadaffa Aprilio</v>
      </c>
      <c r="E9" s="330" t="str">
        <f>IF(Data!I6="","",Data!I6)</f>
        <v>Laki-laki</v>
      </c>
      <c r="F9" s="332" t="str">
        <f>IF(Data!J6="","",Data!J6)</f>
        <v>VIII-A</v>
      </c>
      <c r="G9" s="326" t="str">
        <f>IF(PA!G11="","",PA!G11)</f>
        <v/>
      </c>
      <c r="H9" s="327" t="str">
        <f>IF(PA!H11="","",PA!H11)</f>
        <v/>
      </c>
      <c r="I9" s="327" t="str">
        <f>IF(PA!I11="","",PA!I11)</f>
        <v/>
      </c>
      <c r="J9" s="327" t="str">
        <f>IF(PA!AA11="","",PA!AA11)</f>
        <v/>
      </c>
      <c r="K9" s="327" t="str">
        <f>IF(PA!AB11="","",PA!AB11)</f>
        <v/>
      </c>
      <c r="L9" s="327" t="str">
        <f>IF(PA!AC11="","",PA!AC11)</f>
        <v/>
      </c>
      <c r="M9" s="328" t="str">
        <f>IF(PA!P11="","",PA!P11)</f>
        <v/>
      </c>
    </row>
    <row r="10" spans="1:13" ht="14.4" x14ac:dyDescent="0.3">
      <c r="A10" s="329">
        <f>Data!E7</f>
        <v>3</v>
      </c>
      <c r="B10" s="330" t="str">
        <f>IF(Data!F7="","",Data!F7)</f>
        <v>03511</v>
      </c>
      <c r="C10" s="330" t="str">
        <f>IF(Data!G7="","",Data!G7)</f>
        <v>0122934375</v>
      </c>
      <c r="D10" s="331" t="str">
        <f>IF(Data!H7="","",Data!H7)</f>
        <v>Ahmad Afkhar Syauqi Asy Syamil</v>
      </c>
      <c r="E10" s="330" t="str">
        <f>IF(Data!I7="","",Data!I7)</f>
        <v>Laki-laki</v>
      </c>
      <c r="F10" s="332" t="str">
        <f>IF(Data!J7="","",Data!J7)</f>
        <v>VIII-A</v>
      </c>
      <c r="G10" s="326" t="str">
        <f>IF(PA!G12="","",PA!G12)</f>
        <v/>
      </c>
      <c r="H10" s="327" t="str">
        <f>IF(PA!H12="","",PA!H12)</f>
        <v/>
      </c>
      <c r="I10" s="327" t="str">
        <f>IF(PA!I12="","",PA!I12)</f>
        <v/>
      </c>
      <c r="J10" s="327" t="str">
        <f>IF(PA!AA12="","",PA!AA12)</f>
        <v/>
      </c>
      <c r="K10" s="327" t="str">
        <f>IF(PA!AB12="","",PA!AB12)</f>
        <v/>
      </c>
      <c r="L10" s="327" t="str">
        <f>IF(PA!AC12="","",PA!AC12)</f>
        <v/>
      </c>
      <c r="M10" s="328" t="str">
        <f>IF(PA!P12="","",PA!P12)</f>
        <v/>
      </c>
    </row>
    <row r="11" spans="1:13" ht="14.4" x14ac:dyDescent="0.3">
      <c r="A11" s="329">
        <f>Data!E8</f>
        <v>4</v>
      </c>
      <c r="B11" s="330" t="str">
        <f>IF(Data!F8="","",Data!F8)</f>
        <v>03516</v>
      </c>
      <c r="C11" s="330" t="str">
        <f>IF(Data!G8="","",Data!G8)</f>
        <v>0127265334</v>
      </c>
      <c r="D11" s="331" t="str">
        <f>IF(Data!H8="","",Data!H8)</f>
        <v>Ahmad Fathan El Raihan Wafi</v>
      </c>
      <c r="E11" s="330" t="str">
        <f>IF(Data!I8="","",Data!I8)</f>
        <v>Laki-laki</v>
      </c>
      <c r="F11" s="332" t="str">
        <f>IF(Data!J8="","",Data!J8)</f>
        <v>VIII-A</v>
      </c>
      <c r="G11" s="326" t="str">
        <f>IF(PA!G13="","",PA!G13)</f>
        <v/>
      </c>
      <c r="H11" s="327" t="str">
        <f>IF(PA!H13="","",PA!H13)</f>
        <v/>
      </c>
      <c r="I11" s="327" t="str">
        <f>IF(PA!I13="","",PA!I13)</f>
        <v/>
      </c>
      <c r="J11" s="327" t="str">
        <f>IF(PA!AA13="","",PA!AA13)</f>
        <v/>
      </c>
      <c r="K11" s="327" t="str">
        <f>IF(PA!AB13="","",PA!AB13)</f>
        <v/>
      </c>
      <c r="L11" s="327" t="str">
        <f>IF(PA!AC13="","",PA!AC13)</f>
        <v/>
      </c>
      <c r="M11" s="328" t="str">
        <f>IF(PA!P13="","",PA!P13)</f>
        <v/>
      </c>
    </row>
    <row r="12" spans="1:13" ht="14.4" x14ac:dyDescent="0.3">
      <c r="A12" s="329">
        <f>Data!E9</f>
        <v>5</v>
      </c>
      <c r="B12" s="330" t="str">
        <f>IF(Data!F9="","",Data!F9)</f>
        <v>03517</v>
      </c>
      <c r="C12" s="330" t="str">
        <f>IF(Data!G9="","",Data!G9)</f>
        <v>0127952891</v>
      </c>
      <c r="D12" s="331" t="str">
        <f>IF(Data!H9="","",Data!H9)</f>
        <v>Ahmad Firdaus Nurrohman Bayhaqiy</v>
      </c>
      <c r="E12" s="330" t="str">
        <f>IF(Data!I9="","",Data!I9)</f>
        <v>Laki-laki</v>
      </c>
      <c r="F12" s="332" t="str">
        <f>IF(Data!J9="","",Data!J9)</f>
        <v>VIII-A</v>
      </c>
      <c r="G12" s="326" t="str">
        <f>IF(PA!G14="","",PA!G14)</f>
        <v/>
      </c>
      <c r="H12" s="327" t="str">
        <f>IF(PA!H14="","",PA!H14)</f>
        <v/>
      </c>
      <c r="I12" s="327" t="str">
        <f>IF(PA!I14="","",PA!I14)</f>
        <v/>
      </c>
      <c r="J12" s="327" t="str">
        <f>IF(PA!AA14="","",PA!AA14)</f>
        <v/>
      </c>
      <c r="K12" s="327" t="str">
        <f>IF(PA!AB14="","",PA!AB14)</f>
        <v/>
      </c>
      <c r="L12" s="327" t="str">
        <f>IF(PA!AC14="","",PA!AC14)</f>
        <v/>
      </c>
      <c r="M12" s="328" t="str">
        <f>IF(PA!P14="","",PA!P14)</f>
        <v/>
      </c>
    </row>
    <row r="13" spans="1:13" ht="14.4" x14ac:dyDescent="0.3">
      <c r="A13" s="329">
        <f>Data!E10</f>
        <v>6</v>
      </c>
      <c r="B13" s="330" t="str">
        <f>IF(Data!F10="","",Data!F10)</f>
        <v>03518</v>
      </c>
      <c r="C13" s="330">
        <f>IF(Data!G10="","",Data!G10)</f>
        <v>3124524804</v>
      </c>
      <c r="D13" s="331" t="str">
        <f>IF(Data!H10="","",Data!H10)</f>
        <v>Ahmad Haqqikul Fahmi</v>
      </c>
      <c r="E13" s="330" t="str">
        <f>IF(Data!I10="","",Data!I10)</f>
        <v>Laki-laki</v>
      </c>
      <c r="F13" s="332" t="str">
        <f>IF(Data!J10="","",Data!J10)</f>
        <v>VIII-A</v>
      </c>
      <c r="G13" s="326" t="str">
        <f>IF(PA!G15="","",PA!G15)</f>
        <v/>
      </c>
      <c r="H13" s="327" t="str">
        <f>IF(PA!H15="","",PA!H15)</f>
        <v/>
      </c>
      <c r="I13" s="327" t="str">
        <f>IF(PA!I15="","",PA!I15)</f>
        <v/>
      </c>
      <c r="J13" s="327" t="str">
        <f>IF(PA!AA15="","",PA!AA15)</f>
        <v/>
      </c>
      <c r="K13" s="327" t="str">
        <f>IF(PA!AB15="","",PA!AB15)</f>
        <v/>
      </c>
      <c r="L13" s="327" t="str">
        <f>IF(PA!AC15="","",PA!AC15)</f>
        <v/>
      </c>
      <c r="M13" s="328" t="str">
        <f>IF(PA!P15="","",PA!P15)</f>
        <v/>
      </c>
    </row>
    <row r="14" spans="1:13" ht="14.4" x14ac:dyDescent="0.3">
      <c r="A14" s="329">
        <f>Data!E11</f>
        <v>7</v>
      </c>
      <c r="B14" s="330" t="str">
        <f>IF(Data!F11="","",Data!F11)</f>
        <v>03519</v>
      </c>
      <c r="C14" s="330" t="str">
        <f>IF(Data!G11="","",Data!G11)</f>
        <v>0137810473</v>
      </c>
      <c r="D14" s="331" t="str">
        <f>IF(Data!H11="","",Data!H11)</f>
        <v>Ahmad Ihsanul Fauzan</v>
      </c>
      <c r="E14" s="330" t="str">
        <f>IF(Data!I11="","",Data!I11)</f>
        <v>Laki-laki</v>
      </c>
      <c r="F14" s="332" t="str">
        <f>IF(Data!J11="","",Data!J11)</f>
        <v>VIII-A</v>
      </c>
      <c r="G14" s="326" t="str">
        <f>IF(PA!G16="","",PA!G16)</f>
        <v/>
      </c>
      <c r="H14" s="327" t="str">
        <f>IF(PA!H16="","",PA!H16)</f>
        <v/>
      </c>
      <c r="I14" s="327" t="str">
        <f>IF(PA!I16="","",PA!I16)</f>
        <v/>
      </c>
      <c r="J14" s="327" t="str">
        <f>IF(PA!AA16="","",PA!AA16)</f>
        <v/>
      </c>
      <c r="K14" s="327" t="str">
        <f>IF(PA!AB16="","",PA!AB16)</f>
        <v/>
      </c>
      <c r="L14" s="327" t="str">
        <f>IF(PA!AC16="","",PA!AC16)</f>
        <v/>
      </c>
      <c r="M14" s="328" t="str">
        <f>IF(PA!P16="","",PA!P16)</f>
        <v/>
      </c>
    </row>
    <row r="15" spans="1:13" ht="14.4" x14ac:dyDescent="0.3">
      <c r="A15" s="329">
        <f>Data!E12</f>
        <v>8</v>
      </c>
      <c r="B15" s="330" t="str">
        <f>IF(Data!F12="","",Data!F12)</f>
        <v>03525</v>
      </c>
      <c r="C15" s="330">
        <f>IF(Data!G12="","",Data!G12)</f>
        <v>3125719975</v>
      </c>
      <c r="D15" s="331" t="str">
        <f>IF(Data!H12="","",Data!H12)</f>
        <v>Ahmad Rizky Rusdyanto</v>
      </c>
      <c r="E15" s="330" t="str">
        <f>IF(Data!I12="","",Data!I12)</f>
        <v>Laki-laki</v>
      </c>
      <c r="F15" s="332" t="str">
        <f>IF(Data!J12="","",Data!J12)</f>
        <v>VIII-A</v>
      </c>
      <c r="G15" s="326" t="str">
        <f>IF(PA!G17="","",PA!G17)</f>
        <v/>
      </c>
      <c r="H15" s="327" t="str">
        <f>IF(PA!H17="","",PA!H17)</f>
        <v/>
      </c>
      <c r="I15" s="327" t="str">
        <f>IF(PA!I17="","",PA!I17)</f>
        <v/>
      </c>
      <c r="J15" s="327" t="str">
        <f>IF(PA!AA17="","",PA!AA17)</f>
        <v/>
      </c>
      <c r="K15" s="327" t="str">
        <f>IF(PA!AB17="","",PA!AB17)</f>
        <v/>
      </c>
      <c r="L15" s="327" t="str">
        <f>IF(PA!AC17="","",PA!AC17)</f>
        <v/>
      </c>
      <c r="M15" s="328" t="str">
        <f>IF(PA!P17="","",PA!P17)</f>
        <v/>
      </c>
    </row>
    <row r="16" spans="1:13" ht="14.4" x14ac:dyDescent="0.3">
      <c r="A16" s="329">
        <f>Data!E13</f>
        <v>9</v>
      </c>
      <c r="B16" s="330" t="str">
        <f>IF(Data!F13="","",Data!F13)</f>
        <v>03533</v>
      </c>
      <c r="C16" s="330" t="str">
        <f>IF(Data!G13="","",Data!G13)</f>
        <v>0134120995</v>
      </c>
      <c r="D16" s="331" t="str">
        <f>IF(Data!H13="","",Data!H13)</f>
        <v>Arya Daniswara</v>
      </c>
      <c r="E16" s="330" t="str">
        <f>IF(Data!I13="","",Data!I13)</f>
        <v>Laki-laki</v>
      </c>
      <c r="F16" s="332" t="str">
        <f>IF(Data!J13="","",Data!J13)</f>
        <v>VIII-A</v>
      </c>
      <c r="G16" s="326" t="str">
        <f>IF(PA!G18="","",PA!G18)</f>
        <v/>
      </c>
      <c r="H16" s="327" t="str">
        <f>IF(PA!H18="","",PA!H18)</f>
        <v/>
      </c>
      <c r="I16" s="327" t="str">
        <f>IF(PA!I18="","",PA!I18)</f>
        <v/>
      </c>
      <c r="J16" s="327" t="str">
        <f>IF(PA!AA18="","",PA!AA18)</f>
        <v/>
      </c>
      <c r="K16" s="327" t="str">
        <f>IF(PA!AB18="","",PA!AB18)</f>
        <v/>
      </c>
      <c r="L16" s="327" t="str">
        <f>IF(PA!AC18="","",PA!AC18)</f>
        <v/>
      </c>
      <c r="M16" s="328" t="str">
        <f>IF(PA!P18="","",PA!P18)</f>
        <v/>
      </c>
    </row>
    <row r="17" spans="1:13" ht="14.4" x14ac:dyDescent="0.3">
      <c r="A17" s="329">
        <f>Data!E14</f>
        <v>10</v>
      </c>
      <c r="B17" s="330" t="str">
        <f>IF(Data!F14="","",Data!F14)</f>
        <v>03536</v>
      </c>
      <c r="C17" s="330">
        <f>IF(Data!G14="","",Data!G14)</f>
        <v>3128444473</v>
      </c>
      <c r="D17" s="331" t="str">
        <f>IF(Data!H14="","",Data!H14)</f>
        <v>Azzam Reyhan Arifin</v>
      </c>
      <c r="E17" s="330" t="str">
        <f>IF(Data!I14="","",Data!I14)</f>
        <v>Laki-laki</v>
      </c>
      <c r="F17" s="332" t="str">
        <f>IF(Data!J14="","",Data!J14)</f>
        <v>VIII-A</v>
      </c>
      <c r="G17" s="326" t="str">
        <f>IF(PA!G19="","",PA!G19)</f>
        <v/>
      </c>
      <c r="H17" s="327" t="str">
        <f>IF(PA!H19="","",PA!H19)</f>
        <v/>
      </c>
      <c r="I17" s="327" t="str">
        <f>IF(PA!I19="","",PA!I19)</f>
        <v/>
      </c>
      <c r="J17" s="327" t="str">
        <f>IF(PA!AA19="","",PA!AA19)</f>
        <v/>
      </c>
      <c r="K17" s="327" t="str">
        <f>IF(PA!AB19="","",PA!AB19)</f>
        <v/>
      </c>
      <c r="L17" s="327" t="str">
        <f>IF(PA!AC19="","",PA!AC19)</f>
        <v/>
      </c>
      <c r="M17" s="328" t="str">
        <f>IF(PA!P19="","",PA!P19)</f>
        <v/>
      </c>
    </row>
    <row r="18" spans="1:13" ht="14.4" x14ac:dyDescent="0.3">
      <c r="A18" s="329">
        <f>Data!E15</f>
        <v>11</v>
      </c>
      <c r="B18" s="330" t="str">
        <f>IF(Data!F15="","",Data!F15)</f>
        <v>03541</v>
      </c>
      <c r="C18" s="330" t="str">
        <f>IF(Data!G15="","",Data!G15)</f>
        <v>0121181429</v>
      </c>
      <c r="D18" s="331" t="str">
        <f>IF(Data!H15="","",Data!H15)</f>
        <v>Elvico Fahri Dwi Ramadhan</v>
      </c>
      <c r="E18" s="330" t="str">
        <f>IF(Data!I15="","",Data!I15)</f>
        <v>Laki-laki</v>
      </c>
      <c r="F18" s="332" t="str">
        <f>IF(Data!J15="","",Data!J15)</f>
        <v>VIII-A</v>
      </c>
      <c r="G18" s="326" t="str">
        <f>IF(PA!G20="","",PA!G20)</f>
        <v/>
      </c>
      <c r="H18" s="327" t="str">
        <f>IF(PA!H20="","",PA!H20)</f>
        <v/>
      </c>
      <c r="I18" s="327" t="str">
        <f>IF(PA!I20="","",PA!I20)</f>
        <v/>
      </c>
      <c r="J18" s="327" t="str">
        <f>IF(PA!AA20="","",PA!AA20)</f>
        <v/>
      </c>
      <c r="K18" s="327" t="str">
        <f>IF(PA!AB20="","",PA!AB20)</f>
        <v/>
      </c>
      <c r="L18" s="327" t="str">
        <f>IF(PA!AC20="","",PA!AC20)</f>
        <v/>
      </c>
      <c r="M18" s="328" t="str">
        <f>IF(PA!P20="","",PA!P20)</f>
        <v/>
      </c>
    </row>
    <row r="19" spans="1:13" ht="14.4" x14ac:dyDescent="0.3">
      <c r="A19" s="329">
        <f>Data!E16</f>
        <v>12</v>
      </c>
      <c r="B19" s="330" t="str">
        <f>IF(Data!F16="","",Data!F16)</f>
        <v>03545</v>
      </c>
      <c r="C19" s="330" t="str">
        <f>IF(Data!G16="","",Data!G16)</f>
        <v>0129397131</v>
      </c>
      <c r="D19" s="331" t="str">
        <f>IF(Data!H16="","",Data!H16)</f>
        <v>Gesang Dwi Permana</v>
      </c>
      <c r="E19" s="330" t="str">
        <f>IF(Data!I16="","",Data!I16)</f>
        <v>Laki-laki</v>
      </c>
      <c r="F19" s="332" t="str">
        <f>IF(Data!J16="","",Data!J16)</f>
        <v>VIII-A</v>
      </c>
      <c r="G19" s="326" t="str">
        <f>IF(PA!G21="","",PA!G21)</f>
        <v/>
      </c>
      <c r="H19" s="327" t="str">
        <f>IF(PA!H21="","",PA!H21)</f>
        <v/>
      </c>
      <c r="I19" s="327" t="str">
        <f>IF(PA!I21="","",PA!I21)</f>
        <v/>
      </c>
      <c r="J19" s="327" t="str">
        <f>IF(PA!AA21="","",PA!AA21)</f>
        <v/>
      </c>
      <c r="K19" s="327" t="str">
        <f>IF(PA!AB21="","",PA!AB21)</f>
        <v/>
      </c>
      <c r="L19" s="327" t="str">
        <f>IF(PA!AC21="","",PA!AC21)</f>
        <v/>
      </c>
      <c r="M19" s="328" t="str">
        <f>IF(PA!P21="","",PA!P21)</f>
        <v/>
      </c>
    </row>
    <row r="20" spans="1:13" ht="14.4" x14ac:dyDescent="0.3">
      <c r="A20" s="329">
        <f>Data!E17</f>
        <v>13</v>
      </c>
      <c r="B20" s="330" t="str">
        <f>IF(Data!F17="","",Data!F17)</f>
        <v>03550</v>
      </c>
      <c r="C20" s="330" t="str">
        <f>IF(Data!G17="","",Data!G17)</f>
        <v>0129339187</v>
      </c>
      <c r="D20" s="331" t="str">
        <f>IF(Data!H17="","",Data!H17)</f>
        <v>Kafka Shafy Zafarani</v>
      </c>
      <c r="E20" s="330" t="str">
        <f>IF(Data!I17="","",Data!I17)</f>
        <v>Laki-laki</v>
      </c>
      <c r="F20" s="332" t="str">
        <f>IF(Data!J17="","",Data!J17)</f>
        <v>VIII-A</v>
      </c>
      <c r="G20" s="326" t="str">
        <f>IF(PA!G22="","",PA!G22)</f>
        <v/>
      </c>
      <c r="H20" s="327" t="str">
        <f>IF(PA!H22="","",PA!H22)</f>
        <v/>
      </c>
      <c r="I20" s="327" t="str">
        <f>IF(PA!I22="","",PA!I22)</f>
        <v/>
      </c>
      <c r="J20" s="327" t="str">
        <f>IF(PA!AA22="","",PA!AA22)</f>
        <v/>
      </c>
      <c r="K20" s="327" t="str">
        <f>IF(PA!AB22="","",PA!AB22)</f>
        <v/>
      </c>
      <c r="L20" s="327" t="str">
        <f>IF(PA!AC22="","",PA!AC22)</f>
        <v/>
      </c>
      <c r="M20" s="328" t="str">
        <f>IF(PA!P22="","",PA!P22)</f>
        <v/>
      </c>
    </row>
    <row r="21" spans="1:13" ht="14.4" x14ac:dyDescent="0.3">
      <c r="A21" s="329">
        <f>Data!E18</f>
        <v>14</v>
      </c>
      <c r="B21" s="330" t="str">
        <f>IF(Data!F18="","",Data!F18)</f>
        <v>03552</v>
      </c>
      <c r="C21" s="330" t="str">
        <f>IF(Data!G18="","",Data!G18)</f>
        <v>0133493207</v>
      </c>
      <c r="D21" s="331" t="str">
        <f>IF(Data!H18="","",Data!H18)</f>
        <v>Laits Rosyid Al-Barr</v>
      </c>
      <c r="E21" s="330" t="str">
        <f>IF(Data!I18="","",Data!I18)</f>
        <v>Laki-laki</v>
      </c>
      <c r="F21" s="332" t="str">
        <f>IF(Data!J18="","",Data!J18)</f>
        <v>VIII-A</v>
      </c>
      <c r="G21" s="326" t="str">
        <f>IF(PA!G23="","",PA!G23)</f>
        <v/>
      </c>
      <c r="H21" s="327" t="str">
        <f>IF(PA!H23="","",PA!H23)</f>
        <v/>
      </c>
      <c r="I21" s="327" t="str">
        <f>IF(PA!I23="","",PA!I23)</f>
        <v/>
      </c>
      <c r="J21" s="327" t="str">
        <f>IF(PA!AA23="","",PA!AA23)</f>
        <v/>
      </c>
      <c r="K21" s="327" t="str">
        <f>IF(PA!AB23="","",PA!AB23)</f>
        <v/>
      </c>
      <c r="L21" s="327" t="str">
        <f>IF(PA!AC23="","",PA!AC23)</f>
        <v/>
      </c>
      <c r="M21" s="328" t="str">
        <f>IF(PA!P23="","",PA!P23)</f>
        <v/>
      </c>
    </row>
    <row r="22" spans="1:13" ht="14.4" x14ac:dyDescent="0.3">
      <c r="A22" s="329">
        <f>Data!E19</f>
        <v>15</v>
      </c>
      <c r="B22" s="330" t="str">
        <f>IF(Data!F19="","",Data!F19)</f>
        <v>03554</v>
      </c>
      <c r="C22" s="330" t="str">
        <f>IF(Data!G19="","",Data!G19)</f>
        <v>0121711184</v>
      </c>
      <c r="D22" s="331" t="str">
        <f>IF(Data!H19="","",Data!H19)</f>
        <v>M Hanan Qomarudin</v>
      </c>
      <c r="E22" s="330" t="str">
        <f>IF(Data!I19="","",Data!I19)</f>
        <v>Laki-laki</v>
      </c>
      <c r="F22" s="332" t="str">
        <f>IF(Data!J19="","",Data!J19)</f>
        <v>VIII-A</v>
      </c>
      <c r="G22" s="326" t="str">
        <f>IF(PA!G24="","",PA!G24)</f>
        <v/>
      </c>
      <c r="H22" s="327" t="str">
        <f>IF(PA!H24="","",PA!H24)</f>
        <v/>
      </c>
      <c r="I22" s="327" t="str">
        <f>IF(PA!I24="","",PA!I24)</f>
        <v/>
      </c>
      <c r="J22" s="327" t="str">
        <f>IF(PA!AA24="","",PA!AA24)</f>
        <v/>
      </c>
      <c r="K22" s="327" t="str">
        <f>IF(PA!AB24="","",PA!AB24)</f>
        <v/>
      </c>
      <c r="L22" s="327" t="str">
        <f>IF(PA!AC24="","",PA!AC24)</f>
        <v/>
      </c>
      <c r="M22" s="328" t="str">
        <f>IF(PA!P24="","",PA!P24)</f>
        <v/>
      </c>
    </row>
    <row r="23" spans="1:13" ht="14.4" x14ac:dyDescent="0.3">
      <c r="A23" s="329">
        <f>Data!E20</f>
        <v>16</v>
      </c>
      <c r="B23" s="330" t="str">
        <f>IF(Data!F20="","",Data!F20)</f>
        <v>03559</v>
      </c>
      <c r="C23" s="330">
        <f>IF(Data!G20="","",Data!G20)</f>
        <v>3122820389</v>
      </c>
      <c r="D23" s="331" t="str">
        <f>IF(Data!H20="","",Data!H20)</f>
        <v>Moch. Zafi An Nafi'</v>
      </c>
      <c r="E23" s="330" t="str">
        <f>IF(Data!I20="","",Data!I20)</f>
        <v>Laki-laki</v>
      </c>
      <c r="F23" s="332" t="str">
        <f>IF(Data!J20="","",Data!J20)</f>
        <v>VIII-A</v>
      </c>
      <c r="G23" s="326" t="str">
        <f>IF(PA!G25="","",PA!G25)</f>
        <v/>
      </c>
      <c r="H23" s="327" t="str">
        <f>IF(PA!H25="","",PA!H25)</f>
        <v/>
      </c>
      <c r="I23" s="327" t="str">
        <f>IF(PA!I25="","",PA!I25)</f>
        <v/>
      </c>
      <c r="J23" s="327" t="str">
        <f>IF(PA!AA25="","",PA!AA25)</f>
        <v/>
      </c>
      <c r="K23" s="327" t="str">
        <f>IF(PA!AB25="","",PA!AB25)</f>
        <v/>
      </c>
      <c r="L23" s="327" t="str">
        <f>IF(PA!AC25="","",PA!AC25)</f>
        <v/>
      </c>
      <c r="M23" s="328" t="str">
        <f>IF(PA!P25="","",PA!P25)</f>
        <v/>
      </c>
    </row>
    <row r="24" spans="1:13" ht="14.4" x14ac:dyDescent="0.3">
      <c r="A24" s="329">
        <f>Data!E21</f>
        <v>17</v>
      </c>
      <c r="B24" s="330" t="str">
        <f>IF(Data!F21="","",Data!F21)</f>
        <v>03561</v>
      </c>
      <c r="C24" s="330" t="str">
        <f>IF(Data!G21="","",Data!G21)</f>
        <v>3126746261</v>
      </c>
      <c r="D24" s="331" t="str">
        <f>IF(Data!H21="","",Data!H21)</f>
        <v>Mohamad Afton Farizul Umam</v>
      </c>
      <c r="E24" s="330" t="str">
        <f>IF(Data!I21="","",Data!I21)</f>
        <v>Laki-laki</v>
      </c>
      <c r="F24" s="332" t="str">
        <f>IF(Data!J21="","",Data!J21)</f>
        <v>VIII-A</v>
      </c>
      <c r="G24" s="326" t="str">
        <f>IF(PA!G26="","",PA!G26)</f>
        <v/>
      </c>
      <c r="H24" s="327" t="str">
        <f>IF(PA!H26="","",PA!H26)</f>
        <v/>
      </c>
      <c r="I24" s="327" t="str">
        <f>IF(PA!I26="","",PA!I26)</f>
        <v/>
      </c>
      <c r="J24" s="327" t="str">
        <f>IF(PA!AA26="","",PA!AA26)</f>
        <v/>
      </c>
      <c r="K24" s="327" t="str">
        <f>IF(PA!AB26="","",PA!AB26)</f>
        <v/>
      </c>
      <c r="L24" s="327" t="str">
        <f>IF(PA!AC26="","",PA!AC26)</f>
        <v/>
      </c>
      <c r="M24" s="328" t="str">
        <f>IF(PA!P26="","",PA!P26)</f>
        <v/>
      </c>
    </row>
    <row r="25" spans="1:13" ht="14.4" x14ac:dyDescent="0.3">
      <c r="A25" s="329">
        <f>Data!E22</f>
        <v>18</v>
      </c>
      <c r="B25" s="330" t="str">
        <f>IF(Data!F22="","",Data!F22)</f>
        <v>03572</v>
      </c>
      <c r="C25" s="330">
        <f>IF(Data!G22="","",Data!G22)</f>
        <v>3124403242</v>
      </c>
      <c r="D25" s="331" t="str">
        <f>IF(Data!H22="","",Data!H22)</f>
        <v>Muhammad Alif Al Faruq</v>
      </c>
      <c r="E25" s="330" t="str">
        <f>IF(Data!I22="","",Data!I22)</f>
        <v>Laki-laki</v>
      </c>
      <c r="F25" s="332" t="str">
        <f>IF(Data!J22="","",Data!J22)</f>
        <v>VIII-A</v>
      </c>
      <c r="G25" s="326" t="str">
        <f>IF(PA!G27="","",PA!G27)</f>
        <v/>
      </c>
      <c r="H25" s="327" t="str">
        <f>IF(PA!H27="","",PA!H27)</f>
        <v/>
      </c>
      <c r="I25" s="327" t="str">
        <f>IF(PA!I27="","",PA!I27)</f>
        <v/>
      </c>
      <c r="J25" s="327" t="str">
        <f>IF(PA!AA27="","",PA!AA27)</f>
        <v/>
      </c>
      <c r="K25" s="327" t="str">
        <f>IF(PA!AB27="","",PA!AB27)</f>
        <v/>
      </c>
      <c r="L25" s="327" t="str">
        <f>IF(PA!AC27="","",PA!AC27)</f>
        <v/>
      </c>
      <c r="M25" s="328" t="str">
        <f>IF(PA!P27="","",PA!P27)</f>
        <v/>
      </c>
    </row>
    <row r="26" spans="1:13" ht="14.4" x14ac:dyDescent="0.3">
      <c r="A26" s="329">
        <f>Data!E23</f>
        <v>19</v>
      </c>
      <c r="B26" s="330" t="str">
        <f>IF(Data!F23="","",Data!F23)</f>
        <v>03575</v>
      </c>
      <c r="C26" s="330">
        <f>IF(Data!G23="","",Data!G23)</f>
        <v>3129147892</v>
      </c>
      <c r="D26" s="331" t="str">
        <f>IF(Data!H23="","",Data!H23)</f>
        <v>Muhammad Azka Afandi</v>
      </c>
      <c r="E26" s="330" t="str">
        <f>IF(Data!I23="","",Data!I23)</f>
        <v>Laki-laki</v>
      </c>
      <c r="F26" s="332" t="str">
        <f>IF(Data!J23="","",Data!J23)</f>
        <v>VIII-A</v>
      </c>
      <c r="G26" s="326" t="str">
        <f>IF(PA!G28="","",PA!G28)</f>
        <v/>
      </c>
      <c r="H26" s="327" t="str">
        <f>IF(PA!H28="","",PA!H28)</f>
        <v/>
      </c>
      <c r="I26" s="327" t="str">
        <f>IF(PA!I28="","",PA!I28)</f>
        <v/>
      </c>
      <c r="J26" s="327" t="str">
        <f>IF(PA!AA28="","",PA!AA28)</f>
        <v/>
      </c>
      <c r="K26" s="327" t="str">
        <f>IF(PA!AB28="","",PA!AB28)</f>
        <v/>
      </c>
      <c r="L26" s="327" t="str">
        <f>IF(PA!AC28="","",PA!AC28)</f>
        <v/>
      </c>
      <c r="M26" s="328" t="str">
        <f>IF(PA!P28="","",PA!P28)</f>
        <v/>
      </c>
    </row>
    <row r="27" spans="1:13" ht="14.4" x14ac:dyDescent="0.3">
      <c r="A27" s="329">
        <f>Data!E24</f>
        <v>20</v>
      </c>
      <c r="B27" s="330" t="str">
        <f>IF(Data!F24="","",Data!F24)</f>
        <v>03576</v>
      </c>
      <c r="C27" s="330">
        <f>IF(Data!G24="","",Data!G24)</f>
        <v>3121390670</v>
      </c>
      <c r="D27" s="331" t="str">
        <f>IF(Data!H24="","",Data!H24)</f>
        <v>Muhammad Azzam Sholahuddin Askari</v>
      </c>
      <c r="E27" s="330" t="str">
        <f>IF(Data!I24="","",Data!I24)</f>
        <v>Laki-laki</v>
      </c>
      <c r="F27" s="332" t="str">
        <f>IF(Data!J24="","",Data!J24)</f>
        <v>VIII-A</v>
      </c>
      <c r="G27" s="326" t="str">
        <f>IF(PA!G29="","",PA!G29)</f>
        <v/>
      </c>
      <c r="H27" s="327" t="str">
        <f>IF(PA!H29="","",PA!H29)</f>
        <v/>
      </c>
      <c r="I27" s="327" t="str">
        <f>IF(PA!I29="","",PA!I29)</f>
        <v/>
      </c>
      <c r="J27" s="327" t="str">
        <f>IF(PA!AA29="","",PA!AA29)</f>
        <v/>
      </c>
      <c r="K27" s="327" t="str">
        <f>IF(PA!AB29="","",PA!AB29)</f>
        <v/>
      </c>
      <c r="L27" s="327" t="str">
        <f>IF(PA!AC29="","",PA!AC29)</f>
        <v/>
      </c>
      <c r="M27" s="328" t="str">
        <f>IF(PA!P29="","",PA!P29)</f>
        <v/>
      </c>
    </row>
    <row r="28" spans="1:13" ht="14.4" x14ac:dyDescent="0.3">
      <c r="A28" s="329">
        <f>Data!E25</f>
        <v>21</v>
      </c>
      <c r="B28" s="330" t="str">
        <f>IF(Data!F25="","",Data!F25)</f>
        <v>03578</v>
      </c>
      <c r="C28" s="330">
        <f>IF(Data!G25="","",Data!G25)</f>
        <v>3123177417</v>
      </c>
      <c r="D28" s="331" t="str">
        <f>IF(Data!H25="","",Data!H25)</f>
        <v>Muhammad Dzaky Alif Al-Abiyu</v>
      </c>
      <c r="E28" s="330" t="str">
        <f>IF(Data!I25="","",Data!I25)</f>
        <v>Laki-laki</v>
      </c>
      <c r="F28" s="332" t="str">
        <f>IF(Data!J25="","",Data!J25)</f>
        <v>VIII-A</v>
      </c>
      <c r="G28" s="326" t="str">
        <f>IF(PA!G30="","",PA!G30)</f>
        <v/>
      </c>
      <c r="H28" s="327" t="str">
        <f>IF(PA!H30="","",PA!H30)</f>
        <v/>
      </c>
      <c r="I28" s="327" t="str">
        <f>IF(PA!I30="","",PA!I30)</f>
        <v/>
      </c>
      <c r="J28" s="327" t="str">
        <f>IF(PA!AA30="","",PA!AA30)</f>
        <v/>
      </c>
      <c r="K28" s="327" t="str">
        <f>IF(PA!AB30="","",PA!AB30)</f>
        <v/>
      </c>
      <c r="L28" s="327" t="str">
        <f>IF(PA!AC30="","",PA!AC30)</f>
        <v/>
      </c>
      <c r="M28" s="328" t="str">
        <f>IF(PA!P30="","",PA!P30)</f>
        <v/>
      </c>
    </row>
    <row r="29" spans="1:13" ht="14.4" x14ac:dyDescent="0.3">
      <c r="A29" s="329">
        <f>Data!E26</f>
        <v>22</v>
      </c>
      <c r="B29" s="330" t="str">
        <f>IF(Data!F26="","",Data!F26)</f>
        <v>03581</v>
      </c>
      <c r="C29" s="330">
        <f>IF(Data!G26="","",Data!G26)</f>
        <v>3121989800</v>
      </c>
      <c r="D29" s="331" t="str">
        <f>IF(Data!H26="","",Data!H26)</f>
        <v>Muhammad Hubby Izzul Haq</v>
      </c>
      <c r="E29" s="330" t="str">
        <f>IF(Data!I26="","",Data!I26)</f>
        <v>Laki-laki</v>
      </c>
      <c r="F29" s="332" t="str">
        <f>IF(Data!J26="","",Data!J26)</f>
        <v>VIII-A</v>
      </c>
      <c r="G29" s="326" t="str">
        <f>IF(PA!G31="","",PA!G31)</f>
        <v/>
      </c>
      <c r="H29" s="327" t="str">
        <f>IF(PA!H31="","",PA!H31)</f>
        <v/>
      </c>
      <c r="I29" s="327" t="str">
        <f>IF(PA!I31="","",PA!I31)</f>
        <v/>
      </c>
      <c r="J29" s="327" t="str">
        <f>IF(PA!AA31="","",PA!AA31)</f>
        <v/>
      </c>
      <c r="K29" s="327" t="str">
        <f>IF(PA!AB31="","",PA!AB31)</f>
        <v/>
      </c>
      <c r="L29" s="327" t="str">
        <f>IF(PA!AC31="","",PA!AC31)</f>
        <v/>
      </c>
      <c r="M29" s="328" t="str">
        <f>IF(PA!P31="","",PA!P31)</f>
        <v/>
      </c>
    </row>
    <row r="30" spans="1:13" ht="14.4" x14ac:dyDescent="0.3">
      <c r="A30" s="329">
        <f>Data!E27</f>
        <v>23</v>
      </c>
      <c r="B30" s="330" t="str">
        <f>IF(Data!F27="","",Data!F27)</f>
        <v>03582</v>
      </c>
      <c r="C30" s="330">
        <f>IF(Data!G27="","",Data!G27)</f>
        <v>3123037035</v>
      </c>
      <c r="D30" s="331" t="str">
        <f>IF(Data!H27="","",Data!H27)</f>
        <v>Muhammad Ibnu 'Athoillah Masykur</v>
      </c>
      <c r="E30" s="330" t="str">
        <f>IF(Data!I27="","",Data!I27)</f>
        <v>Laki-laki</v>
      </c>
      <c r="F30" s="332" t="str">
        <f>IF(Data!J27="","",Data!J27)</f>
        <v>VIII-A</v>
      </c>
      <c r="G30" s="326" t="str">
        <f>IF(PA!G32="","",PA!G32)</f>
        <v/>
      </c>
      <c r="H30" s="327" t="str">
        <f>IF(PA!H32="","",PA!H32)</f>
        <v/>
      </c>
      <c r="I30" s="327" t="str">
        <f>IF(PA!I32="","",PA!I32)</f>
        <v/>
      </c>
      <c r="J30" s="327" t="str">
        <f>IF(PA!AA32="","",PA!AA32)</f>
        <v/>
      </c>
      <c r="K30" s="327" t="str">
        <f>IF(PA!AB32="","",PA!AB32)</f>
        <v/>
      </c>
      <c r="L30" s="327" t="str">
        <f>IF(PA!AC32="","",PA!AC32)</f>
        <v/>
      </c>
      <c r="M30" s="328" t="str">
        <f>IF(PA!P32="","",PA!P32)</f>
        <v/>
      </c>
    </row>
    <row r="31" spans="1:13" ht="14.4" x14ac:dyDescent="0.3">
      <c r="A31" s="329">
        <f>Data!E28</f>
        <v>24</v>
      </c>
      <c r="B31" s="330" t="str">
        <f>IF(Data!F28="","",Data!F28)</f>
        <v>03584</v>
      </c>
      <c r="C31" s="330" t="str">
        <f>IF(Data!G28="","",Data!G28)</f>
        <v>3129655077</v>
      </c>
      <c r="D31" s="331" t="str">
        <f>IF(Data!H28="","",Data!H28)</f>
        <v>Muhammad Iqbal Baha Rizki</v>
      </c>
      <c r="E31" s="330" t="str">
        <f>IF(Data!I28="","",Data!I28)</f>
        <v>Laki-laki</v>
      </c>
      <c r="F31" s="332" t="str">
        <f>IF(Data!J28="","",Data!J28)</f>
        <v>VIII-A</v>
      </c>
      <c r="G31" s="326" t="str">
        <f>IF(PA!G33="","",PA!G33)</f>
        <v/>
      </c>
      <c r="H31" s="327" t="str">
        <f>IF(PA!H33="","",PA!H33)</f>
        <v/>
      </c>
      <c r="I31" s="327" t="str">
        <f>IF(PA!I33="","",PA!I33)</f>
        <v/>
      </c>
      <c r="J31" s="327" t="str">
        <f>IF(PA!AA33="","",PA!AA33)</f>
        <v/>
      </c>
      <c r="K31" s="327" t="str">
        <f>IF(PA!AB33="","",PA!AB33)</f>
        <v/>
      </c>
      <c r="L31" s="327" t="str">
        <f>IF(PA!AC33="","",PA!AC33)</f>
        <v/>
      </c>
      <c r="M31" s="328" t="str">
        <f>IF(PA!P33="","",PA!P33)</f>
        <v/>
      </c>
    </row>
    <row r="32" spans="1:13" ht="14.4" x14ac:dyDescent="0.3">
      <c r="A32" s="329">
        <f>Data!E29</f>
        <v>25</v>
      </c>
      <c r="B32" s="330" t="str">
        <f>IF(Data!F29="","",Data!F29)</f>
        <v>03590</v>
      </c>
      <c r="C32" s="330" t="str">
        <f>IF(Data!G29="","",Data!G29)</f>
        <v>0129684637</v>
      </c>
      <c r="D32" s="331" t="str">
        <f>IF(Data!H29="","",Data!H29)</f>
        <v>Muhammad Keysha Ahsin Nafsaka</v>
      </c>
      <c r="E32" s="330" t="str">
        <f>IF(Data!I29="","",Data!I29)</f>
        <v>Laki-laki</v>
      </c>
      <c r="F32" s="332" t="str">
        <f>IF(Data!J29="","",Data!J29)</f>
        <v>VIII-A</v>
      </c>
      <c r="G32" s="326" t="str">
        <f>IF(PA!G34="","",PA!G34)</f>
        <v/>
      </c>
      <c r="H32" s="327" t="str">
        <f>IF(PA!H34="","",PA!H34)</f>
        <v/>
      </c>
      <c r="I32" s="327" t="str">
        <f>IF(PA!I34="","",PA!I34)</f>
        <v/>
      </c>
      <c r="J32" s="327" t="str">
        <f>IF(PA!AA34="","",PA!AA34)</f>
        <v/>
      </c>
      <c r="K32" s="327" t="str">
        <f>IF(PA!AB34="","",PA!AB34)</f>
        <v/>
      </c>
      <c r="L32" s="327" t="str">
        <f>IF(PA!AC34="","",PA!AC34)</f>
        <v/>
      </c>
      <c r="M32" s="328" t="str">
        <f>IF(PA!P34="","",PA!P34)</f>
        <v/>
      </c>
    </row>
    <row r="33" spans="1:13" ht="14.4" x14ac:dyDescent="0.3">
      <c r="A33" s="329">
        <f>Data!E30</f>
        <v>26</v>
      </c>
      <c r="B33" s="330" t="str">
        <f>IF(Data!F30="","",Data!F30)</f>
        <v>03592</v>
      </c>
      <c r="C33" s="330" t="str">
        <f>IF(Data!G30="","",Data!G30)</f>
        <v>0125120492</v>
      </c>
      <c r="D33" s="331" t="str">
        <f>IF(Data!H30="","",Data!H30)</f>
        <v>Muhammad Khozinatul Asrori</v>
      </c>
      <c r="E33" s="330" t="str">
        <f>IF(Data!I30="","",Data!I30)</f>
        <v>Laki-laki</v>
      </c>
      <c r="F33" s="332" t="str">
        <f>IF(Data!J30="","",Data!J30)</f>
        <v>VIII-A</v>
      </c>
      <c r="G33" s="326" t="str">
        <f>IF(PA!G35="","",PA!G35)</f>
        <v/>
      </c>
      <c r="H33" s="327" t="str">
        <f>IF(PA!H35="","",PA!H35)</f>
        <v/>
      </c>
      <c r="I33" s="327" t="str">
        <f>IF(PA!I35="","",PA!I35)</f>
        <v/>
      </c>
      <c r="J33" s="327" t="str">
        <f>IF(PA!AA35="","",PA!AA35)</f>
        <v/>
      </c>
      <c r="K33" s="327" t="str">
        <f>IF(PA!AB35="","",PA!AB35)</f>
        <v/>
      </c>
      <c r="L33" s="327" t="str">
        <f>IF(PA!AC35="","",PA!AC35)</f>
        <v/>
      </c>
      <c r="M33" s="328" t="str">
        <f>IF(PA!P35="","",PA!P35)</f>
        <v/>
      </c>
    </row>
    <row r="34" spans="1:13" ht="14.4" x14ac:dyDescent="0.3">
      <c r="A34" s="329">
        <f>Data!E31</f>
        <v>27</v>
      </c>
      <c r="B34" s="330" t="str">
        <f>IF(Data!F31="","",Data!F31)</f>
        <v>03593</v>
      </c>
      <c r="C34" s="330" t="str">
        <f>IF(Data!G31="","",Data!G31)</f>
        <v>0122309704</v>
      </c>
      <c r="D34" s="331" t="str">
        <f>IF(Data!H31="","",Data!H31)</f>
        <v>Muhammad Ma'ruf Rizky</v>
      </c>
      <c r="E34" s="330" t="str">
        <f>IF(Data!I31="","",Data!I31)</f>
        <v>Laki-laki</v>
      </c>
      <c r="F34" s="332" t="str">
        <f>IF(Data!J31="","",Data!J31)</f>
        <v>VIII-A</v>
      </c>
      <c r="G34" s="326" t="str">
        <f>IF(PA!G36="","",PA!G36)</f>
        <v/>
      </c>
      <c r="H34" s="327" t="str">
        <f>IF(PA!H36="","",PA!H36)</f>
        <v/>
      </c>
      <c r="I34" s="327" t="str">
        <f>IF(PA!I36="","",PA!I36)</f>
        <v/>
      </c>
      <c r="J34" s="327" t="str">
        <f>IF(PA!AA36="","",PA!AA36)</f>
        <v/>
      </c>
      <c r="K34" s="327" t="str">
        <f>IF(PA!AB36="","",PA!AB36)</f>
        <v/>
      </c>
      <c r="L34" s="327" t="str">
        <f>IF(PA!AC36="","",PA!AC36)</f>
        <v/>
      </c>
      <c r="M34" s="328" t="str">
        <f>IF(PA!P36="","",PA!P36)</f>
        <v/>
      </c>
    </row>
    <row r="35" spans="1:13" ht="14.4" x14ac:dyDescent="0.3">
      <c r="A35" s="329">
        <f>Data!E32</f>
        <v>28</v>
      </c>
      <c r="B35" s="330" t="str">
        <f>IF(Data!F32="","",Data!F32)</f>
        <v>03604</v>
      </c>
      <c r="C35" s="330" t="str">
        <f>IF(Data!G32="","",Data!G32)</f>
        <v>0131956800</v>
      </c>
      <c r="D35" s="331" t="str">
        <f>IF(Data!H32="","",Data!H32)</f>
        <v>Naufal Muqoddam Rafif</v>
      </c>
      <c r="E35" s="330" t="str">
        <f>IF(Data!I32="","",Data!I32)</f>
        <v>Laki-laki</v>
      </c>
      <c r="F35" s="332" t="str">
        <f>IF(Data!J32="","",Data!J32)</f>
        <v>VIII-A</v>
      </c>
      <c r="G35" s="326" t="str">
        <f>IF(PA!G37="","",PA!G37)</f>
        <v/>
      </c>
      <c r="H35" s="327" t="str">
        <f>IF(PA!H37="","",PA!H37)</f>
        <v/>
      </c>
      <c r="I35" s="327" t="str">
        <f>IF(PA!I37="","",PA!I37)</f>
        <v/>
      </c>
      <c r="J35" s="327" t="str">
        <f>IF(PA!AA37="","",PA!AA37)</f>
        <v/>
      </c>
      <c r="K35" s="327" t="str">
        <f>IF(PA!AB37="","",PA!AB37)</f>
        <v/>
      </c>
      <c r="L35" s="327" t="str">
        <f>IF(PA!AC37="","",PA!AC37)</f>
        <v/>
      </c>
      <c r="M35" s="328" t="str">
        <f>IF(PA!P37="","",PA!P37)</f>
        <v/>
      </c>
    </row>
    <row r="36" spans="1:13" ht="14.4" x14ac:dyDescent="0.3">
      <c r="A36" s="329">
        <f>Data!E33</f>
        <v>29</v>
      </c>
      <c r="B36" s="330" t="str">
        <f>IF(Data!F33="","",Data!F33)</f>
        <v>03607</v>
      </c>
      <c r="C36" s="330">
        <f>IF(Data!G33="","",Data!G33)</f>
        <v>3121847487</v>
      </c>
      <c r="D36" s="331" t="str">
        <f>IF(Data!H33="","",Data!H33)</f>
        <v>Oziel Bagas Nugroho</v>
      </c>
      <c r="E36" s="330" t="str">
        <f>IF(Data!I33="","",Data!I33)</f>
        <v>Laki-laki</v>
      </c>
      <c r="F36" s="332" t="str">
        <f>IF(Data!J33="","",Data!J33)</f>
        <v>VIII-A</v>
      </c>
      <c r="G36" s="326" t="str">
        <f>IF(PA!G38="","",PA!G38)</f>
        <v/>
      </c>
      <c r="H36" s="327" t="str">
        <f>IF(PA!H38="","",PA!H38)</f>
        <v/>
      </c>
      <c r="I36" s="327" t="str">
        <f>IF(PA!I38="","",PA!I38)</f>
        <v/>
      </c>
      <c r="J36" s="327" t="str">
        <f>IF(PA!AA38="","",PA!AA38)</f>
        <v/>
      </c>
      <c r="K36" s="327" t="str">
        <f>IF(PA!AB38="","",PA!AB38)</f>
        <v/>
      </c>
      <c r="L36" s="327" t="str">
        <f>IF(PA!AC38="","",PA!AC38)</f>
        <v/>
      </c>
      <c r="M36" s="328" t="str">
        <f>IF(PA!P38="","",PA!P38)</f>
        <v/>
      </c>
    </row>
    <row r="37" spans="1:13" ht="14.4" x14ac:dyDescent="0.3">
      <c r="A37" s="329">
        <f>Data!E34</f>
        <v>30</v>
      </c>
      <c r="B37" s="330" t="str">
        <f>IF(Data!F34="","",Data!F34)</f>
        <v>03611</v>
      </c>
      <c r="C37" s="330" t="str">
        <f>IF(Data!G34="","",Data!G34)</f>
        <v>0122398782</v>
      </c>
      <c r="D37" s="331" t="str">
        <f>IF(Data!H34="","",Data!H34)</f>
        <v>Rafka Ahmad Agus Prasetiyo</v>
      </c>
      <c r="E37" s="330" t="str">
        <f>IF(Data!I34="","",Data!I34)</f>
        <v>Laki-laki</v>
      </c>
      <c r="F37" s="332" t="str">
        <f>IF(Data!J34="","",Data!J34)</f>
        <v>VIII-A</v>
      </c>
      <c r="G37" s="326" t="str">
        <f>IF(PA!G39="","",PA!G39)</f>
        <v/>
      </c>
      <c r="H37" s="327" t="str">
        <f>IF(PA!H39="","",PA!H39)</f>
        <v/>
      </c>
      <c r="I37" s="327" t="str">
        <f>IF(PA!I39="","",PA!I39)</f>
        <v/>
      </c>
      <c r="J37" s="327" t="str">
        <f>IF(PA!AA39="","",PA!AA39)</f>
        <v/>
      </c>
      <c r="K37" s="327" t="str">
        <f>IF(PA!AB39="","",PA!AB39)</f>
        <v/>
      </c>
      <c r="L37" s="327" t="str">
        <f>IF(PA!AC39="","",PA!AC39)</f>
        <v/>
      </c>
      <c r="M37" s="328" t="str">
        <f>IF(PA!P39="","",PA!P39)</f>
        <v/>
      </c>
    </row>
    <row r="38" spans="1:13" ht="14.4" x14ac:dyDescent="0.3">
      <c r="A38" s="329">
        <f>Data!E35</f>
        <v>31</v>
      </c>
      <c r="B38" s="330" t="str">
        <f>IF(Data!F35="","",Data!F35)</f>
        <v>03614</v>
      </c>
      <c r="C38" s="330" t="str">
        <f>IF(Data!G35="","",Data!G35)</f>
        <v>0121549663</v>
      </c>
      <c r="D38" s="331" t="str">
        <f>IF(Data!H35="","",Data!H35)</f>
        <v>Reyza Azka Kristiansyah</v>
      </c>
      <c r="E38" s="330" t="str">
        <f>IF(Data!I35="","",Data!I35)</f>
        <v>Laki-laki</v>
      </c>
      <c r="F38" s="332" t="str">
        <f>IF(Data!J35="","",Data!J35)</f>
        <v>VIII-A</v>
      </c>
      <c r="G38" s="326" t="str">
        <f>IF(PA!G40="","",PA!G40)</f>
        <v/>
      </c>
      <c r="H38" s="327" t="str">
        <f>IF(PA!H40="","",PA!H40)</f>
        <v/>
      </c>
      <c r="I38" s="327" t="str">
        <f>IF(PA!I40="","",PA!I40)</f>
        <v/>
      </c>
      <c r="J38" s="327" t="str">
        <f>IF(PA!AA40="","",PA!AA40)</f>
        <v/>
      </c>
      <c r="K38" s="327" t="str">
        <f>IF(PA!AB40="","",PA!AB40)</f>
        <v/>
      </c>
      <c r="L38" s="327" t="str">
        <f>IF(PA!AC40="","",PA!AC40)</f>
        <v/>
      </c>
      <c r="M38" s="328" t="str">
        <f>IF(PA!P40="","",PA!P40)</f>
        <v/>
      </c>
    </row>
    <row r="39" spans="1:13" ht="14.4" x14ac:dyDescent="0.3">
      <c r="A39" s="329">
        <f>Data!E36</f>
        <v>32</v>
      </c>
      <c r="B39" s="330" t="str">
        <f>IF(Data!F36="","",Data!F36)</f>
        <v>03623</v>
      </c>
      <c r="C39" s="330">
        <f>IF(Data!G36="","",Data!G36)</f>
        <v>3125436636</v>
      </c>
      <c r="D39" s="331" t="str">
        <f>IF(Data!H36="","",Data!H36)</f>
        <v>Yazid Ali Rohmatulloh</v>
      </c>
      <c r="E39" s="330" t="str">
        <f>IF(Data!I36="","",Data!I36)</f>
        <v>Laki-laki</v>
      </c>
      <c r="F39" s="332" t="str">
        <f>IF(Data!J36="","",Data!J36)</f>
        <v>VIII-A</v>
      </c>
      <c r="G39" s="326" t="str">
        <f>IF(PA!G41="","",PA!G41)</f>
        <v/>
      </c>
      <c r="H39" s="327" t="str">
        <f>IF(PA!H41="","",PA!H41)</f>
        <v/>
      </c>
      <c r="I39" s="327" t="str">
        <f>IF(PA!I41="","",PA!I41)</f>
        <v/>
      </c>
      <c r="J39" s="327" t="str">
        <f>IF(PA!AA41="","",PA!AA41)</f>
        <v/>
      </c>
      <c r="K39" s="327" t="str">
        <f>IF(PA!AB41="","",PA!AB41)</f>
        <v/>
      </c>
      <c r="L39" s="327" t="str">
        <f>IF(PA!AC41="","",PA!AC41)</f>
        <v/>
      </c>
      <c r="M39" s="328" t="str">
        <f>IF(PA!P41="","",PA!P41)</f>
        <v/>
      </c>
    </row>
    <row r="40" spans="1:13" ht="14.4" x14ac:dyDescent="0.3">
      <c r="A40" s="329">
        <f>Data!E37</f>
        <v>33</v>
      </c>
      <c r="B40" s="330" t="str">
        <f>IF(Data!F37="","",Data!F37)</f>
        <v/>
      </c>
      <c r="C40" s="330" t="str">
        <f>IF(Data!G37="","",Data!G37)</f>
        <v/>
      </c>
      <c r="D40" s="331" t="str">
        <f>IF(Data!H37="","",Data!H37)</f>
        <v/>
      </c>
      <c r="E40" s="330" t="str">
        <f>IF(Data!I37="","",Data!I37)</f>
        <v/>
      </c>
      <c r="F40" s="332" t="str">
        <f>IF(Data!J37="","",Data!J37)</f>
        <v>VIII-A</v>
      </c>
      <c r="G40" s="326" t="str">
        <f>IF(PA!G42="","",PA!G42)</f>
        <v/>
      </c>
      <c r="H40" s="327" t="str">
        <f>IF(PA!H42="","",PA!H42)</f>
        <v/>
      </c>
      <c r="I40" s="327" t="str">
        <f>IF(PA!I42="","",PA!I42)</f>
        <v/>
      </c>
      <c r="J40" s="327" t="str">
        <f>IF(PA!AA42="","",PA!AA42)</f>
        <v/>
      </c>
      <c r="K40" s="327" t="str">
        <f>IF(PA!AB42="","",PA!AB42)</f>
        <v/>
      </c>
      <c r="L40" s="327" t="str">
        <f>IF(PA!AC42="","",PA!AC42)</f>
        <v/>
      </c>
      <c r="M40" s="328" t="str">
        <f>IF(PA!P42="","",PA!P42)</f>
        <v/>
      </c>
    </row>
    <row r="41" spans="1:13" ht="14.4" x14ac:dyDescent="0.3">
      <c r="A41" s="329">
        <f>Data!E38</f>
        <v>34</v>
      </c>
      <c r="B41" s="415" t="str">
        <f>IF(Data!F38="","",Data!F38)</f>
        <v/>
      </c>
      <c r="C41" s="415" t="str">
        <f>IF(Data!G38="","",Data!G38)</f>
        <v/>
      </c>
      <c r="D41" s="416" t="str">
        <f>IF(Data!H38="","",Data!H38)</f>
        <v/>
      </c>
      <c r="E41" s="415" t="str">
        <f>IF(Data!I38="","",Data!I38)</f>
        <v/>
      </c>
      <c r="F41" s="417" t="str">
        <f>IF(Data!J38="","",Data!J38)</f>
        <v>VIII-A</v>
      </c>
      <c r="G41" s="326" t="str">
        <f>IF(PA!G43="","",PA!G43)</f>
        <v/>
      </c>
      <c r="H41" s="327" t="str">
        <f>IF(PA!H43="","",PA!H43)</f>
        <v/>
      </c>
      <c r="I41" s="327" t="str">
        <f>IF(PA!I43="","",PA!I43)</f>
        <v/>
      </c>
      <c r="J41" s="327" t="str">
        <f>IF(PA!AA43="","",PA!AA43)</f>
        <v/>
      </c>
      <c r="K41" s="327" t="str">
        <f>IF(PA!AB43="","",PA!AB43)</f>
        <v/>
      </c>
      <c r="L41" s="327" t="str">
        <f>IF(PA!AC43="","",PA!AC43)</f>
        <v/>
      </c>
      <c r="M41" s="328" t="str">
        <f>IF(PA!P43="","",PA!P43)</f>
        <v/>
      </c>
    </row>
    <row r="42" spans="1:13" ht="14.4" x14ac:dyDescent="0.3">
      <c r="A42" s="329">
        <f>Data!E39</f>
        <v>35</v>
      </c>
      <c r="B42" s="330" t="str">
        <f>IF(Data!F39="","",Data!F39)</f>
        <v/>
      </c>
      <c r="C42" s="330" t="str">
        <f>IF(Data!G39="","",Data!G39)</f>
        <v/>
      </c>
      <c r="D42" s="331" t="str">
        <f>IF(Data!H39="","",Data!H39)</f>
        <v/>
      </c>
      <c r="E42" s="330" t="str">
        <f>IF(Data!I39="","",Data!I39)</f>
        <v/>
      </c>
      <c r="F42" s="332" t="str">
        <f>IF(Data!J39="","",Data!J39)</f>
        <v>VIII-A</v>
      </c>
      <c r="G42" s="326" t="str">
        <f>IF(PA!G44="","",PA!G44)</f>
        <v/>
      </c>
      <c r="H42" s="327" t="str">
        <f>IF(PA!H44="","",PA!H44)</f>
        <v/>
      </c>
      <c r="I42" s="327" t="str">
        <f>IF(PA!I44="","",PA!I44)</f>
        <v/>
      </c>
      <c r="J42" s="327" t="str">
        <f>IF(PA!AA44="","",PA!AA44)</f>
        <v/>
      </c>
      <c r="K42" s="327" t="str">
        <f>IF(PA!AB44="","",PA!AB44)</f>
        <v/>
      </c>
      <c r="L42" s="327" t="str">
        <f>IF(PA!AC44="","",PA!AC44)</f>
        <v/>
      </c>
      <c r="M42" s="328" t="str">
        <f>IF(PA!P44="","",PA!P44)</f>
        <v/>
      </c>
    </row>
    <row r="43" spans="1:13" ht="14.4" x14ac:dyDescent="0.3">
      <c r="A43" s="329">
        <f>Data!E40</f>
        <v>36</v>
      </c>
      <c r="B43" s="330" t="str">
        <f>IF(Data!F40="","",Data!F40)</f>
        <v/>
      </c>
      <c r="C43" s="330" t="str">
        <f>IF(Data!G40="","",Data!G40)</f>
        <v/>
      </c>
      <c r="D43" s="331" t="str">
        <f>IF(Data!H40="","",Data!H40)</f>
        <v/>
      </c>
      <c r="E43" s="330" t="str">
        <f>IF(Data!I40="","",Data!I40)</f>
        <v/>
      </c>
      <c r="F43" s="332" t="str">
        <f>IF(Data!J40="","",Data!J40)</f>
        <v>VIII-A</v>
      </c>
      <c r="G43" s="326" t="str">
        <f>IF(PA!G45="","",PA!G45)</f>
        <v/>
      </c>
      <c r="H43" s="327" t="str">
        <f>IF(PA!H45="","",PA!H45)</f>
        <v/>
      </c>
      <c r="I43" s="327" t="str">
        <f>IF(PA!I45="","",PA!I45)</f>
        <v/>
      </c>
      <c r="J43" s="327" t="str">
        <f>IF(PA!AA45="","",PA!AA45)</f>
        <v/>
      </c>
      <c r="K43" s="327" t="str">
        <f>IF(PA!AB45="","",PA!AB45)</f>
        <v/>
      </c>
      <c r="L43" s="327" t="str">
        <f>IF(PA!AC45="","",PA!AC45)</f>
        <v/>
      </c>
      <c r="M43" s="328" t="str">
        <f>IF(PA!P45="","",PA!P45)</f>
        <v/>
      </c>
    </row>
    <row r="44" spans="1:13" ht="14.4" x14ac:dyDescent="0.3">
      <c r="A44" s="329">
        <f>Data!E41</f>
        <v>37</v>
      </c>
      <c r="B44" s="330" t="str">
        <f>IF(Data!F41="","",Data!F41)</f>
        <v/>
      </c>
      <c r="C44" s="330" t="str">
        <f>IF(Data!G41="","",Data!G41)</f>
        <v/>
      </c>
      <c r="D44" s="331" t="str">
        <f>IF(Data!H41="","",Data!H41)</f>
        <v/>
      </c>
      <c r="E44" s="330" t="str">
        <f>IF(Data!I41="","",Data!I41)</f>
        <v/>
      </c>
      <c r="F44" s="332" t="str">
        <f>IF(Data!J41="","",Data!J41)</f>
        <v>VIII-A</v>
      </c>
      <c r="G44" s="326" t="str">
        <f>IF(PA!G46="","",PA!G46)</f>
        <v/>
      </c>
      <c r="H44" s="327" t="str">
        <f>IF(PA!H46="","",PA!H46)</f>
        <v/>
      </c>
      <c r="I44" s="327" t="str">
        <f>IF(PA!I46="","",PA!I46)</f>
        <v/>
      </c>
      <c r="J44" s="327" t="str">
        <f>IF(PA!AA46="","",PA!AA46)</f>
        <v/>
      </c>
      <c r="K44" s="327" t="str">
        <f>IF(PA!AB46="","",PA!AB46)</f>
        <v/>
      </c>
      <c r="L44" s="327" t="str">
        <f>IF(PA!AC46="","",PA!AC46)</f>
        <v/>
      </c>
      <c r="M44" s="328" t="str">
        <f>IF(PA!P46="","",PA!P46)</f>
        <v/>
      </c>
    </row>
    <row r="45" spans="1:13" ht="14.4" x14ac:dyDescent="0.3">
      <c r="A45" s="329">
        <f>Data!E42</f>
        <v>38</v>
      </c>
      <c r="B45" s="330" t="str">
        <f>IF(Data!F42="","",Data!F42)</f>
        <v/>
      </c>
      <c r="C45" s="330" t="str">
        <f>IF(Data!G42="","",Data!G42)</f>
        <v/>
      </c>
      <c r="D45" s="331" t="str">
        <f>IF(Data!H42="","",Data!H42)</f>
        <v/>
      </c>
      <c r="E45" s="330" t="str">
        <f>IF(Data!I42="","",Data!I42)</f>
        <v/>
      </c>
      <c r="F45" s="332" t="str">
        <f>IF(Data!J42="","",Data!J42)</f>
        <v>VIII-A</v>
      </c>
      <c r="G45" s="326" t="str">
        <f>IF(PA!G47="","",PA!G47)</f>
        <v/>
      </c>
      <c r="H45" s="327" t="str">
        <f>IF(PA!H47="","",PA!H47)</f>
        <v/>
      </c>
      <c r="I45" s="327" t="str">
        <f>IF(PA!I47="","",PA!I47)</f>
        <v/>
      </c>
      <c r="J45" s="327" t="str">
        <f>IF(PA!AA47="","",PA!AA47)</f>
        <v/>
      </c>
      <c r="K45" s="327" t="str">
        <f>IF(PA!AB47="","",PA!AB47)</f>
        <v/>
      </c>
      <c r="L45" s="327" t="str">
        <f>IF(PA!AC47="","",PA!AC47)</f>
        <v/>
      </c>
      <c r="M45" s="328" t="str">
        <f>IF(PA!P47="","",PA!P47)</f>
        <v/>
      </c>
    </row>
    <row r="46" spans="1:13" ht="14.4" x14ac:dyDescent="0.3">
      <c r="A46" s="329">
        <f>Data!E43</f>
        <v>39</v>
      </c>
      <c r="B46" s="330" t="str">
        <f>IF(Data!F43="","",Data!F43)</f>
        <v/>
      </c>
      <c r="C46" s="330" t="str">
        <f>IF(Data!G43="","",Data!G43)</f>
        <v/>
      </c>
      <c r="D46" s="331" t="str">
        <f>IF(Data!H43="","",Data!H43)</f>
        <v/>
      </c>
      <c r="E46" s="330" t="str">
        <f>IF(Data!I43="","",Data!I43)</f>
        <v/>
      </c>
      <c r="F46" s="332" t="str">
        <f>IF(Data!J43="","",Data!J43)</f>
        <v>VIII-A</v>
      </c>
      <c r="G46" s="326" t="str">
        <f>IF(PA!G48="","",PA!G48)</f>
        <v/>
      </c>
      <c r="H46" s="327" t="str">
        <f>IF(PA!H48="","",PA!H48)</f>
        <v/>
      </c>
      <c r="I46" s="327" t="str">
        <f>IF(PA!I48="","",PA!I48)</f>
        <v/>
      </c>
      <c r="J46" s="327" t="str">
        <f>IF(PA!AA48="","",PA!AA48)</f>
        <v/>
      </c>
      <c r="K46" s="327" t="str">
        <f>IF(PA!AB48="","",PA!AB48)</f>
        <v/>
      </c>
      <c r="L46" s="327" t="str">
        <f>IF(PA!AC48="","",PA!AC48)</f>
        <v/>
      </c>
      <c r="M46" s="328" t="str">
        <f>IF(PA!P48="","",PA!P48)</f>
        <v/>
      </c>
    </row>
    <row r="47" spans="1:13" ht="15" thickBot="1" x14ac:dyDescent="0.35">
      <c r="A47" s="333">
        <f>Data!E44</f>
        <v>40</v>
      </c>
      <c r="B47" s="418" t="str">
        <f>IF(Data!F44="","",Data!F44)</f>
        <v/>
      </c>
      <c r="C47" s="418" t="str">
        <f>IF(Data!G44="","",Data!G44)</f>
        <v/>
      </c>
      <c r="D47" s="419" t="str">
        <f>IF(Data!H44="","",Data!H44)</f>
        <v/>
      </c>
      <c r="E47" s="418" t="str">
        <f>IF(Data!I44="","",Data!I44)</f>
        <v/>
      </c>
      <c r="F47" s="420" t="str">
        <f>IF(Data!J44="","",Data!J44)</f>
        <v>VIII-A</v>
      </c>
      <c r="G47" s="326" t="str">
        <f>IF(PA!G49="","",PA!G49)</f>
        <v/>
      </c>
      <c r="H47" s="327" t="str">
        <f>IF(PA!H49="","",PA!H49)</f>
        <v/>
      </c>
      <c r="I47" s="327" t="str">
        <f>IF(PA!I49="","",PA!I49)</f>
        <v/>
      </c>
      <c r="J47" s="327" t="str">
        <f>IF(PA!AA49="","",PA!AA49)</f>
        <v/>
      </c>
      <c r="K47" s="327" t="str">
        <f>IF(PA!AB49="","",PA!AB49)</f>
        <v/>
      </c>
      <c r="L47" s="327" t="str">
        <f>IF(PA!AC49="","",PA!AC49)</f>
        <v/>
      </c>
      <c r="M47" s="328" t="str">
        <f>IF(PA!P49="","",PA!P49)</f>
        <v/>
      </c>
    </row>
    <row r="48" spans="1:13" ht="15" thickTop="1" x14ac:dyDescent="0.3">
      <c r="A48" s="329">
        <f>Data!E45</f>
        <v>1</v>
      </c>
      <c r="B48" s="330" t="str">
        <f>IF(Data!F45="","",Data!F45)</f>
        <v>03501</v>
      </c>
      <c r="C48" s="330" t="str">
        <f>IF(Data!G45="","",Data!G45)</f>
        <v>0124376448</v>
      </c>
      <c r="D48" s="331" t="str">
        <f>IF(Data!H45="","",Data!H45)</f>
        <v>Ach. Fajruddhuha Ramadhan</v>
      </c>
      <c r="E48" s="330" t="str">
        <f>IF(Data!I45="","",Data!I45)</f>
        <v>Laki-laki</v>
      </c>
      <c r="F48" s="332" t="str">
        <f>IF(Data!J45="","",Data!J45)</f>
        <v>VIII-B</v>
      </c>
      <c r="G48" s="326" t="str">
        <f>IF(PA!G50="","",PA!G50)</f>
        <v/>
      </c>
      <c r="H48" s="327" t="str">
        <f>IF(PA!H50="","",PA!H50)</f>
        <v/>
      </c>
      <c r="I48" s="327" t="str">
        <f>IF(PA!I50="","",PA!I50)</f>
        <v/>
      </c>
      <c r="J48" s="327" t="str">
        <f>IF(PA!AA50="","",PA!AA50)</f>
        <v/>
      </c>
      <c r="K48" s="327" t="str">
        <f>IF(PA!AB50="","",PA!AB50)</f>
        <v/>
      </c>
      <c r="L48" s="327" t="str">
        <f>IF(PA!AC50="","",PA!AC50)</f>
        <v/>
      </c>
      <c r="M48" s="328" t="str">
        <f>IF(PA!P50="","",PA!P50)</f>
        <v/>
      </c>
    </row>
    <row r="49" spans="1:13" ht="14.4" x14ac:dyDescent="0.3">
      <c r="A49" s="329">
        <f>Data!E46</f>
        <v>2</v>
      </c>
      <c r="B49" s="330" t="str">
        <f>IF(Data!F46="","",Data!F46)</f>
        <v>03504</v>
      </c>
      <c r="C49" s="330" t="str">
        <f>IF(Data!G46="","",Data!G46)</f>
        <v>0138877076</v>
      </c>
      <c r="D49" s="331" t="str">
        <f>IF(Data!H46="","",Data!H46)</f>
        <v>Achmad Fatkhur Rozi</v>
      </c>
      <c r="E49" s="330" t="str">
        <f>IF(Data!I46="","",Data!I46)</f>
        <v>Laki-laki</v>
      </c>
      <c r="F49" s="332" t="str">
        <f>IF(Data!J46="","",Data!J46)</f>
        <v>VIII-B</v>
      </c>
      <c r="G49" s="326" t="str">
        <f>IF(PA!G51="","",PA!G51)</f>
        <v/>
      </c>
      <c r="H49" s="327" t="str">
        <f>IF(PA!H51="","",PA!H51)</f>
        <v/>
      </c>
      <c r="I49" s="327" t="str">
        <f>IF(PA!I51="","",PA!I51)</f>
        <v/>
      </c>
      <c r="J49" s="327" t="str">
        <f>IF(PA!AA51="","",PA!AA51)</f>
        <v/>
      </c>
      <c r="K49" s="327" t="str">
        <f>IF(PA!AB51="","",PA!AB51)</f>
        <v/>
      </c>
      <c r="L49" s="327" t="str">
        <f>IF(PA!AC51="","",PA!AC51)</f>
        <v/>
      </c>
      <c r="M49" s="328" t="str">
        <f>IF(PA!P51="","",PA!P51)</f>
        <v/>
      </c>
    </row>
    <row r="50" spans="1:13" ht="14.4" x14ac:dyDescent="0.3">
      <c r="A50" s="329">
        <f>Data!E47</f>
        <v>3</v>
      </c>
      <c r="B50" s="330" t="str">
        <f>IF(Data!F47="","",Data!F47)</f>
        <v>03507</v>
      </c>
      <c r="C50" s="330" t="str">
        <f>IF(Data!G47="","",Data!G47)</f>
        <v>0122994609</v>
      </c>
      <c r="D50" s="331" t="str">
        <f>IF(Data!H47="","",Data!H47)</f>
        <v>Afwan Minan Rohman</v>
      </c>
      <c r="E50" s="330" t="str">
        <f>IF(Data!I47="","",Data!I47)</f>
        <v>Laki-laki</v>
      </c>
      <c r="F50" s="332" t="str">
        <f>IF(Data!J47="","",Data!J47)</f>
        <v>VIII-B</v>
      </c>
      <c r="G50" s="326" t="str">
        <f>IF(PA!G52="","",PA!G52)</f>
        <v/>
      </c>
      <c r="H50" s="327" t="str">
        <f>IF(PA!H52="","",PA!H52)</f>
        <v/>
      </c>
      <c r="I50" s="327" t="str">
        <f>IF(PA!I52="","",PA!I52)</f>
        <v/>
      </c>
      <c r="J50" s="327" t="str">
        <f>IF(PA!AA52="","",PA!AA52)</f>
        <v/>
      </c>
      <c r="K50" s="327" t="str">
        <f>IF(PA!AB52="","",PA!AB52)</f>
        <v/>
      </c>
      <c r="L50" s="327" t="str">
        <f>IF(PA!AC52="","",PA!AC52)</f>
        <v/>
      </c>
      <c r="M50" s="328" t="str">
        <f>IF(PA!P52="","",PA!P52)</f>
        <v/>
      </c>
    </row>
    <row r="51" spans="1:13" ht="14.4" x14ac:dyDescent="0.3">
      <c r="A51" s="329">
        <f>Data!E48</f>
        <v>4</v>
      </c>
      <c r="B51" s="330" t="str">
        <f>IF(Data!F48="","",Data!F48)</f>
        <v>03508</v>
      </c>
      <c r="C51" s="330" t="str">
        <f>IF(Data!G48="","",Data!G48)</f>
        <v>0127820720</v>
      </c>
      <c r="D51" s="331" t="str">
        <f>IF(Data!H48="","",Data!H48)</f>
        <v>Ahdaniel Jamil Fiddin</v>
      </c>
      <c r="E51" s="330" t="str">
        <f>IF(Data!I48="","",Data!I48)</f>
        <v>Laki-laki</v>
      </c>
      <c r="F51" s="332" t="str">
        <f>IF(Data!J48="","",Data!J48)</f>
        <v>VIII-B</v>
      </c>
      <c r="G51" s="326" t="str">
        <f>IF(PA!G53="","",PA!G53)</f>
        <v/>
      </c>
      <c r="H51" s="327" t="str">
        <f>IF(PA!H53="","",PA!H53)</f>
        <v/>
      </c>
      <c r="I51" s="327" t="str">
        <f>IF(PA!I53="","",PA!I53)</f>
        <v/>
      </c>
      <c r="J51" s="327" t="str">
        <f>IF(PA!AA53="","",PA!AA53)</f>
        <v/>
      </c>
      <c r="K51" s="327" t="str">
        <f>IF(PA!AB53="","",PA!AB53)</f>
        <v/>
      </c>
      <c r="L51" s="327" t="str">
        <f>IF(PA!AC53="","",PA!AC53)</f>
        <v/>
      </c>
      <c r="M51" s="328" t="str">
        <f>IF(PA!P53="","",PA!P53)</f>
        <v/>
      </c>
    </row>
    <row r="52" spans="1:13" ht="14.4" x14ac:dyDescent="0.3">
      <c r="A52" s="329">
        <f>Data!E49</f>
        <v>5</v>
      </c>
      <c r="B52" s="330" t="str">
        <f>IF(Data!F49="","",Data!F49)</f>
        <v>03509</v>
      </c>
      <c r="C52" s="330" t="str">
        <f>IF(Data!G49="","",Data!G49)</f>
        <v>0138002735</v>
      </c>
      <c r="D52" s="331" t="str">
        <f>IF(Data!H49="","",Data!H49)</f>
        <v>Ahmad Abiya Nur Na'im</v>
      </c>
      <c r="E52" s="330" t="str">
        <f>IF(Data!I49="","",Data!I49)</f>
        <v>Laki-laki</v>
      </c>
      <c r="F52" s="332" t="str">
        <f>IF(Data!J49="","",Data!J49)</f>
        <v>VIII-B</v>
      </c>
      <c r="G52" s="326" t="str">
        <f>IF(PA!G54="","",PA!G54)</f>
        <v/>
      </c>
      <c r="H52" s="327" t="str">
        <f>IF(PA!H54="","",PA!H54)</f>
        <v/>
      </c>
      <c r="I52" s="327" t="str">
        <f>IF(PA!I54="","",PA!I54)</f>
        <v/>
      </c>
      <c r="J52" s="327" t="str">
        <f>IF(PA!AA54="","",PA!AA54)</f>
        <v/>
      </c>
      <c r="K52" s="327" t="str">
        <f>IF(PA!AB54="","",PA!AB54)</f>
        <v/>
      </c>
      <c r="L52" s="327" t="str">
        <f>IF(PA!AC54="","",PA!AC54)</f>
        <v/>
      </c>
      <c r="M52" s="328" t="str">
        <f>IF(PA!P54="","",PA!P54)</f>
        <v/>
      </c>
    </row>
    <row r="53" spans="1:13" ht="14.4" x14ac:dyDescent="0.3">
      <c r="A53" s="329">
        <f>Data!E50</f>
        <v>6</v>
      </c>
      <c r="B53" s="330" t="str">
        <f>IF(Data!F50="","",Data!F50)</f>
        <v>03520</v>
      </c>
      <c r="C53" s="330" t="str">
        <f>IF(Data!G50="","",Data!G50)</f>
        <v>0123416368</v>
      </c>
      <c r="D53" s="331" t="str">
        <f>IF(Data!H50="","",Data!H50)</f>
        <v>Ahmad Iqbal Maulana</v>
      </c>
      <c r="E53" s="330" t="str">
        <f>IF(Data!I50="","",Data!I50)</f>
        <v>Laki-laki</v>
      </c>
      <c r="F53" s="332" t="str">
        <f>IF(Data!J50="","",Data!J50)</f>
        <v>VIII-B</v>
      </c>
      <c r="G53" s="326" t="str">
        <f>IF(PA!G55="","",PA!G55)</f>
        <v/>
      </c>
      <c r="H53" s="327" t="str">
        <f>IF(PA!H55="","",PA!H55)</f>
        <v/>
      </c>
      <c r="I53" s="327" t="str">
        <f>IF(PA!I55="","",PA!I55)</f>
        <v/>
      </c>
      <c r="J53" s="327" t="str">
        <f>IF(PA!AA55="","",PA!AA55)</f>
        <v/>
      </c>
      <c r="K53" s="327" t="str">
        <f>IF(PA!AB55="","",PA!AB55)</f>
        <v/>
      </c>
      <c r="L53" s="327" t="str">
        <f>IF(PA!AC55="","",PA!AC55)</f>
        <v/>
      </c>
      <c r="M53" s="328" t="str">
        <f>IF(PA!P55="","",PA!P55)</f>
        <v/>
      </c>
    </row>
    <row r="54" spans="1:13" ht="14.4" x14ac:dyDescent="0.3">
      <c r="A54" s="329">
        <f>Data!E51</f>
        <v>7</v>
      </c>
      <c r="B54" s="330" t="str">
        <f>IF(Data!F51="","",Data!F51)</f>
        <v>03522</v>
      </c>
      <c r="C54" s="330" t="str">
        <f>IF(Data!G51="","",Data!G51)</f>
        <v>0127749333</v>
      </c>
      <c r="D54" s="331" t="str">
        <f>IF(Data!H51="","",Data!H51)</f>
        <v>Ahmad Nafis An Nafi'</v>
      </c>
      <c r="E54" s="330" t="str">
        <f>IF(Data!I51="","",Data!I51)</f>
        <v>Laki-laki</v>
      </c>
      <c r="F54" s="332" t="str">
        <f>IF(Data!J51="","",Data!J51)</f>
        <v>VIII-B</v>
      </c>
      <c r="G54" s="326" t="str">
        <f>IF(PA!G56="","",PA!G56)</f>
        <v/>
      </c>
      <c r="H54" s="327" t="str">
        <f>IF(PA!H56="","",PA!H56)</f>
        <v/>
      </c>
      <c r="I54" s="327" t="str">
        <f>IF(PA!I56="","",PA!I56)</f>
        <v/>
      </c>
      <c r="J54" s="327" t="str">
        <f>IF(PA!AA56="","",PA!AA56)</f>
        <v/>
      </c>
      <c r="K54" s="327" t="str">
        <f>IF(PA!AB56="","",PA!AB56)</f>
        <v/>
      </c>
      <c r="L54" s="327" t="str">
        <f>IF(PA!AC56="","",PA!AC56)</f>
        <v/>
      </c>
      <c r="M54" s="328" t="str">
        <f>IF(PA!P56="","",PA!P56)</f>
        <v/>
      </c>
    </row>
    <row r="55" spans="1:13" ht="14.4" x14ac:dyDescent="0.3">
      <c r="A55" s="329">
        <f>Data!E52</f>
        <v>8</v>
      </c>
      <c r="B55" s="330" t="str">
        <f>IF(Data!F52="","",Data!F52)</f>
        <v>03523</v>
      </c>
      <c r="C55" s="330">
        <f>IF(Data!G52="","",Data!G52)</f>
        <v>3129465873</v>
      </c>
      <c r="D55" s="331" t="str">
        <f>IF(Data!H52="","",Data!H52)</f>
        <v>Ahmad Naufal Miftakhul Ulum</v>
      </c>
      <c r="E55" s="330" t="str">
        <f>IF(Data!I52="","",Data!I52)</f>
        <v>Laki-laki</v>
      </c>
      <c r="F55" s="332" t="str">
        <f>IF(Data!J52="","",Data!J52)</f>
        <v>VIII-B</v>
      </c>
      <c r="G55" s="326" t="str">
        <f>IF(PA!G57="","",PA!G57)</f>
        <v/>
      </c>
      <c r="H55" s="327" t="str">
        <f>IF(PA!H57="","",PA!H57)</f>
        <v/>
      </c>
      <c r="I55" s="327" t="str">
        <f>IF(PA!I57="","",PA!I57)</f>
        <v/>
      </c>
      <c r="J55" s="327" t="str">
        <f>IF(PA!AA57="","",PA!AA57)</f>
        <v/>
      </c>
      <c r="K55" s="327" t="str">
        <f>IF(PA!AB57="","",PA!AB57)</f>
        <v/>
      </c>
      <c r="L55" s="327" t="str">
        <f>IF(PA!AC57="","",PA!AC57)</f>
        <v/>
      </c>
      <c r="M55" s="328" t="str">
        <f>IF(PA!P57="","",PA!P57)</f>
        <v/>
      </c>
    </row>
    <row r="56" spans="1:13" ht="14.4" x14ac:dyDescent="0.3">
      <c r="A56" s="329">
        <f>Data!E53</f>
        <v>9</v>
      </c>
      <c r="B56" s="330" t="str">
        <f>IF(Data!F53="","",Data!F53)</f>
        <v>03526</v>
      </c>
      <c r="C56" s="330" t="str">
        <f>IF(Data!G53="","",Data!G53)</f>
        <v>0133473660</v>
      </c>
      <c r="D56" s="331" t="str">
        <f>IF(Data!H53="","",Data!H53)</f>
        <v>Ahmad Syauqi Mushoffa</v>
      </c>
      <c r="E56" s="330" t="str">
        <f>IF(Data!I53="","",Data!I53)</f>
        <v>Laki-laki</v>
      </c>
      <c r="F56" s="332" t="str">
        <f>IF(Data!J53="","",Data!J53)</f>
        <v>VIII-B</v>
      </c>
      <c r="G56" s="326" t="str">
        <f>IF(PA!G58="","",PA!G58)</f>
        <v/>
      </c>
      <c r="H56" s="327" t="str">
        <f>IF(PA!H58="","",PA!H58)</f>
        <v/>
      </c>
      <c r="I56" s="327" t="str">
        <f>IF(PA!I58="","",PA!I58)</f>
        <v/>
      </c>
      <c r="J56" s="327" t="str">
        <f>IF(PA!AA58="","",PA!AA58)</f>
        <v/>
      </c>
      <c r="K56" s="327" t="str">
        <f>IF(PA!AB58="","",PA!AB58)</f>
        <v/>
      </c>
      <c r="L56" s="327" t="str">
        <f>IF(PA!AC58="","",PA!AC58)</f>
        <v/>
      </c>
      <c r="M56" s="328" t="str">
        <f>IF(PA!P58="","",PA!P58)</f>
        <v/>
      </c>
    </row>
    <row r="57" spans="1:13" ht="14.4" x14ac:dyDescent="0.3">
      <c r="A57" s="329">
        <f>Data!E54</f>
        <v>10</v>
      </c>
      <c r="B57" s="330" t="str">
        <f>IF(Data!F54="","",Data!F54)</f>
        <v>03531</v>
      </c>
      <c r="C57" s="330" t="str">
        <f>IF(Data!G54="","",Data!G54)</f>
        <v>3121984471</v>
      </c>
      <c r="D57" s="331" t="str">
        <f>IF(Data!H54="","",Data!H54)</f>
        <v>Alvin Zakaria</v>
      </c>
      <c r="E57" s="330" t="str">
        <f>IF(Data!I54="","",Data!I54)</f>
        <v>Laki-laki</v>
      </c>
      <c r="F57" s="332" t="str">
        <f>IF(Data!J54="","",Data!J54)</f>
        <v>VIII-B</v>
      </c>
      <c r="G57" s="326" t="str">
        <f>IF(PA!G59="","",PA!G59)</f>
        <v/>
      </c>
      <c r="H57" s="327" t="str">
        <f>IF(PA!H59="","",PA!H59)</f>
        <v/>
      </c>
      <c r="I57" s="327" t="str">
        <f>IF(PA!I59="","",PA!I59)</f>
        <v/>
      </c>
      <c r="J57" s="327" t="str">
        <f>IF(PA!AA59="","",PA!AA59)</f>
        <v/>
      </c>
      <c r="K57" s="327" t="str">
        <f>IF(PA!AB59="","",PA!AB59)</f>
        <v/>
      </c>
      <c r="L57" s="327" t="str">
        <f>IF(PA!AC59="","",PA!AC59)</f>
        <v/>
      </c>
      <c r="M57" s="328" t="str">
        <f>IF(PA!P59="","",PA!P59)</f>
        <v/>
      </c>
    </row>
    <row r="58" spans="1:13" ht="14.4" x14ac:dyDescent="0.3">
      <c r="A58" s="329">
        <f>Data!E55</f>
        <v>11</v>
      </c>
      <c r="B58" s="330" t="str">
        <f>IF(Data!F55="","",Data!F55)</f>
        <v>03534</v>
      </c>
      <c r="C58" s="330">
        <f>IF(Data!G55="","",Data!G55)</f>
        <v>3123444371</v>
      </c>
      <c r="D58" s="331" t="str">
        <f>IF(Data!H55="","",Data!H55)</f>
        <v>Aufal Fadhol Al-Hariry</v>
      </c>
      <c r="E58" s="330" t="str">
        <f>IF(Data!I55="","",Data!I55)</f>
        <v>Laki-laki</v>
      </c>
      <c r="F58" s="332" t="str">
        <f>IF(Data!J55="","",Data!J55)</f>
        <v>VIII-B</v>
      </c>
      <c r="G58" s="326" t="str">
        <f>IF(PA!G60="","",PA!G60)</f>
        <v/>
      </c>
      <c r="H58" s="327" t="str">
        <f>IF(PA!H60="","",PA!H60)</f>
        <v/>
      </c>
      <c r="I58" s="327" t="str">
        <f>IF(PA!I60="","",PA!I60)</f>
        <v/>
      </c>
      <c r="J58" s="327" t="str">
        <f>IF(PA!AA60="","",PA!AA60)</f>
        <v/>
      </c>
      <c r="K58" s="327" t="str">
        <f>IF(PA!AB60="","",PA!AB60)</f>
        <v/>
      </c>
      <c r="L58" s="327" t="str">
        <f>IF(PA!AC60="","",PA!AC60)</f>
        <v/>
      </c>
      <c r="M58" s="328" t="str">
        <f>IF(PA!P60="","",PA!P60)</f>
        <v/>
      </c>
    </row>
    <row r="59" spans="1:13" ht="14.4" x14ac:dyDescent="0.3">
      <c r="A59" s="329">
        <f>Data!E56</f>
        <v>12</v>
      </c>
      <c r="B59" s="330" t="str">
        <f>IF(Data!F56="","",Data!F56)</f>
        <v>03535</v>
      </c>
      <c r="C59" s="330">
        <f>IF(Data!G56="","",Data!G56)</f>
        <v>3138237826</v>
      </c>
      <c r="D59" s="331" t="str">
        <f>IF(Data!H56="","",Data!H56)</f>
        <v>Azka Naufal Pratama</v>
      </c>
      <c r="E59" s="330" t="str">
        <f>IF(Data!I56="","",Data!I56)</f>
        <v>Laki-laki</v>
      </c>
      <c r="F59" s="332" t="str">
        <f>IF(Data!J56="","",Data!J56)</f>
        <v>VIII-B</v>
      </c>
      <c r="G59" s="326" t="str">
        <f>IF(PA!G61="","",PA!G61)</f>
        <v/>
      </c>
      <c r="H59" s="327" t="str">
        <f>IF(PA!H61="","",PA!H61)</f>
        <v/>
      </c>
      <c r="I59" s="327" t="str">
        <f>IF(PA!I61="","",PA!I61)</f>
        <v/>
      </c>
      <c r="J59" s="327" t="str">
        <f>IF(PA!AA61="","",PA!AA61)</f>
        <v/>
      </c>
      <c r="K59" s="327" t="str">
        <f>IF(PA!AB61="","",PA!AB61)</f>
        <v/>
      </c>
      <c r="L59" s="327" t="str">
        <f>IF(PA!AC61="","",PA!AC61)</f>
        <v/>
      </c>
      <c r="M59" s="328" t="str">
        <f>IF(PA!P61="","",PA!P61)</f>
        <v/>
      </c>
    </row>
    <row r="60" spans="1:13" ht="14.4" x14ac:dyDescent="0.3">
      <c r="A60" s="329">
        <f>Data!E57</f>
        <v>13</v>
      </c>
      <c r="B60" s="330" t="str">
        <f>IF(Data!F57="","",Data!F57)</f>
        <v>03546</v>
      </c>
      <c r="C60" s="330" t="str">
        <f>IF(Data!G57="","",Data!G57)</f>
        <v>0131098656</v>
      </c>
      <c r="D60" s="331" t="str">
        <f>IF(Data!H57="","",Data!H57)</f>
        <v>Ghyna Dzakiya Ucchaishthana</v>
      </c>
      <c r="E60" s="330" t="str">
        <f>IF(Data!I57="","",Data!I57)</f>
        <v>Laki-laki</v>
      </c>
      <c r="F60" s="332" t="str">
        <f>IF(Data!J57="","",Data!J57)</f>
        <v>VIII-B</v>
      </c>
      <c r="G60" s="326" t="str">
        <f>IF(PA!G62="","",PA!G62)</f>
        <v/>
      </c>
      <c r="H60" s="327" t="str">
        <f>IF(PA!H62="","",PA!H62)</f>
        <v/>
      </c>
      <c r="I60" s="327" t="str">
        <f>IF(PA!I62="","",PA!I62)</f>
        <v/>
      </c>
      <c r="J60" s="327" t="str">
        <f>IF(PA!AA62="","",PA!AA62)</f>
        <v/>
      </c>
      <c r="K60" s="327" t="str">
        <f>IF(PA!AB62="","",PA!AB62)</f>
        <v/>
      </c>
      <c r="L60" s="327" t="str">
        <f>IF(PA!AC62="","",PA!AC62)</f>
        <v/>
      </c>
      <c r="M60" s="328" t="str">
        <f>IF(PA!P62="","",PA!P62)</f>
        <v/>
      </c>
    </row>
    <row r="61" spans="1:13" ht="14.4" x14ac:dyDescent="0.3">
      <c r="A61" s="329">
        <f>Data!E58</f>
        <v>14</v>
      </c>
      <c r="B61" s="330" t="str">
        <f>IF(Data!F58="","",Data!F58)</f>
        <v>03547</v>
      </c>
      <c r="C61" s="330" t="str">
        <f>IF(Data!G58="","",Data!G58)</f>
        <v>3129361179</v>
      </c>
      <c r="D61" s="331" t="str">
        <f>IF(Data!H58="","",Data!H58)</f>
        <v>Gyo Ibnu Maskur</v>
      </c>
      <c r="E61" s="330" t="str">
        <f>IF(Data!I58="","",Data!I58)</f>
        <v>Laki-laki</v>
      </c>
      <c r="F61" s="332" t="str">
        <f>IF(Data!J58="","",Data!J58)</f>
        <v>VIII-B</v>
      </c>
      <c r="G61" s="326" t="str">
        <f>IF(PA!G63="","",PA!G63)</f>
        <v/>
      </c>
      <c r="H61" s="327" t="str">
        <f>IF(PA!H63="","",PA!H63)</f>
        <v/>
      </c>
      <c r="I61" s="327" t="str">
        <f>IF(PA!I63="","",PA!I63)</f>
        <v/>
      </c>
      <c r="J61" s="327" t="str">
        <f>IF(PA!AA63="","",PA!AA63)</f>
        <v/>
      </c>
      <c r="K61" s="327" t="str">
        <f>IF(PA!AB63="","",PA!AB63)</f>
        <v/>
      </c>
      <c r="L61" s="327" t="str">
        <f>IF(PA!AC63="","",PA!AC63)</f>
        <v/>
      </c>
      <c r="M61" s="328" t="str">
        <f>IF(PA!P63="","",PA!P63)</f>
        <v/>
      </c>
    </row>
    <row r="62" spans="1:13" ht="14.4" x14ac:dyDescent="0.3">
      <c r="A62" s="329">
        <f>Data!E59</f>
        <v>15</v>
      </c>
      <c r="B62" s="330" t="str">
        <f>IF(Data!F59="","",Data!F59)</f>
        <v>03548</v>
      </c>
      <c r="C62" s="330" t="str">
        <f>IF(Data!G59="","",Data!G59)</f>
        <v>0124130055</v>
      </c>
      <c r="D62" s="331" t="str">
        <f>IF(Data!H59="","",Data!H59)</f>
        <v>Hamizan Raihan Azka</v>
      </c>
      <c r="E62" s="330" t="str">
        <f>IF(Data!I59="","",Data!I59)</f>
        <v>Laki-laki</v>
      </c>
      <c r="F62" s="332" t="str">
        <f>IF(Data!J59="","",Data!J59)</f>
        <v>VIII-B</v>
      </c>
      <c r="G62" s="326" t="str">
        <f>IF(PA!G64="","",PA!G64)</f>
        <v/>
      </c>
      <c r="H62" s="327" t="str">
        <f>IF(PA!H64="","",PA!H64)</f>
        <v/>
      </c>
      <c r="I62" s="327" t="str">
        <f>IF(PA!I64="","",PA!I64)</f>
        <v/>
      </c>
      <c r="J62" s="327" t="str">
        <f>IF(PA!AA64="","",PA!AA64)</f>
        <v/>
      </c>
      <c r="K62" s="327" t="str">
        <f>IF(PA!AB64="","",PA!AB64)</f>
        <v/>
      </c>
      <c r="L62" s="327" t="str">
        <f>IF(PA!AC64="","",PA!AC64)</f>
        <v/>
      </c>
      <c r="M62" s="328" t="str">
        <f>IF(PA!P64="","",PA!P64)</f>
        <v/>
      </c>
    </row>
    <row r="63" spans="1:13" ht="14.4" x14ac:dyDescent="0.3">
      <c r="A63" s="329">
        <f>Data!E60</f>
        <v>16</v>
      </c>
      <c r="B63" s="330" t="str">
        <f>IF(Data!F60="","",Data!F60)</f>
        <v>03549</v>
      </c>
      <c r="C63" s="330" t="str">
        <f>IF(Data!G60="","",Data!G60)</f>
        <v>3137166936</v>
      </c>
      <c r="D63" s="331" t="str">
        <f>IF(Data!H60="","",Data!H60)</f>
        <v>Ja'Far Zainal Kafi Ma'Ruf</v>
      </c>
      <c r="E63" s="330" t="str">
        <f>IF(Data!I60="","",Data!I60)</f>
        <v>Laki-laki</v>
      </c>
      <c r="F63" s="332" t="str">
        <f>IF(Data!J60="","",Data!J60)</f>
        <v>VIII-B</v>
      </c>
      <c r="G63" s="326" t="str">
        <f>IF(PA!G65="","",PA!G65)</f>
        <v/>
      </c>
      <c r="H63" s="327" t="str">
        <f>IF(PA!H65="","",PA!H65)</f>
        <v/>
      </c>
      <c r="I63" s="327" t="str">
        <f>IF(PA!I65="","",PA!I65)</f>
        <v/>
      </c>
      <c r="J63" s="327" t="str">
        <f>IF(PA!AA65="","",PA!AA65)</f>
        <v/>
      </c>
      <c r="K63" s="327" t="str">
        <f>IF(PA!AB65="","",PA!AB65)</f>
        <v/>
      </c>
      <c r="L63" s="327" t="str">
        <f>IF(PA!AC65="","",PA!AC65)</f>
        <v/>
      </c>
      <c r="M63" s="328" t="str">
        <f>IF(PA!P65="","",PA!P65)</f>
        <v/>
      </c>
    </row>
    <row r="64" spans="1:13" ht="14.4" x14ac:dyDescent="0.3">
      <c r="A64" s="329">
        <f>Data!E61</f>
        <v>17</v>
      </c>
      <c r="B64" s="330" t="str">
        <f>IF(Data!F61="","",Data!F61)</f>
        <v>03553</v>
      </c>
      <c r="C64" s="330">
        <f>IF(Data!G61="","",Data!G61)</f>
        <v>3124994264</v>
      </c>
      <c r="D64" s="331" t="str">
        <f>IF(Data!H61="","",Data!H61)</f>
        <v>Luthfi Adhyaksa Tamam Ramadhan</v>
      </c>
      <c r="E64" s="330" t="str">
        <f>IF(Data!I61="","",Data!I61)</f>
        <v>Laki-laki</v>
      </c>
      <c r="F64" s="332" t="str">
        <f>IF(Data!J61="","",Data!J61)</f>
        <v>VIII-B</v>
      </c>
      <c r="G64" s="326" t="str">
        <f>IF(PA!G66="","",PA!G66)</f>
        <v/>
      </c>
      <c r="H64" s="327" t="str">
        <f>IF(PA!H66="","",PA!H66)</f>
        <v/>
      </c>
      <c r="I64" s="327" t="str">
        <f>IF(PA!I66="","",PA!I66)</f>
        <v/>
      </c>
      <c r="J64" s="327" t="str">
        <f>IF(PA!AA66="","",PA!AA66)</f>
        <v/>
      </c>
      <c r="K64" s="327" t="str">
        <f>IF(PA!AB66="","",PA!AB66)</f>
        <v/>
      </c>
      <c r="L64" s="327" t="str">
        <f>IF(PA!AC66="","",PA!AC66)</f>
        <v/>
      </c>
      <c r="M64" s="328" t="str">
        <f>IF(PA!P66="","",PA!P66)</f>
        <v/>
      </c>
    </row>
    <row r="65" spans="1:13" ht="14.4" x14ac:dyDescent="0.3">
      <c r="A65" s="329">
        <f>Data!E62</f>
        <v>18</v>
      </c>
      <c r="B65" s="330" t="str">
        <f>IF(Data!F62="","",Data!F62)</f>
        <v>03556</v>
      </c>
      <c r="C65" s="330" t="str">
        <f>IF(Data!G62="","",Data!G62)</f>
        <v>0139890887</v>
      </c>
      <c r="D65" s="331" t="str">
        <f>IF(Data!H62="","",Data!H62)</f>
        <v>M. Sa'id Abdullah</v>
      </c>
      <c r="E65" s="330" t="str">
        <f>IF(Data!I62="","",Data!I62)</f>
        <v>Laki-laki</v>
      </c>
      <c r="F65" s="332" t="str">
        <f>IF(Data!J62="","",Data!J62)</f>
        <v>VIII-B</v>
      </c>
      <c r="G65" s="326" t="str">
        <f>IF(PA!G67="","",PA!G67)</f>
        <v/>
      </c>
      <c r="H65" s="327" t="str">
        <f>IF(PA!H67="","",PA!H67)</f>
        <v/>
      </c>
      <c r="I65" s="327" t="str">
        <f>IF(PA!I67="","",PA!I67)</f>
        <v/>
      </c>
      <c r="J65" s="327" t="str">
        <f>IF(PA!AA67="","",PA!AA67)</f>
        <v/>
      </c>
      <c r="K65" s="327" t="str">
        <f>IF(PA!AB67="","",PA!AB67)</f>
        <v/>
      </c>
      <c r="L65" s="327" t="str">
        <f>IF(PA!AC67="","",PA!AC67)</f>
        <v/>
      </c>
      <c r="M65" s="328" t="str">
        <f>IF(PA!P67="","",PA!P67)</f>
        <v/>
      </c>
    </row>
    <row r="66" spans="1:13" ht="14.4" x14ac:dyDescent="0.3">
      <c r="A66" s="329">
        <f>Data!E63</f>
        <v>19</v>
      </c>
      <c r="B66" s="330" t="str">
        <f>IF(Data!F63="","",Data!F63)</f>
        <v>03562</v>
      </c>
      <c r="C66" s="330" t="str">
        <f>IF(Data!G63="","",Data!G63)</f>
        <v>3134019279</v>
      </c>
      <c r="D66" s="331" t="str">
        <f>IF(Data!H63="","",Data!H63)</f>
        <v>Mohamad Faiza Firjatulloh Azza</v>
      </c>
      <c r="E66" s="330" t="str">
        <f>IF(Data!I63="","",Data!I63)</f>
        <v>Laki-laki</v>
      </c>
      <c r="F66" s="332" t="str">
        <f>IF(Data!J63="","",Data!J63)</f>
        <v>VIII-B</v>
      </c>
      <c r="G66" s="326" t="str">
        <f>IF(PA!G68="","",PA!G68)</f>
        <v/>
      </c>
      <c r="H66" s="327" t="str">
        <f>IF(PA!H68="","",PA!H68)</f>
        <v/>
      </c>
      <c r="I66" s="327" t="str">
        <f>IF(PA!I68="","",PA!I68)</f>
        <v/>
      </c>
      <c r="J66" s="327" t="str">
        <f>IF(PA!AA68="","",PA!AA68)</f>
        <v/>
      </c>
      <c r="K66" s="327" t="str">
        <f>IF(PA!AB68="","",PA!AB68)</f>
        <v/>
      </c>
      <c r="L66" s="327" t="str">
        <f>IF(PA!AC68="","",PA!AC68)</f>
        <v/>
      </c>
      <c r="M66" s="328" t="str">
        <f>IF(PA!P68="","",PA!P68)</f>
        <v/>
      </c>
    </row>
    <row r="67" spans="1:13" ht="14.4" x14ac:dyDescent="0.3">
      <c r="A67" s="329">
        <f>Data!E64</f>
        <v>20</v>
      </c>
      <c r="B67" s="330" t="str">
        <f>IF(Data!F64="","",Data!F64)</f>
        <v>03564</v>
      </c>
      <c r="C67" s="330">
        <f>IF(Data!G64="","",Data!G64)</f>
        <v>3121493737</v>
      </c>
      <c r="D67" s="331" t="str">
        <f>IF(Data!H64="","",Data!H64)</f>
        <v>Mohammad Ammar Syihabuddin</v>
      </c>
      <c r="E67" s="330" t="str">
        <f>IF(Data!I64="","",Data!I64)</f>
        <v>Laki-laki</v>
      </c>
      <c r="F67" s="332" t="str">
        <f>IF(Data!J64="","",Data!J64)</f>
        <v>VIII-B</v>
      </c>
      <c r="G67" s="326" t="str">
        <f>IF(PA!G69="","",PA!G69)</f>
        <v/>
      </c>
      <c r="H67" s="327" t="str">
        <f>IF(PA!H69="","",PA!H69)</f>
        <v/>
      </c>
      <c r="I67" s="327" t="str">
        <f>IF(PA!I69="","",PA!I69)</f>
        <v/>
      </c>
      <c r="J67" s="327" t="str">
        <f>IF(PA!AA69="","",PA!AA69)</f>
        <v/>
      </c>
      <c r="K67" s="327" t="str">
        <f>IF(PA!AB69="","",PA!AB69)</f>
        <v/>
      </c>
      <c r="L67" s="327" t="str">
        <f>IF(PA!AC69="","",PA!AC69)</f>
        <v/>
      </c>
      <c r="M67" s="328" t="str">
        <f>IF(PA!P69="","",PA!P69)</f>
        <v/>
      </c>
    </row>
    <row r="68" spans="1:13" ht="14.4" x14ac:dyDescent="0.3">
      <c r="A68" s="329">
        <f>Data!E65</f>
        <v>21</v>
      </c>
      <c r="B68" s="330" t="str">
        <f>IF(Data!F65="","",Data!F65)</f>
        <v>03570</v>
      </c>
      <c r="C68" s="330" t="str">
        <f>IF(Data!G65="","",Data!G65)</f>
        <v>0126783316</v>
      </c>
      <c r="D68" s="331" t="str">
        <f>IF(Data!H65="","",Data!H65)</f>
        <v>Muhammad Adi Chandra Pratama</v>
      </c>
      <c r="E68" s="330" t="str">
        <f>IF(Data!I65="","",Data!I65)</f>
        <v>Laki-laki</v>
      </c>
      <c r="F68" s="332" t="str">
        <f>IF(Data!J65="","",Data!J65)</f>
        <v>VIII-B</v>
      </c>
      <c r="G68" s="326" t="str">
        <f>IF(PA!G70="","",PA!G70)</f>
        <v/>
      </c>
      <c r="H68" s="327" t="str">
        <f>IF(PA!H70="","",PA!H70)</f>
        <v/>
      </c>
      <c r="I68" s="327" t="str">
        <f>IF(PA!I70="","",PA!I70)</f>
        <v/>
      </c>
      <c r="J68" s="327" t="str">
        <f>IF(PA!AA70="","",PA!AA70)</f>
        <v/>
      </c>
      <c r="K68" s="327" t="str">
        <f>IF(PA!AB70="","",PA!AB70)</f>
        <v/>
      </c>
      <c r="L68" s="327" t="str">
        <f>IF(PA!AC70="","",PA!AC70)</f>
        <v/>
      </c>
      <c r="M68" s="328" t="str">
        <f>IF(PA!P70="","",PA!P70)</f>
        <v/>
      </c>
    </row>
    <row r="69" spans="1:13" ht="14.4" x14ac:dyDescent="0.3">
      <c r="A69" s="329">
        <f>Data!E66</f>
        <v>22</v>
      </c>
      <c r="B69" s="330" t="str">
        <f>IF(Data!F66="","",Data!F66)</f>
        <v>03573</v>
      </c>
      <c r="C69" s="330" t="str">
        <f>IF(Data!G66="","",Data!G66)</f>
        <v>0123288981</v>
      </c>
      <c r="D69" s="331" t="str">
        <f>IF(Data!H66="","",Data!H66)</f>
        <v>Muhammad Alif Rahman</v>
      </c>
      <c r="E69" s="330" t="str">
        <f>IF(Data!I66="","",Data!I66)</f>
        <v>Laki-laki</v>
      </c>
      <c r="F69" s="332" t="str">
        <f>IF(Data!J66="","",Data!J66)</f>
        <v>VIII-B</v>
      </c>
      <c r="G69" s="326" t="str">
        <f>IF(PA!G71="","",PA!G71)</f>
        <v/>
      </c>
      <c r="H69" s="327" t="str">
        <f>IF(PA!H71="","",PA!H71)</f>
        <v/>
      </c>
      <c r="I69" s="327" t="str">
        <f>IF(PA!I71="","",PA!I71)</f>
        <v/>
      </c>
      <c r="J69" s="327" t="str">
        <f>IF(PA!AA71="","",PA!AA71)</f>
        <v/>
      </c>
      <c r="K69" s="327" t="str">
        <f>IF(PA!AB71="","",PA!AB71)</f>
        <v/>
      </c>
      <c r="L69" s="327" t="str">
        <f>IF(PA!AC71="","",PA!AC71)</f>
        <v/>
      </c>
      <c r="M69" s="328" t="str">
        <f>IF(PA!P71="","",PA!P71)</f>
        <v/>
      </c>
    </row>
    <row r="70" spans="1:13" ht="14.4" x14ac:dyDescent="0.3">
      <c r="A70" s="329">
        <f>Data!E67</f>
        <v>23</v>
      </c>
      <c r="B70" s="330" t="str">
        <f>IF(Data!F67="","",Data!F67)</f>
        <v>03579</v>
      </c>
      <c r="C70" s="330" t="str">
        <f>IF(Data!G67="","",Data!G67)</f>
        <v>0127727368</v>
      </c>
      <c r="D70" s="331" t="str">
        <f>IF(Data!H67="","",Data!H67)</f>
        <v>Muhammad Fahri Setio Budi</v>
      </c>
      <c r="E70" s="330" t="str">
        <f>IF(Data!I67="","",Data!I67)</f>
        <v>Laki-laki</v>
      </c>
      <c r="F70" s="332" t="str">
        <f>IF(Data!J67="","",Data!J67)</f>
        <v>VIII-B</v>
      </c>
      <c r="G70" s="326" t="str">
        <f>IF(PA!G72="","",PA!G72)</f>
        <v/>
      </c>
      <c r="H70" s="327" t="str">
        <f>IF(PA!H72="","",PA!H72)</f>
        <v/>
      </c>
      <c r="I70" s="327" t="str">
        <f>IF(PA!I72="","",PA!I72)</f>
        <v/>
      </c>
      <c r="J70" s="327" t="str">
        <f>IF(PA!AA72="","",PA!AA72)</f>
        <v/>
      </c>
      <c r="K70" s="327" t="str">
        <f>IF(PA!AB72="","",PA!AB72)</f>
        <v/>
      </c>
      <c r="L70" s="327" t="str">
        <f>IF(PA!AC72="","",PA!AC72)</f>
        <v/>
      </c>
      <c r="M70" s="328" t="str">
        <f>IF(PA!P72="","",PA!P72)</f>
        <v/>
      </c>
    </row>
    <row r="71" spans="1:13" ht="14.4" x14ac:dyDescent="0.3">
      <c r="A71" s="329">
        <f>Data!E68</f>
        <v>24</v>
      </c>
      <c r="B71" s="330" t="str">
        <f>IF(Data!F68="","",Data!F68)</f>
        <v>03580</v>
      </c>
      <c r="C71" s="330" t="str">
        <f>IF(Data!G68="","",Data!G68)</f>
        <v>0126736595</v>
      </c>
      <c r="D71" s="331" t="str">
        <f>IF(Data!H68="","",Data!H68)</f>
        <v>Muhammad Fasil Raja</v>
      </c>
      <c r="E71" s="330" t="str">
        <f>IF(Data!I68="","",Data!I68)</f>
        <v>Laki-laki</v>
      </c>
      <c r="F71" s="332" t="str">
        <f>IF(Data!J68="","",Data!J68)</f>
        <v>VIII-B</v>
      </c>
      <c r="G71" s="326" t="str">
        <f>IF(PA!G73="","",PA!G73)</f>
        <v/>
      </c>
      <c r="H71" s="327" t="str">
        <f>IF(PA!H73="","",PA!H73)</f>
        <v/>
      </c>
      <c r="I71" s="327" t="str">
        <f>IF(PA!I73="","",PA!I73)</f>
        <v/>
      </c>
      <c r="J71" s="327" t="str">
        <f>IF(PA!AA73="","",PA!AA73)</f>
        <v/>
      </c>
      <c r="K71" s="327" t="str">
        <f>IF(PA!AB73="","",PA!AB73)</f>
        <v/>
      </c>
      <c r="L71" s="327" t="str">
        <f>IF(PA!AC73="","",PA!AC73)</f>
        <v/>
      </c>
      <c r="M71" s="328" t="str">
        <f>IF(PA!P73="","",PA!P73)</f>
        <v/>
      </c>
    </row>
    <row r="72" spans="1:13" ht="14.4" x14ac:dyDescent="0.3">
      <c r="A72" s="329">
        <f>Data!E69</f>
        <v>25</v>
      </c>
      <c r="B72" s="330" t="str">
        <f>IF(Data!F69="","",Data!F69)</f>
        <v>03583</v>
      </c>
      <c r="C72" s="330">
        <f>IF(Data!G69="","",Data!G69)</f>
        <v>3136503109</v>
      </c>
      <c r="D72" s="331" t="str">
        <f>IF(Data!H69="","",Data!H69)</f>
        <v>Muhammad Ilham Fahrizal</v>
      </c>
      <c r="E72" s="330" t="str">
        <f>IF(Data!I69="","",Data!I69)</f>
        <v>Laki-laki</v>
      </c>
      <c r="F72" s="332" t="str">
        <f>IF(Data!J69="","",Data!J69)</f>
        <v>VIII-B</v>
      </c>
      <c r="G72" s="326" t="str">
        <f>IF(PA!G74="","",PA!G74)</f>
        <v/>
      </c>
      <c r="H72" s="327" t="str">
        <f>IF(PA!H74="","",PA!H74)</f>
        <v/>
      </c>
      <c r="I72" s="327" t="str">
        <f>IF(PA!I74="","",PA!I74)</f>
        <v/>
      </c>
      <c r="J72" s="327" t="str">
        <f>IF(PA!AA74="","",PA!AA74)</f>
        <v/>
      </c>
      <c r="K72" s="327" t="str">
        <f>IF(PA!AB74="","",PA!AB74)</f>
        <v/>
      </c>
      <c r="L72" s="327" t="str">
        <f>IF(PA!AC74="","",PA!AC74)</f>
        <v/>
      </c>
      <c r="M72" s="328" t="str">
        <f>IF(PA!P74="","",PA!P74)</f>
        <v/>
      </c>
    </row>
    <row r="73" spans="1:13" ht="14.4" x14ac:dyDescent="0.3">
      <c r="A73" s="329">
        <f>Data!E70</f>
        <v>26</v>
      </c>
      <c r="B73" s="330" t="str">
        <f>IF(Data!F70="","",Data!F70)</f>
        <v>03586</v>
      </c>
      <c r="C73" s="330">
        <f>IF(Data!G70="","",Data!G70)</f>
        <v>3129892919</v>
      </c>
      <c r="D73" s="331" t="str">
        <f>IF(Data!H70="","",Data!H70)</f>
        <v>Muhammad Iqbal Habibi</v>
      </c>
      <c r="E73" s="330" t="str">
        <f>IF(Data!I70="","",Data!I70)</f>
        <v>Laki-laki</v>
      </c>
      <c r="F73" s="332" t="str">
        <f>IF(Data!J70="","",Data!J70)</f>
        <v>VIII-B</v>
      </c>
      <c r="G73" s="326" t="str">
        <f>IF(PA!G75="","",PA!G75)</f>
        <v/>
      </c>
      <c r="H73" s="327" t="str">
        <f>IF(PA!H75="","",PA!H75)</f>
        <v/>
      </c>
      <c r="I73" s="327" t="str">
        <f>IF(PA!I75="","",PA!I75)</f>
        <v/>
      </c>
      <c r="J73" s="327" t="str">
        <f>IF(PA!AA75="","",PA!AA75)</f>
        <v/>
      </c>
      <c r="K73" s="327" t="str">
        <f>IF(PA!AB75="","",PA!AB75)</f>
        <v/>
      </c>
      <c r="L73" s="327" t="str">
        <f>IF(PA!AC75="","",PA!AC75)</f>
        <v/>
      </c>
      <c r="M73" s="328" t="str">
        <f>IF(PA!P75="","",PA!P75)</f>
        <v/>
      </c>
    </row>
    <row r="74" spans="1:13" ht="14.4" x14ac:dyDescent="0.3">
      <c r="A74" s="329">
        <f>Data!E71</f>
        <v>27</v>
      </c>
      <c r="B74" s="330" t="str">
        <f>IF(Data!F71="","",Data!F71)</f>
        <v>03599</v>
      </c>
      <c r="C74" s="330" t="str">
        <f>IF(Data!G71="","",Data!G71)</f>
        <v>0129342146</v>
      </c>
      <c r="D74" s="331" t="str">
        <f>IF(Data!H71="","",Data!H71)</f>
        <v>Muhammad Raffandi</v>
      </c>
      <c r="E74" s="330" t="str">
        <f>IF(Data!I71="","",Data!I71)</f>
        <v>Laki-laki</v>
      </c>
      <c r="F74" s="332" t="str">
        <f>IF(Data!J71="","",Data!J71)</f>
        <v>VIII-B</v>
      </c>
      <c r="G74" s="326" t="str">
        <f>IF(PA!G76="","",PA!G76)</f>
        <v/>
      </c>
      <c r="H74" s="327" t="str">
        <f>IF(PA!H76="","",PA!H76)</f>
        <v/>
      </c>
      <c r="I74" s="327" t="str">
        <f>IF(PA!I76="","",PA!I76)</f>
        <v/>
      </c>
      <c r="J74" s="327" t="str">
        <f>IF(PA!AA76="","",PA!AA76)</f>
        <v/>
      </c>
      <c r="K74" s="327" t="str">
        <f>IF(PA!AB76="","",PA!AB76)</f>
        <v/>
      </c>
      <c r="L74" s="327" t="str">
        <f>IF(PA!AC76="","",PA!AC76)</f>
        <v/>
      </c>
      <c r="M74" s="328" t="str">
        <f>IF(PA!P76="","",PA!P76)</f>
        <v/>
      </c>
    </row>
    <row r="75" spans="1:13" ht="14.4" x14ac:dyDescent="0.3">
      <c r="A75" s="329">
        <f>Data!E72</f>
        <v>28</v>
      </c>
      <c r="B75" s="330" t="str">
        <f>IF(Data!F72="","",Data!F72)</f>
        <v>03609</v>
      </c>
      <c r="C75" s="330">
        <f>IF(Data!G72="","",Data!G72)</f>
        <v>3137476404</v>
      </c>
      <c r="D75" s="331" t="str">
        <f>IF(Data!H72="","",Data!H72)</f>
        <v>Raffa Ar Rasyid</v>
      </c>
      <c r="E75" s="330" t="str">
        <f>IF(Data!I72="","",Data!I72)</f>
        <v>Laki-laki</v>
      </c>
      <c r="F75" s="332" t="str">
        <f>IF(Data!J72="","",Data!J72)</f>
        <v>VIII-B</v>
      </c>
      <c r="G75" s="326" t="str">
        <f>IF(PA!G77="","",PA!G77)</f>
        <v/>
      </c>
      <c r="H75" s="327" t="str">
        <f>IF(PA!H77="","",PA!H77)</f>
        <v/>
      </c>
      <c r="I75" s="327" t="str">
        <f>IF(PA!I77="","",PA!I77)</f>
        <v/>
      </c>
      <c r="J75" s="327" t="str">
        <f>IF(PA!AA77="","",PA!AA77)</f>
        <v/>
      </c>
      <c r="K75" s="327" t="str">
        <f>IF(PA!AB77="","",PA!AB77)</f>
        <v/>
      </c>
      <c r="L75" s="327" t="str">
        <f>IF(PA!AC77="","",PA!AC77)</f>
        <v/>
      </c>
      <c r="M75" s="328" t="str">
        <f>IF(PA!P77="","",PA!P77)</f>
        <v/>
      </c>
    </row>
    <row r="76" spans="1:13" ht="14.4" x14ac:dyDescent="0.3">
      <c r="A76" s="329">
        <f>Data!E73</f>
        <v>29</v>
      </c>
      <c r="B76" s="330" t="str">
        <f>IF(Data!F73="","",Data!F73)</f>
        <v>03613</v>
      </c>
      <c r="C76" s="330">
        <f>IF(Data!G73="","",Data!G73)</f>
        <v>3122120143</v>
      </c>
      <c r="D76" s="331" t="str">
        <f>IF(Data!H73="","",Data!H73)</f>
        <v>Rayyandra Arfa Keanu Bagaskara</v>
      </c>
      <c r="E76" s="330" t="str">
        <f>IF(Data!I73="","",Data!I73)</f>
        <v>Laki-laki</v>
      </c>
      <c r="F76" s="332" t="str">
        <f>IF(Data!J73="","",Data!J73)</f>
        <v>VIII-B</v>
      </c>
      <c r="G76" s="326" t="str">
        <f>IF(PA!G78="","",PA!G78)</f>
        <v/>
      </c>
      <c r="H76" s="327" t="str">
        <f>IF(PA!H78="","",PA!H78)</f>
        <v/>
      </c>
      <c r="I76" s="327" t="str">
        <f>IF(PA!I78="","",PA!I78)</f>
        <v/>
      </c>
      <c r="J76" s="327" t="str">
        <f>IF(PA!AA78="","",PA!AA78)</f>
        <v/>
      </c>
      <c r="K76" s="327" t="str">
        <f>IF(PA!AB78="","",PA!AB78)</f>
        <v/>
      </c>
      <c r="L76" s="327" t="str">
        <f>IF(PA!AC78="","",PA!AC78)</f>
        <v/>
      </c>
      <c r="M76" s="328" t="str">
        <f>IF(PA!P78="","",PA!P78)</f>
        <v/>
      </c>
    </row>
    <row r="77" spans="1:13" ht="14.4" x14ac:dyDescent="0.3">
      <c r="A77" s="329">
        <f>Data!E74</f>
        <v>30</v>
      </c>
      <c r="B77" s="330" t="str">
        <f>IF(Data!F74="","",Data!F74)</f>
        <v>03616</v>
      </c>
      <c r="C77" s="330">
        <f>IF(Data!G74="","",Data!G74)</f>
        <v>3122669311</v>
      </c>
      <c r="D77" s="331" t="str">
        <f>IF(Data!H74="","",Data!H74)</f>
        <v>Shofiyul Azka Mubarok</v>
      </c>
      <c r="E77" s="330" t="str">
        <f>IF(Data!I74="","",Data!I74)</f>
        <v>Laki-laki</v>
      </c>
      <c r="F77" s="332" t="str">
        <f>IF(Data!J74="","",Data!J74)</f>
        <v>VIII-B</v>
      </c>
      <c r="G77" s="326" t="str">
        <f>IF(PA!G79="","",PA!G79)</f>
        <v/>
      </c>
      <c r="H77" s="327" t="str">
        <f>IF(PA!H79="","",PA!H79)</f>
        <v/>
      </c>
      <c r="I77" s="327" t="str">
        <f>IF(PA!I79="","",PA!I79)</f>
        <v/>
      </c>
      <c r="J77" s="327" t="str">
        <f>IF(PA!AA79="","",PA!AA79)</f>
        <v/>
      </c>
      <c r="K77" s="327" t="str">
        <f>IF(PA!AB79="","",PA!AB79)</f>
        <v/>
      </c>
      <c r="L77" s="327" t="str">
        <f>IF(PA!AC79="","",PA!AC79)</f>
        <v/>
      </c>
      <c r="M77" s="328" t="str">
        <f>IF(PA!P79="","",PA!P79)</f>
        <v/>
      </c>
    </row>
    <row r="78" spans="1:13" ht="14.4" x14ac:dyDescent="0.3">
      <c r="A78" s="329">
        <f>Data!E75</f>
        <v>31</v>
      </c>
      <c r="B78" s="415" t="str">
        <f>IF(Data!F75="","",Data!F75)</f>
        <v>03617</v>
      </c>
      <c r="C78" s="415" t="str">
        <f>IF(Data!G75="","",Data!G75)</f>
        <v>0138025180</v>
      </c>
      <c r="D78" s="416" t="str">
        <f>IF(Data!H75="","",Data!H75)</f>
        <v>Syarifuddin Zhafran</v>
      </c>
      <c r="E78" s="415" t="str">
        <f>IF(Data!I75="","",Data!I75)</f>
        <v>Laki-laki</v>
      </c>
      <c r="F78" s="417" t="str">
        <f>IF(Data!J75="","",Data!J75)</f>
        <v>VIII-B</v>
      </c>
      <c r="G78" s="326" t="str">
        <f>IF(PA!G80="","",PA!G80)</f>
        <v/>
      </c>
      <c r="H78" s="327" t="str">
        <f>IF(PA!H80="","",PA!H80)</f>
        <v/>
      </c>
      <c r="I78" s="327" t="str">
        <f>IF(PA!I80="","",PA!I80)</f>
        <v/>
      </c>
      <c r="J78" s="327" t="str">
        <f>IF(PA!AA80="","",PA!AA80)</f>
        <v/>
      </c>
      <c r="K78" s="327" t="str">
        <f>IF(PA!AB80="","",PA!AB80)</f>
        <v/>
      </c>
      <c r="L78" s="327" t="str">
        <f>IF(PA!AC80="","",PA!AC80)</f>
        <v/>
      </c>
      <c r="M78" s="328" t="str">
        <f>IF(PA!P80="","",PA!P80)</f>
        <v/>
      </c>
    </row>
    <row r="79" spans="1:13" ht="14.4" x14ac:dyDescent="0.3">
      <c r="A79" s="329">
        <f>Data!E76</f>
        <v>32</v>
      </c>
      <c r="B79" s="330" t="str">
        <f>IF(Data!F76="","",Data!F76)</f>
        <v>03624</v>
      </c>
      <c r="C79" s="330" t="str">
        <f>IF(Data!G76="","",Data!G76)</f>
        <v>0123221113</v>
      </c>
      <c r="D79" s="331" t="str">
        <f>IF(Data!H76="","",Data!H76)</f>
        <v>Yusril Mirza Farendra</v>
      </c>
      <c r="E79" s="330" t="str">
        <f>IF(Data!I76="","",Data!I76)</f>
        <v>Laki-laki</v>
      </c>
      <c r="F79" s="332" t="str">
        <f>IF(Data!J76="","",Data!J76)</f>
        <v>VIII-B</v>
      </c>
      <c r="G79" s="326" t="str">
        <f>IF(PA!G81="","",PA!G81)</f>
        <v/>
      </c>
      <c r="H79" s="327" t="str">
        <f>IF(PA!H81="","",PA!H81)</f>
        <v/>
      </c>
      <c r="I79" s="327" t="str">
        <f>IF(PA!I81="","",PA!I81)</f>
        <v/>
      </c>
      <c r="J79" s="327" t="str">
        <f>IF(PA!AA81="","",PA!AA81)</f>
        <v/>
      </c>
      <c r="K79" s="327" t="str">
        <f>IF(PA!AB81="","",PA!AB81)</f>
        <v/>
      </c>
      <c r="L79" s="327" t="str">
        <f>IF(PA!AC81="","",PA!AC81)</f>
        <v/>
      </c>
      <c r="M79" s="328" t="str">
        <f>IF(PA!P81="","",PA!P81)</f>
        <v/>
      </c>
    </row>
    <row r="80" spans="1:13" ht="14.4" x14ac:dyDescent="0.3">
      <c r="A80" s="329">
        <f>Data!E77</f>
        <v>33</v>
      </c>
      <c r="B80" s="330" t="str">
        <f>IF(Data!F77="","",Data!F77)</f>
        <v>03626</v>
      </c>
      <c r="C80" s="330" t="str">
        <f>IF(Data!G77="","",Data!G77)</f>
        <v>3132518347</v>
      </c>
      <c r="D80" s="331" t="str">
        <f>IF(Data!H77="","",Data!H77)</f>
        <v>Zulmi Fajar Habibie</v>
      </c>
      <c r="E80" s="330" t="str">
        <f>IF(Data!I77="","",Data!I77)</f>
        <v>Laki-laki</v>
      </c>
      <c r="F80" s="332" t="str">
        <f>IF(Data!J77="","",Data!J77)</f>
        <v>VIII-B</v>
      </c>
      <c r="G80" s="326" t="str">
        <f>IF(PA!G82="","",PA!G82)</f>
        <v/>
      </c>
      <c r="H80" s="327" t="str">
        <f>IF(PA!H82="","",PA!H82)</f>
        <v/>
      </c>
      <c r="I80" s="327" t="str">
        <f>IF(PA!I82="","",PA!I82)</f>
        <v/>
      </c>
      <c r="J80" s="327" t="str">
        <f>IF(PA!AA82="","",PA!AA82)</f>
        <v/>
      </c>
      <c r="K80" s="327" t="str">
        <f>IF(PA!AB82="","",PA!AB82)</f>
        <v/>
      </c>
      <c r="L80" s="327" t="str">
        <f>IF(PA!AC82="","",PA!AC82)</f>
        <v/>
      </c>
      <c r="M80" s="328" t="str">
        <f>IF(PA!P82="","",PA!P82)</f>
        <v/>
      </c>
    </row>
    <row r="81" spans="1:13" ht="14.4" x14ac:dyDescent="0.3">
      <c r="A81" s="329">
        <f>Data!E78</f>
        <v>34</v>
      </c>
      <c r="B81" s="330" t="str">
        <f>IF(Data!F78="","",Data!F78)</f>
        <v>03755</v>
      </c>
      <c r="C81" s="330" t="str">
        <f>IF(Data!G78="","",Data!G78)</f>
        <v>0136642512</v>
      </c>
      <c r="D81" s="331" t="str">
        <f>IF(Data!H78="","",Data!H78)</f>
        <v>Wafiq Azwar Abbasy</v>
      </c>
      <c r="E81" s="330" t="str">
        <f>IF(Data!I78="","",Data!I78)</f>
        <v>Laki-laki</v>
      </c>
      <c r="F81" s="332" t="str">
        <f>IF(Data!J78="","",Data!J78)</f>
        <v>VIII-B</v>
      </c>
      <c r="G81" s="326" t="str">
        <f>IF(PA!G83="","",PA!G83)</f>
        <v/>
      </c>
      <c r="H81" s="327" t="str">
        <f>IF(PA!H83="","",PA!H83)</f>
        <v/>
      </c>
      <c r="I81" s="327" t="str">
        <f>IF(PA!I83="","",PA!I83)</f>
        <v/>
      </c>
      <c r="J81" s="327" t="str">
        <f>IF(PA!AA83="","",PA!AA83)</f>
        <v/>
      </c>
      <c r="K81" s="327" t="str">
        <f>IF(PA!AB83="","",PA!AB83)</f>
        <v/>
      </c>
      <c r="L81" s="327" t="str">
        <f>IF(PA!AC83="","",PA!AC83)</f>
        <v/>
      </c>
      <c r="M81" s="328" t="str">
        <f>IF(PA!P83="","",PA!P83)</f>
        <v/>
      </c>
    </row>
    <row r="82" spans="1:13" ht="14.4" x14ac:dyDescent="0.3">
      <c r="A82" s="329">
        <f>Data!E79</f>
        <v>35</v>
      </c>
      <c r="B82" s="330" t="str">
        <f>IF(Data!F79="","",Data!F79)</f>
        <v/>
      </c>
      <c r="C82" s="330" t="str">
        <f>IF(Data!G79="","",Data!G79)</f>
        <v/>
      </c>
      <c r="D82" s="331" t="str">
        <f>IF(Data!H79="","",Data!H79)</f>
        <v/>
      </c>
      <c r="E82" s="330" t="str">
        <f>IF(Data!I79="","",Data!I79)</f>
        <v/>
      </c>
      <c r="F82" s="332" t="str">
        <f>IF(Data!J79="","",Data!J79)</f>
        <v>VIII-B</v>
      </c>
      <c r="G82" s="326" t="str">
        <f>IF(PA!G84="","",PA!G84)</f>
        <v/>
      </c>
      <c r="H82" s="327" t="str">
        <f>IF(PA!H84="","",PA!H84)</f>
        <v/>
      </c>
      <c r="I82" s="327" t="str">
        <f>IF(PA!I84="","",PA!I84)</f>
        <v/>
      </c>
      <c r="J82" s="327" t="str">
        <f>IF(PA!AA84="","",PA!AA84)</f>
        <v/>
      </c>
      <c r="K82" s="327" t="str">
        <f>IF(PA!AB84="","",PA!AB84)</f>
        <v/>
      </c>
      <c r="L82" s="327" t="str">
        <f>IF(PA!AC84="","",PA!AC84)</f>
        <v/>
      </c>
      <c r="M82" s="328" t="str">
        <f>IF(PA!P84="","",PA!P84)</f>
        <v/>
      </c>
    </row>
    <row r="83" spans="1:13" ht="14.4" x14ac:dyDescent="0.3">
      <c r="A83" s="329">
        <f>Data!E80</f>
        <v>36</v>
      </c>
      <c r="B83" s="330" t="str">
        <f>IF(Data!F80="","",Data!F80)</f>
        <v/>
      </c>
      <c r="C83" s="330" t="str">
        <f>IF(Data!G80="","",Data!G80)</f>
        <v/>
      </c>
      <c r="D83" s="331" t="str">
        <f>IF(Data!H80="","",Data!H80)</f>
        <v/>
      </c>
      <c r="E83" s="330" t="str">
        <f>IF(Data!I80="","",Data!I80)</f>
        <v/>
      </c>
      <c r="F83" s="332" t="str">
        <f>IF(Data!J80="","",Data!J80)</f>
        <v>VIII-B</v>
      </c>
      <c r="G83" s="326" t="str">
        <f>IF(PA!G85="","",PA!G85)</f>
        <v/>
      </c>
      <c r="H83" s="327" t="str">
        <f>IF(PA!H85="","",PA!H85)</f>
        <v/>
      </c>
      <c r="I83" s="327" t="str">
        <f>IF(PA!I85="","",PA!I85)</f>
        <v/>
      </c>
      <c r="J83" s="327" t="str">
        <f>IF(PA!AA85="","",PA!AA85)</f>
        <v/>
      </c>
      <c r="K83" s="327" t="str">
        <f>IF(PA!AB85="","",PA!AB85)</f>
        <v/>
      </c>
      <c r="L83" s="327" t="str">
        <f>IF(PA!AC85="","",PA!AC85)</f>
        <v/>
      </c>
      <c r="M83" s="328" t="str">
        <f>IF(PA!P85="","",PA!P85)</f>
        <v/>
      </c>
    </row>
    <row r="84" spans="1:13" ht="14.4" x14ac:dyDescent="0.3">
      <c r="A84" s="329">
        <f>Data!E81</f>
        <v>37</v>
      </c>
      <c r="B84" s="330" t="str">
        <f>IF(Data!F81="","",Data!F81)</f>
        <v/>
      </c>
      <c r="C84" s="330" t="str">
        <f>IF(Data!G81="","",Data!G81)</f>
        <v/>
      </c>
      <c r="D84" s="331" t="str">
        <f>IF(Data!H81="","",Data!H81)</f>
        <v/>
      </c>
      <c r="E84" s="330" t="str">
        <f>IF(Data!I81="","",Data!I81)</f>
        <v/>
      </c>
      <c r="F84" s="332" t="str">
        <f>IF(Data!J81="","",Data!J81)</f>
        <v>VIII-B</v>
      </c>
      <c r="G84" s="326" t="str">
        <f>IF(PA!G86="","",PA!G86)</f>
        <v/>
      </c>
      <c r="H84" s="327" t="str">
        <f>IF(PA!H86="","",PA!H86)</f>
        <v/>
      </c>
      <c r="I84" s="327" t="str">
        <f>IF(PA!I86="","",PA!I86)</f>
        <v/>
      </c>
      <c r="J84" s="327" t="str">
        <f>IF(PA!AA86="","",PA!AA86)</f>
        <v/>
      </c>
      <c r="K84" s="327" t="str">
        <f>IF(PA!AB86="","",PA!AB86)</f>
        <v/>
      </c>
      <c r="L84" s="327" t="str">
        <f>IF(PA!AC86="","",PA!AC86)</f>
        <v/>
      </c>
      <c r="M84" s="328" t="str">
        <f>IF(PA!P86="","",PA!P86)</f>
        <v/>
      </c>
    </row>
    <row r="85" spans="1:13" ht="14.4" x14ac:dyDescent="0.3">
      <c r="A85" s="329">
        <f>Data!E82</f>
        <v>38</v>
      </c>
      <c r="B85" s="330" t="str">
        <f>IF(Data!F82="","",Data!F82)</f>
        <v/>
      </c>
      <c r="C85" s="330" t="str">
        <f>IF(Data!G82="","",Data!G82)</f>
        <v/>
      </c>
      <c r="D85" s="331" t="str">
        <f>IF(Data!H82="","",Data!H82)</f>
        <v/>
      </c>
      <c r="E85" s="330" t="str">
        <f>IF(Data!I82="","",Data!I82)</f>
        <v/>
      </c>
      <c r="F85" s="332" t="str">
        <f>IF(Data!J82="","",Data!J82)</f>
        <v>VIII-B</v>
      </c>
      <c r="G85" s="326" t="str">
        <f>IF(PA!G87="","",PA!G87)</f>
        <v/>
      </c>
      <c r="H85" s="327" t="str">
        <f>IF(PA!H87="","",PA!H87)</f>
        <v/>
      </c>
      <c r="I85" s="327" t="str">
        <f>IF(PA!I87="","",PA!I87)</f>
        <v/>
      </c>
      <c r="J85" s="327" t="str">
        <f>IF(PA!AA87="","",PA!AA87)</f>
        <v/>
      </c>
      <c r="K85" s="327" t="str">
        <f>IF(PA!AB87="","",PA!AB87)</f>
        <v/>
      </c>
      <c r="L85" s="327" t="str">
        <f>IF(PA!AC87="","",PA!AC87)</f>
        <v/>
      </c>
      <c r="M85" s="328" t="str">
        <f>IF(PA!P87="","",PA!P87)</f>
        <v/>
      </c>
    </row>
    <row r="86" spans="1:13" ht="14.4" x14ac:dyDescent="0.3">
      <c r="A86" s="329">
        <f>Data!E83</f>
        <v>39</v>
      </c>
      <c r="B86" s="330" t="str">
        <f>IF(Data!F83="","",Data!F83)</f>
        <v/>
      </c>
      <c r="C86" s="330" t="str">
        <f>IF(Data!G83="","",Data!G83)</f>
        <v/>
      </c>
      <c r="D86" s="331" t="str">
        <f>IF(Data!H83="","",Data!H83)</f>
        <v/>
      </c>
      <c r="E86" s="330" t="str">
        <f>IF(Data!I83="","",Data!I83)</f>
        <v/>
      </c>
      <c r="F86" s="332" t="str">
        <f>IF(Data!J83="","",Data!J83)</f>
        <v>VIII-B</v>
      </c>
      <c r="G86" s="326" t="str">
        <f>IF(PA!G88="","",PA!G88)</f>
        <v/>
      </c>
      <c r="H86" s="327" t="str">
        <f>IF(PA!H88="","",PA!H88)</f>
        <v/>
      </c>
      <c r="I86" s="327" t="str">
        <f>IF(PA!I88="","",PA!I88)</f>
        <v/>
      </c>
      <c r="J86" s="327" t="str">
        <f>IF(PA!AA88="","",PA!AA88)</f>
        <v/>
      </c>
      <c r="K86" s="327" t="str">
        <f>IF(PA!AB88="","",PA!AB88)</f>
        <v/>
      </c>
      <c r="L86" s="327" t="str">
        <f>IF(PA!AC88="","",PA!AC88)</f>
        <v/>
      </c>
      <c r="M86" s="328" t="str">
        <f>IF(PA!P88="","",PA!P88)</f>
        <v/>
      </c>
    </row>
    <row r="87" spans="1:13" ht="15" thickBot="1" x14ac:dyDescent="0.35">
      <c r="A87" s="333">
        <f>Data!E84</f>
        <v>40</v>
      </c>
      <c r="B87" s="334" t="str">
        <f>IF(Data!F84="","",Data!F84)</f>
        <v/>
      </c>
      <c r="C87" s="334" t="str">
        <f>IF(Data!G84="","",Data!G84)</f>
        <v/>
      </c>
      <c r="D87" s="335" t="str">
        <f>IF(Data!H84="","",Data!H84)</f>
        <v/>
      </c>
      <c r="E87" s="334" t="str">
        <f>IF(Data!I84="","",Data!I84)</f>
        <v/>
      </c>
      <c r="F87" s="336" t="str">
        <f>IF(Data!J84="","",Data!J84)</f>
        <v>VIII-B</v>
      </c>
      <c r="G87" s="326" t="str">
        <f>IF(PA!G89="","",PA!G89)</f>
        <v/>
      </c>
      <c r="H87" s="327" t="str">
        <f>IF(PA!H89="","",PA!H89)</f>
        <v/>
      </c>
      <c r="I87" s="327" t="str">
        <f>IF(PA!I89="","",PA!I89)</f>
        <v/>
      </c>
      <c r="J87" s="327" t="str">
        <f>IF(PA!AA89="","",PA!AA89)</f>
        <v/>
      </c>
      <c r="K87" s="327" t="str">
        <f>IF(PA!AB89="","",PA!AB89)</f>
        <v/>
      </c>
      <c r="L87" s="327" t="str">
        <f>IF(PA!AC89="","",PA!AC89)</f>
        <v/>
      </c>
      <c r="M87" s="328" t="str">
        <f>IF(PA!P89="","",PA!P89)</f>
        <v/>
      </c>
    </row>
    <row r="88" spans="1:13" ht="15" thickTop="1" x14ac:dyDescent="0.3">
      <c r="A88" s="329">
        <f>Data!E85</f>
        <v>1</v>
      </c>
      <c r="B88" s="330" t="str">
        <f>IF(Data!F85="","",Data!F85)</f>
        <v>03510</v>
      </c>
      <c r="C88" s="330" t="str">
        <f>IF(Data!G85="","",Data!G85)</f>
        <v>0116397936</v>
      </c>
      <c r="D88" s="331" t="str">
        <f>IF(Data!H85="","",Data!H85)</f>
        <v>Ahmad Affan Abqory</v>
      </c>
      <c r="E88" s="330" t="str">
        <f>IF(Data!I85="","",Data!I85)</f>
        <v>Laki-laki</v>
      </c>
      <c r="F88" s="332" t="str">
        <f>IF(Data!J85="","",Data!J85)</f>
        <v>VIII-C</v>
      </c>
      <c r="G88" s="326" t="str">
        <f>IF(PA!G90="","",PA!G90)</f>
        <v/>
      </c>
      <c r="H88" s="327" t="str">
        <f>IF(PA!H90="","",PA!H90)</f>
        <v/>
      </c>
      <c r="I88" s="327" t="str">
        <f>IF(PA!I90="","",PA!I90)</f>
        <v/>
      </c>
      <c r="J88" s="327" t="str">
        <f>IF(PA!AA90="","",PA!AA90)</f>
        <v/>
      </c>
      <c r="K88" s="327" t="str">
        <f>IF(PA!AB90="","",PA!AB90)</f>
        <v/>
      </c>
      <c r="L88" s="327" t="str">
        <f>IF(PA!AC90="","",PA!AC90)</f>
        <v/>
      </c>
      <c r="M88" s="328" t="str">
        <f>IF(PA!P90="","",PA!P90)</f>
        <v/>
      </c>
    </row>
    <row r="89" spans="1:13" ht="14.4" x14ac:dyDescent="0.3">
      <c r="A89" s="329">
        <f>Data!E86</f>
        <v>2</v>
      </c>
      <c r="B89" s="330" t="str">
        <f>IF(Data!F86="","",Data!F86)</f>
        <v>03514</v>
      </c>
      <c r="C89" s="330" t="str">
        <f>IF(Data!G86="","",Data!G86)</f>
        <v>0129395202</v>
      </c>
      <c r="D89" s="331" t="str">
        <f>IF(Data!H86="","",Data!H86)</f>
        <v>Ahmad Alwi Abdul Azis</v>
      </c>
      <c r="E89" s="330" t="str">
        <f>IF(Data!I86="","",Data!I86)</f>
        <v>Laki-laki</v>
      </c>
      <c r="F89" s="332" t="str">
        <f>IF(Data!J86="","",Data!J86)</f>
        <v>VIII-C</v>
      </c>
      <c r="G89" s="326" t="str">
        <f>IF(PA!G91="","",PA!G91)</f>
        <v/>
      </c>
      <c r="H89" s="327" t="str">
        <f>IF(PA!H91="","",PA!H91)</f>
        <v/>
      </c>
      <c r="I89" s="327" t="str">
        <f>IF(PA!I91="","",PA!I91)</f>
        <v/>
      </c>
      <c r="J89" s="327" t="str">
        <f>IF(PA!AA91="","",PA!AA91)</f>
        <v/>
      </c>
      <c r="K89" s="327" t="str">
        <f>IF(PA!AB91="","",PA!AB91)</f>
        <v/>
      </c>
      <c r="L89" s="327" t="str">
        <f>IF(PA!AC91="","",PA!AC91)</f>
        <v/>
      </c>
      <c r="M89" s="328" t="str">
        <f>IF(PA!P91="","",PA!P91)</f>
        <v/>
      </c>
    </row>
    <row r="90" spans="1:13" ht="14.4" x14ac:dyDescent="0.3">
      <c r="A90" s="329">
        <f>Data!E87</f>
        <v>3</v>
      </c>
      <c r="B90" s="330" t="str">
        <f>IF(Data!F87="","",Data!F87)</f>
        <v>03515</v>
      </c>
      <c r="C90" s="330" t="str">
        <f>IF(Data!G87="","",Data!G87)</f>
        <v>0123720739</v>
      </c>
      <c r="D90" s="331" t="str">
        <f>IF(Data!H87="","",Data!H87)</f>
        <v>Ahmad Daris Ziham Almuqsith</v>
      </c>
      <c r="E90" s="330" t="str">
        <f>IF(Data!I87="","",Data!I87)</f>
        <v>Laki-laki</v>
      </c>
      <c r="F90" s="332" t="str">
        <f>IF(Data!J87="","",Data!J87)</f>
        <v>VIII-C</v>
      </c>
      <c r="G90" s="326" t="str">
        <f>IF(PA!G92="","",PA!G92)</f>
        <v/>
      </c>
      <c r="H90" s="327" t="str">
        <f>IF(PA!H92="","",PA!H92)</f>
        <v/>
      </c>
      <c r="I90" s="327" t="str">
        <f>IF(PA!I92="","",PA!I92)</f>
        <v/>
      </c>
      <c r="J90" s="327" t="str">
        <f>IF(PA!AA92="","",PA!AA92)</f>
        <v/>
      </c>
      <c r="K90" s="327" t="str">
        <f>IF(PA!AB92="","",PA!AB92)</f>
        <v/>
      </c>
      <c r="L90" s="327" t="str">
        <f>IF(PA!AC92="","",PA!AC92)</f>
        <v/>
      </c>
      <c r="M90" s="328" t="str">
        <f>IF(PA!P92="","",PA!P92)</f>
        <v/>
      </c>
    </row>
    <row r="91" spans="1:13" ht="14.4" x14ac:dyDescent="0.3">
      <c r="A91" s="329">
        <f>Data!E88</f>
        <v>4</v>
      </c>
      <c r="B91" s="330" t="str">
        <f>IF(Data!F88="","",Data!F88)</f>
        <v>03521</v>
      </c>
      <c r="C91" s="330" t="str">
        <f>IF(Data!G88="","",Data!G88)</f>
        <v>0124730353</v>
      </c>
      <c r="D91" s="331" t="str">
        <f>IF(Data!H88="","",Data!H88)</f>
        <v>Ahmad Julian Pasha Ramadhan</v>
      </c>
      <c r="E91" s="330" t="str">
        <f>IF(Data!I88="","",Data!I88)</f>
        <v>Laki-laki</v>
      </c>
      <c r="F91" s="332" t="str">
        <f>IF(Data!J88="","",Data!J88)</f>
        <v>VIII-C</v>
      </c>
      <c r="G91" s="326" t="str">
        <f>IF(PA!G93="","",PA!G93)</f>
        <v/>
      </c>
      <c r="H91" s="327" t="str">
        <f>IF(PA!H93="","",PA!H93)</f>
        <v/>
      </c>
      <c r="I91" s="327" t="str">
        <f>IF(PA!I93="","",PA!I93)</f>
        <v/>
      </c>
      <c r="J91" s="327" t="str">
        <f>IF(PA!AA93="","",PA!AA93)</f>
        <v/>
      </c>
      <c r="K91" s="327" t="str">
        <f>IF(PA!AB93="","",PA!AB93)</f>
        <v/>
      </c>
      <c r="L91" s="327" t="str">
        <f>IF(PA!AC93="","",PA!AC93)</f>
        <v/>
      </c>
      <c r="M91" s="328" t="str">
        <f>IF(PA!P93="","",PA!P93)</f>
        <v/>
      </c>
    </row>
    <row r="92" spans="1:13" ht="14.4" x14ac:dyDescent="0.3">
      <c r="A92" s="329">
        <f>Data!E89</f>
        <v>5</v>
      </c>
      <c r="B92" s="330" t="str">
        <f>IF(Data!F89="","",Data!F89)</f>
        <v>03524</v>
      </c>
      <c r="C92" s="330">
        <f>IF(Data!G89="","",Data!G89)</f>
        <v>3135503355</v>
      </c>
      <c r="D92" s="331" t="str">
        <f>IF(Data!H89="","",Data!H89)</f>
        <v>Ahmad Ridwan Alghoni</v>
      </c>
      <c r="E92" s="330" t="str">
        <f>IF(Data!I89="","",Data!I89)</f>
        <v>Laki-laki</v>
      </c>
      <c r="F92" s="332" t="str">
        <f>IF(Data!J89="","",Data!J89)</f>
        <v>VIII-C</v>
      </c>
      <c r="G92" s="326" t="str">
        <f>IF(PA!G94="","",PA!G94)</f>
        <v/>
      </c>
      <c r="H92" s="327" t="str">
        <f>IF(PA!H94="","",PA!H94)</f>
        <v/>
      </c>
      <c r="I92" s="327" t="str">
        <f>IF(PA!I94="","",PA!I94)</f>
        <v/>
      </c>
      <c r="J92" s="327" t="str">
        <f>IF(PA!AA94="","",PA!AA94)</f>
        <v/>
      </c>
      <c r="K92" s="327" t="str">
        <f>IF(PA!AB94="","",PA!AB94)</f>
        <v/>
      </c>
      <c r="L92" s="327" t="str">
        <f>IF(PA!AC94="","",PA!AC94)</f>
        <v/>
      </c>
      <c r="M92" s="328" t="str">
        <f>IF(PA!P94="","",PA!P94)</f>
        <v/>
      </c>
    </row>
    <row r="93" spans="1:13" ht="14.4" x14ac:dyDescent="0.3">
      <c r="A93" s="329">
        <f>Data!E90</f>
        <v>6</v>
      </c>
      <c r="B93" s="330" t="str">
        <f>IF(Data!F90="","",Data!F90)</f>
        <v>03527</v>
      </c>
      <c r="C93" s="330">
        <f>IF(Data!G90="","",Data!G90)</f>
        <v>3125913335</v>
      </c>
      <c r="D93" s="331" t="str">
        <f>IF(Data!H90="","",Data!H90)</f>
        <v>Airlangga Azzumar Bachtyar</v>
      </c>
      <c r="E93" s="330" t="str">
        <f>IF(Data!I90="","",Data!I90)</f>
        <v>Laki-laki</v>
      </c>
      <c r="F93" s="332" t="str">
        <f>IF(Data!J90="","",Data!J90)</f>
        <v>VIII-C</v>
      </c>
      <c r="G93" s="326" t="str">
        <f>IF(PA!G95="","",PA!G95)</f>
        <v/>
      </c>
      <c r="H93" s="327" t="str">
        <f>IF(PA!H95="","",PA!H95)</f>
        <v/>
      </c>
      <c r="I93" s="327" t="str">
        <f>IF(PA!I95="","",PA!I95)</f>
        <v/>
      </c>
      <c r="J93" s="327" t="str">
        <f>IF(PA!AA95="","",PA!AA95)</f>
        <v/>
      </c>
      <c r="K93" s="327" t="str">
        <f>IF(PA!AB95="","",PA!AB95)</f>
        <v/>
      </c>
      <c r="L93" s="327" t="str">
        <f>IF(PA!AC95="","",PA!AC95)</f>
        <v/>
      </c>
      <c r="M93" s="328" t="str">
        <f>IF(PA!P95="","",PA!P95)</f>
        <v/>
      </c>
    </row>
    <row r="94" spans="1:13" ht="14.4" x14ac:dyDescent="0.3">
      <c r="A94" s="329">
        <f>Data!E91</f>
        <v>7</v>
      </c>
      <c r="B94" s="330" t="str">
        <f>IF(Data!F91="","",Data!F91)</f>
        <v>03528</v>
      </c>
      <c r="C94" s="330">
        <f>IF(Data!G91="","",Data!G91)</f>
        <v>3131983811</v>
      </c>
      <c r="D94" s="331" t="str">
        <f>IF(Data!H91="","",Data!H91)</f>
        <v>Alizzal Danish Aditya Yoga Pratama</v>
      </c>
      <c r="E94" s="330" t="str">
        <f>IF(Data!I91="","",Data!I91)</f>
        <v>Laki-laki</v>
      </c>
      <c r="F94" s="332" t="str">
        <f>IF(Data!J91="","",Data!J91)</f>
        <v>VIII-C</v>
      </c>
      <c r="G94" s="326" t="str">
        <f>IF(PA!G96="","",PA!G96)</f>
        <v/>
      </c>
      <c r="H94" s="327" t="str">
        <f>IF(PA!H96="","",PA!H96)</f>
        <v/>
      </c>
      <c r="I94" s="327" t="str">
        <f>IF(PA!I96="","",PA!I96)</f>
        <v/>
      </c>
      <c r="J94" s="327" t="str">
        <f>IF(PA!AA96="","",PA!AA96)</f>
        <v/>
      </c>
      <c r="K94" s="327" t="str">
        <f>IF(PA!AB96="","",PA!AB96)</f>
        <v/>
      </c>
      <c r="L94" s="327" t="str">
        <f>IF(PA!AC96="","",PA!AC96)</f>
        <v/>
      </c>
      <c r="M94" s="328" t="str">
        <f>IF(PA!P96="","",PA!P96)</f>
        <v/>
      </c>
    </row>
    <row r="95" spans="1:13" ht="14.4" x14ac:dyDescent="0.3">
      <c r="A95" s="329">
        <f>Data!E92</f>
        <v>8</v>
      </c>
      <c r="B95" s="330" t="str">
        <f>IF(Data!F92="","",Data!F92)</f>
        <v>03530</v>
      </c>
      <c r="C95" s="330" t="str">
        <f>IF(Data!G92="","",Data!G92)</f>
        <v>0134812372</v>
      </c>
      <c r="D95" s="331" t="str">
        <f>IF(Data!H92="","",Data!H92)</f>
        <v>Alvian Rizki Auellio</v>
      </c>
      <c r="E95" s="330" t="str">
        <f>IF(Data!I92="","",Data!I92)</f>
        <v>Laki-laki</v>
      </c>
      <c r="F95" s="332" t="str">
        <f>IF(Data!J92="","",Data!J92)</f>
        <v>VIII-C</v>
      </c>
      <c r="G95" s="326" t="str">
        <f>IF(PA!G97="","",PA!G97)</f>
        <v/>
      </c>
      <c r="H95" s="327" t="str">
        <f>IF(PA!H97="","",PA!H97)</f>
        <v/>
      </c>
      <c r="I95" s="327" t="str">
        <f>IF(PA!I97="","",PA!I97)</f>
        <v/>
      </c>
      <c r="J95" s="327" t="str">
        <f>IF(PA!AA97="","",PA!AA97)</f>
        <v/>
      </c>
      <c r="K95" s="327" t="str">
        <f>IF(PA!AB97="","",PA!AB97)</f>
        <v/>
      </c>
      <c r="L95" s="327" t="str">
        <f>IF(PA!AC97="","",PA!AC97)</f>
        <v/>
      </c>
      <c r="M95" s="328" t="str">
        <f>IF(PA!P97="","",PA!P97)</f>
        <v/>
      </c>
    </row>
    <row r="96" spans="1:13" ht="14.4" x14ac:dyDescent="0.3">
      <c r="A96" s="329">
        <f>Data!E93</f>
        <v>9</v>
      </c>
      <c r="B96" s="330" t="str">
        <f>IF(Data!F93="","",Data!F93)</f>
        <v>03532</v>
      </c>
      <c r="C96" s="330" t="str">
        <f>IF(Data!G93="","",Data!G93)</f>
        <v>0121843545</v>
      </c>
      <c r="D96" s="331" t="str">
        <f>IF(Data!H93="","",Data!H93)</f>
        <v>Ananda Noval Dwi Syahputra</v>
      </c>
      <c r="E96" s="330" t="str">
        <f>IF(Data!I93="","",Data!I93)</f>
        <v>Laki-laki</v>
      </c>
      <c r="F96" s="332" t="str">
        <f>IF(Data!J93="","",Data!J93)</f>
        <v>VIII-C</v>
      </c>
      <c r="G96" s="326" t="str">
        <f>IF(PA!G98="","",PA!G98)</f>
        <v/>
      </c>
      <c r="H96" s="327" t="str">
        <f>IF(PA!H98="","",PA!H98)</f>
        <v/>
      </c>
      <c r="I96" s="327" t="str">
        <f>IF(PA!I98="","",PA!I98)</f>
        <v/>
      </c>
      <c r="J96" s="327" t="str">
        <f>IF(PA!AA98="","",PA!AA98)</f>
        <v/>
      </c>
      <c r="K96" s="327" t="str">
        <f>IF(PA!AB98="","",PA!AB98)</f>
        <v/>
      </c>
      <c r="L96" s="327" t="str">
        <f>IF(PA!AC98="","",PA!AC98)</f>
        <v/>
      </c>
      <c r="M96" s="328" t="str">
        <f>IF(PA!P98="","",PA!P98)</f>
        <v/>
      </c>
    </row>
    <row r="97" spans="1:13" ht="14.4" x14ac:dyDescent="0.3">
      <c r="A97" s="329">
        <f>Data!E94</f>
        <v>10</v>
      </c>
      <c r="B97" s="330" t="str">
        <f>IF(Data!F94="","",Data!F94)</f>
        <v>03540</v>
      </c>
      <c r="C97" s="330" t="str">
        <f>IF(Data!G94="","",Data!G94)</f>
        <v>0132113160</v>
      </c>
      <c r="D97" s="331" t="str">
        <f>IF(Data!H94="","",Data!H94)</f>
        <v>Dwi Bayu Rahardjo</v>
      </c>
      <c r="E97" s="330" t="str">
        <f>IF(Data!I94="","",Data!I94)</f>
        <v>Laki-laki</v>
      </c>
      <c r="F97" s="332" t="str">
        <f>IF(Data!J94="","",Data!J94)</f>
        <v>VIII-C</v>
      </c>
      <c r="G97" s="326" t="str">
        <f>IF(PA!G99="","",PA!G99)</f>
        <v/>
      </c>
      <c r="H97" s="327" t="str">
        <f>IF(PA!H99="","",PA!H99)</f>
        <v/>
      </c>
      <c r="I97" s="327" t="str">
        <f>IF(PA!I99="","",PA!I99)</f>
        <v/>
      </c>
      <c r="J97" s="327" t="str">
        <f>IF(PA!AA99="","",PA!AA99)</f>
        <v/>
      </c>
      <c r="K97" s="327" t="str">
        <f>IF(PA!AB99="","",PA!AB99)</f>
        <v/>
      </c>
      <c r="L97" s="327" t="str">
        <f>IF(PA!AC99="","",PA!AC99)</f>
        <v/>
      </c>
      <c r="M97" s="328" t="str">
        <f>IF(PA!P99="","",PA!P99)</f>
        <v/>
      </c>
    </row>
    <row r="98" spans="1:13" ht="14.4" x14ac:dyDescent="0.3">
      <c r="A98" s="329">
        <f>Data!E95</f>
        <v>11</v>
      </c>
      <c r="B98" s="330" t="str">
        <f>IF(Data!F95="","",Data!F95)</f>
        <v>03543</v>
      </c>
      <c r="C98" s="330" t="str">
        <f>IF(Data!G95="","",Data!G95)</f>
        <v>3129576146</v>
      </c>
      <c r="D98" s="331" t="str">
        <f>IF(Data!H95="","",Data!H95)</f>
        <v>Fajar Setyawan</v>
      </c>
      <c r="E98" s="330" t="str">
        <f>IF(Data!I95="","",Data!I95)</f>
        <v>Laki-laki</v>
      </c>
      <c r="F98" s="332" t="str">
        <f>IF(Data!J95="","",Data!J95)</f>
        <v>VIII-C</v>
      </c>
      <c r="G98" s="326" t="str">
        <f>IF(PA!G100="","",PA!G100)</f>
        <v/>
      </c>
      <c r="H98" s="327" t="str">
        <f>IF(PA!H100="","",PA!H100)</f>
        <v/>
      </c>
      <c r="I98" s="327" t="str">
        <f>IF(PA!I100="","",PA!I100)</f>
        <v/>
      </c>
      <c r="J98" s="327" t="str">
        <f>IF(PA!AA100="","",PA!AA100)</f>
        <v/>
      </c>
      <c r="K98" s="327" t="str">
        <f>IF(PA!AB100="","",PA!AB100)</f>
        <v/>
      </c>
      <c r="L98" s="327" t="str">
        <f>IF(PA!AC100="","",PA!AC100)</f>
        <v/>
      </c>
      <c r="M98" s="328" t="str">
        <f>IF(PA!P100="","",PA!P100)</f>
        <v/>
      </c>
    </row>
    <row r="99" spans="1:13" ht="14.4" x14ac:dyDescent="0.3">
      <c r="A99" s="329">
        <f>Data!E96</f>
        <v>12</v>
      </c>
      <c r="B99" s="330" t="str">
        <f>IF(Data!F96="","",Data!F96)</f>
        <v>03544</v>
      </c>
      <c r="C99" s="330">
        <f>IF(Data!G96="","",Data!G96)</f>
        <v>3129902660</v>
      </c>
      <c r="D99" s="331" t="str">
        <f>IF(Data!H96="","",Data!H96)</f>
        <v>Farizky Bagus Ady Pratama</v>
      </c>
      <c r="E99" s="330" t="str">
        <f>IF(Data!I96="","",Data!I96)</f>
        <v>Laki-laki</v>
      </c>
      <c r="F99" s="332" t="str">
        <f>IF(Data!J96="","",Data!J96)</f>
        <v>VIII-C</v>
      </c>
      <c r="G99" s="326" t="str">
        <f>IF(PA!G101="","",PA!G101)</f>
        <v/>
      </c>
      <c r="H99" s="327" t="str">
        <f>IF(PA!H101="","",PA!H101)</f>
        <v/>
      </c>
      <c r="I99" s="327" t="str">
        <f>IF(PA!I101="","",PA!I101)</f>
        <v/>
      </c>
      <c r="J99" s="327" t="str">
        <f>IF(PA!AA101="","",PA!AA101)</f>
        <v/>
      </c>
      <c r="K99" s="327" t="str">
        <f>IF(PA!AB101="","",PA!AB101)</f>
        <v/>
      </c>
      <c r="L99" s="327" t="str">
        <f>IF(PA!AC101="","",PA!AC101)</f>
        <v/>
      </c>
      <c r="M99" s="328" t="str">
        <f>IF(PA!P101="","",PA!P101)</f>
        <v/>
      </c>
    </row>
    <row r="100" spans="1:13" ht="14.4" x14ac:dyDescent="0.3">
      <c r="A100" s="329">
        <f>Data!E97</f>
        <v>13</v>
      </c>
      <c r="B100" s="330" t="str">
        <f>IF(Data!F97="","",Data!F97)</f>
        <v>03555</v>
      </c>
      <c r="C100" s="330" t="str">
        <f>IF(Data!G97="","",Data!G97)</f>
        <v>0127584007</v>
      </c>
      <c r="D100" s="331" t="str">
        <f>IF(Data!H97="","",Data!H97)</f>
        <v>M. Fito Wahyu Julianto</v>
      </c>
      <c r="E100" s="330" t="str">
        <f>IF(Data!I97="","",Data!I97)</f>
        <v>Laki-laki</v>
      </c>
      <c r="F100" s="332" t="str">
        <f>IF(Data!J97="","",Data!J97)</f>
        <v>VIII-C</v>
      </c>
      <c r="G100" s="326" t="str">
        <f>IF(PA!G102="","",PA!G102)</f>
        <v/>
      </c>
      <c r="H100" s="327" t="str">
        <f>IF(PA!H102="","",PA!H102)</f>
        <v/>
      </c>
      <c r="I100" s="327" t="str">
        <f>IF(PA!I102="","",PA!I102)</f>
        <v/>
      </c>
      <c r="J100" s="327" t="str">
        <f>IF(PA!AA102="","",PA!AA102)</f>
        <v/>
      </c>
      <c r="K100" s="327" t="str">
        <f>IF(PA!AB102="","",PA!AB102)</f>
        <v/>
      </c>
      <c r="L100" s="327" t="str">
        <f>IF(PA!AC102="","",PA!AC102)</f>
        <v/>
      </c>
      <c r="M100" s="328" t="str">
        <f>IF(PA!P102="","",PA!P102)</f>
        <v/>
      </c>
    </row>
    <row r="101" spans="1:13" ht="14.4" x14ac:dyDescent="0.3">
      <c r="A101" s="329">
        <f>Data!E98</f>
        <v>14</v>
      </c>
      <c r="B101" s="330" t="str">
        <f>IF(Data!F98="","",Data!F98)</f>
        <v>03557</v>
      </c>
      <c r="C101" s="330">
        <f>IF(Data!G98="","",Data!G98)</f>
        <v>3126381310</v>
      </c>
      <c r="D101" s="331" t="str">
        <f>IF(Data!H98="","",Data!H98)</f>
        <v>M. Zafiir Faza Ihsan</v>
      </c>
      <c r="E101" s="330" t="str">
        <f>IF(Data!I98="","",Data!I98)</f>
        <v>Laki-laki</v>
      </c>
      <c r="F101" s="332" t="str">
        <f>IF(Data!J98="","",Data!J98)</f>
        <v>VIII-C</v>
      </c>
      <c r="G101" s="326" t="str">
        <f>IF(PA!G103="","",PA!G103)</f>
        <v/>
      </c>
      <c r="H101" s="327" t="str">
        <f>IF(PA!H103="","",PA!H103)</f>
        <v/>
      </c>
      <c r="I101" s="327" t="str">
        <f>IF(PA!I103="","",PA!I103)</f>
        <v/>
      </c>
      <c r="J101" s="327" t="str">
        <f>IF(PA!AA103="","",PA!AA103)</f>
        <v/>
      </c>
      <c r="K101" s="327" t="str">
        <f>IF(PA!AB103="","",PA!AB103)</f>
        <v/>
      </c>
      <c r="L101" s="327" t="str">
        <f>IF(PA!AC103="","",PA!AC103)</f>
        <v/>
      </c>
      <c r="M101" s="328" t="str">
        <f>IF(PA!P103="","",PA!P103)</f>
        <v/>
      </c>
    </row>
    <row r="102" spans="1:13" ht="14.4" x14ac:dyDescent="0.3">
      <c r="A102" s="329">
        <f>Data!E99</f>
        <v>15</v>
      </c>
      <c r="B102" s="330" t="str">
        <f>IF(Data!F99="","",Data!F99)</f>
        <v>03560</v>
      </c>
      <c r="C102" s="330">
        <f>IF(Data!G99="","",Data!G99)</f>
        <v>3132263011</v>
      </c>
      <c r="D102" s="331" t="str">
        <f>IF(Data!H99="","",Data!H99)</f>
        <v>Moh. Luthfi Riza Pratama</v>
      </c>
      <c r="E102" s="330" t="str">
        <f>IF(Data!I99="","",Data!I99)</f>
        <v>Laki-laki</v>
      </c>
      <c r="F102" s="332" t="str">
        <f>IF(Data!J99="","",Data!J99)</f>
        <v>VIII-C</v>
      </c>
      <c r="G102" s="326" t="str">
        <f>IF(PA!G104="","",PA!G104)</f>
        <v/>
      </c>
      <c r="H102" s="327" t="str">
        <f>IF(PA!H104="","",PA!H104)</f>
        <v/>
      </c>
      <c r="I102" s="327" t="str">
        <f>IF(PA!I104="","",PA!I104)</f>
        <v/>
      </c>
      <c r="J102" s="327" t="str">
        <f>IF(PA!AA104="","",PA!AA104)</f>
        <v/>
      </c>
      <c r="K102" s="327" t="str">
        <f>IF(PA!AB104="","",PA!AB104)</f>
        <v/>
      </c>
      <c r="L102" s="327" t="str">
        <f>IF(PA!AC104="","",PA!AC104)</f>
        <v/>
      </c>
      <c r="M102" s="328" t="str">
        <f>IF(PA!P104="","",PA!P104)</f>
        <v/>
      </c>
    </row>
    <row r="103" spans="1:13" ht="14.4" x14ac:dyDescent="0.3">
      <c r="A103" s="329">
        <f>Data!E100</f>
        <v>16</v>
      </c>
      <c r="B103" s="330" t="str">
        <f>IF(Data!F100="","",Data!F100)</f>
        <v>03563</v>
      </c>
      <c r="C103" s="330" t="str">
        <f>IF(Data!G100="","",Data!G100)</f>
        <v>0125331025</v>
      </c>
      <c r="D103" s="331" t="str">
        <f>IF(Data!H100="","",Data!H100)</f>
        <v>Mohammad Agus Rouf</v>
      </c>
      <c r="E103" s="330" t="str">
        <f>IF(Data!I100="","",Data!I100)</f>
        <v>Laki-laki</v>
      </c>
      <c r="F103" s="332" t="str">
        <f>IF(Data!J100="","",Data!J100)</f>
        <v>VIII-C</v>
      </c>
      <c r="G103" s="326" t="str">
        <f>IF(PA!G105="","",PA!G105)</f>
        <v/>
      </c>
      <c r="H103" s="327" t="str">
        <f>IF(PA!H105="","",PA!H105)</f>
        <v/>
      </c>
      <c r="I103" s="327" t="str">
        <f>IF(PA!I105="","",PA!I105)</f>
        <v/>
      </c>
      <c r="J103" s="327" t="str">
        <f>IF(PA!AA105="","",PA!AA105)</f>
        <v/>
      </c>
      <c r="K103" s="327" t="str">
        <f>IF(PA!AB105="","",PA!AB105)</f>
        <v/>
      </c>
      <c r="L103" s="327" t="str">
        <f>IF(PA!AC105="","",PA!AC105)</f>
        <v/>
      </c>
      <c r="M103" s="328" t="str">
        <f>IF(PA!P105="","",PA!P105)</f>
        <v/>
      </c>
    </row>
    <row r="104" spans="1:13" ht="14.4" x14ac:dyDescent="0.3">
      <c r="A104" s="329">
        <f>Data!E101</f>
        <v>17</v>
      </c>
      <c r="B104" s="330" t="str">
        <f>IF(Data!F101="","",Data!F101)</f>
        <v>03566</v>
      </c>
      <c r="C104" s="330">
        <f>IF(Data!G101="","",Data!G101)</f>
        <v>3139038935</v>
      </c>
      <c r="D104" s="331" t="str">
        <f>IF(Data!H101="","",Data!H101)</f>
        <v>Mohammad Iqbal Nurfahmi</v>
      </c>
      <c r="E104" s="330" t="str">
        <f>IF(Data!I101="","",Data!I101)</f>
        <v>Laki-laki</v>
      </c>
      <c r="F104" s="332" t="str">
        <f>IF(Data!J101="","",Data!J101)</f>
        <v>VIII-C</v>
      </c>
      <c r="G104" s="326" t="str">
        <f>IF(PA!G106="","",PA!G106)</f>
        <v/>
      </c>
      <c r="H104" s="327" t="str">
        <f>IF(PA!H106="","",PA!H106)</f>
        <v/>
      </c>
      <c r="I104" s="327" t="str">
        <f>IF(PA!I106="","",PA!I106)</f>
        <v/>
      </c>
      <c r="J104" s="327" t="str">
        <f>IF(PA!AA106="","",PA!AA106)</f>
        <v/>
      </c>
      <c r="K104" s="327" t="str">
        <f>IF(PA!AB106="","",PA!AB106)</f>
        <v/>
      </c>
      <c r="L104" s="327" t="str">
        <f>IF(PA!AC106="","",PA!AC106)</f>
        <v/>
      </c>
      <c r="M104" s="328" t="str">
        <f>IF(PA!P106="","",PA!P106)</f>
        <v/>
      </c>
    </row>
    <row r="105" spans="1:13" ht="14.4" x14ac:dyDescent="0.3">
      <c r="A105" s="329">
        <f>Data!E102</f>
        <v>18</v>
      </c>
      <c r="B105" s="330" t="str">
        <f>IF(Data!F102="","",Data!F102)</f>
        <v>03567</v>
      </c>
      <c r="C105" s="330" t="str">
        <f>IF(Data!G102="","",Data!G102)</f>
        <v>0123568928</v>
      </c>
      <c r="D105" s="331" t="str">
        <f>IF(Data!H102="","",Data!H102)</f>
        <v>Mohammad Nuril Ilmi Al Hasan</v>
      </c>
      <c r="E105" s="330" t="str">
        <f>IF(Data!I102="","",Data!I102)</f>
        <v>Laki-laki</v>
      </c>
      <c r="F105" s="332" t="str">
        <f>IF(Data!J102="","",Data!J102)</f>
        <v>VIII-C</v>
      </c>
      <c r="G105" s="326" t="str">
        <f>IF(PA!G107="","",PA!G107)</f>
        <v/>
      </c>
      <c r="H105" s="327" t="str">
        <f>IF(PA!H107="","",PA!H107)</f>
        <v/>
      </c>
      <c r="I105" s="327" t="str">
        <f>IF(PA!I107="","",PA!I107)</f>
        <v/>
      </c>
      <c r="J105" s="327" t="str">
        <f>IF(PA!AA107="","",PA!AA107)</f>
        <v/>
      </c>
      <c r="K105" s="327" t="str">
        <f>IF(PA!AB107="","",PA!AB107)</f>
        <v/>
      </c>
      <c r="L105" s="327" t="str">
        <f>IF(PA!AC107="","",PA!AC107)</f>
        <v/>
      </c>
      <c r="M105" s="328" t="str">
        <f>IF(PA!P107="","",PA!P107)</f>
        <v/>
      </c>
    </row>
    <row r="106" spans="1:13" ht="14.4" x14ac:dyDescent="0.3">
      <c r="A106" s="329">
        <f>Data!E103</f>
        <v>19</v>
      </c>
      <c r="B106" s="330" t="str">
        <f>IF(Data!F103="","",Data!F103)</f>
        <v>03569</v>
      </c>
      <c r="C106" s="330" t="str">
        <f>IF(Data!G103="","",Data!G103)</f>
        <v>0124333367</v>
      </c>
      <c r="D106" s="331" t="str">
        <f>IF(Data!H103="","",Data!H103)</f>
        <v>Muhamad Saylendra Firguna</v>
      </c>
      <c r="E106" s="330" t="str">
        <f>IF(Data!I103="","",Data!I103)</f>
        <v>Laki-laki</v>
      </c>
      <c r="F106" s="332" t="str">
        <f>IF(Data!J103="","",Data!J103)</f>
        <v>VIII-C</v>
      </c>
      <c r="G106" s="326" t="str">
        <f>IF(PA!G108="","",PA!G108)</f>
        <v/>
      </c>
      <c r="H106" s="327" t="str">
        <f>IF(PA!H108="","",PA!H108)</f>
        <v/>
      </c>
      <c r="I106" s="327" t="str">
        <f>IF(PA!I108="","",PA!I108)</f>
        <v/>
      </c>
      <c r="J106" s="327" t="str">
        <f>IF(PA!AA108="","",PA!AA108)</f>
        <v/>
      </c>
      <c r="K106" s="327" t="str">
        <f>IF(PA!AB108="","",PA!AB108)</f>
        <v/>
      </c>
      <c r="L106" s="327" t="str">
        <f>IF(PA!AC108="","",PA!AC108)</f>
        <v/>
      </c>
      <c r="M106" s="328" t="str">
        <f>IF(PA!P108="","",PA!P108)</f>
        <v/>
      </c>
    </row>
    <row r="107" spans="1:13" ht="14.4" x14ac:dyDescent="0.3">
      <c r="A107" s="329">
        <f>Data!E104</f>
        <v>20</v>
      </c>
      <c r="B107" s="330" t="str">
        <f>IF(Data!F104="","",Data!F104)</f>
        <v>03571</v>
      </c>
      <c r="C107" s="330">
        <f>IF(Data!G104="","",Data!G104)</f>
        <v>3124887428</v>
      </c>
      <c r="D107" s="331" t="str">
        <f>IF(Data!H104="","",Data!H104)</f>
        <v>Muhammad Ahla Adibul Ihsan</v>
      </c>
      <c r="E107" s="330" t="str">
        <f>IF(Data!I104="","",Data!I104)</f>
        <v>Laki-laki</v>
      </c>
      <c r="F107" s="332" t="str">
        <f>IF(Data!J104="","",Data!J104)</f>
        <v>VIII-C</v>
      </c>
      <c r="G107" s="326" t="str">
        <f>IF(PA!G109="","",PA!G109)</f>
        <v/>
      </c>
      <c r="H107" s="327" t="str">
        <f>IF(PA!H109="","",PA!H109)</f>
        <v/>
      </c>
      <c r="I107" s="327" t="str">
        <f>IF(PA!I109="","",PA!I109)</f>
        <v/>
      </c>
      <c r="J107" s="327" t="str">
        <f>IF(PA!AA109="","",PA!AA109)</f>
        <v/>
      </c>
      <c r="K107" s="327" t="str">
        <f>IF(PA!AB109="","",PA!AB109)</f>
        <v/>
      </c>
      <c r="L107" s="327" t="str">
        <f>IF(PA!AC109="","",PA!AC109)</f>
        <v/>
      </c>
      <c r="M107" s="328" t="str">
        <f>IF(PA!P109="","",PA!P109)</f>
        <v/>
      </c>
    </row>
    <row r="108" spans="1:13" ht="14.4" x14ac:dyDescent="0.3">
      <c r="A108" s="329">
        <f>Data!E105</f>
        <v>21</v>
      </c>
      <c r="B108" s="330" t="str">
        <f>IF(Data!F105="","",Data!F105)</f>
        <v>03585</v>
      </c>
      <c r="C108" s="330">
        <f>IF(Data!G105="","",Data!G105)</f>
        <v>3125253750</v>
      </c>
      <c r="D108" s="331" t="str">
        <f>IF(Data!H105="","",Data!H105)</f>
        <v>Muhammad Iqbal Choir</v>
      </c>
      <c r="E108" s="330" t="str">
        <f>IF(Data!I105="","",Data!I105)</f>
        <v>Laki-laki</v>
      </c>
      <c r="F108" s="332" t="str">
        <f>IF(Data!J105="","",Data!J105)</f>
        <v>VIII-C</v>
      </c>
      <c r="G108" s="326" t="str">
        <f>IF(PA!G110="","",PA!G110)</f>
        <v/>
      </c>
      <c r="H108" s="327" t="str">
        <f>IF(PA!H110="","",PA!H110)</f>
        <v/>
      </c>
      <c r="I108" s="327" t="str">
        <f>IF(PA!I110="","",PA!I110)</f>
        <v/>
      </c>
      <c r="J108" s="327" t="str">
        <f>IF(PA!AA110="","",PA!AA110)</f>
        <v/>
      </c>
      <c r="K108" s="327" t="str">
        <f>IF(PA!AB110="","",PA!AB110)</f>
        <v/>
      </c>
      <c r="L108" s="327" t="str">
        <f>IF(PA!AC110="","",PA!AC110)</f>
        <v/>
      </c>
      <c r="M108" s="328" t="str">
        <f>IF(PA!P110="","",PA!P110)</f>
        <v/>
      </c>
    </row>
    <row r="109" spans="1:13" ht="14.4" x14ac:dyDescent="0.3">
      <c r="A109" s="329">
        <f>Data!E106</f>
        <v>22</v>
      </c>
      <c r="B109" s="330" t="str">
        <f>IF(Data!F106="","",Data!F106)</f>
        <v>03589</v>
      </c>
      <c r="C109" s="330" t="str">
        <f>IF(Data!G106="","",Data!G106)</f>
        <v>3129264374</v>
      </c>
      <c r="D109" s="331" t="str">
        <f>IF(Data!H106="","",Data!H106)</f>
        <v>Muhammad Kafi Azzamy</v>
      </c>
      <c r="E109" s="330" t="str">
        <f>IF(Data!I106="","",Data!I106)</f>
        <v>Laki-laki</v>
      </c>
      <c r="F109" s="332" t="str">
        <f>IF(Data!J106="","",Data!J106)</f>
        <v>VIII-C</v>
      </c>
      <c r="G109" s="326" t="str">
        <f>IF(PA!G111="","",PA!G111)</f>
        <v/>
      </c>
      <c r="H109" s="327" t="str">
        <f>IF(PA!H111="","",PA!H111)</f>
        <v/>
      </c>
      <c r="I109" s="327" t="str">
        <f>IF(PA!I111="","",PA!I111)</f>
        <v/>
      </c>
      <c r="J109" s="327" t="str">
        <f>IF(PA!AA111="","",PA!AA111)</f>
        <v/>
      </c>
      <c r="K109" s="327" t="str">
        <f>IF(PA!AB111="","",PA!AB111)</f>
        <v/>
      </c>
      <c r="L109" s="327" t="str">
        <f>IF(PA!AC111="","",PA!AC111)</f>
        <v/>
      </c>
      <c r="M109" s="328" t="str">
        <f>IF(PA!P111="","",PA!P111)</f>
        <v/>
      </c>
    </row>
    <row r="110" spans="1:13" ht="14.4" x14ac:dyDescent="0.3">
      <c r="A110" s="329">
        <f>Data!E107</f>
        <v>23</v>
      </c>
      <c r="B110" s="330" t="str">
        <f>IF(Data!F107="","",Data!F107)</f>
        <v>03595</v>
      </c>
      <c r="C110" s="330" t="str">
        <f>IF(Data!G107="","",Data!G107)</f>
        <v>3122582805</v>
      </c>
      <c r="D110" s="331" t="str">
        <f>IF(Data!H107="","",Data!H107)</f>
        <v>Muhammad Nizam Irwanto</v>
      </c>
      <c r="E110" s="330" t="str">
        <f>IF(Data!I107="","",Data!I107)</f>
        <v>Laki-laki</v>
      </c>
      <c r="F110" s="332" t="str">
        <f>IF(Data!J107="","",Data!J107)</f>
        <v>VIII-C</v>
      </c>
      <c r="G110" s="326" t="str">
        <f>IF(PA!G112="","",PA!G112)</f>
        <v/>
      </c>
      <c r="H110" s="327" t="str">
        <f>IF(PA!H112="","",PA!H112)</f>
        <v/>
      </c>
      <c r="I110" s="327" t="str">
        <f>IF(PA!I112="","",PA!I112)</f>
        <v/>
      </c>
      <c r="J110" s="327" t="str">
        <f>IF(PA!AA112="","",PA!AA112)</f>
        <v/>
      </c>
      <c r="K110" s="327" t="str">
        <f>IF(PA!AB112="","",PA!AB112)</f>
        <v/>
      </c>
      <c r="L110" s="327" t="str">
        <f>IF(PA!AC112="","",PA!AC112)</f>
        <v/>
      </c>
      <c r="M110" s="328" t="str">
        <f>IF(PA!P112="","",PA!P112)</f>
        <v/>
      </c>
    </row>
    <row r="111" spans="1:13" ht="14.4" x14ac:dyDescent="0.3">
      <c r="A111" s="329">
        <f>Data!E108</f>
        <v>24</v>
      </c>
      <c r="B111" s="330" t="str">
        <f>IF(Data!F108="","",Data!F108)</f>
        <v>03596</v>
      </c>
      <c r="C111" s="330" t="str">
        <f>IF(Data!G108="","",Data!G108)</f>
        <v>0128664935</v>
      </c>
      <c r="D111" s="331" t="str">
        <f>IF(Data!H108="","",Data!H108)</f>
        <v>Muhammad Nur Fadhil</v>
      </c>
      <c r="E111" s="330" t="str">
        <f>IF(Data!I108="","",Data!I108)</f>
        <v>Laki-laki</v>
      </c>
      <c r="F111" s="332" t="str">
        <f>IF(Data!J108="","",Data!J108)</f>
        <v>VIII-C</v>
      </c>
      <c r="G111" s="326" t="str">
        <f>IF(PA!G113="","",PA!G113)</f>
        <v/>
      </c>
      <c r="H111" s="327" t="str">
        <f>IF(PA!H113="","",PA!H113)</f>
        <v/>
      </c>
      <c r="I111" s="327" t="str">
        <f>IF(PA!I113="","",PA!I113)</f>
        <v/>
      </c>
      <c r="J111" s="327" t="str">
        <f>IF(PA!AA113="","",PA!AA113)</f>
        <v/>
      </c>
      <c r="K111" s="327" t="str">
        <f>IF(PA!AB113="","",PA!AB113)</f>
        <v/>
      </c>
      <c r="L111" s="327" t="str">
        <f>IF(PA!AC113="","",PA!AC113)</f>
        <v/>
      </c>
      <c r="M111" s="328" t="str">
        <f>IF(PA!P113="","",PA!P113)</f>
        <v/>
      </c>
    </row>
    <row r="112" spans="1:13" ht="14.4" x14ac:dyDescent="0.3">
      <c r="A112" s="329">
        <f>Data!E109</f>
        <v>25</v>
      </c>
      <c r="B112" s="330" t="str">
        <f>IF(Data!F109="","",Data!F109)</f>
        <v>03597</v>
      </c>
      <c r="C112" s="330" t="str">
        <f>IF(Data!G109="","",Data!G109)</f>
        <v>0127661914</v>
      </c>
      <c r="D112" s="331" t="str">
        <f>IF(Data!H109="","",Data!H109)</f>
        <v>Muhammad Nur Huda</v>
      </c>
      <c r="E112" s="330" t="str">
        <f>IF(Data!I109="","",Data!I109)</f>
        <v>Laki-laki</v>
      </c>
      <c r="F112" s="332" t="str">
        <f>IF(Data!J109="","",Data!J109)</f>
        <v>VIII-C</v>
      </c>
      <c r="G112" s="326" t="str">
        <f>IF(PA!G114="","",PA!G114)</f>
        <v/>
      </c>
      <c r="H112" s="327" t="str">
        <f>IF(PA!H114="","",PA!H114)</f>
        <v/>
      </c>
      <c r="I112" s="327" t="str">
        <f>IF(PA!I114="","",PA!I114)</f>
        <v/>
      </c>
      <c r="J112" s="327" t="str">
        <f>IF(PA!AA114="","",PA!AA114)</f>
        <v/>
      </c>
      <c r="K112" s="327" t="str">
        <f>IF(PA!AB114="","",PA!AB114)</f>
        <v/>
      </c>
      <c r="L112" s="327" t="str">
        <f>IF(PA!AC114="","",PA!AC114)</f>
        <v/>
      </c>
      <c r="M112" s="328" t="str">
        <f>IF(PA!P114="","",PA!P114)</f>
        <v/>
      </c>
    </row>
    <row r="113" spans="1:13" ht="14.4" x14ac:dyDescent="0.3">
      <c r="A113" s="329">
        <f>Data!E110</f>
        <v>26</v>
      </c>
      <c r="B113" s="330" t="str">
        <f>IF(Data!F110="","",Data!F110)</f>
        <v>03598</v>
      </c>
      <c r="C113" s="330" t="str">
        <f>IF(Data!G110="","",Data!G110)</f>
        <v>0124034354</v>
      </c>
      <c r="D113" s="331" t="str">
        <f>IF(Data!H110="","",Data!H110)</f>
        <v>Muhammad Nuril Zulfiansyah</v>
      </c>
      <c r="E113" s="330" t="str">
        <f>IF(Data!I110="","",Data!I110)</f>
        <v>Laki-laki</v>
      </c>
      <c r="F113" s="332" t="str">
        <f>IF(Data!J110="","",Data!J110)</f>
        <v>VIII-C</v>
      </c>
      <c r="G113" s="326" t="str">
        <f>IF(PA!G115="","",PA!G115)</f>
        <v/>
      </c>
      <c r="H113" s="327" t="str">
        <f>IF(PA!H115="","",PA!H115)</f>
        <v/>
      </c>
      <c r="I113" s="327" t="str">
        <f>IF(PA!I115="","",PA!I115)</f>
        <v/>
      </c>
      <c r="J113" s="327" t="str">
        <f>IF(PA!AA115="","",PA!AA115)</f>
        <v/>
      </c>
      <c r="K113" s="327" t="str">
        <f>IF(PA!AB115="","",PA!AB115)</f>
        <v/>
      </c>
      <c r="L113" s="327" t="str">
        <f>IF(PA!AC115="","",PA!AC115)</f>
        <v/>
      </c>
      <c r="M113" s="328" t="str">
        <f>IF(PA!P115="","",PA!P115)</f>
        <v/>
      </c>
    </row>
    <row r="114" spans="1:13" ht="14.4" x14ac:dyDescent="0.3">
      <c r="A114" s="329">
        <f>Data!E111</f>
        <v>27</v>
      </c>
      <c r="B114" s="330" t="str">
        <f>IF(Data!F111="","",Data!F111)</f>
        <v>03603</v>
      </c>
      <c r="C114" s="330" t="str">
        <f>IF(Data!G111="","",Data!G111)</f>
        <v>0135963481</v>
      </c>
      <c r="D114" s="331" t="str">
        <f>IF(Data!H111="","",Data!H111)</f>
        <v>Nafil Wildan Aqil Abqory</v>
      </c>
      <c r="E114" s="330" t="str">
        <f>IF(Data!I111="","",Data!I111)</f>
        <v>Laki-laki</v>
      </c>
      <c r="F114" s="332" t="str">
        <f>IF(Data!J111="","",Data!J111)</f>
        <v>VIII-C</v>
      </c>
      <c r="G114" s="326" t="str">
        <f>IF(PA!G116="","",PA!G116)</f>
        <v/>
      </c>
      <c r="H114" s="327" t="str">
        <f>IF(PA!H116="","",PA!H116)</f>
        <v/>
      </c>
      <c r="I114" s="327" t="str">
        <f>IF(PA!I116="","",PA!I116)</f>
        <v/>
      </c>
      <c r="J114" s="327" t="str">
        <f>IF(PA!AA116="","",PA!AA116)</f>
        <v/>
      </c>
      <c r="K114" s="327" t="str">
        <f>IF(PA!AB116="","",PA!AB116)</f>
        <v/>
      </c>
      <c r="L114" s="327" t="str">
        <f>IF(PA!AC116="","",PA!AC116)</f>
        <v/>
      </c>
      <c r="M114" s="328" t="str">
        <f>IF(PA!P116="","",PA!P116)</f>
        <v/>
      </c>
    </row>
    <row r="115" spans="1:13" ht="14.4" x14ac:dyDescent="0.3">
      <c r="A115" s="329">
        <f>Data!E112</f>
        <v>28</v>
      </c>
      <c r="B115" s="330" t="str">
        <f>IF(Data!F112="","",Data!F112)</f>
        <v>03605</v>
      </c>
      <c r="C115" s="330">
        <f>IF(Data!G112="","",Data!G112)</f>
        <v>3125832429</v>
      </c>
      <c r="D115" s="331" t="str">
        <f>IF(Data!H112="","",Data!H112)</f>
        <v>Nizam Zulfikar Oktafian Yudhiyanto</v>
      </c>
      <c r="E115" s="330" t="str">
        <f>IF(Data!I112="","",Data!I112)</f>
        <v>Laki-laki</v>
      </c>
      <c r="F115" s="332" t="str">
        <f>IF(Data!J112="","",Data!J112)</f>
        <v>VIII-C</v>
      </c>
      <c r="G115" s="326" t="str">
        <f>IF(PA!G117="","",PA!G117)</f>
        <v/>
      </c>
      <c r="H115" s="327" t="str">
        <f>IF(PA!H117="","",PA!H117)</f>
        <v/>
      </c>
      <c r="I115" s="327" t="str">
        <f>IF(PA!I117="","",PA!I117)</f>
        <v/>
      </c>
      <c r="J115" s="327" t="str">
        <f>IF(PA!AA117="","",PA!AA117)</f>
        <v/>
      </c>
      <c r="K115" s="327" t="str">
        <f>IF(PA!AB117="","",PA!AB117)</f>
        <v/>
      </c>
      <c r="L115" s="327" t="str">
        <f>IF(PA!AC117="","",PA!AC117)</f>
        <v/>
      </c>
      <c r="M115" s="328" t="str">
        <f>IF(PA!P117="","",PA!P117)</f>
        <v/>
      </c>
    </row>
    <row r="116" spans="1:13" ht="14.4" x14ac:dyDescent="0.3">
      <c r="A116" s="329">
        <f>Data!E113</f>
        <v>29</v>
      </c>
      <c r="B116" s="330" t="str">
        <f>IF(Data!F113="","",Data!F113)</f>
        <v>03608</v>
      </c>
      <c r="C116" s="330" t="str">
        <f>IF(Data!G113="","",Data!G113)</f>
        <v>0128705148</v>
      </c>
      <c r="D116" s="331" t="str">
        <f>IF(Data!H113="","",Data!H113)</f>
        <v>Rafa Saputra</v>
      </c>
      <c r="E116" s="330" t="str">
        <f>IF(Data!I113="","",Data!I113)</f>
        <v>Laki-laki</v>
      </c>
      <c r="F116" s="332" t="str">
        <f>IF(Data!J113="","",Data!J113)</f>
        <v>VIII-C</v>
      </c>
      <c r="G116" s="326" t="str">
        <f>IF(PA!G118="","",PA!G118)</f>
        <v/>
      </c>
      <c r="H116" s="327" t="str">
        <f>IF(PA!H118="","",PA!H118)</f>
        <v/>
      </c>
      <c r="I116" s="327" t="str">
        <f>IF(PA!I118="","",PA!I118)</f>
        <v/>
      </c>
      <c r="J116" s="327" t="str">
        <f>IF(PA!AA118="","",PA!AA118)</f>
        <v/>
      </c>
      <c r="K116" s="327" t="str">
        <f>IF(PA!AB118="","",PA!AB118)</f>
        <v/>
      </c>
      <c r="L116" s="327" t="str">
        <f>IF(PA!AC118="","",PA!AC118)</f>
        <v/>
      </c>
      <c r="M116" s="328" t="str">
        <f>IF(PA!P118="","",PA!P118)</f>
        <v/>
      </c>
    </row>
    <row r="117" spans="1:13" ht="14.4" x14ac:dyDescent="0.3">
      <c r="A117" s="329">
        <f>Data!E114</f>
        <v>30</v>
      </c>
      <c r="B117" s="330" t="str">
        <f>IF(Data!F114="","",Data!F114)</f>
        <v>03610</v>
      </c>
      <c r="C117" s="330">
        <f>IF(Data!G114="","",Data!G114)</f>
        <v>3135367534</v>
      </c>
      <c r="D117" s="331" t="str">
        <f>IF(Data!H114="","",Data!H114)</f>
        <v>Raffael Bintang Rohman</v>
      </c>
      <c r="E117" s="330" t="str">
        <f>IF(Data!I114="","",Data!I114)</f>
        <v>Laki-laki</v>
      </c>
      <c r="F117" s="332" t="str">
        <f>IF(Data!J114="","",Data!J114)</f>
        <v>VIII-C</v>
      </c>
      <c r="G117" s="326" t="str">
        <f>IF(PA!G119="","",PA!G119)</f>
        <v/>
      </c>
      <c r="H117" s="327" t="str">
        <f>IF(PA!H119="","",PA!H119)</f>
        <v/>
      </c>
      <c r="I117" s="327" t="str">
        <f>IF(PA!I119="","",PA!I119)</f>
        <v/>
      </c>
      <c r="J117" s="327" t="str">
        <f>IF(PA!AA119="","",PA!AA119)</f>
        <v/>
      </c>
      <c r="K117" s="327" t="str">
        <f>IF(PA!AB119="","",PA!AB119)</f>
        <v/>
      </c>
      <c r="L117" s="327" t="str">
        <f>IF(PA!AC119="","",PA!AC119)</f>
        <v/>
      </c>
      <c r="M117" s="328" t="str">
        <f>IF(PA!P119="","",PA!P119)</f>
        <v/>
      </c>
    </row>
    <row r="118" spans="1:13" ht="14.4" x14ac:dyDescent="0.3">
      <c r="A118" s="329">
        <f>Data!E115</f>
        <v>31</v>
      </c>
      <c r="B118" s="330" t="str">
        <f>IF(Data!F115="","",Data!F115)</f>
        <v>03612</v>
      </c>
      <c r="C118" s="330" t="str">
        <f>IF(Data!G115="","",Data!G115)</f>
        <v>0128204583</v>
      </c>
      <c r="D118" s="331" t="str">
        <f>IF(Data!H115="","",Data!H115)</f>
        <v>Raihan Khoirul Jamal</v>
      </c>
      <c r="E118" s="330" t="str">
        <f>IF(Data!I115="","",Data!I115)</f>
        <v>Laki-laki</v>
      </c>
      <c r="F118" s="332" t="str">
        <f>IF(Data!J115="","",Data!J115)</f>
        <v>VIII-C</v>
      </c>
      <c r="G118" s="326" t="str">
        <f>IF(PA!G120="","",PA!G120)</f>
        <v/>
      </c>
      <c r="H118" s="327" t="str">
        <f>IF(PA!H120="","",PA!H120)</f>
        <v/>
      </c>
      <c r="I118" s="327" t="str">
        <f>IF(PA!I120="","",PA!I120)</f>
        <v/>
      </c>
      <c r="J118" s="327" t="str">
        <f>IF(PA!AA120="","",PA!AA120)</f>
        <v/>
      </c>
      <c r="K118" s="327" t="str">
        <f>IF(PA!AB120="","",PA!AB120)</f>
        <v/>
      </c>
      <c r="L118" s="327" t="str">
        <f>IF(PA!AC120="","",PA!AC120)</f>
        <v/>
      </c>
      <c r="M118" s="328" t="str">
        <f>IF(PA!P120="","",PA!P120)</f>
        <v/>
      </c>
    </row>
    <row r="119" spans="1:13" ht="14.4" x14ac:dyDescent="0.3">
      <c r="A119" s="329">
        <f>Data!E116</f>
        <v>32</v>
      </c>
      <c r="B119" s="330" t="str">
        <f>IF(Data!F116="","",Data!F116)</f>
        <v>03619</v>
      </c>
      <c r="C119" s="330" t="str">
        <f>IF(Data!G116="","",Data!G116)</f>
        <v>0131287209</v>
      </c>
      <c r="D119" s="331" t="str">
        <f>IF(Data!H116="","",Data!H116)</f>
        <v>Tomy Ardiansyah</v>
      </c>
      <c r="E119" s="330" t="str">
        <f>IF(Data!I116="","",Data!I116)</f>
        <v>Laki-laki</v>
      </c>
      <c r="F119" s="332" t="str">
        <f>IF(Data!J116="","",Data!J116)</f>
        <v>VIII-C</v>
      </c>
      <c r="G119" s="326" t="str">
        <f>IF(PA!G121="","",PA!G121)</f>
        <v/>
      </c>
      <c r="H119" s="327" t="str">
        <f>IF(PA!H121="","",PA!H121)</f>
        <v/>
      </c>
      <c r="I119" s="327" t="str">
        <f>IF(PA!I121="","",PA!I121)</f>
        <v/>
      </c>
      <c r="J119" s="327" t="str">
        <f>IF(PA!AA121="","",PA!AA121)</f>
        <v/>
      </c>
      <c r="K119" s="327" t="str">
        <f>IF(PA!AB121="","",PA!AB121)</f>
        <v/>
      </c>
      <c r="L119" s="327" t="str">
        <f>IF(PA!AC121="","",PA!AC121)</f>
        <v/>
      </c>
      <c r="M119" s="328" t="str">
        <f>IF(PA!P121="","",PA!P121)</f>
        <v/>
      </c>
    </row>
    <row r="120" spans="1:13" ht="14.4" x14ac:dyDescent="0.3">
      <c r="A120" s="329">
        <f>Data!E117</f>
        <v>33</v>
      </c>
      <c r="B120" s="330" t="str">
        <f>IF(Data!F117="","",Data!F117)</f>
        <v>03754</v>
      </c>
      <c r="C120" s="330" t="str">
        <f>IF(Data!G117="","",Data!G117)</f>
        <v>3126838216</v>
      </c>
      <c r="D120" s="331" t="str">
        <f>IF(Data!H117="","",Data!H117)</f>
        <v>Muhammad Kavin</v>
      </c>
      <c r="E120" s="330" t="str">
        <f>IF(Data!I117="","",Data!I117)</f>
        <v>Laki-laki</v>
      </c>
      <c r="F120" s="332" t="str">
        <f>IF(Data!J117="","",Data!J117)</f>
        <v>VIII-C</v>
      </c>
      <c r="G120" s="326" t="str">
        <f>IF(PA!G122="","",PA!G122)</f>
        <v/>
      </c>
      <c r="H120" s="327" t="str">
        <f>IF(PA!H122="","",PA!H122)</f>
        <v/>
      </c>
      <c r="I120" s="327" t="str">
        <f>IF(PA!I122="","",PA!I122)</f>
        <v/>
      </c>
      <c r="J120" s="327" t="str">
        <f>IF(PA!AA122="","",PA!AA122)</f>
        <v/>
      </c>
      <c r="K120" s="327" t="str">
        <f>IF(PA!AB122="","",PA!AB122)</f>
        <v/>
      </c>
      <c r="L120" s="327" t="str">
        <f>IF(PA!AC122="","",PA!AC122)</f>
        <v/>
      </c>
      <c r="M120" s="328" t="str">
        <f>IF(PA!P122="","",PA!P122)</f>
        <v/>
      </c>
    </row>
    <row r="121" spans="1:13" ht="14.4" x14ac:dyDescent="0.3">
      <c r="A121" s="329">
        <f>Data!E118</f>
        <v>34</v>
      </c>
      <c r="B121" s="330" t="str">
        <f>IF(Data!F118="","",Data!F118)</f>
        <v/>
      </c>
      <c r="C121" s="330" t="str">
        <f>IF(Data!G118="","",Data!G118)</f>
        <v/>
      </c>
      <c r="D121" s="331" t="str">
        <f>IF(Data!H118="","",Data!H118)</f>
        <v/>
      </c>
      <c r="E121" s="330" t="str">
        <f>IF(Data!I118="","",Data!I118)</f>
        <v/>
      </c>
      <c r="F121" s="332" t="str">
        <f>IF(Data!J118="","",Data!J118)</f>
        <v>VIII-C</v>
      </c>
      <c r="G121" s="326" t="str">
        <f>IF(PA!G123="","",PA!G123)</f>
        <v/>
      </c>
      <c r="H121" s="327" t="str">
        <f>IF(PA!H123="","",PA!H123)</f>
        <v/>
      </c>
      <c r="I121" s="327" t="str">
        <f>IF(PA!I123="","",PA!I123)</f>
        <v/>
      </c>
      <c r="J121" s="327" t="str">
        <f>IF(PA!AA123="","",PA!AA123)</f>
        <v/>
      </c>
      <c r="K121" s="327" t="str">
        <f>IF(PA!AB123="","",PA!AB123)</f>
        <v/>
      </c>
      <c r="L121" s="327" t="str">
        <f>IF(PA!AC123="","",PA!AC123)</f>
        <v/>
      </c>
      <c r="M121" s="328" t="str">
        <f>IF(PA!P123="","",PA!P123)</f>
        <v/>
      </c>
    </row>
    <row r="122" spans="1:13" ht="14.4" x14ac:dyDescent="0.3">
      <c r="A122" s="329">
        <f>Data!E119</f>
        <v>35</v>
      </c>
      <c r="B122" s="330" t="str">
        <f>IF(Data!F119="","",Data!F119)</f>
        <v/>
      </c>
      <c r="C122" s="330" t="str">
        <f>IF(Data!G119="","",Data!G119)</f>
        <v/>
      </c>
      <c r="D122" s="331" t="str">
        <f>IF(Data!H119="","",Data!H119)</f>
        <v/>
      </c>
      <c r="E122" s="330" t="str">
        <f>IF(Data!I119="","",Data!I119)</f>
        <v/>
      </c>
      <c r="F122" s="332" t="str">
        <f>IF(Data!J119="","",Data!J119)</f>
        <v>VIII-C</v>
      </c>
      <c r="G122" s="326" t="str">
        <f>IF(PA!G124="","",PA!G124)</f>
        <v/>
      </c>
      <c r="H122" s="327" t="str">
        <f>IF(PA!H124="","",PA!H124)</f>
        <v/>
      </c>
      <c r="I122" s="327" t="str">
        <f>IF(PA!I124="","",PA!I124)</f>
        <v/>
      </c>
      <c r="J122" s="327" t="str">
        <f>IF(PA!AA124="","",PA!AA124)</f>
        <v/>
      </c>
      <c r="K122" s="327" t="str">
        <f>IF(PA!AB124="","",PA!AB124)</f>
        <v/>
      </c>
      <c r="L122" s="327" t="str">
        <f>IF(PA!AC124="","",PA!AC124)</f>
        <v/>
      </c>
      <c r="M122" s="328" t="str">
        <f>IF(PA!P124="","",PA!P124)</f>
        <v/>
      </c>
    </row>
    <row r="123" spans="1:13" ht="14.4" x14ac:dyDescent="0.3">
      <c r="A123" s="329">
        <f>Data!E120</f>
        <v>36</v>
      </c>
      <c r="B123" s="330" t="str">
        <f>IF(Data!F120="","",Data!F120)</f>
        <v/>
      </c>
      <c r="C123" s="330" t="str">
        <f>IF(Data!G120="","",Data!G120)</f>
        <v/>
      </c>
      <c r="D123" s="331" t="str">
        <f>IF(Data!H120="","",Data!H120)</f>
        <v/>
      </c>
      <c r="E123" s="330" t="str">
        <f>IF(Data!I120="","",Data!I120)</f>
        <v/>
      </c>
      <c r="F123" s="332" t="str">
        <f>IF(Data!J120="","",Data!J120)</f>
        <v>VIII-C</v>
      </c>
      <c r="G123" s="326" t="str">
        <f>IF(PA!G125="","",PA!G125)</f>
        <v/>
      </c>
      <c r="H123" s="327" t="str">
        <f>IF(PA!H125="","",PA!H125)</f>
        <v/>
      </c>
      <c r="I123" s="327" t="str">
        <f>IF(PA!I125="","",PA!I125)</f>
        <v/>
      </c>
      <c r="J123" s="327" t="str">
        <f>IF(PA!AA125="","",PA!AA125)</f>
        <v/>
      </c>
      <c r="K123" s="327" t="str">
        <f>IF(PA!AB125="","",PA!AB125)</f>
        <v/>
      </c>
      <c r="L123" s="327" t="str">
        <f>IF(PA!AC125="","",PA!AC125)</f>
        <v/>
      </c>
      <c r="M123" s="328" t="str">
        <f>IF(PA!P125="","",PA!P125)</f>
        <v/>
      </c>
    </row>
    <row r="124" spans="1:13" ht="14.4" x14ac:dyDescent="0.3">
      <c r="A124" s="329">
        <f>Data!E121</f>
        <v>37</v>
      </c>
      <c r="B124" s="330" t="str">
        <f>IF(Data!F121="","",Data!F121)</f>
        <v/>
      </c>
      <c r="C124" s="330" t="str">
        <f>IF(Data!G121="","",Data!G121)</f>
        <v/>
      </c>
      <c r="D124" s="331" t="str">
        <f>IF(Data!H121="","",Data!H121)</f>
        <v/>
      </c>
      <c r="E124" s="330" t="str">
        <f>IF(Data!I121="","",Data!I121)</f>
        <v/>
      </c>
      <c r="F124" s="332" t="str">
        <f>IF(Data!J121="","",Data!J121)</f>
        <v>VIII-C</v>
      </c>
      <c r="G124" s="326" t="str">
        <f>IF(PA!G126="","",PA!G126)</f>
        <v/>
      </c>
      <c r="H124" s="327" t="str">
        <f>IF(PA!H126="","",PA!H126)</f>
        <v/>
      </c>
      <c r="I124" s="327" t="str">
        <f>IF(PA!I126="","",PA!I126)</f>
        <v/>
      </c>
      <c r="J124" s="327" t="str">
        <f>IF(PA!AA126="","",PA!AA126)</f>
        <v/>
      </c>
      <c r="K124" s="327" t="str">
        <f>IF(PA!AB126="","",PA!AB126)</f>
        <v/>
      </c>
      <c r="L124" s="327" t="str">
        <f>IF(PA!AC126="","",PA!AC126)</f>
        <v/>
      </c>
      <c r="M124" s="328" t="str">
        <f>IF(PA!P126="","",PA!P126)</f>
        <v/>
      </c>
    </row>
    <row r="125" spans="1:13" ht="14.4" x14ac:dyDescent="0.3">
      <c r="A125" s="329">
        <f>Data!E122</f>
        <v>38</v>
      </c>
      <c r="B125" s="330" t="str">
        <f>IF(Data!F122="","",Data!F122)</f>
        <v/>
      </c>
      <c r="C125" s="330" t="str">
        <f>IF(Data!G122="","",Data!G122)</f>
        <v/>
      </c>
      <c r="D125" s="331" t="str">
        <f>IF(Data!H122="","",Data!H122)</f>
        <v/>
      </c>
      <c r="E125" s="330" t="str">
        <f>IF(Data!I122="","",Data!I122)</f>
        <v/>
      </c>
      <c r="F125" s="332" t="str">
        <f>IF(Data!J122="","",Data!J122)</f>
        <v>VIII-C</v>
      </c>
      <c r="G125" s="326" t="str">
        <f>IF(PA!G127="","",PA!G127)</f>
        <v/>
      </c>
      <c r="H125" s="327" t="str">
        <f>IF(PA!H127="","",PA!H127)</f>
        <v/>
      </c>
      <c r="I125" s="327" t="str">
        <f>IF(PA!I127="","",PA!I127)</f>
        <v/>
      </c>
      <c r="J125" s="327" t="str">
        <f>IF(PA!AA127="","",PA!AA127)</f>
        <v/>
      </c>
      <c r="K125" s="327" t="str">
        <f>IF(PA!AB127="","",PA!AB127)</f>
        <v/>
      </c>
      <c r="L125" s="327" t="str">
        <f>IF(PA!AC127="","",PA!AC127)</f>
        <v/>
      </c>
      <c r="M125" s="328" t="str">
        <f>IF(PA!P127="","",PA!P127)</f>
        <v/>
      </c>
    </row>
    <row r="126" spans="1:13" ht="14.4" x14ac:dyDescent="0.3">
      <c r="A126" s="329">
        <f>Data!E123</f>
        <v>39</v>
      </c>
      <c r="B126" s="330" t="str">
        <f>IF(Data!F123="","",Data!F123)</f>
        <v/>
      </c>
      <c r="C126" s="330" t="str">
        <f>IF(Data!G123="","",Data!G123)</f>
        <v/>
      </c>
      <c r="D126" s="331" t="str">
        <f>IF(Data!H123="","",Data!H123)</f>
        <v/>
      </c>
      <c r="E126" s="330" t="str">
        <f>IF(Data!I123="","",Data!I123)</f>
        <v/>
      </c>
      <c r="F126" s="332" t="str">
        <f>IF(Data!J123="","",Data!J123)</f>
        <v>VIII-C</v>
      </c>
      <c r="G126" s="326" t="str">
        <f>IF(PA!G128="","",PA!G128)</f>
        <v/>
      </c>
      <c r="H126" s="327" t="str">
        <f>IF(PA!H128="","",PA!H128)</f>
        <v/>
      </c>
      <c r="I126" s="327" t="str">
        <f>IF(PA!I128="","",PA!I128)</f>
        <v/>
      </c>
      <c r="J126" s="327" t="str">
        <f>IF(PA!AA128="","",PA!AA128)</f>
        <v/>
      </c>
      <c r="K126" s="327" t="str">
        <f>IF(PA!AB128="","",PA!AB128)</f>
        <v/>
      </c>
      <c r="L126" s="327" t="str">
        <f>IF(PA!AC128="","",PA!AC128)</f>
        <v/>
      </c>
      <c r="M126" s="328" t="str">
        <f>IF(PA!P128="","",PA!P128)</f>
        <v/>
      </c>
    </row>
    <row r="127" spans="1:13" ht="15" thickBot="1" x14ac:dyDescent="0.35">
      <c r="A127" s="333">
        <f>Data!E124</f>
        <v>40</v>
      </c>
      <c r="B127" s="334" t="str">
        <f>IF(Data!F124="","",Data!F124)</f>
        <v/>
      </c>
      <c r="C127" s="334" t="str">
        <f>IF(Data!G124="","",Data!G124)</f>
        <v/>
      </c>
      <c r="D127" s="335" t="str">
        <f>IF(Data!H124="","",Data!H124)</f>
        <v/>
      </c>
      <c r="E127" s="334" t="str">
        <f>IF(Data!I124="","",Data!I124)</f>
        <v/>
      </c>
      <c r="F127" s="336" t="str">
        <f>IF(Data!J124="","",Data!J124)</f>
        <v>VIII-C</v>
      </c>
      <c r="G127" s="326" t="str">
        <f>IF(PA!G129="","",PA!G129)</f>
        <v/>
      </c>
      <c r="H127" s="327" t="str">
        <f>IF(PA!H129="","",PA!H129)</f>
        <v/>
      </c>
      <c r="I127" s="327" t="str">
        <f>IF(PA!I129="","",PA!I129)</f>
        <v/>
      </c>
      <c r="J127" s="327" t="str">
        <f>IF(PA!AA129="","",PA!AA129)</f>
        <v/>
      </c>
      <c r="K127" s="327" t="str">
        <f>IF(PA!AB129="","",PA!AB129)</f>
        <v/>
      </c>
      <c r="L127" s="327" t="str">
        <f>IF(PA!AC129="","",PA!AC129)</f>
        <v/>
      </c>
      <c r="M127" s="328" t="str">
        <f>IF(PA!P129="","",PA!P129)</f>
        <v/>
      </c>
    </row>
    <row r="128" spans="1:13" ht="15" thickTop="1" x14ac:dyDescent="0.3">
      <c r="A128" s="329">
        <f>Data!E125</f>
        <v>1</v>
      </c>
      <c r="B128" s="330" t="str">
        <f>IF(Data!F125="","",Data!F125)</f>
        <v>03639</v>
      </c>
      <c r="C128" s="330" t="str">
        <f>IF(Data!G125="","",Data!G125)</f>
        <v>0132167963</v>
      </c>
      <c r="D128" s="331" t="str">
        <f>IF(Data!H125="","",Data!H125)</f>
        <v>Arini Nur Rahmania Sa'idah</v>
      </c>
      <c r="E128" s="330" t="str">
        <f>IF(Data!I125="","",Data!I125)</f>
        <v>Perempuan</v>
      </c>
      <c r="F128" s="332" t="str">
        <f>IF(Data!J125="","",Data!J125)</f>
        <v>VIII-D</v>
      </c>
      <c r="G128" s="326">
        <f>IF(PA!G130="","",PA!G130)</f>
        <v>88</v>
      </c>
      <c r="H128" s="327">
        <f>IF(PA!H130="","",PA!H130)</f>
        <v>85.1</v>
      </c>
      <c r="I128" s="327">
        <f>IF(PA!I130="","",PA!I130)</f>
        <v>87</v>
      </c>
      <c r="J128" s="327" t="str">
        <f>IF(PA!AA130="","",PA!AA130)</f>
        <v/>
      </c>
      <c r="K128" s="327" t="str">
        <f>IF(PA!AB130="","",PA!AB130)</f>
        <v/>
      </c>
      <c r="L128" s="327" t="str">
        <f>IF(PA!AC130="","",PA!AC130)</f>
        <v/>
      </c>
      <c r="M128" s="328" t="str">
        <f>IF(PA!P130="","",PA!P130)</f>
        <v/>
      </c>
    </row>
    <row r="129" spans="1:13" ht="14.4" x14ac:dyDescent="0.3">
      <c r="A129" s="329">
        <f>Data!E126</f>
        <v>2</v>
      </c>
      <c r="B129" s="330" t="str">
        <f>IF(Data!F126="","",Data!F126)</f>
        <v>03644</v>
      </c>
      <c r="C129" s="330">
        <f>IF(Data!G126="","",Data!G126)</f>
        <v>3127929624</v>
      </c>
      <c r="D129" s="331" t="str">
        <f>IF(Data!H126="","",Data!H126)</f>
        <v>Auliya Hanin Syarifah</v>
      </c>
      <c r="E129" s="330" t="str">
        <f>IF(Data!I126="","",Data!I126)</f>
        <v>Perempuan</v>
      </c>
      <c r="F129" s="332" t="str">
        <f>IF(Data!J126="","",Data!J126)</f>
        <v>VIII-D</v>
      </c>
      <c r="G129" s="326">
        <f>IF(PA!G131="","",PA!G131)</f>
        <v>88</v>
      </c>
      <c r="H129" s="327">
        <f>IF(PA!H131="","",PA!H131)</f>
        <v>90</v>
      </c>
      <c r="I129" s="327">
        <f>IF(PA!I131="","",PA!I131)</f>
        <v>80</v>
      </c>
      <c r="J129" s="327" t="str">
        <f>IF(PA!AA131="","",PA!AA131)</f>
        <v/>
      </c>
      <c r="K129" s="327" t="str">
        <f>IF(PA!AB131="","",PA!AB131)</f>
        <v/>
      </c>
      <c r="L129" s="327" t="str">
        <f>IF(PA!AC131="","",PA!AC131)</f>
        <v/>
      </c>
      <c r="M129" s="328" t="str">
        <f>IF(PA!P131="","",PA!P131)</f>
        <v/>
      </c>
    </row>
    <row r="130" spans="1:13" ht="14.4" x14ac:dyDescent="0.3">
      <c r="A130" s="329">
        <f>Data!E127</f>
        <v>3</v>
      </c>
      <c r="B130" s="330" t="str">
        <f>IF(Data!F127="","",Data!F127)</f>
        <v>03646</v>
      </c>
      <c r="C130" s="330">
        <f>IF(Data!G127="","",Data!G127)</f>
        <v>3126242559</v>
      </c>
      <c r="D130" s="331" t="str">
        <f>IF(Data!H127="","",Data!H127)</f>
        <v>Azmi Anna Althafunnisa'</v>
      </c>
      <c r="E130" s="330" t="str">
        <f>IF(Data!I127="","",Data!I127)</f>
        <v>Perempuan</v>
      </c>
      <c r="F130" s="332" t="str">
        <f>IF(Data!J127="","",Data!J127)</f>
        <v>VIII-D</v>
      </c>
      <c r="G130" s="326">
        <f>IF(PA!G132="","",PA!G132)</f>
        <v>100</v>
      </c>
      <c r="H130" s="327">
        <f>IF(PA!H132="","",PA!H132)</f>
        <v>95.1</v>
      </c>
      <c r="I130" s="327">
        <f>IF(PA!I132="","",PA!I132)</f>
        <v>95</v>
      </c>
      <c r="J130" s="327" t="str">
        <f>IF(PA!AA132="","",PA!AA132)</f>
        <v/>
      </c>
      <c r="K130" s="327" t="str">
        <f>IF(PA!AB132="","",PA!AB132)</f>
        <v/>
      </c>
      <c r="L130" s="327" t="str">
        <f>IF(PA!AC132="","",PA!AC132)</f>
        <v/>
      </c>
      <c r="M130" s="328" t="str">
        <f>IF(PA!P132="","",PA!P132)</f>
        <v/>
      </c>
    </row>
    <row r="131" spans="1:13" ht="14.4" x14ac:dyDescent="0.3">
      <c r="A131" s="329">
        <f>Data!E128</f>
        <v>4</v>
      </c>
      <c r="B131" s="330" t="str">
        <f>IF(Data!F128="","",Data!F128)</f>
        <v>03647</v>
      </c>
      <c r="C131" s="330" t="str">
        <f>IF(Data!G128="","",Data!G128)</f>
        <v>0133220089</v>
      </c>
      <c r="D131" s="331" t="str">
        <f>IF(Data!H128="","",Data!H128)</f>
        <v>Azzahro Nur Maulida</v>
      </c>
      <c r="E131" s="330" t="str">
        <f>IF(Data!I128="","",Data!I128)</f>
        <v>Perempuan</v>
      </c>
      <c r="F131" s="332" t="str">
        <f>IF(Data!J128="","",Data!J128)</f>
        <v>VIII-D</v>
      </c>
      <c r="G131" s="326">
        <f>IF(PA!G133="","",PA!G133)</f>
        <v>80.099999999999994</v>
      </c>
      <c r="H131" s="327">
        <f>IF(PA!H133="","",PA!H133)</f>
        <v>80</v>
      </c>
      <c r="I131" s="327">
        <f>IF(PA!I133="","",PA!I133)</f>
        <v>78</v>
      </c>
      <c r="J131" s="327" t="str">
        <f>IF(PA!AA133="","",PA!AA133)</f>
        <v/>
      </c>
      <c r="K131" s="327" t="str">
        <f>IF(PA!AB133="","",PA!AB133)</f>
        <v/>
      </c>
      <c r="L131" s="327" t="str">
        <f>IF(PA!AC133="","",PA!AC133)</f>
        <v/>
      </c>
      <c r="M131" s="328" t="str">
        <f>IF(PA!P133="","",PA!P133)</f>
        <v/>
      </c>
    </row>
    <row r="132" spans="1:13" ht="14.4" x14ac:dyDescent="0.3">
      <c r="A132" s="329">
        <f>Data!E129</f>
        <v>5</v>
      </c>
      <c r="B132" s="330" t="str">
        <f>IF(Data!F129="","",Data!F129)</f>
        <v>03648</v>
      </c>
      <c r="C132" s="330" t="str">
        <f>IF(Data!G129="","",Data!G129)</f>
        <v>0126061571</v>
      </c>
      <c r="D132" s="331" t="str">
        <f>IF(Data!H129="","",Data!H129)</f>
        <v>Azzura Reyna Arifina</v>
      </c>
      <c r="E132" s="330" t="str">
        <f>IF(Data!I129="","",Data!I129)</f>
        <v>Perempuan</v>
      </c>
      <c r="F132" s="332" t="str">
        <f>IF(Data!J129="","",Data!J129)</f>
        <v>VIII-D</v>
      </c>
      <c r="G132" s="326">
        <f>IF(PA!G134="","",PA!G134)</f>
        <v>88</v>
      </c>
      <c r="H132" s="327">
        <f>IF(PA!H134="","",PA!H134)</f>
        <v>85.1</v>
      </c>
      <c r="I132" s="327">
        <f>IF(PA!I134="","",PA!I134)</f>
        <v>85</v>
      </c>
      <c r="J132" s="327" t="str">
        <f>IF(PA!AA134="","",PA!AA134)</f>
        <v/>
      </c>
      <c r="K132" s="327" t="str">
        <f>IF(PA!AB134="","",PA!AB134)</f>
        <v/>
      </c>
      <c r="L132" s="327" t="str">
        <f>IF(PA!AC134="","",PA!AC134)</f>
        <v/>
      </c>
      <c r="M132" s="328" t="str">
        <f>IF(PA!P134="","",PA!P134)</f>
        <v/>
      </c>
    </row>
    <row r="133" spans="1:13" ht="14.4" x14ac:dyDescent="0.3">
      <c r="A133" s="329">
        <f>Data!E130</f>
        <v>6</v>
      </c>
      <c r="B133" s="330" t="str">
        <f>IF(Data!F130="","",Data!F130)</f>
        <v>03649</v>
      </c>
      <c r="C133" s="330" t="str">
        <f>IF(Data!G130="","",Data!G130)</f>
        <v>0128172304</v>
      </c>
      <c r="D133" s="331" t="str">
        <f>IF(Data!H130="","",Data!H130)</f>
        <v>Belvania Valeri Alayya</v>
      </c>
      <c r="E133" s="330" t="str">
        <f>IF(Data!I130="","",Data!I130)</f>
        <v>Perempuan</v>
      </c>
      <c r="F133" s="332" t="str">
        <f>IF(Data!J130="","",Data!J130)</f>
        <v>VIII-D</v>
      </c>
      <c r="G133" s="326">
        <f>IF(PA!G135="","",PA!G135)</f>
        <v>100</v>
      </c>
      <c r="H133" s="327">
        <f>IF(PA!H135="","",PA!H135)</f>
        <v>95.1</v>
      </c>
      <c r="I133" s="327">
        <f>IF(PA!I135="","",PA!I135)</f>
        <v>95</v>
      </c>
      <c r="J133" s="327" t="str">
        <f>IF(PA!AA135="","",PA!AA135)</f>
        <v/>
      </c>
      <c r="K133" s="327" t="str">
        <f>IF(PA!AB135="","",PA!AB135)</f>
        <v/>
      </c>
      <c r="L133" s="327" t="str">
        <f>IF(PA!AC135="","",PA!AC135)</f>
        <v/>
      </c>
      <c r="M133" s="328" t="str">
        <f>IF(PA!P135="","",PA!P135)</f>
        <v/>
      </c>
    </row>
    <row r="134" spans="1:13" ht="14.4" x14ac:dyDescent="0.3">
      <c r="A134" s="329">
        <f>Data!E131</f>
        <v>7</v>
      </c>
      <c r="B134" s="330" t="str">
        <f>IF(Data!F131="","",Data!F131)</f>
        <v>03650</v>
      </c>
      <c r="C134" s="330" t="str">
        <f>IF(Data!G131="","",Data!G131)</f>
        <v>3120527187</v>
      </c>
      <c r="D134" s="331" t="str">
        <f>IF(Data!H131="","",Data!H131)</f>
        <v>Cahya Salsabila Putri</v>
      </c>
      <c r="E134" s="330" t="str">
        <f>IF(Data!I131="","",Data!I131)</f>
        <v>Perempuan</v>
      </c>
      <c r="F134" s="332" t="str">
        <f>IF(Data!J131="","",Data!J131)</f>
        <v>VIII-D</v>
      </c>
      <c r="G134" s="326">
        <f>IF(PA!G136="","",PA!G136)</f>
        <v>95.1</v>
      </c>
      <c r="H134" s="327">
        <f>IF(PA!H136="","",PA!H136)</f>
        <v>90</v>
      </c>
      <c r="I134" s="327">
        <f>IF(PA!I136="","",PA!I136)</f>
        <v>95.2</v>
      </c>
      <c r="J134" s="327" t="str">
        <f>IF(PA!AA136="","",PA!AA136)</f>
        <v/>
      </c>
      <c r="K134" s="327" t="str">
        <f>IF(PA!AB136="","",PA!AB136)</f>
        <v/>
      </c>
      <c r="L134" s="327" t="str">
        <f>IF(PA!AC136="","",PA!AC136)</f>
        <v/>
      </c>
      <c r="M134" s="328" t="str">
        <f>IF(PA!P136="","",PA!P136)</f>
        <v/>
      </c>
    </row>
    <row r="135" spans="1:13" ht="14.4" x14ac:dyDescent="0.3">
      <c r="A135" s="329">
        <f>Data!E132</f>
        <v>8</v>
      </c>
      <c r="B135" s="330" t="str">
        <f>IF(Data!F132="","",Data!F132)</f>
        <v>03653</v>
      </c>
      <c r="C135" s="330" t="str">
        <f>IF(Data!G132="","",Data!G132)</f>
        <v>3126993967</v>
      </c>
      <c r="D135" s="331" t="str">
        <f>IF(Data!H132="","",Data!H132)</f>
        <v>Cinta Agustina Ramadhani</v>
      </c>
      <c r="E135" s="330" t="str">
        <f>IF(Data!I132="","",Data!I132)</f>
        <v>Perempuan</v>
      </c>
      <c r="F135" s="332" t="str">
        <f>IF(Data!J132="","",Data!J132)</f>
        <v>VIII-D</v>
      </c>
      <c r="G135" s="326">
        <f>IF(PA!G137="","",PA!G137)</f>
        <v>95.1</v>
      </c>
      <c r="H135" s="327">
        <f>IF(PA!H137="","",PA!H137)</f>
        <v>90</v>
      </c>
      <c r="I135" s="327">
        <f>IF(PA!I137="","",PA!I137)</f>
        <v>95</v>
      </c>
      <c r="J135" s="327" t="str">
        <f>IF(PA!AA137="","",PA!AA137)</f>
        <v/>
      </c>
      <c r="K135" s="327" t="str">
        <f>IF(PA!AB137="","",PA!AB137)</f>
        <v/>
      </c>
      <c r="L135" s="327" t="str">
        <f>IF(PA!AC137="","",PA!AC137)</f>
        <v/>
      </c>
      <c r="M135" s="328" t="str">
        <f>IF(PA!P137="","",PA!P137)</f>
        <v/>
      </c>
    </row>
    <row r="136" spans="1:13" ht="14.4" x14ac:dyDescent="0.3">
      <c r="A136" s="329">
        <f>Data!E133</f>
        <v>9</v>
      </c>
      <c r="B136" s="330" t="str">
        <f>IF(Data!F133="","",Data!F133)</f>
        <v>03654</v>
      </c>
      <c r="C136" s="330" t="str">
        <f>IF(Data!G133="","",Data!G133)</f>
        <v>3127344490</v>
      </c>
      <c r="D136" s="331" t="str">
        <f>IF(Data!H133="","",Data!H133)</f>
        <v>Cinta Laetishya Azzahra</v>
      </c>
      <c r="E136" s="330" t="str">
        <f>IF(Data!I133="","",Data!I133)</f>
        <v>Perempuan</v>
      </c>
      <c r="F136" s="332" t="str">
        <f>IF(Data!J133="","",Data!J133)</f>
        <v>VIII-D</v>
      </c>
      <c r="G136" s="326">
        <f>IF(PA!G138="","",PA!G138)</f>
        <v>78</v>
      </c>
      <c r="H136" s="327">
        <f>IF(PA!H138="","",PA!H138)</f>
        <v>80.099999999999994</v>
      </c>
      <c r="I136" s="327">
        <f>IF(PA!I138="","",PA!I138)</f>
        <v>80.2</v>
      </c>
      <c r="J136" s="327" t="str">
        <f>IF(PA!AA138="","",PA!AA138)</f>
        <v/>
      </c>
      <c r="K136" s="327" t="str">
        <f>IF(PA!AB138="","",PA!AB138)</f>
        <v/>
      </c>
      <c r="L136" s="327" t="str">
        <f>IF(PA!AC138="","",PA!AC138)</f>
        <v/>
      </c>
      <c r="M136" s="328" t="str">
        <f>IF(PA!P138="","",PA!P138)</f>
        <v/>
      </c>
    </row>
    <row r="137" spans="1:13" ht="14.4" x14ac:dyDescent="0.3">
      <c r="A137" s="329">
        <f>Data!E134</f>
        <v>10</v>
      </c>
      <c r="B137" s="330" t="str">
        <f>IF(Data!F134="","",Data!F134)</f>
        <v>03661</v>
      </c>
      <c r="C137" s="330">
        <f>IF(Data!G134="","",Data!G134)</f>
        <v>3124413170</v>
      </c>
      <c r="D137" s="331" t="str">
        <f>IF(Data!H134="","",Data!H134)</f>
        <v>Dian Fatiha Najwa</v>
      </c>
      <c r="E137" s="330" t="str">
        <f>IF(Data!I134="","",Data!I134)</f>
        <v>Perempuan</v>
      </c>
      <c r="F137" s="332" t="str">
        <f>IF(Data!J134="","",Data!J134)</f>
        <v>VIII-D</v>
      </c>
      <c r="G137" s="326">
        <f>IF(PA!G139="","",PA!G139)</f>
        <v>90.2</v>
      </c>
      <c r="H137" s="327">
        <f>IF(PA!H139="","",PA!H139)</f>
        <v>90.3</v>
      </c>
      <c r="I137" s="327">
        <f>IF(PA!I139="","",PA!I139)</f>
        <v>85</v>
      </c>
      <c r="J137" s="327" t="str">
        <f>IF(PA!AA139="","",PA!AA139)</f>
        <v/>
      </c>
      <c r="K137" s="327" t="str">
        <f>IF(PA!AB139="","",PA!AB139)</f>
        <v/>
      </c>
      <c r="L137" s="327" t="str">
        <f>IF(PA!AC139="","",PA!AC139)</f>
        <v/>
      </c>
      <c r="M137" s="328" t="str">
        <f>IF(PA!P139="","",PA!P139)</f>
        <v/>
      </c>
    </row>
    <row r="138" spans="1:13" ht="14.4" x14ac:dyDescent="0.3">
      <c r="A138" s="329">
        <f>Data!E135</f>
        <v>11</v>
      </c>
      <c r="B138" s="330" t="str">
        <f>IF(Data!F135="","",Data!F135)</f>
        <v>03664</v>
      </c>
      <c r="C138" s="330">
        <f>IF(Data!G135="","",Data!G135)</f>
        <v>3120065156</v>
      </c>
      <c r="D138" s="331" t="str">
        <f>IF(Data!H135="","",Data!H135)</f>
        <v>Diva Azka Adlina</v>
      </c>
      <c r="E138" s="330" t="str">
        <f>IF(Data!I135="","",Data!I135)</f>
        <v>Perempuan</v>
      </c>
      <c r="F138" s="332" t="str">
        <f>IF(Data!J135="","",Data!J135)</f>
        <v>VIII-D</v>
      </c>
      <c r="G138" s="326">
        <f>IF(PA!G140="","",PA!G140)</f>
        <v>90.1</v>
      </c>
      <c r="H138" s="327">
        <f>IF(PA!H140="","",PA!H140)</f>
        <v>85.2</v>
      </c>
      <c r="I138" s="327">
        <f>IF(PA!I140="","",PA!I140)</f>
        <v>85</v>
      </c>
      <c r="J138" s="327" t="str">
        <f>IF(PA!AA140="","",PA!AA140)</f>
        <v/>
      </c>
      <c r="K138" s="327" t="str">
        <f>IF(PA!AB140="","",PA!AB140)</f>
        <v/>
      </c>
      <c r="L138" s="327" t="str">
        <f>IF(PA!AC140="","",PA!AC140)</f>
        <v/>
      </c>
      <c r="M138" s="328" t="str">
        <f>IF(PA!P140="","",PA!P140)</f>
        <v/>
      </c>
    </row>
    <row r="139" spans="1:13" ht="14.4" x14ac:dyDescent="0.3">
      <c r="A139" s="329">
        <f>Data!E136</f>
        <v>12</v>
      </c>
      <c r="B139" s="330" t="str">
        <f>IF(Data!F136="","",Data!F136)</f>
        <v>03670</v>
      </c>
      <c r="C139" s="330" t="str">
        <f>IF(Data!G136="","",Data!G136)</f>
        <v>0123925186</v>
      </c>
      <c r="D139" s="331" t="str">
        <f>IF(Data!H136="","",Data!H136)</f>
        <v>Filzania Zaidatus Zafira Difta</v>
      </c>
      <c r="E139" s="330" t="str">
        <f>IF(Data!I136="","",Data!I136)</f>
        <v>Perempuan</v>
      </c>
      <c r="F139" s="332" t="str">
        <f>IF(Data!J136="","",Data!J136)</f>
        <v>VIII-D</v>
      </c>
      <c r="G139" s="326">
        <f>IF(PA!G141="","",PA!G141)</f>
        <v>85.1</v>
      </c>
      <c r="H139" s="327">
        <f>IF(PA!H141="","",PA!H141)</f>
        <v>80.2</v>
      </c>
      <c r="I139" s="327">
        <f>IF(PA!I141="","",PA!I141)</f>
        <v>85</v>
      </c>
      <c r="J139" s="327" t="str">
        <f>IF(PA!AA141="","",PA!AA141)</f>
        <v/>
      </c>
      <c r="K139" s="327" t="str">
        <f>IF(PA!AB141="","",PA!AB141)</f>
        <v/>
      </c>
      <c r="L139" s="327" t="str">
        <f>IF(PA!AC141="","",PA!AC141)</f>
        <v/>
      </c>
      <c r="M139" s="328" t="str">
        <f>IF(PA!P141="","",PA!P141)</f>
        <v/>
      </c>
    </row>
    <row r="140" spans="1:13" ht="14.4" x14ac:dyDescent="0.3">
      <c r="A140" s="329">
        <f>Data!E137</f>
        <v>13</v>
      </c>
      <c r="B140" s="330" t="str">
        <f>IF(Data!F137="","",Data!F137)</f>
        <v>03676</v>
      </c>
      <c r="C140" s="330" t="str">
        <f>IF(Data!G137="","",Data!G137)</f>
        <v>3129313473</v>
      </c>
      <c r="D140" s="331" t="str">
        <f>IF(Data!H137="","",Data!H137)</f>
        <v>Inaya Fajria Sany</v>
      </c>
      <c r="E140" s="330" t="str">
        <f>IF(Data!I137="","",Data!I137)</f>
        <v>Perempuan</v>
      </c>
      <c r="F140" s="332" t="str">
        <f>IF(Data!J137="","",Data!J137)</f>
        <v>VIII-D</v>
      </c>
      <c r="G140" s="326">
        <f>IF(PA!G142="","",PA!G142)</f>
        <v>100</v>
      </c>
      <c r="H140" s="327">
        <f>IF(PA!H142="","",PA!H142)</f>
        <v>95</v>
      </c>
      <c r="I140" s="327">
        <f>IF(PA!I142="","",PA!I142)</f>
        <v>80.099999999999994</v>
      </c>
      <c r="J140" s="327" t="str">
        <f>IF(PA!AA142="","",PA!AA142)</f>
        <v/>
      </c>
      <c r="K140" s="327" t="str">
        <f>IF(PA!AB142="","",PA!AB142)</f>
        <v/>
      </c>
      <c r="L140" s="327" t="str">
        <f>IF(PA!AC142="","",PA!AC142)</f>
        <v/>
      </c>
      <c r="M140" s="328" t="str">
        <f>IF(PA!P142="","",PA!P142)</f>
        <v/>
      </c>
    </row>
    <row r="141" spans="1:13" ht="14.4" x14ac:dyDescent="0.3">
      <c r="A141" s="329">
        <f>Data!E138</f>
        <v>14</v>
      </c>
      <c r="B141" s="330" t="str">
        <f>IF(Data!F138="","",Data!F138)</f>
        <v>03677</v>
      </c>
      <c r="C141" s="330" t="str">
        <f>IF(Data!G138="","",Data!G138)</f>
        <v>0126911174</v>
      </c>
      <c r="D141" s="331" t="str">
        <f>IF(Data!H138="","",Data!H138)</f>
        <v>Intan Nur Aini</v>
      </c>
      <c r="E141" s="330" t="str">
        <f>IF(Data!I138="","",Data!I138)</f>
        <v>Perempuan</v>
      </c>
      <c r="F141" s="332" t="str">
        <f>IF(Data!J138="","",Data!J138)</f>
        <v>VIII-D</v>
      </c>
      <c r="G141" s="326">
        <f>IF(PA!G143="","",PA!G143)</f>
        <v>90</v>
      </c>
      <c r="H141" s="327">
        <f>IF(PA!H143="","",PA!H143)</f>
        <v>80</v>
      </c>
      <c r="I141" s="327">
        <f>IF(PA!I143="","",PA!I143)</f>
        <v>85.2</v>
      </c>
      <c r="J141" s="327" t="str">
        <f>IF(PA!AA143="","",PA!AA143)</f>
        <v/>
      </c>
      <c r="K141" s="327" t="str">
        <f>IF(PA!AB143="","",PA!AB143)</f>
        <v/>
      </c>
      <c r="L141" s="327" t="str">
        <f>IF(PA!AC143="","",PA!AC143)</f>
        <v/>
      </c>
      <c r="M141" s="328" t="str">
        <f>IF(PA!P143="","",PA!P143)</f>
        <v/>
      </c>
    </row>
    <row r="142" spans="1:13" ht="14.4" x14ac:dyDescent="0.3">
      <c r="A142" s="329">
        <f>Data!E139</f>
        <v>15</v>
      </c>
      <c r="B142" s="330" t="str">
        <f>IF(Data!F139="","",Data!F139)</f>
        <v>03678</v>
      </c>
      <c r="C142" s="330">
        <f>IF(Data!G139="","",Data!G139)</f>
        <v>3124359784</v>
      </c>
      <c r="D142" s="331" t="str">
        <f>IF(Data!H139="","",Data!H139)</f>
        <v>Irsana Ro'fatul Ula</v>
      </c>
      <c r="E142" s="330" t="str">
        <f>IF(Data!I139="","",Data!I139)</f>
        <v>Perempuan</v>
      </c>
      <c r="F142" s="332" t="str">
        <f>IF(Data!J139="","",Data!J139)</f>
        <v>VIII-D</v>
      </c>
      <c r="G142" s="326">
        <f>IF(PA!G144="","",PA!G144)</f>
        <v>85.1</v>
      </c>
      <c r="H142" s="327">
        <f>IF(PA!H144="","",PA!H144)</f>
        <v>80.2</v>
      </c>
      <c r="I142" s="327">
        <f>IF(PA!I144="","",PA!I144)</f>
        <v>80</v>
      </c>
      <c r="J142" s="327" t="str">
        <f>IF(PA!AA144="","",PA!AA144)</f>
        <v/>
      </c>
      <c r="K142" s="327" t="str">
        <f>IF(PA!AB144="","",PA!AB144)</f>
        <v/>
      </c>
      <c r="L142" s="327" t="str">
        <f>IF(PA!AC144="","",PA!AC144)</f>
        <v/>
      </c>
      <c r="M142" s="328" t="str">
        <f>IF(PA!P144="","",PA!P144)</f>
        <v/>
      </c>
    </row>
    <row r="143" spans="1:13" ht="14.4" x14ac:dyDescent="0.3">
      <c r="A143" s="329">
        <f>Data!E140</f>
        <v>16</v>
      </c>
      <c r="B143" s="330" t="str">
        <f>IF(Data!F140="","",Data!F140)</f>
        <v>03680</v>
      </c>
      <c r="C143" s="330" t="str">
        <f>IF(Data!G140="","",Data!G140)</f>
        <v>0126774584</v>
      </c>
      <c r="D143" s="331" t="str">
        <f>IF(Data!H140="","",Data!H140)</f>
        <v>Julia Ramadhani</v>
      </c>
      <c r="E143" s="330" t="str">
        <f>IF(Data!I140="","",Data!I140)</f>
        <v>Perempuan</v>
      </c>
      <c r="F143" s="332" t="str">
        <f>IF(Data!J140="","",Data!J140)</f>
        <v>VIII-D</v>
      </c>
      <c r="G143" s="326">
        <f>IF(PA!G145="","",PA!G145)</f>
        <v>85.1</v>
      </c>
      <c r="H143" s="327">
        <f>IF(PA!H145="","",PA!H145)</f>
        <v>85.2</v>
      </c>
      <c r="I143" s="327">
        <f>IF(PA!I145="","",PA!I145)</f>
        <v>85</v>
      </c>
      <c r="J143" s="327" t="str">
        <f>IF(PA!AA145="","",PA!AA145)</f>
        <v/>
      </c>
      <c r="K143" s="327" t="str">
        <f>IF(PA!AB145="","",PA!AB145)</f>
        <v/>
      </c>
      <c r="L143" s="327" t="str">
        <f>IF(PA!AC145="","",PA!AC145)</f>
        <v/>
      </c>
      <c r="M143" s="328" t="str">
        <f>IF(PA!P145="","",PA!P145)</f>
        <v/>
      </c>
    </row>
    <row r="144" spans="1:13" ht="14.4" x14ac:dyDescent="0.3">
      <c r="A144" s="329">
        <f>Data!E141</f>
        <v>17</v>
      </c>
      <c r="B144" s="330" t="str">
        <f>IF(Data!F141="","",Data!F141)</f>
        <v>03688</v>
      </c>
      <c r="C144" s="330">
        <f>IF(Data!G141="","",Data!G141)</f>
        <v>3121879658</v>
      </c>
      <c r="D144" s="331" t="str">
        <f>IF(Data!H141="","",Data!H141)</f>
        <v>Laila A'imatul Musyayadah</v>
      </c>
      <c r="E144" s="330" t="str">
        <f>IF(Data!I141="","",Data!I141)</f>
        <v>Perempuan</v>
      </c>
      <c r="F144" s="332" t="str">
        <f>IF(Data!J141="","",Data!J141)</f>
        <v>VIII-D</v>
      </c>
      <c r="G144" s="326">
        <f>IF(PA!G146="","",PA!G146)</f>
        <v>85.1</v>
      </c>
      <c r="H144" s="327">
        <f>IF(PA!H146="","",PA!H146)</f>
        <v>80</v>
      </c>
      <c r="I144" s="327">
        <f>IF(PA!I146="","",PA!I146)</f>
        <v>80.2</v>
      </c>
      <c r="J144" s="327" t="str">
        <f>IF(PA!AA146="","",PA!AA146)</f>
        <v/>
      </c>
      <c r="K144" s="327" t="str">
        <f>IF(PA!AB146="","",PA!AB146)</f>
        <v/>
      </c>
      <c r="L144" s="327" t="str">
        <f>IF(PA!AC146="","",PA!AC146)</f>
        <v/>
      </c>
      <c r="M144" s="328" t="str">
        <f>IF(PA!P146="","",PA!P146)</f>
        <v/>
      </c>
    </row>
    <row r="145" spans="1:13" ht="14.4" x14ac:dyDescent="0.3">
      <c r="A145" s="329">
        <f>Data!E142</f>
        <v>18</v>
      </c>
      <c r="B145" s="330" t="str">
        <f>IF(Data!F142="","",Data!F142)</f>
        <v>03691</v>
      </c>
      <c r="C145" s="330" t="str">
        <f>IF(Data!G142="","",Data!G142)</f>
        <v>0136758328</v>
      </c>
      <c r="D145" s="331" t="str">
        <f>IF(Data!H142="","",Data!H142)</f>
        <v>Maulida Aqilatul Fitria</v>
      </c>
      <c r="E145" s="330" t="str">
        <f>IF(Data!I142="","",Data!I142)</f>
        <v>Perempuan</v>
      </c>
      <c r="F145" s="332" t="str">
        <f>IF(Data!J142="","",Data!J142)</f>
        <v>VIII-D</v>
      </c>
      <c r="G145" s="326">
        <f>IF(PA!G147="","",PA!G147)</f>
        <v>95</v>
      </c>
      <c r="H145" s="327">
        <f>IF(PA!H147="","",PA!H147)</f>
        <v>83</v>
      </c>
      <c r="I145" s="327">
        <f>IF(PA!I147="","",PA!I147)</f>
        <v>85.1</v>
      </c>
      <c r="J145" s="327" t="str">
        <f>IF(PA!AA147="","",PA!AA147)</f>
        <v/>
      </c>
      <c r="K145" s="327" t="str">
        <f>IF(PA!AB147="","",PA!AB147)</f>
        <v/>
      </c>
      <c r="L145" s="327" t="str">
        <f>IF(PA!AC147="","",PA!AC147)</f>
        <v/>
      </c>
      <c r="M145" s="328" t="str">
        <f>IF(PA!P147="","",PA!P147)</f>
        <v/>
      </c>
    </row>
    <row r="146" spans="1:13" ht="14.4" x14ac:dyDescent="0.3">
      <c r="A146" s="329">
        <f>Data!E143</f>
        <v>19</v>
      </c>
      <c r="B146" s="330" t="str">
        <f>IF(Data!F143="","",Data!F143)</f>
        <v>03694</v>
      </c>
      <c r="C146" s="330" t="str">
        <f>IF(Data!G143="","",Data!G143)</f>
        <v>3123804084</v>
      </c>
      <c r="D146" s="331" t="str">
        <f>IF(Data!H143="","",Data!H143)</f>
        <v>Miftah Maesaroh Melisa Cahyani</v>
      </c>
      <c r="E146" s="330" t="str">
        <f>IF(Data!I143="","",Data!I143)</f>
        <v>Perempuan</v>
      </c>
      <c r="F146" s="332" t="str">
        <f>IF(Data!J143="","",Data!J143)</f>
        <v>VIII-D</v>
      </c>
      <c r="G146" s="326">
        <f>IF(PA!G148="","",PA!G148)</f>
        <v>95.1</v>
      </c>
      <c r="H146" s="327">
        <f>IF(PA!H148="","",PA!H148)</f>
        <v>85</v>
      </c>
      <c r="I146" s="327">
        <f>IF(PA!I148="","",PA!I148)</f>
        <v>85.2</v>
      </c>
      <c r="J146" s="327" t="str">
        <f>IF(PA!AA148="","",PA!AA148)</f>
        <v/>
      </c>
      <c r="K146" s="327" t="str">
        <f>IF(PA!AB148="","",PA!AB148)</f>
        <v/>
      </c>
      <c r="L146" s="327" t="str">
        <f>IF(PA!AC148="","",PA!AC148)</f>
        <v/>
      </c>
      <c r="M146" s="328" t="str">
        <f>IF(PA!P148="","",PA!P148)</f>
        <v/>
      </c>
    </row>
    <row r="147" spans="1:13" ht="14.4" x14ac:dyDescent="0.3">
      <c r="A147" s="329">
        <f>Data!E144</f>
        <v>20</v>
      </c>
      <c r="B147" s="330" t="str">
        <f>IF(Data!F144="","",Data!F144)</f>
        <v>03695</v>
      </c>
      <c r="C147" s="330" t="str">
        <f>IF(Data!G144="","",Data!G144)</f>
        <v>0121352930</v>
      </c>
      <c r="D147" s="331" t="str">
        <f>IF(Data!H144="","",Data!H144)</f>
        <v>Mir'atun Nadhiroh</v>
      </c>
      <c r="E147" s="330" t="str">
        <f>IF(Data!I144="","",Data!I144)</f>
        <v>Perempuan</v>
      </c>
      <c r="F147" s="332" t="str">
        <f>IF(Data!J144="","",Data!J144)</f>
        <v>VIII-D</v>
      </c>
      <c r="G147" s="326">
        <f>IF(PA!G149="","",PA!G149)</f>
        <v>85.1</v>
      </c>
      <c r="H147" s="327">
        <f>IF(PA!H149="","",PA!H149)</f>
        <v>90</v>
      </c>
      <c r="I147" s="327">
        <f>IF(PA!I149="","",PA!I149)</f>
        <v>85</v>
      </c>
      <c r="J147" s="327" t="str">
        <f>IF(PA!AA149="","",PA!AA149)</f>
        <v/>
      </c>
      <c r="K147" s="327" t="str">
        <f>IF(PA!AB149="","",PA!AB149)</f>
        <v/>
      </c>
      <c r="L147" s="327" t="str">
        <f>IF(PA!AC149="","",PA!AC149)</f>
        <v/>
      </c>
      <c r="M147" s="328" t="str">
        <f>IF(PA!P149="","",PA!P149)</f>
        <v/>
      </c>
    </row>
    <row r="148" spans="1:13" ht="14.4" x14ac:dyDescent="0.3">
      <c r="A148" s="329">
        <f>Data!E145</f>
        <v>21</v>
      </c>
      <c r="B148" s="330" t="str">
        <f>IF(Data!F145="","",Data!F145)</f>
        <v>03698</v>
      </c>
      <c r="C148" s="330" t="str">
        <f>IF(Data!G145="","",Data!G145)</f>
        <v>0124095960</v>
      </c>
      <c r="D148" s="331" t="str">
        <f>IF(Data!H145="","",Data!H145)</f>
        <v>Muna Mujahidah</v>
      </c>
      <c r="E148" s="330" t="str">
        <f>IF(Data!I145="","",Data!I145)</f>
        <v>Perempuan</v>
      </c>
      <c r="F148" s="332" t="str">
        <f>IF(Data!J145="","",Data!J145)</f>
        <v>VIII-D</v>
      </c>
      <c r="G148" s="326">
        <f>IF(PA!G150="","",PA!G150)</f>
        <v>95</v>
      </c>
      <c r="H148" s="327">
        <f>IF(PA!H150="","",PA!H150)</f>
        <v>85.1</v>
      </c>
      <c r="I148" s="327">
        <f>IF(PA!I150="","",PA!I150)</f>
        <v>85</v>
      </c>
      <c r="J148" s="327" t="str">
        <f>IF(PA!AA150="","",PA!AA150)</f>
        <v/>
      </c>
      <c r="K148" s="327" t="str">
        <f>IF(PA!AB150="","",PA!AB150)</f>
        <v/>
      </c>
      <c r="L148" s="327" t="str">
        <f>IF(PA!AC150="","",PA!AC150)</f>
        <v/>
      </c>
      <c r="M148" s="328" t="str">
        <f>IF(PA!P150="","",PA!P150)</f>
        <v/>
      </c>
    </row>
    <row r="149" spans="1:13" ht="14.4" x14ac:dyDescent="0.3">
      <c r="A149" s="329">
        <f>Data!E146</f>
        <v>22</v>
      </c>
      <c r="B149" s="330" t="str">
        <f>IF(Data!F146="","",Data!F146)</f>
        <v>03702</v>
      </c>
      <c r="C149" s="330" t="str">
        <f>IF(Data!G146="","",Data!G146)</f>
        <v>0129314896</v>
      </c>
      <c r="D149" s="331" t="str">
        <f>IF(Data!H146="","",Data!H146)</f>
        <v>Naila Mutammimah</v>
      </c>
      <c r="E149" s="330" t="str">
        <f>IF(Data!I146="","",Data!I146)</f>
        <v>Perempuan</v>
      </c>
      <c r="F149" s="332" t="str">
        <f>IF(Data!J146="","",Data!J146)</f>
        <v>VIII-D</v>
      </c>
      <c r="G149" s="326">
        <f>IF(PA!G151="","",PA!G151)</f>
        <v>85.1</v>
      </c>
      <c r="H149" s="327">
        <f>IF(PA!H151="","",PA!H151)</f>
        <v>85.2</v>
      </c>
      <c r="I149" s="327">
        <f>IF(PA!I151="","",PA!I151)</f>
        <v>85</v>
      </c>
      <c r="J149" s="327" t="str">
        <f>IF(PA!AA151="","",PA!AA151)</f>
        <v/>
      </c>
      <c r="K149" s="327" t="str">
        <f>IF(PA!AB151="","",PA!AB151)</f>
        <v/>
      </c>
      <c r="L149" s="327" t="str">
        <f>IF(PA!AC151="","",PA!AC151)</f>
        <v/>
      </c>
      <c r="M149" s="328" t="str">
        <f>IF(PA!P151="","",PA!P151)</f>
        <v/>
      </c>
    </row>
    <row r="150" spans="1:13" ht="14.4" x14ac:dyDescent="0.3">
      <c r="A150" s="329">
        <f>Data!E147</f>
        <v>23</v>
      </c>
      <c r="B150" s="330" t="str">
        <f>IF(Data!F147="","",Data!F147)</f>
        <v>03710</v>
      </c>
      <c r="C150" s="330" t="str">
        <f>IF(Data!G147="","",Data!G147)</f>
        <v>0131299363</v>
      </c>
      <c r="D150" s="331" t="str">
        <f>IF(Data!H147="","",Data!H147)</f>
        <v>Nazhumi Arifa Faridatul Fauziah</v>
      </c>
      <c r="E150" s="330" t="str">
        <f>IF(Data!I147="","",Data!I147)</f>
        <v>Perempuan</v>
      </c>
      <c r="F150" s="332" t="str">
        <f>IF(Data!J147="","",Data!J147)</f>
        <v>VIII-D</v>
      </c>
      <c r="G150" s="326">
        <f>IF(PA!G152="","",PA!G152)</f>
        <v>85.1</v>
      </c>
      <c r="H150" s="327">
        <f>IF(PA!H152="","",PA!H152)</f>
        <v>80.2</v>
      </c>
      <c r="I150" s="327">
        <f>IF(PA!I152="","",PA!I152)</f>
        <v>85</v>
      </c>
      <c r="J150" s="327" t="str">
        <f>IF(PA!AA152="","",PA!AA152)</f>
        <v/>
      </c>
      <c r="K150" s="327" t="str">
        <f>IF(PA!AB152="","",PA!AB152)</f>
        <v/>
      </c>
      <c r="L150" s="327" t="str">
        <f>IF(PA!AC152="","",PA!AC152)</f>
        <v/>
      </c>
      <c r="M150" s="328" t="str">
        <f>IF(PA!P152="","",PA!P152)</f>
        <v/>
      </c>
    </row>
    <row r="151" spans="1:13" ht="14.4" x14ac:dyDescent="0.3">
      <c r="A151" s="329">
        <f>Data!E148</f>
        <v>24</v>
      </c>
      <c r="B151" s="330" t="str">
        <f>IF(Data!F148="","",Data!F148)</f>
        <v>03714</v>
      </c>
      <c r="C151" s="330">
        <f>IF(Data!G148="","",Data!G148)</f>
        <v>3135715665</v>
      </c>
      <c r="D151" s="331" t="str">
        <f>IF(Data!H148="","",Data!H148)</f>
        <v>Nurin Najwa Baiti Azzahra</v>
      </c>
      <c r="E151" s="330" t="str">
        <f>IF(Data!I148="","",Data!I148)</f>
        <v>Perempuan</v>
      </c>
      <c r="F151" s="332" t="str">
        <f>IF(Data!J148="","",Data!J148)</f>
        <v>VIII-D</v>
      </c>
      <c r="G151" s="326">
        <f>IF(PA!G153="","",PA!G153)</f>
        <v>95</v>
      </c>
      <c r="H151" s="327">
        <f>IF(PA!H153="","",PA!H153)</f>
        <v>80</v>
      </c>
      <c r="I151" s="327">
        <f>IF(PA!I153="","",PA!I153)</f>
        <v>90</v>
      </c>
      <c r="J151" s="327" t="str">
        <f>IF(PA!AA153="","",PA!AA153)</f>
        <v/>
      </c>
      <c r="K151" s="327" t="str">
        <f>IF(PA!AB153="","",PA!AB153)</f>
        <v/>
      </c>
      <c r="L151" s="327" t="str">
        <f>IF(PA!AC153="","",PA!AC153)</f>
        <v/>
      </c>
      <c r="M151" s="328" t="str">
        <f>IF(PA!P153="","",PA!P153)</f>
        <v/>
      </c>
    </row>
    <row r="152" spans="1:13" ht="14.4" x14ac:dyDescent="0.3">
      <c r="A152" s="329">
        <f>Data!E149</f>
        <v>25</v>
      </c>
      <c r="B152" s="330" t="str">
        <f>IF(Data!F149="","",Data!F149)</f>
        <v>03716</v>
      </c>
      <c r="C152" s="330" t="str">
        <f>IF(Data!G149="","",Data!G149)</f>
        <v>0133489584</v>
      </c>
      <c r="D152" s="331" t="str">
        <f>IF(Data!H149="","",Data!H149)</f>
        <v>Queen Bianca Wiyono</v>
      </c>
      <c r="E152" s="330" t="str">
        <f>IF(Data!I149="","",Data!I149)</f>
        <v>Perempuan</v>
      </c>
      <c r="F152" s="332" t="str">
        <f>IF(Data!J149="","",Data!J149)</f>
        <v>VIII-D</v>
      </c>
      <c r="G152" s="326">
        <f>IF(PA!G154="","",PA!G154)</f>
        <v>95</v>
      </c>
      <c r="H152" s="327">
        <f>IF(PA!H154="","",PA!H154)</f>
        <v>90</v>
      </c>
      <c r="I152" s="327">
        <f>IF(PA!I154="","",PA!I154)</f>
        <v>85.1</v>
      </c>
      <c r="J152" s="327" t="str">
        <f>IF(PA!AA154="","",PA!AA154)</f>
        <v/>
      </c>
      <c r="K152" s="327" t="str">
        <f>IF(PA!AB154="","",PA!AB154)</f>
        <v/>
      </c>
      <c r="L152" s="327" t="str">
        <f>IF(PA!AC154="","",PA!AC154)</f>
        <v/>
      </c>
      <c r="M152" s="328" t="str">
        <f>IF(PA!P154="","",PA!P154)</f>
        <v/>
      </c>
    </row>
    <row r="153" spans="1:13" ht="14.4" x14ac:dyDescent="0.3">
      <c r="A153" s="329">
        <f>Data!E150</f>
        <v>26</v>
      </c>
      <c r="B153" s="330" t="str">
        <f>IF(Data!F150="","",Data!F150)</f>
        <v>03719</v>
      </c>
      <c r="C153" s="330">
        <f>IF(Data!G150="","",Data!G150)</f>
        <v>3123624154</v>
      </c>
      <c r="D153" s="331" t="str">
        <f>IF(Data!H150="","",Data!H150)</f>
        <v>Safinatun Najwa Zahrana Khoir</v>
      </c>
      <c r="E153" s="330" t="str">
        <f>IF(Data!I150="","",Data!I150)</f>
        <v>Perempuan</v>
      </c>
      <c r="F153" s="332" t="str">
        <f>IF(Data!J150="","",Data!J150)</f>
        <v>VIII-D</v>
      </c>
      <c r="G153" s="326">
        <f>IF(PA!G155="","",PA!G155)</f>
        <v>80.099999999999994</v>
      </c>
      <c r="H153" s="327">
        <f>IF(PA!H155="","",PA!H155)</f>
        <v>85</v>
      </c>
      <c r="I153" s="327">
        <f>IF(PA!I155="","",PA!I155)</f>
        <v>85.2</v>
      </c>
      <c r="J153" s="327" t="str">
        <f>IF(PA!AA155="","",PA!AA155)</f>
        <v/>
      </c>
      <c r="K153" s="327" t="str">
        <f>IF(PA!AB155="","",PA!AB155)</f>
        <v/>
      </c>
      <c r="L153" s="327" t="str">
        <f>IF(PA!AC155="","",PA!AC155)</f>
        <v/>
      </c>
      <c r="M153" s="328" t="str">
        <f>IF(PA!P155="","",PA!P155)</f>
        <v/>
      </c>
    </row>
    <row r="154" spans="1:13" ht="14.4" x14ac:dyDescent="0.3">
      <c r="A154" s="329">
        <f>Data!E151</f>
        <v>27</v>
      </c>
      <c r="B154" s="330" t="str">
        <f>IF(Data!F151="","",Data!F151)</f>
        <v>03721</v>
      </c>
      <c r="C154" s="330">
        <f>IF(Data!G151="","",Data!G151)</f>
        <v>3129636775</v>
      </c>
      <c r="D154" s="331" t="str">
        <f>IF(Data!H151="","",Data!H151)</f>
        <v>Sanniyyah Aqilah</v>
      </c>
      <c r="E154" s="330" t="str">
        <f>IF(Data!I151="","",Data!I151)</f>
        <v>Perempuan</v>
      </c>
      <c r="F154" s="332" t="str">
        <f>IF(Data!J151="","",Data!J151)</f>
        <v>VIII-D</v>
      </c>
      <c r="G154" s="326">
        <f>IF(PA!G156="","",PA!G156)</f>
        <v>90</v>
      </c>
      <c r="H154" s="327">
        <f>IF(PA!H156="","",PA!H156)</f>
        <v>85.1</v>
      </c>
      <c r="I154" s="327">
        <f>IF(PA!I156="","",PA!I156)</f>
        <v>85</v>
      </c>
      <c r="J154" s="327" t="str">
        <f>IF(PA!AA156="","",PA!AA156)</f>
        <v/>
      </c>
      <c r="K154" s="327" t="str">
        <f>IF(PA!AB156="","",PA!AB156)</f>
        <v/>
      </c>
      <c r="L154" s="327" t="str">
        <f>IF(PA!AC156="","",PA!AC156)</f>
        <v/>
      </c>
      <c r="M154" s="328" t="str">
        <f>IF(PA!P156="","",PA!P156)</f>
        <v/>
      </c>
    </row>
    <row r="155" spans="1:13" ht="14.4" x14ac:dyDescent="0.3">
      <c r="A155" s="329">
        <f>Data!E152</f>
        <v>28</v>
      </c>
      <c r="B155" s="330" t="str">
        <f>IF(Data!F152="","",Data!F152)</f>
        <v>03725</v>
      </c>
      <c r="C155" s="330">
        <f>IF(Data!G152="","",Data!G152)</f>
        <v>3120947572</v>
      </c>
      <c r="D155" s="331" t="str">
        <f>IF(Data!H152="","",Data!H152)</f>
        <v>Shafya Pramesti Putri Hanifa</v>
      </c>
      <c r="E155" s="330" t="str">
        <f>IF(Data!I152="","",Data!I152)</f>
        <v>Perempuan</v>
      </c>
      <c r="F155" s="332" t="str">
        <f>IF(Data!J152="","",Data!J152)</f>
        <v>VIII-D</v>
      </c>
      <c r="G155" s="326">
        <f>IF(PA!G157="","",PA!G157)</f>
        <v>85.1</v>
      </c>
      <c r="H155" s="327">
        <f>IF(PA!H157="","",PA!H157)</f>
        <v>80.2</v>
      </c>
      <c r="I155" s="327">
        <f>IF(PA!I157="","",PA!I157)</f>
        <v>80</v>
      </c>
      <c r="J155" s="327" t="str">
        <f>IF(PA!AA157="","",PA!AA157)</f>
        <v/>
      </c>
      <c r="K155" s="327" t="str">
        <f>IF(PA!AB157="","",PA!AB157)</f>
        <v/>
      </c>
      <c r="L155" s="327" t="str">
        <f>IF(PA!AC157="","",PA!AC157)</f>
        <v/>
      </c>
      <c r="M155" s="328" t="str">
        <f>IF(PA!P157="","",PA!P157)</f>
        <v/>
      </c>
    </row>
    <row r="156" spans="1:13" ht="14.4" x14ac:dyDescent="0.3">
      <c r="A156" s="329">
        <f>Data!E153</f>
        <v>29</v>
      </c>
      <c r="B156" s="330" t="str">
        <f>IF(Data!F153="","",Data!F153)</f>
        <v>03730</v>
      </c>
      <c r="C156" s="330" t="str">
        <f>IF(Data!G153="","",Data!G153)</f>
        <v>0121142539</v>
      </c>
      <c r="D156" s="331" t="str">
        <f>IF(Data!H153="","",Data!H153)</f>
        <v>Sofia Dhia Afra Amelia</v>
      </c>
      <c r="E156" s="330" t="str">
        <f>IF(Data!I153="","",Data!I153)</f>
        <v>Perempuan</v>
      </c>
      <c r="F156" s="332" t="str">
        <f>IF(Data!J153="","",Data!J153)</f>
        <v>VIII-D</v>
      </c>
      <c r="G156" s="326">
        <f>IF(PA!G158="","",PA!G158)</f>
        <v>80.099999999999994</v>
      </c>
      <c r="H156" s="327">
        <f>IF(PA!H158="","",PA!H158)</f>
        <v>80</v>
      </c>
      <c r="I156" s="327">
        <f>IF(PA!I158="","",PA!I158)</f>
        <v>78</v>
      </c>
      <c r="J156" s="327" t="str">
        <f>IF(PA!AA158="","",PA!AA158)</f>
        <v/>
      </c>
      <c r="K156" s="327" t="str">
        <f>IF(PA!AB158="","",PA!AB158)</f>
        <v/>
      </c>
      <c r="L156" s="327" t="str">
        <f>IF(PA!AC158="","",PA!AC158)</f>
        <v/>
      </c>
      <c r="M156" s="328" t="str">
        <f>IF(PA!P158="","",PA!P158)</f>
        <v/>
      </c>
    </row>
    <row r="157" spans="1:13" ht="14.4" x14ac:dyDescent="0.3">
      <c r="A157" s="329">
        <f>Data!E154</f>
        <v>30</v>
      </c>
      <c r="B157" s="330" t="str">
        <f>IF(Data!F154="","",Data!F154)</f>
        <v>03732</v>
      </c>
      <c r="C157" s="330" t="str">
        <f>IF(Data!G154="","",Data!G154)</f>
        <v>3121328760</v>
      </c>
      <c r="D157" s="331" t="str">
        <f>IF(Data!H154="","",Data!H154)</f>
        <v>Syafa Zahrotu Sita Azzahra</v>
      </c>
      <c r="E157" s="330" t="str">
        <f>IF(Data!I154="","",Data!I154)</f>
        <v>Perempuan</v>
      </c>
      <c r="F157" s="332" t="str">
        <f>IF(Data!J154="","",Data!J154)</f>
        <v>VIII-D</v>
      </c>
      <c r="G157" s="326">
        <f>IF(PA!G159="","",PA!G159)</f>
        <v>100</v>
      </c>
      <c r="H157" s="327">
        <f>IF(PA!H159="","",PA!H159)</f>
        <v>83</v>
      </c>
      <c r="I157" s="327">
        <f>IF(PA!I159="","",PA!I159)</f>
        <v>95.1</v>
      </c>
      <c r="J157" s="327" t="str">
        <f>IF(PA!AA159="","",PA!AA159)</f>
        <v/>
      </c>
      <c r="K157" s="327" t="str">
        <f>IF(PA!AB159="","",PA!AB159)</f>
        <v/>
      </c>
      <c r="L157" s="327" t="str">
        <f>IF(PA!AC159="","",PA!AC159)</f>
        <v/>
      </c>
      <c r="M157" s="328" t="str">
        <f>IF(PA!P159="","",PA!P159)</f>
        <v/>
      </c>
    </row>
    <row r="158" spans="1:13" ht="14.4" x14ac:dyDescent="0.3">
      <c r="A158" s="329">
        <f>Data!E155</f>
        <v>31</v>
      </c>
      <c r="B158" s="330" t="str">
        <f>IF(Data!F155="","",Data!F155)</f>
        <v>03735</v>
      </c>
      <c r="C158" s="330">
        <f>IF(Data!G155="","",Data!G155)</f>
        <v>3126803916</v>
      </c>
      <c r="D158" s="331" t="str">
        <f>IF(Data!H155="","",Data!H155)</f>
        <v>Syifaatar Rohmah</v>
      </c>
      <c r="E158" s="330" t="str">
        <f>IF(Data!I155="","",Data!I155)</f>
        <v>Perempuan</v>
      </c>
      <c r="F158" s="332" t="str">
        <f>IF(Data!J155="","",Data!J155)</f>
        <v>VIII-D</v>
      </c>
      <c r="G158" s="326">
        <f>IF(PA!G160="","",PA!G160)</f>
        <v>80</v>
      </c>
      <c r="H158" s="327">
        <f>IF(PA!H160="","",PA!H160)</f>
        <v>85.1</v>
      </c>
      <c r="I158" s="327">
        <f>IF(PA!I160="","",PA!I160)</f>
        <v>88</v>
      </c>
      <c r="J158" s="327" t="str">
        <f>IF(PA!AA160="","",PA!AA160)</f>
        <v/>
      </c>
      <c r="K158" s="327" t="str">
        <f>IF(PA!AB160="","",PA!AB160)</f>
        <v/>
      </c>
      <c r="L158" s="327" t="str">
        <f>IF(PA!AC160="","",PA!AC160)</f>
        <v/>
      </c>
      <c r="M158" s="328" t="str">
        <f>IF(PA!P160="","",PA!P160)</f>
        <v/>
      </c>
    </row>
    <row r="159" spans="1:13" ht="14.4" x14ac:dyDescent="0.3">
      <c r="A159" s="329">
        <f>Data!E156</f>
        <v>32</v>
      </c>
      <c r="B159" s="330" t="str">
        <f>IF(Data!F156="","",Data!F156)</f>
        <v>03744</v>
      </c>
      <c r="C159" s="330" t="str">
        <f>IF(Data!G156="","",Data!G156)</f>
        <v>0121285914</v>
      </c>
      <c r="D159" s="331" t="str">
        <f>IF(Data!H156="","",Data!H156)</f>
        <v>Zahra Nur Anifa</v>
      </c>
      <c r="E159" s="330" t="str">
        <f>IF(Data!I156="","",Data!I156)</f>
        <v>Perempuan</v>
      </c>
      <c r="F159" s="332" t="str">
        <f>IF(Data!J156="","",Data!J156)</f>
        <v>VIII-D</v>
      </c>
      <c r="G159" s="326">
        <f>IF(PA!G161="","",PA!G161)</f>
        <v>85.1</v>
      </c>
      <c r="H159" s="327">
        <f>IF(PA!H161="","",PA!H161)</f>
        <v>80</v>
      </c>
      <c r="I159" s="327">
        <f>IF(PA!I161="","",PA!I161)</f>
        <v>78</v>
      </c>
      <c r="J159" s="327" t="str">
        <f>IF(PA!AA161="","",PA!AA161)</f>
        <v/>
      </c>
      <c r="K159" s="327" t="str">
        <f>IF(PA!AB161="","",PA!AB161)</f>
        <v/>
      </c>
      <c r="L159" s="327" t="str">
        <f>IF(PA!AC161="","",PA!AC161)</f>
        <v/>
      </c>
      <c r="M159" s="328" t="str">
        <f>IF(PA!P161="","",PA!P161)</f>
        <v/>
      </c>
    </row>
    <row r="160" spans="1:13" ht="14.4" x14ac:dyDescent="0.3">
      <c r="A160" s="329">
        <f>Data!E157</f>
        <v>33</v>
      </c>
      <c r="B160" s="330" t="str">
        <f>IF(Data!F157="","",Data!F157)</f>
        <v>03745</v>
      </c>
      <c r="C160" s="330">
        <f>IF(Data!G157="","",Data!G157)</f>
        <v>3129511609</v>
      </c>
      <c r="D160" s="331" t="str">
        <f>IF(Data!H157="","",Data!H157)</f>
        <v>Zahro Aliyatul Khusna</v>
      </c>
      <c r="E160" s="330" t="str">
        <f>IF(Data!I157="","",Data!I157)</f>
        <v>Perempuan</v>
      </c>
      <c r="F160" s="332" t="str">
        <f>IF(Data!J157="","",Data!J157)</f>
        <v>VIII-D</v>
      </c>
      <c r="G160" s="326">
        <f>IF(PA!G162="","",PA!G162)</f>
        <v>85.1</v>
      </c>
      <c r="H160" s="327">
        <f>IF(PA!H162="","",PA!H162)</f>
        <v>85</v>
      </c>
      <c r="I160" s="327">
        <f>IF(PA!I162="","",PA!I162)</f>
        <v>80</v>
      </c>
      <c r="J160" s="327" t="str">
        <f>IF(PA!AA162="","",PA!AA162)</f>
        <v/>
      </c>
      <c r="K160" s="327" t="str">
        <f>IF(PA!AB162="","",PA!AB162)</f>
        <v/>
      </c>
      <c r="L160" s="327" t="str">
        <f>IF(PA!AC162="","",PA!AC162)</f>
        <v/>
      </c>
      <c r="M160" s="328" t="str">
        <f>IF(PA!P162="","",PA!P162)</f>
        <v/>
      </c>
    </row>
    <row r="161" spans="1:13" ht="14.4" x14ac:dyDescent="0.3">
      <c r="A161" s="329">
        <f>Data!E158</f>
        <v>34</v>
      </c>
      <c r="B161" s="330" t="str">
        <f>IF(Data!F158="","",Data!F158)</f>
        <v>03746</v>
      </c>
      <c r="C161" s="330" t="str">
        <f>IF(Data!G158="","",Data!G158)</f>
        <v>3123084704</v>
      </c>
      <c r="D161" s="331" t="str">
        <f>IF(Data!H158="","",Data!H158)</f>
        <v>Zahrotul Ilmada Chifa</v>
      </c>
      <c r="E161" s="330" t="str">
        <f>IF(Data!I158="","",Data!I158)</f>
        <v>Perempuan</v>
      </c>
      <c r="F161" s="332" t="str">
        <f>IF(Data!J158="","",Data!J158)</f>
        <v>VIII-D</v>
      </c>
      <c r="G161" s="326">
        <f>IF(PA!G163="","",PA!G163)</f>
        <v>95</v>
      </c>
      <c r="H161" s="327">
        <f>IF(PA!H163="","",PA!H163)</f>
        <v>90</v>
      </c>
      <c r="I161" s="327">
        <f>IF(PA!I163="","",PA!I163)</f>
        <v>85.1</v>
      </c>
      <c r="J161" s="327" t="str">
        <f>IF(PA!AA163="","",PA!AA163)</f>
        <v/>
      </c>
      <c r="K161" s="327" t="str">
        <f>IF(PA!AB163="","",PA!AB163)</f>
        <v/>
      </c>
      <c r="L161" s="327" t="str">
        <f>IF(PA!AC163="","",PA!AC163)</f>
        <v/>
      </c>
      <c r="M161" s="328" t="str">
        <f>IF(PA!P163="","",PA!P163)</f>
        <v/>
      </c>
    </row>
    <row r="162" spans="1:13" ht="14.4" x14ac:dyDescent="0.3">
      <c r="A162" s="329">
        <f>Data!E159</f>
        <v>35</v>
      </c>
      <c r="B162" s="330" t="str">
        <f>IF(Data!F159="","",Data!F159)</f>
        <v>03751</v>
      </c>
      <c r="C162" s="330" t="str">
        <f>IF(Data!G159="","",Data!G159)</f>
        <v>3122535081</v>
      </c>
      <c r="D162" s="331" t="str">
        <f>IF(Data!H159="","",Data!H159)</f>
        <v>Zivana Raisa Yasmin</v>
      </c>
      <c r="E162" s="330" t="str">
        <f>IF(Data!I159="","",Data!I159)</f>
        <v>Perempuan</v>
      </c>
      <c r="F162" s="332" t="str">
        <f>IF(Data!J159="","",Data!J159)</f>
        <v>VIII-D</v>
      </c>
      <c r="G162" s="326">
        <f>IF(PA!G164="","",PA!G164)</f>
        <v>95.1</v>
      </c>
      <c r="H162" s="327">
        <f>IF(PA!H164="","",PA!H164)</f>
        <v>95</v>
      </c>
      <c r="I162" s="327">
        <f>IF(PA!I164="","",PA!I164)</f>
        <v>85.2</v>
      </c>
      <c r="J162" s="327" t="str">
        <f>IF(PA!AA164="","",PA!AA164)</f>
        <v/>
      </c>
      <c r="K162" s="327" t="str">
        <f>IF(PA!AB164="","",PA!AB164)</f>
        <v/>
      </c>
      <c r="L162" s="327" t="str">
        <f>IF(PA!AC164="","",PA!AC164)</f>
        <v/>
      </c>
      <c r="M162" s="328" t="str">
        <f>IF(PA!P164="","",PA!P164)</f>
        <v/>
      </c>
    </row>
    <row r="163" spans="1:13" ht="14.4" x14ac:dyDescent="0.3">
      <c r="A163" s="329">
        <f>Data!E160</f>
        <v>36</v>
      </c>
      <c r="B163" s="330" t="str">
        <f>IF(Data!F160="","",Data!F160)</f>
        <v/>
      </c>
      <c r="C163" s="330" t="str">
        <f>IF(Data!G160="","",Data!G160)</f>
        <v/>
      </c>
      <c r="D163" s="331" t="str">
        <f>IF(Data!H160="","",Data!H160)</f>
        <v/>
      </c>
      <c r="E163" s="330" t="str">
        <f>IF(Data!I160="","",Data!I160)</f>
        <v/>
      </c>
      <c r="F163" s="332" t="str">
        <f>IF(Data!J160="","",Data!J160)</f>
        <v>VIII-D</v>
      </c>
      <c r="G163" s="326" t="str">
        <f>IF(PA!G165="","",PA!G165)</f>
        <v/>
      </c>
      <c r="H163" s="327" t="str">
        <f>IF(PA!H165="","",PA!H165)</f>
        <v/>
      </c>
      <c r="I163" s="327" t="str">
        <f>IF(PA!I165="","",PA!I165)</f>
        <v/>
      </c>
      <c r="J163" s="327" t="str">
        <f>IF(PA!AA165="","",PA!AA165)</f>
        <v/>
      </c>
      <c r="K163" s="327" t="str">
        <f>IF(PA!AB165="","",PA!AB165)</f>
        <v/>
      </c>
      <c r="L163" s="327" t="str">
        <f>IF(PA!AC165="","",PA!AC165)</f>
        <v/>
      </c>
      <c r="M163" s="328" t="str">
        <f>IF(PA!P165="","",PA!P165)</f>
        <v/>
      </c>
    </row>
    <row r="164" spans="1:13" ht="14.4" x14ac:dyDescent="0.3">
      <c r="A164" s="329">
        <f>Data!E161</f>
        <v>37</v>
      </c>
      <c r="B164" s="330" t="str">
        <f>IF(Data!F161="","",Data!F161)</f>
        <v/>
      </c>
      <c r="C164" s="330" t="str">
        <f>IF(Data!G161="","",Data!G161)</f>
        <v/>
      </c>
      <c r="D164" s="331" t="str">
        <f>IF(Data!H161="","",Data!H161)</f>
        <v/>
      </c>
      <c r="E164" s="330" t="str">
        <f>IF(Data!I161="","",Data!I161)</f>
        <v/>
      </c>
      <c r="F164" s="332" t="str">
        <f>IF(Data!J161="","",Data!J161)</f>
        <v>VIII-D</v>
      </c>
      <c r="G164" s="326" t="str">
        <f>IF(PA!G166="","",PA!G166)</f>
        <v/>
      </c>
      <c r="H164" s="327" t="str">
        <f>IF(PA!H166="","",PA!H166)</f>
        <v/>
      </c>
      <c r="I164" s="327" t="str">
        <f>IF(PA!I166="","",PA!I166)</f>
        <v/>
      </c>
      <c r="J164" s="327" t="str">
        <f>IF(PA!AA166="","",PA!AA166)</f>
        <v/>
      </c>
      <c r="K164" s="327" t="str">
        <f>IF(PA!AB166="","",PA!AB166)</f>
        <v/>
      </c>
      <c r="L164" s="327" t="str">
        <f>IF(PA!AC166="","",PA!AC166)</f>
        <v/>
      </c>
      <c r="M164" s="328" t="str">
        <f>IF(PA!P166="","",PA!P166)</f>
        <v/>
      </c>
    </row>
    <row r="165" spans="1:13" ht="14.4" x14ac:dyDescent="0.3">
      <c r="A165" s="329">
        <f>Data!E162</f>
        <v>38</v>
      </c>
      <c r="B165" s="330" t="str">
        <f>IF(Data!F162="","",Data!F162)</f>
        <v/>
      </c>
      <c r="C165" s="330" t="str">
        <f>IF(Data!G162="","",Data!G162)</f>
        <v/>
      </c>
      <c r="D165" s="331" t="str">
        <f>IF(Data!H162="","",Data!H162)</f>
        <v/>
      </c>
      <c r="E165" s="330" t="str">
        <f>IF(Data!I162="","",Data!I162)</f>
        <v/>
      </c>
      <c r="F165" s="332" t="str">
        <f>IF(Data!J162="","",Data!J162)</f>
        <v>VIII-D</v>
      </c>
      <c r="G165" s="326" t="str">
        <f>IF(PA!G167="","",PA!G167)</f>
        <v/>
      </c>
      <c r="H165" s="327" t="str">
        <f>IF(PA!H167="","",PA!H167)</f>
        <v/>
      </c>
      <c r="I165" s="327" t="str">
        <f>IF(PA!I167="","",PA!I167)</f>
        <v/>
      </c>
      <c r="J165" s="327" t="str">
        <f>IF(PA!AA167="","",PA!AA167)</f>
        <v/>
      </c>
      <c r="K165" s="327" t="str">
        <f>IF(PA!AB167="","",PA!AB167)</f>
        <v/>
      </c>
      <c r="L165" s="327" t="str">
        <f>IF(PA!AC167="","",PA!AC167)</f>
        <v/>
      </c>
      <c r="M165" s="328" t="str">
        <f>IF(PA!P167="","",PA!P167)</f>
        <v/>
      </c>
    </row>
    <row r="166" spans="1:13" ht="14.4" x14ac:dyDescent="0.3">
      <c r="A166" s="329">
        <f>Data!E163</f>
        <v>39</v>
      </c>
      <c r="B166" s="330" t="str">
        <f>IF(Data!F163="","",Data!F163)</f>
        <v/>
      </c>
      <c r="C166" s="330" t="str">
        <f>IF(Data!G163="","",Data!G163)</f>
        <v/>
      </c>
      <c r="D166" s="331" t="str">
        <f>IF(Data!H163="","",Data!H163)</f>
        <v/>
      </c>
      <c r="E166" s="330" t="str">
        <f>IF(Data!I163="","",Data!I163)</f>
        <v/>
      </c>
      <c r="F166" s="332" t="str">
        <f>IF(Data!J163="","",Data!J163)</f>
        <v>VIII-D</v>
      </c>
      <c r="G166" s="326" t="str">
        <f>IF(PA!G168="","",PA!G168)</f>
        <v/>
      </c>
      <c r="H166" s="327" t="str">
        <f>IF(PA!H168="","",PA!H168)</f>
        <v/>
      </c>
      <c r="I166" s="327" t="str">
        <f>IF(PA!I168="","",PA!I168)</f>
        <v/>
      </c>
      <c r="J166" s="327" t="str">
        <f>IF(PA!AA168="","",PA!AA168)</f>
        <v/>
      </c>
      <c r="K166" s="327" t="str">
        <f>IF(PA!AB168="","",PA!AB168)</f>
        <v/>
      </c>
      <c r="L166" s="327" t="str">
        <f>IF(PA!AC168="","",PA!AC168)</f>
        <v/>
      </c>
      <c r="M166" s="328" t="str">
        <f>IF(PA!P168="","",PA!P168)</f>
        <v/>
      </c>
    </row>
    <row r="167" spans="1:13" ht="15" thickBot="1" x14ac:dyDescent="0.35">
      <c r="A167" s="333">
        <f>Data!E164</f>
        <v>40</v>
      </c>
      <c r="B167" s="334" t="str">
        <f>IF(Data!F164="","",Data!F164)</f>
        <v/>
      </c>
      <c r="C167" s="334" t="str">
        <f>IF(Data!G164="","",Data!G164)</f>
        <v/>
      </c>
      <c r="D167" s="335" t="str">
        <f>IF(Data!H164="","",Data!H164)</f>
        <v/>
      </c>
      <c r="E167" s="334" t="str">
        <f>IF(Data!I164="","",Data!I164)</f>
        <v/>
      </c>
      <c r="F167" s="336" t="str">
        <f>IF(Data!J164="","",Data!J164)</f>
        <v>VIII-D</v>
      </c>
      <c r="G167" s="326" t="str">
        <f>IF(PA!G169="","",PA!G169)</f>
        <v/>
      </c>
      <c r="H167" s="327" t="str">
        <f>IF(PA!H169="","",PA!H169)</f>
        <v/>
      </c>
      <c r="I167" s="327" t="str">
        <f>IF(PA!I169="","",PA!I169)</f>
        <v/>
      </c>
      <c r="J167" s="327" t="str">
        <f>IF(PA!AA169="","",PA!AA169)</f>
        <v/>
      </c>
      <c r="K167" s="327" t="str">
        <f>IF(PA!AB169="","",PA!AB169)</f>
        <v/>
      </c>
      <c r="L167" s="327" t="str">
        <f>IF(PA!AC169="","",PA!AC169)</f>
        <v/>
      </c>
      <c r="M167" s="328" t="str">
        <f>IF(PA!P169="","",PA!P169)</f>
        <v/>
      </c>
    </row>
    <row r="168" spans="1:13" ht="15" thickTop="1" x14ac:dyDescent="0.3">
      <c r="A168" s="329">
        <f>Data!E165</f>
        <v>1</v>
      </c>
      <c r="B168" s="330" t="str">
        <f>IF(Data!F165="","",Data!F165)</f>
        <v>03629</v>
      </c>
      <c r="C168" s="330" t="str">
        <f>IF(Data!G165="","",Data!G165)</f>
        <v>3126582736</v>
      </c>
      <c r="D168" s="331" t="str">
        <f>IF(Data!H165="","",Data!H165)</f>
        <v>Afika Putri Aprilia Anjani</v>
      </c>
      <c r="E168" s="330" t="str">
        <f>IF(Data!I165="","",Data!I165)</f>
        <v>Perempuan</v>
      </c>
      <c r="F168" s="332" t="str">
        <f>IF(Data!J165="","",Data!J165)</f>
        <v>VIII-E</v>
      </c>
      <c r="G168" s="326" t="str">
        <f>IF(PA!G170="","",PA!G170)</f>
        <v/>
      </c>
      <c r="H168" s="327">
        <f>IF(PA!H170="","",PA!H170)</f>
        <v>95</v>
      </c>
      <c r="I168" s="327">
        <f>IF(PA!I170="","",PA!I170)</f>
        <v>85</v>
      </c>
      <c r="J168" s="327" t="str">
        <f>IF(PA!AA170="","",PA!AA170)</f>
        <v/>
      </c>
      <c r="K168" s="327" t="str">
        <f>IF(PA!AB170="","",PA!AB170)</f>
        <v/>
      </c>
      <c r="L168" s="327" t="str">
        <f>IF(PA!AC170="","",PA!AC170)</f>
        <v/>
      </c>
      <c r="M168" s="328" t="str">
        <f>IF(PA!P170="","",PA!P170)</f>
        <v/>
      </c>
    </row>
    <row r="169" spans="1:13" ht="14.4" x14ac:dyDescent="0.3">
      <c r="A169" s="329">
        <f>Data!E166</f>
        <v>2</v>
      </c>
      <c r="B169" s="330" t="str">
        <f>IF(Data!F166="","",Data!F166)</f>
        <v>03633</v>
      </c>
      <c r="C169" s="330" t="str">
        <f>IF(Data!G166="","",Data!G166)</f>
        <v>0121240575</v>
      </c>
      <c r="D169" s="331" t="str">
        <f>IF(Data!H166="","",Data!H166)</f>
        <v>Anindya Naura Ashnafil Tazkiyah</v>
      </c>
      <c r="E169" s="330" t="str">
        <f>IF(Data!I166="","",Data!I166)</f>
        <v>Perempuan</v>
      </c>
      <c r="F169" s="332" t="str">
        <f>IF(Data!J166="","",Data!J166)</f>
        <v>VIII-E</v>
      </c>
      <c r="G169" s="326" t="str">
        <f>IF(PA!G171="","",PA!G171)</f>
        <v/>
      </c>
      <c r="H169" s="327">
        <f>IF(PA!H171="","",PA!H171)</f>
        <v>78</v>
      </c>
      <c r="I169" s="327">
        <f>IF(PA!I171="","",PA!I171)</f>
        <v>80</v>
      </c>
      <c r="J169" s="327" t="str">
        <f>IF(PA!AA171="","",PA!AA171)</f>
        <v/>
      </c>
      <c r="K169" s="327" t="str">
        <f>IF(PA!AB171="","",PA!AB171)</f>
        <v/>
      </c>
      <c r="L169" s="327" t="str">
        <f>IF(PA!AC171="","",PA!AC171)</f>
        <v/>
      </c>
      <c r="M169" s="328" t="str">
        <f>IF(PA!P171="","",PA!P171)</f>
        <v/>
      </c>
    </row>
    <row r="170" spans="1:13" ht="14.4" x14ac:dyDescent="0.3">
      <c r="A170" s="329">
        <f>Data!E167</f>
        <v>3</v>
      </c>
      <c r="B170" s="330" t="str">
        <f>IF(Data!F167="","",Data!F167)</f>
        <v>03635</v>
      </c>
      <c r="C170" s="330">
        <f>IF(Data!G167="","",Data!G167)</f>
        <v>3139371349</v>
      </c>
      <c r="D170" s="331" t="str">
        <f>IF(Data!H167="","",Data!H167)</f>
        <v>Aprilia Zaskya Putri Inara</v>
      </c>
      <c r="E170" s="330" t="str">
        <f>IF(Data!I167="","",Data!I167)</f>
        <v>Perempuan</v>
      </c>
      <c r="F170" s="332" t="str">
        <f>IF(Data!J167="","",Data!J167)</f>
        <v>VIII-E</v>
      </c>
      <c r="G170" s="326" t="str">
        <f>IF(PA!G172="","",PA!G172)</f>
        <v/>
      </c>
      <c r="H170" s="327">
        <f>IF(PA!H172="","",PA!H172)</f>
        <v>78</v>
      </c>
      <c r="I170" s="327">
        <f>IF(PA!I172="","",PA!I172)</f>
        <v>80</v>
      </c>
      <c r="J170" s="327" t="str">
        <f>IF(PA!AA172="","",PA!AA172)</f>
        <v/>
      </c>
      <c r="K170" s="327" t="str">
        <f>IF(PA!AB172="","",PA!AB172)</f>
        <v/>
      </c>
      <c r="L170" s="327" t="str">
        <f>IF(PA!AC172="","",PA!AC172)</f>
        <v/>
      </c>
      <c r="M170" s="328" t="str">
        <f>IF(PA!P172="","",PA!P172)</f>
        <v/>
      </c>
    </row>
    <row r="171" spans="1:13" ht="14.4" x14ac:dyDescent="0.3">
      <c r="A171" s="329">
        <f>Data!E168</f>
        <v>4</v>
      </c>
      <c r="B171" s="330" t="str">
        <f>IF(Data!F168="","",Data!F168)</f>
        <v>03636</v>
      </c>
      <c r="C171" s="330">
        <f>IF(Data!G168="","",Data!G168)</f>
        <v>3132671376</v>
      </c>
      <c r="D171" s="331" t="str">
        <f>IF(Data!H168="","",Data!H168)</f>
        <v>Aqila Syauqina Hidayati</v>
      </c>
      <c r="E171" s="330" t="str">
        <f>IF(Data!I168="","",Data!I168)</f>
        <v>Perempuan</v>
      </c>
      <c r="F171" s="332" t="str">
        <f>IF(Data!J168="","",Data!J168)</f>
        <v>VIII-E</v>
      </c>
      <c r="G171" s="326" t="str">
        <f>IF(PA!G173="","",PA!G173)</f>
        <v/>
      </c>
      <c r="H171" s="327">
        <f>IF(PA!H173="","",PA!H173)</f>
        <v>95</v>
      </c>
      <c r="I171" s="327">
        <f>IF(PA!I173="","",PA!I173)</f>
        <v>85</v>
      </c>
      <c r="J171" s="327" t="str">
        <f>IF(PA!AA173="","",PA!AA173)</f>
        <v/>
      </c>
      <c r="K171" s="327" t="str">
        <f>IF(PA!AB173="","",PA!AB173)</f>
        <v/>
      </c>
      <c r="L171" s="327" t="str">
        <f>IF(PA!AC173="","",PA!AC173)</f>
        <v/>
      </c>
      <c r="M171" s="328" t="str">
        <f>IF(PA!P173="","",PA!P173)</f>
        <v/>
      </c>
    </row>
    <row r="172" spans="1:13" ht="14.4" x14ac:dyDescent="0.3">
      <c r="A172" s="329">
        <f>Data!E169</f>
        <v>5</v>
      </c>
      <c r="B172" s="330" t="str">
        <f>IF(Data!F169="","",Data!F169)</f>
        <v>03641</v>
      </c>
      <c r="C172" s="330">
        <f>IF(Data!G169="","",Data!G169)</f>
        <v>3130873902</v>
      </c>
      <c r="D172" s="331" t="str">
        <f>IF(Data!H169="","",Data!H169)</f>
        <v>Atma Listya Atho'illah</v>
      </c>
      <c r="E172" s="330" t="str">
        <f>IF(Data!I169="","",Data!I169)</f>
        <v>Perempuan</v>
      </c>
      <c r="F172" s="332" t="str">
        <f>IF(Data!J169="","",Data!J169)</f>
        <v>VIII-E</v>
      </c>
      <c r="G172" s="326" t="str">
        <f>IF(PA!G174="","",PA!G174)</f>
        <v/>
      </c>
      <c r="H172" s="327">
        <f>IF(PA!H174="","",PA!H174)</f>
        <v>80.099999999999994</v>
      </c>
      <c r="I172" s="327">
        <f>IF(PA!I174="","",PA!I174)</f>
        <v>85</v>
      </c>
      <c r="J172" s="327" t="str">
        <f>IF(PA!AA174="","",PA!AA174)</f>
        <v/>
      </c>
      <c r="K172" s="327" t="str">
        <f>IF(PA!AB174="","",PA!AB174)</f>
        <v/>
      </c>
      <c r="L172" s="327" t="str">
        <f>IF(PA!AC174="","",PA!AC174)</f>
        <v/>
      </c>
      <c r="M172" s="328" t="str">
        <f>IF(PA!P174="","",PA!P174)</f>
        <v/>
      </c>
    </row>
    <row r="173" spans="1:13" ht="14.4" x14ac:dyDescent="0.3">
      <c r="A173" s="329">
        <f>Data!E170</f>
        <v>6</v>
      </c>
      <c r="B173" s="330" t="str">
        <f>IF(Data!F170="","",Data!F170)</f>
        <v>03642</v>
      </c>
      <c r="C173" s="330" t="str">
        <f>IF(Data!G170="","",Data!G170)</f>
        <v>0121158282</v>
      </c>
      <c r="D173" s="331" t="str">
        <f>IF(Data!H170="","",Data!H170)</f>
        <v>Aulia Az-Zahra Ramadhani</v>
      </c>
      <c r="E173" s="330" t="str">
        <f>IF(Data!I170="","",Data!I170)</f>
        <v>Perempuan</v>
      </c>
      <c r="F173" s="332" t="str">
        <f>IF(Data!J170="","",Data!J170)</f>
        <v>VIII-E</v>
      </c>
      <c r="G173" s="326" t="str">
        <f>IF(PA!G175="","",PA!G175)</f>
        <v/>
      </c>
      <c r="H173" s="327">
        <f>IF(PA!H175="","",PA!H175)</f>
        <v>90</v>
      </c>
      <c r="I173" s="327">
        <f>IF(PA!I175="","",PA!I175)</f>
        <v>85</v>
      </c>
      <c r="J173" s="327" t="str">
        <f>IF(PA!AA175="","",PA!AA175)</f>
        <v/>
      </c>
      <c r="K173" s="327" t="str">
        <f>IF(PA!AB175="","",PA!AB175)</f>
        <v/>
      </c>
      <c r="L173" s="327" t="str">
        <f>IF(PA!AC175="","",PA!AC175)</f>
        <v/>
      </c>
      <c r="M173" s="328" t="str">
        <f>IF(PA!P175="","",PA!P175)</f>
        <v/>
      </c>
    </row>
    <row r="174" spans="1:13" ht="14.4" x14ac:dyDescent="0.3">
      <c r="A174" s="329">
        <f>Data!E171</f>
        <v>7</v>
      </c>
      <c r="B174" s="330" t="str">
        <f>IF(Data!F171="","",Data!F171)</f>
        <v>03656</v>
      </c>
      <c r="C174" s="330">
        <f>IF(Data!G171="","",Data!G171)</f>
        <v>3125556973</v>
      </c>
      <c r="D174" s="331" t="str">
        <f>IF(Data!H171="","",Data!H171)</f>
        <v>Deva Renata Diyantika Putri</v>
      </c>
      <c r="E174" s="330" t="str">
        <f>IF(Data!I171="","",Data!I171)</f>
        <v>Perempuan</v>
      </c>
      <c r="F174" s="332" t="str">
        <f>IF(Data!J171="","",Data!J171)</f>
        <v>VIII-E</v>
      </c>
      <c r="G174" s="326" t="str">
        <f>IF(PA!G176="","",PA!G176)</f>
        <v/>
      </c>
      <c r="H174" s="327">
        <f>IF(PA!H176="","",PA!H176)</f>
        <v>78</v>
      </c>
      <c r="I174" s="327">
        <f>IF(PA!I176="","",PA!I176)</f>
        <v>80.099999999999994</v>
      </c>
      <c r="J174" s="327" t="str">
        <f>IF(PA!AA176="","",PA!AA176)</f>
        <v/>
      </c>
      <c r="K174" s="327" t="str">
        <f>IF(PA!AB176="","",PA!AB176)</f>
        <v/>
      </c>
      <c r="L174" s="327" t="str">
        <f>IF(PA!AC176="","",PA!AC176)</f>
        <v/>
      </c>
      <c r="M174" s="328" t="str">
        <f>IF(PA!P176="","",PA!P176)</f>
        <v/>
      </c>
    </row>
    <row r="175" spans="1:13" ht="14.4" x14ac:dyDescent="0.3">
      <c r="A175" s="329">
        <f>Data!E172</f>
        <v>8</v>
      </c>
      <c r="B175" s="330" t="str">
        <f>IF(Data!F172="","",Data!F172)</f>
        <v>03657</v>
      </c>
      <c r="C175" s="330">
        <f>IF(Data!G172="","",Data!G172)</f>
        <v>3121041677</v>
      </c>
      <c r="D175" s="331" t="str">
        <f>IF(Data!H172="","",Data!H172)</f>
        <v>Devira Widariani Putri</v>
      </c>
      <c r="E175" s="330" t="str">
        <f>IF(Data!I172="","",Data!I172)</f>
        <v>Perempuan</v>
      </c>
      <c r="F175" s="332" t="str">
        <f>IF(Data!J172="","",Data!J172)</f>
        <v>VIII-E</v>
      </c>
      <c r="G175" s="326" t="str">
        <f>IF(PA!G177="","",PA!G177)</f>
        <v/>
      </c>
      <c r="H175" s="327">
        <f>IF(PA!H177="","",PA!H177)</f>
        <v>90</v>
      </c>
      <c r="I175" s="327">
        <f>IF(PA!I177="","",PA!I177)</f>
        <v>85</v>
      </c>
      <c r="J175" s="327" t="str">
        <f>IF(PA!AA177="","",PA!AA177)</f>
        <v/>
      </c>
      <c r="K175" s="327" t="str">
        <f>IF(PA!AB177="","",PA!AB177)</f>
        <v/>
      </c>
      <c r="L175" s="327" t="str">
        <f>IF(PA!AC177="","",PA!AC177)</f>
        <v/>
      </c>
      <c r="M175" s="328" t="str">
        <f>IF(PA!P177="","",PA!P177)</f>
        <v/>
      </c>
    </row>
    <row r="176" spans="1:13" ht="14.4" x14ac:dyDescent="0.3">
      <c r="A176" s="329">
        <f>Data!E173</f>
        <v>9</v>
      </c>
      <c r="B176" s="330" t="str">
        <f>IF(Data!F173="","",Data!F173)</f>
        <v>03659</v>
      </c>
      <c r="C176" s="330" t="str">
        <f>IF(Data!G173="","",Data!G173)</f>
        <v>0128507481</v>
      </c>
      <c r="D176" s="331" t="str">
        <f>IF(Data!H173="","",Data!H173)</f>
        <v>Dhenova Hafiza Khaira Lubna</v>
      </c>
      <c r="E176" s="330" t="str">
        <f>IF(Data!I173="","",Data!I173)</f>
        <v>Perempuan</v>
      </c>
      <c r="F176" s="332" t="str">
        <f>IF(Data!J173="","",Data!J173)</f>
        <v>VIII-E</v>
      </c>
      <c r="G176" s="326" t="str">
        <f>IF(PA!G178="","",PA!G178)</f>
        <v/>
      </c>
      <c r="H176" s="327">
        <f>IF(PA!H178="","",PA!H178)</f>
        <v>80.099999999999994</v>
      </c>
      <c r="I176" s="327">
        <f>IF(PA!I178="","",PA!I178)</f>
        <v>85</v>
      </c>
      <c r="J176" s="327" t="str">
        <f>IF(PA!AA178="","",PA!AA178)</f>
        <v/>
      </c>
      <c r="K176" s="327" t="str">
        <f>IF(PA!AB178="","",PA!AB178)</f>
        <v/>
      </c>
      <c r="L176" s="327" t="str">
        <f>IF(PA!AC178="","",PA!AC178)</f>
        <v/>
      </c>
      <c r="M176" s="328" t="str">
        <f>IF(PA!P178="","",PA!P178)</f>
        <v/>
      </c>
    </row>
    <row r="177" spans="1:13" ht="14.4" x14ac:dyDescent="0.3">
      <c r="A177" s="329">
        <f>Data!E174</f>
        <v>10</v>
      </c>
      <c r="B177" s="330" t="str">
        <f>IF(Data!F174="","",Data!F174)</f>
        <v>03660</v>
      </c>
      <c r="C177" s="330" t="str">
        <f>IF(Data!G174="","",Data!G174)</f>
        <v>0128353025</v>
      </c>
      <c r="D177" s="331" t="str">
        <f>IF(Data!H174="","",Data!H174)</f>
        <v>Diah Putri Dwi Lestari</v>
      </c>
      <c r="E177" s="330" t="str">
        <f>IF(Data!I174="","",Data!I174)</f>
        <v>Perempuan</v>
      </c>
      <c r="F177" s="332" t="str">
        <f>IF(Data!J174="","",Data!J174)</f>
        <v>VIII-E</v>
      </c>
      <c r="G177" s="326" t="str">
        <f>IF(PA!G179="","",PA!G179)</f>
        <v/>
      </c>
      <c r="H177" s="327">
        <f>IF(PA!H179="","",PA!H179)</f>
        <v>90</v>
      </c>
      <c r="I177" s="327">
        <f>IF(PA!I179="","",PA!I179)</f>
        <v>85.1</v>
      </c>
      <c r="J177" s="327" t="str">
        <f>IF(PA!AA179="","",PA!AA179)</f>
        <v/>
      </c>
      <c r="K177" s="327" t="str">
        <f>IF(PA!AB179="","",PA!AB179)</f>
        <v/>
      </c>
      <c r="L177" s="327" t="str">
        <f>IF(PA!AC179="","",PA!AC179)</f>
        <v/>
      </c>
      <c r="M177" s="328" t="str">
        <f>IF(PA!P179="","",PA!P179)</f>
        <v/>
      </c>
    </row>
    <row r="178" spans="1:13" ht="14.4" x14ac:dyDescent="0.3">
      <c r="A178" s="329">
        <f>Data!E175</f>
        <v>11</v>
      </c>
      <c r="B178" s="330" t="str">
        <f>IF(Data!F175="","",Data!F175)</f>
        <v>03666</v>
      </c>
      <c r="C178" s="330" t="str">
        <f>IF(Data!G175="","",Data!G175)</f>
        <v>0139082705</v>
      </c>
      <c r="D178" s="331" t="str">
        <f>IF(Data!H175="","",Data!H175)</f>
        <v>Ernita Izzatunnisa Musdalifa</v>
      </c>
      <c r="E178" s="330" t="str">
        <f>IF(Data!I175="","",Data!I175)</f>
        <v>Perempuan</v>
      </c>
      <c r="F178" s="332" t="str">
        <f>IF(Data!J175="","",Data!J175)</f>
        <v>VIII-E</v>
      </c>
      <c r="G178" s="326" t="str">
        <f>IF(PA!G180="","",PA!G180)</f>
        <v/>
      </c>
      <c r="H178" s="327">
        <f>IF(PA!H180="","",PA!H180)</f>
        <v>90</v>
      </c>
      <c r="I178" s="327">
        <f>IF(PA!I180="","",PA!I180)</f>
        <v>87</v>
      </c>
      <c r="J178" s="327" t="str">
        <f>IF(PA!AA180="","",PA!AA180)</f>
        <v/>
      </c>
      <c r="K178" s="327" t="str">
        <f>IF(PA!AB180="","",PA!AB180)</f>
        <v/>
      </c>
      <c r="L178" s="327" t="str">
        <f>IF(PA!AC180="","",PA!AC180)</f>
        <v/>
      </c>
      <c r="M178" s="328" t="str">
        <f>IF(PA!P180="","",PA!P180)</f>
        <v/>
      </c>
    </row>
    <row r="179" spans="1:13" ht="14.4" x14ac:dyDescent="0.3">
      <c r="A179" s="329">
        <f>Data!E176</f>
        <v>12</v>
      </c>
      <c r="B179" s="330" t="str">
        <f>IF(Data!F176="","",Data!F176)</f>
        <v>03667</v>
      </c>
      <c r="C179" s="330" t="str">
        <f>IF(Data!G176="","",Data!G176)</f>
        <v>3132403060</v>
      </c>
      <c r="D179" s="331" t="str">
        <f>IF(Data!H176="","",Data!H176)</f>
        <v>Erza Naila</v>
      </c>
      <c r="E179" s="330" t="str">
        <f>IF(Data!I176="","",Data!I176)</f>
        <v>Perempuan</v>
      </c>
      <c r="F179" s="332" t="str">
        <f>IF(Data!J176="","",Data!J176)</f>
        <v>VIII-E</v>
      </c>
      <c r="G179" s="326" t="str">
        <f>IF(PA!G181="","",PA!G181)</f>
        <v/>
      </c>
      <c r="H179" s="327">
        <f>IF(PA!H181="","",PA!H181)</f>
        <v>95</v>
      </c>
      <c r="I179" s="327">
        <f>IF(PA!I181="","",PA!I181)</f>
        <v>85</v>
      </c>
      <c r="J179" s="327" t="str">
        <f>IF(PA!AA181="","",PA!AA181)</f>
        <v/>
      </c>
      <c r="K179" s="327" t="str">
        <f>IF(PA!AB181="","",PA!AB181)</f>
        <v/>
      </c>
      <c r="L179" s="327" t="str">
        <f>IF(PA!AC181="","",PA!AC181)</f>
        <v/>
      </c>
      <c r="M179" s="328" t="str">
        <f>IF(PA!P181="","",PA!P181)</f>
        <v/>
      </c>
    </row>
    <row r="180" spans="1:13" ht="14.4" x14ac:dyDescent="0.3">
      <c r="A180" s="329">
        <f>Data!E177</f>
        <v>13</v>
      </c>
      <c r="B180" s="330" t="str">
        <f>IF(Data!F177="","",Data!F177)</f>
        <v>03668</v>
      </c>
      <c r="C180" s="330">
        <f>IF(Data!G177="","",Data!G177)</f>
        <v>3128554675</v>
      </c>
      <c r="D180" s="331" t="str">
        <f>IF(Data!H177="","",Data!H177)</f>
        <v>Faridatul Maulida</v>
      </c>
      <c r="E180" s="330" t="str">
        <f>IF(Data!I177="","",Data!I177)</f>
        <v>Perempuan</v>
      </c>
      <c r="F180" s="332" t="str">
        <f>IF(Data!J177="","",Data!J177)</f>
        <v>VIII-E</v>
      </c>
      <c r="G180" s="326" t="str">
        <f>IF(PA!G182="","",PA!G182)</f>
        <v/>
      </c>
      <c r="H180" s="327">
        <f>IF(PA!H182="","",PA!H182)</f>
        <v>78</v>
      </c>
      <c r="I180" s="327">
        <f>IF(PA!I182="","",PA!I182)</f>
        <v>79</v>
      </c>
      <c r="J180" s="327" t="str">
        <f>IF(PA!AA182="","",PA!AA182)</f>
        <v/>
      </c>
      <c r="K180" s="327" t="str">
        <f>IF(PA!AB182="","",PA!AB182)</f>
        <v/>
      </c>
      <c r="L180" s="327" t="str">
        <f>IF(PA!AC182="","",PA!AC182)</f>
        <v/>
      </c>
      <c r="M180" s="328" t="str">
        <f>IF(PA!P182="","",PA!P182)</f>
        <v/>
      </c>
    </row>
    <row r="181" spans="1:13" ht="14.4" x14ac:dyDescent="0.3">
      <c r="A181" s="329">
        <f>Data!E178</f>
        <v>14</v>
      </c>
      <c r="B181" s="330" t="str">
        <f>IF(Data!F178="","",Data!F178)</f>
        <v>03671</v>
      </c>
      <c r="C181" s="330" t="str">
        <f>IF(Data!G178="","",Data!G178)</f>
        <v>3123445104</v>
      </c>
      <c r="D181" s="331" t="str">
        <f>IF(Data!H178="","",Data!H178)</f>
        <v>Hafiza Azmil Khoiriya</v>
      </c>
      <c r="E181" s="330" t="str">
        <f>IF(Data!I178="","",Data!I178)</f>
        <v>Perempuan</v>
      </c>
      <c r="F181" s="332" t="str">
        <f>IF(Data!J178="","",Data!J178)</f>
        <v>VIII-E</v>
      </c>
      <c r="G181" s="326" t="str">
        <f>IF(PA!G183="","",PA!G183)</f>
        <v/>
      </c>
      <c r="H181" s="327">
        <f>IF(PA!H183="","",PA!H183)</f>
        <v>95</v>
      </c>
      <c r="I181" s="327">
        <f>IF(PA!I183="","",PA!I183)</f>
        <v>85</v>
      </c>
      <c r="J181" s="327" t="str">
        <f>IF(PA!AA183="","",PA!AA183)</f>
        <v/>
      </c>
      <c r="K181" s="327" t="str">
        <f>IF(PA!AB183="","",PA!AB183)</f>
        <v/>
      </c>
      <c r="L181" s="327" t="str">
        <f>IF(PA!AC183="","",PA!AC183)</f>
        <v/>
      </c>
      <c r="M181" s="328" t="str">
        <f>IF(PA!P183="","",PA!P183)</f>
        <v/>
      </c>
    </row>
    <row r="182" spans="1:13" ht="14.4" x14ac:dyDescent="0.3">
      <c r="A182" s="329">
        <f>Data!E179</f>
        <v>15</v>
      </c>
      <c r="B182" s="330" t="str">
        <f>IF(Data!F179="","",Data!F179)</f>
        <v>03672</v>
      </c>
      <c r="C182" s="330" t="str">
        <f>IF(Data!G179="","",Data!G179)</f>
        <v>3130652648</v>
      </c>
      <c r="D182" s="331" t="str">
        <f>IF(Data!H179="","",Data!H179)</f>
        <v>Hamidatun Nafisa</v>
      </c>
      <c r="E182" s="330" t="str">
        <f>IF(Data!I179="","",Data!I179)</f>
        <v>Perempuan</v>
      </c>
      <c r="F182" s="332" t="str">
        <f>IF(Data!J179="","",Data!J179)</f>
        <v>VIII-E</v>
      </c>
      <c r="G182" s="326" t="str">
        <f>IF(PA!G184="","",PA!G184)</f>
        <v/>
      </c>
      <c r="H182" s="327">
        <f>IF(PA!H184="","",PA!H184)</f>
        <v>90</v>
      </c>
      <c r="I182" s="327">
        <f>IF(PA!I184="","",PA!I184)</f>
        <v>85</v>
      </c>
      <c r="J182" s="327" t="str">
        <f>IF(PA!AA184="","",PA!AA184)</f>
        <v/>
      </c>
      <c r="K182" s="327" t="str">
        <f>IF(PA!AB184="","",PA!AB184)</f>
        <v/>
      </c>
      <c r="L182" s="327" t="str">
        <f>IF(PA!AC184="","",PA!AC184)</f>
        <v/>
      </c>
      <c r="M182" s="328" t="str">
        <f>IF(PA!P184="","",PA!P184)</f>
        <v/>
      </c>
    </row>
    <row r="183" spans="1:13" ht="14.4" x14ac:dyDescent="0.3">
      <c r="A183" s="329">
        <f>Data!E180</f>
        <v>16</v>
      </c>
      <c r="B183" s="330" t="str">
        <f>IF(Data!F180="","",Data!F180)</f>
        <v>03675</v>
      </c>
      <c r="C183" s="330" t="str">
        <f>IF(Data!G180="","",Data!G180)</f>
        <v>0125652100</v>
      </c>
      <c r="D183" s="331" t="str">
        <f>IF(Data!H180="","",Data!H180)</f>
        <v>Ilma Khoirotun Ni'mah</v>
      </c>
      <c r="E183" s="330" t="str">
        <f>IF(Data!I180="","",Data!I180)</f>
        <v>Perempuan</v>
      </c>
      <c r="F183" s="332" t="str">
        <f>IF(Data!J180="","",Data!J180)</f>
        <v>VIII-E</v>
      </c>
      <c r="G183" s="326" t="str">
        <f>IF(PA!G185="","",PA!G185)</f>
        <v/>
      </c>
      <c r="H183" s="327">
        <f>IF(PA!H185="","",PA!H185)</f>
        <v>90</v>
      </c>
      <c r="I183" s="327">
        <f>IF(PA!I185="","",PA!I185)</f>
        <v>87</v>
      </c>
      <c r="J183" s="327" t="str">
        <f>IF(PA!AA185="","",PA!AA185)</f>
        <v/>
      </c>
      <c r="K183" s="327" t="str">
        <f>IF(PA!AB185="","",PA!AB185)</f>
        <v/>
      </c>
      <c r="L183" s="327" t="str">
        <f>IF(PA!AC185="","",PA!AC185)</f>
        <v/>
      </c>
      <c r="M183" s="328" t="str">
        <f>IF(PA!P185="","",PA!P185)</f>
        <v/>
      </c>
    </row>
    <row r="184" spans="1:13" ht="14.4" x14ac:dyDescent="0.3">
      <c r="A184" s="329">
        <f>Data!E181</f>
        <v>17</v>
      </c>
      <c r="B184" s="330" t="str">
        <f>IF(Data!F181="","",Data!F181)</f>
        <v>03681</v>
      </c>
      <c r="C184" s="330">
        <f>IF(Data!G181="","",Data!G181)</f>
        <v>3129949060</v>
      </c>
      <c r="D184" s="331" t="str">
        <f>IF(Data!H181="","",Data!H181)</f>
        <v>Kartika Ayu Nur Wahid</v>
      </c>
      <c r="E184" s="330" t="str">
        <f>IF(Data!I181="","",Data!I181)</f>
        <v>Perempuan</v>
      </c>
      <c r="F184" s="332" t="str">
        <f>IF(Data!J181="","",Data!J181)</f>
        <v>VIII-E</v>
      </c>
      <c r="G184" s="326" t="str">
        <f>IF(PA!G186="","",PA!G186)</f>
        <v/>
      </c>
      <c r="H184" s="327">
        <f>IF(PA!H186="","",PA!H186)</f>
        <v>95</v>
      </c>
      <c r="I184" s="327">
        <f>IF(PA!I186="","",PA!I186)</f>
        <v>80.099999999999994</v>
      </c>
      <c r="J184" s="327" t="str">
        <f>IF(PA!AA186="","",PA!AA186)</f>
        <v/>
      </c>
      <c r="K184" s="327" t="str">
        <f>IF(PA!AB186="","",PA!AB186)</f>
        <v/>
      </c>
      <c r="L184" s="327" t="str">
        <f>IF(PA!AC186="","",PA!AC186)</f>
        <v/>
      </c>
      <c r="M184" s="328" t="str">
        <f>IF(PA!P186="","",PA!P186)</f>
        <v/>
      </c>
    </row>
    <row r="185" spans="1:13" ht="14.4" x14ac:dyDescent="0.3">
      <c r="A185" s="329">
        <f>Data!E182</f>
        <v>18</v>
      </c>
      <c r="B185" s="330" t="str">
        <f>IF(Data!F182="","",Data!F182)</f>
        <v>03683</v>
      </c>
      <c r="C185" s="330">
        <f>IF(Data!G182="","",Data!G182)</f>
        <v>3135515998</v>
      </c>
      <c r="D185" s="331" t="str">
        <f>IF(Data!H182="","",Data!H182)</f>
        <v>Khaira Nadzifatuz Zahra</v>
      </c>
      <c r="E185" s="330" t="str">
        <f>IF(Data!I182="","",Data!I182)</f>
        <v>Perempuan</v>
      </c>
      <c r="F185" s="332" t="str">
        <f>IF(Data!J182="","",Data!J182)</f>
        <v>VIII-E</v>
      </c>
      <c r="G185" s="326" t="str">
        <f>IF(PA!G187="","",PA!G187)</f>
        <v/>
      </c>
      <c r="H185" s="327">
        <f>IF(PA!H187="","",PA!H187)</f>
        <v>95</v>
      </c>
      <c r="I185" s="327">
        <f>IF(PA!I187="","",PA!I187)</f>
        <v>85</v>
      </c>
      <c r="J185" s="327" t="str">
        <f>IF(PA!AA187="","",PA!AA187)</f>
        <v/>
      </c>
      <c r="K185" s="327" t="str">
        <f>IF(PA!AB187="","",PA!AB187)</f>
        <v/>
      </c>
      <c r="L185" s="327" t="str">
        <f>IF(PA!AC187="","",PA!AC187)</f>
        <v/>
      </c>
      <c r="M185" s="328" t="str">
        <f>IF(PA!P187="","",PA!P187)</f>
        <v/>
      </c>
    </row>
    <row r="186" spans="1:13" ht="14.4" x14ac:dyDescent="0.3">
      <c r="A186" s="329">
        <f>Data!E183</f>
        <v>19</v>
      </c>
      <c r="B186" s="330" t="str">
        <f>IF(Data!F183="","",Data!F183)</f>
        <v>03687</v>
      </c>
      <c r="C186" s="330" t="str">
        <f>IF(Data!G183="","",Data!G183)</f>
        <v>0126710857</v>
      </c>
      <c r="D186" s="331" t="str">
        <f>IF(Data!H183="","",Data!H183)</f>
        <v>Kholishtama Humairo' Putrinabilah</v>
      </c>
      <c r="E186" s="330" t="str">
        <f>IF(Data!I183="","",Data!I183)</f>
        <v>Perempuan</v>
      </c>
      <c r="F186" s="332" t="str">
        <f>IF(Data!J183="","",Data!J183)</f>
        <v>VIII-E</v>
      </c>
      <c r="G186" s="326" t="str">
        <f>IF(PA!G188="","",PA!G188)</f>
        <v/>
      </c>
      <c r="H186" s="327">
        <f>IF(PA!H188="","",PA!H188)</f>
        <v>80.099999999999994</v>
      </c>
      <c r="I186" s="327">
        <f>IF(PA!I188="","",PA!I188)</f>
        <v>85</v>
      </c>
      <c r="J186" s="327" t="str">
        <f>IF(PA!AA188="","",PA!AA188)</f>
        <v/>
      </c>
      <c r="K186" s="327" t="str">
        <f>IF(PA!AB188="","",PA!AB188)</f>
        <v/>
      </c>
      <c r="L186" s="327" t="str">
        <f>IF(PA!AC188="","",PA!AC188)</f>
        <v/>
      </c>
      <c r="M186" s="328" t="str">
        <f>IF(PA!P188="","",PA!P188)</f>
        <v/>
      </c>
    </row>
    <row r="187" spans="1:13" ht="14.4" x14ac:dyDescent="0.3">
      <c r="A187" s="329">
        <f>Data!E184</f>
        <v>20</v>
      </c>
      <c r="B187" s="330" t="str">
        <f>IF(Data!F184="","",Data!F184)</f>
        <v>03690</v>
      </c>
      <c r="C187" s="330">
        <f>IF(Data!G184="","",Data!G184)</f>
        <v>3135494394</v>
      </c>
      <c r="D187" s="331" t="str">
        <f>IF(Data!H184="","",Data!H184)</f>
        <v>Listy Andinia Aulia Fitri</v>
      </c>
      <c r="E187" s="330" t="str">
        <f>IF(Data!I184="","",Data!I184)</f>
        <v>Perempuan</v>
      </c>
      <c r="F187" s="332" t="str">
        <f>IF(Data!J184="","",Data!J184)</f>
        <v>VIII-E</v>
      </c>
      <c r="G187" s="326" t="str">
        <f>IF(PA!G189="","",PA!G189)</f>
        <v/>
      </c>
      <c r="H187" s="327">
        <f>IF(PA!H189="","",PA!H189)</f>
        <v>90</v>
      </c>
      <c r="I187" s="327">
        <f>IF(PA!I189="","",PA!I189)</f>
        <v>85</v>
      </c>
      <c r="J187" s="327" t="str">
        <f>IF(PA!AA189="","",PA!AA189)</f>
        <v/>
      </c>
      <c r="K187" s="327" t="str">
        <f>IF(PA!AB189="","",PA!AB189)</f>
        <v/>
      </c>
      <c r="L187" s="327" t="str">
        <f>IF(PA!AC189="","",PA!AC189)</f>
        <v/>
      </c>
      <c r="M187" s="328" t="str">
        <f>IF(PA!P189="","",PA!P189)</f>
        <v/>
      </c>
    </row>
    <row r="188" spans="1:13" ht="14.4" x14ac:dyDescent="0.3">
      <c r="A188" s="329">
        <f>Data!E185</f>
        <v>21</v>
      </c>
      <c r="B188" s="330" t="str">
        <f>IF(Data!F185="","",Data!F185)</f>
        <v>03696</v>
      </c>
      <c r="C188" s="330">
        <f>IF(Data!G185="","",Data!G185)</f>
        <v>3123772744</v>
      </c>
      <c r="D188" s="331" t="str">
        <f>IF(Data!H185="","",Data!H185)</f>
        <v>Mufaazatul Imroah</v>
      </c>
      <c r="E188" s="330" t="str">
        <f>IF(Data!I185="","",Data!I185)</f>
        <v>Perempuan</v>
      </c>
      <c r="F188" s="332" t="str">
        <f>IF(Data!J185="","",Data!J185)</f>
        <v>VIII-E</v>
      </c>
      <c r="G188" s="326" t="str">
        <f>IF(PA!G190="","",PA!G190)</f>
        <v/>
      </c>
      <c r="H188" s="327">
        <f>IF(PA!H190="","",PA!H190)</f>
        <v>80.099999999999994</v>
      </c>
      <c r="I188" s="327">
        <f>IF(PA!I190="","",PA!I190)</f>
        <v>85</v>
      </c>
      <c r="J188" s="327" t="str">
        <f>IF(PA!AA190="","",PA!AA190)</f>
        <v/>
      </c>
      <c r="K188" s="327" t="str">
        <f>IF(PA!AB190="","",PA!AB190)</f>
        <v/>
      </c>
      <c r="L188" s="327" t="str">
        <f>IF(PA!AC190="","",PA!AC190)</f>
        <v/>
      </c>
      <c r="M188" s="328" t="str">
        <f>IF(PA!P190="","",PA!P190)</f>
        <v/>
      </c>
    </row>
    <row r="189" spans="1:13" ht="14.4" x14ac:dyDescent="0.3">
      <c r="A189" s="329">
        <f>Data!E186</f>
        <v>22</v>
      </c>
      <c r="B189" s="330" t="str">
        <f>IF(Data!F186="","",Data!F186)</f>
        <v>03699</v>
      </c>
      <c r="C189" s="330" t="str">
        <f>IF(Data!G186="","",Data!G186)</f>
        <v>0124482633</v>
      </c>
      <c r="D189" s="331" t="str">
        <f>IF(Data!H186="","",Data!H186)</f>
        <v>Nabila Diya Putri Anindya</v>
      </c>
      <c r="E189" s="330" t="str">
        <f>IF(Data!I186="","",Data!I186)</f>
        <v>Perempuan</v>
      </c>
      <c r="F189" s="332" t="str">
        <f>IF(Data!J186="","",Data!J186)</f>
        <v>VIII-E</v>
      </c>
      <c r="G189" s="326" t="str">
        <f>IF(PA!G191="","",PA!G191)</f>
        <v/>
      </c>
      <c r="H189" s="327">
        <f>IF(PA!H191="","",PA!H191)</f>
        <v>78</v>
      </c>
      <c r="I189" s="327">
        <f>IF(PA!I191="","",PA!I191)</f>
        <v>80.099999999999994</v>
      </c>
      <c r="J189" s="327" t="str">
        <f>IF(PA!AA191="","",PA!AA191)</f>
        <v/>
      </c>
      <c r="K189" s="327" t="str">
        <f>IF(PA!AB191="","",PA!AB191)</f>
        <v/>
      </c>
      <c r="L189" s="327" t="str">
        <f>IF(PA!AC191="","",PA!AC191)</f>
        <v/>
      </c>
      <c r="M189" s="328" t="str">
        <f>IF(PA!P191="","",PA!P191)</f>
        <v/>
      </c>
    </row>
    <row r="190" spans="1:13" ht="14.4" x14ac:dyDescent="0.3">
      <c r="A190" s="329">
        <f>Data!E187</f>
        <v>23</v>
      </c>
      <c r="B190" s="330" t="str">
        <f>IF(Data!F187="","",Data!F187)</f>
        <v>03705</v>
      </c>
      <c r="C190" s="330" t="str">
        <f>IF(Data!G187="","",Data!G187)</f>
        <v>3122704137</v>
      </c>
      <c r="D190" s="331" t="str">
        <f>IF(Data!H187="","",Data!H187)</f>
        <v>Nakeysha Ardya Putri</v>
      </c>
      <c r="E190" s="330" t="str">
        <f>IF(Data!I187="","",Data!I187)</f>
        <v>Perempuan</v>
      </c>
      <c r="F190" s="332" t="str">
        <f>IF(Data!J187="","",Data!J187)</f>
        <v>VIII-E</v>
      </c>
      <c r="G190" s="326" t="str">
        <f>IF(PA!G192="","",PA!G192)</f>
        <v/>
      </c>
      <c r="H190" s="327">
        <f>IF(PA!H192="","",PA!H192)</f>
        <v>78</v>
      </c>
      <c r="I190" s="327">
        <f>IF(PA!I192="","",PA!I192)</f>
        <v>80.099999999999994</v>
      </c>
      <c r="J190" s="327" t="str">
        <f>IF(PA!AA192="","",PA!AA192)</f>
        <v/>
      </c>
      <c r="K190" s="327" t="str">
        <f>IF(PA!AB192="","",PA!AB192)</f>
        <v/>
      </c>
      <c r="L190" s="327" t="str">
        <f>IF(PA!AC192="","",PA!AC192)</f>
        <v/>
      </c>
      <c r="M190" s="328" t="str">
        <f>IF(PA!P192="","",PA!P192)</f>
        <v/>
      </c>
    </row>
    <row r="191" spans="1:13" ht="14.4" x14ac:dyDescent="0.3">
      <c r="A191" s="329">
        <f>Data!E188</f>
        <v>24</v>
      </c>
      <c r="B191" s="330" t="str">
        <f>IF(Data!F188="","",Data!F188)</f>
        <v>03707</v>
      </c>
      <c r="C191" s="330" t="str">
        <f>IF(Data!G188="","",Data!G188)</f>
        <v>3129657339</v>
      </c>
      <c r="D191" s="331" t="str">
        <f>IF(Data!H188="","",Data!H188)</f>
        <v>Naura Fitriani Salsabilah</v>
      </c>
      <c r="E191" s="330" t="str">
        <f>IF(Data!I188="","",Data!I188)</f>
        <v>Perempuan</v>
      </c>
      <c r="F191" s="332" t="str">
        <f>IF(Data!J188="","",Data!J188)</f>
        <v>VIII-E</v>
      </c>
      <c r="G191" s="326" t="str">
        <f>IF(PA!G193="","",PA!G193)</f>
        <v/>
      </c>
      <c r="H191" s="327">
        <f>IF(PA!H193="","",PA!H193)</f>
        <v>78.099999999999994</v>
      </c>
      <c r="I191" s="327">
        <f>IF(PA!I193="","",PA!I193)</f>
        <v>80</v>
      </c>
      <c r="J191" s="327" t="str">
        <f>IF(PA!AA193="","",PA!AA193)</f>
        <v/>
      </c>
      <c r="K191" s="327" t="str">
        <f>IF(PA!AB193="","",PA!AB193)</f>
        <v/>
      </c>
      <c r="L191" s="327" t="str">
        <f>IF(PA!AC193="","",PA!AC193)</f>
        <v/>
      </c>
      <c r="M191" s="328" t="str">
        <f>IF(PA!P193="","",PA!P193)</f>
        <v/>
      </c>
    </row>
    <row r="192" spans="1:13" ht="14.4" x14ac:dyDescent="0.3">
      <c r="A192" s="329">
        <f>Data!E189</f>
        <v>25</v>
      </c>
      <c r="B192" s="330" t="str">
        <f>IF(Data!F189="","",Data!F189)</f>
        <v>03708</v>
      </c>
      <c r="C192" s="330" t="str">
        <f>IF(Data!G189="","",Data!G189)</f>
        <v>3132628064</v>
      </c>
      <c r="D192" s="331" t="str">
        <f>IF(Data!H189="","",Data!H189)</f>
        <v>Naura Hasna Annida</v>
      </c>
      <c r="E192" s="330" t="str">
        <f>IF(Data!I189="","",Data!I189)</f>
        <v>Perempuan</v>
      </c>
      <c r="F192" s="332" t="str">
        <f>IF(Data!J189="","",Data!J189)</f>
        <v>VIII-E</v>
      </c>
      <c r="G192" s="326" t="str">
        <f>IF(PA!G194="","",PA!G194)</f>
        <v/>
      </c>
      <c r="H192" s="327">
        <f>IF(PA!H194="","",PA!H194)</f>
        <v>90</v>
      </c>
      <c r="I192" s="327">
        <f>IF(PA!I194="","",PA!I194)</f>
        <v>85.1</v>
      </c>
      <c r="J192" s="327" t="str">
        <f>IF(PA!AA194="","",PA!AA194)</f>
        <v/>
      </c>
      <c r="K192" s="327" t="str">
        <f>IF(PA!AB194="","",PA!AB194)</f>
        <v/>
      </c>
      <c r="L192" s="327" t="str">
        <f>IF(PA!AC194="","",PA!AC194)</f>
        <v/>
      </c>
      <c r="M192" s="328" t="str">
        <f>IF(PA!P194="","",PA!P194)</f>
        <v/>
      </c>
    </row>
    <row r="193" spans="1:13" ht="14.4" x14ac:dyDescent="0.3">
      <c r="A193" s="329">
        <f>Data!E190</f>
        <v>26</v>
      </c>
      <c r="B193" s="330" t="str">
        <f>IF(Data!F190="","",Data!F190)</f>
        <v>03709</v>
      </c>
      <c r="C193" s="330" t="str">
        <f>IF(Data!G190="","",Data!G190)</f>
        <v>0137506634</v>
      </c>
      <c r="D193" s="331" t="str">
        <f>IF(Data!H190="","",Data!H190)</f>
        <v>Naylla Putri Nur Aeny</v>
      </c>
      <c r="E193" s="330" t="str">
        <f>IF(Data!I190="","",Data!I190)</f>
        <v>Perempuan</v>
      </c>
      <c r="F193" s="332" t="str">
        <f>IF(Data!J190="","",Data!J190)</f>
        <v>VIII-E</v>
      </c>
      <c r="G193" s="326" t="str">
        <f>IF(PA!G195="","",PA!G195)</f>
        <v/>
      </c>
      <c r="H193" s="327">
        <f>IF(PA!H195="","",PA!H195)</f>
        <v>90.1</v>
      </c>
      <c r="I193" s="327">
        <f>IF(PA!I195="","",PA!I195)</f>
        <v>91</v>
      </c>
      <c r="J193" s="327" t="str">
        <f>IF(PA!AA195="","",PA!AA195)</f>
        <v/>
      </c>
      <c r="K193" s="327" t="str">
        <f>IF(PA!AB195="","",PA!AB195)</f>
        <v/>
      </c>
      <c r="L193" s="327" t="str">
        <f>IF(PA!AC195="","",PA!AC195)</f>
        <v/>
      </c>
      <c r="M193" s="328" t="str">
        <f>IF(PA!P195="","",PA!P195)</f>
        <v/>
      </c>
    </row>
    <row r="194" spans="1:13" ht="14.4" x14ac:dyDescent="0.3">
      <c r="A194" s="329">
        <f>Data!E191</f>
        <v>27</v>
      </c>
      <c r="B194" s="330" t="str">
        <f>IF(Data!F191="","",Data!F191)</f>
        <v>03731</v>
      </c>
      <c r="C194" s="330">
        <f>IF(Data!G191="","",Data!G191)</f>
        <v>3112542287</v>
      </c>
      <c r="D194" s="331" t="str">
        <f>IF(Data!H191="","",Data!H191)</f>
        <v>Sofiyatun Khasanah</v>
      </c>
      <c r="E194" s="330" t="str">
        <f>IF(Data!I191="","",Data!I191)</f>
        <v>Perempuan</v>
      </c>
      <c r="F194" s="332" t="str">
        <f>IF(Data!J191="","",Data!J191)</f>
        <v>VIII-E</v>
      </c>
      <c r="G194" s="326" t="str">
        <f>IF(PA!G196="","",PA!G196)</f>
        <v/>
      </c>
      <c r="H194" s="327">
        <f>IF(PA!H196="","",PA!H196)</f>
        <v>85.1</v>
      </c>
      <c r="I194" s="327">
        <f>IF(PA!I196="","",PA!I196)</f>
        <v>80</v>
      </c>
      <c r="J194" s="327" t="str">
        <f>IF(PA!AA196="","",PA!AA196)</f>
        <v/>
      </c>
      <c r="K194" s="327" t="str">
        <f>IF(PA!AB196="","",PA!AB196)</f>
        <v/>
      </c>
      <c r="L194" s="327" t="str">
        <f>IF(PA!AC196="","",PA!AC196)</f>
        <v/>
      </c>
      <c r="M194" s="328" t="str">
        <f>IF(PA!P196="","",PA!P196)</f>
        <v/>
      </c>
    </row>
    <row r="195" spans="1:13" ht="14.4" x14ac:dyDescent="0.3">
      <c r="A195" s="329">
        <f>Data!E192</f>
        <v>28</v>
      </c>
      <c r="B195" s="330" t="str">
        <f>IF(Data!F192="","",Data!F192)</f>
        <v>03737</v>
      </c>
      <c r="C195" s="330" t="str">
        <f>IF(Data!G192="","",Data!G192)</f>
        <v>0012587213</v>
      </c>
      <c r="D195" s="331" t="str">
        <f>IF(Data!H192="","",Data!H192)</f>
        <v>Vandalea Aisyah Nuril Illiyin</v>
      </c>
      <c r="E195" s="330" t="str">
        <f>IF(Data!I192="","",Data!I192)</f>
        <v>Perempuan</v>
      </c>
      <c r="F195" s="332" t="str">
        <f>IF(Data!J192="","",Data!J192)</f>
        <v>VIII-E</v>
      </c>
      <c r="G195" s="326" t="str">
        <f>IF(PA!G197="","",PA!G197)</f>
        <v/>
      </c>
      <c r="H195" s="327">
        <f>IF(PA!H197="","",PA!H197)</f>
        <v>90</v>
      </c>
      <c r="I195" s="327">
        <f>IF(PA!I197="","",PA!I197)</f>
        <v>85</v>
      </c>
      <c r="J195" s="327" t="str">
        <f>IF(PA!AA197="","",PA!AA197)</f>
        <v/>
      </c>
      <c r="K195" s="327" t="str">
        <f>IF(PA!AB197="","",PA!AB197)</f>
        <v/>
      </c>
      <c r="L195" s="327" t="str">
        <f>IF(PA!AC197="","",PA!AC197)</f>
        <v/>
      </c>
      <c r="M195" s="328" t="str">
        <f>IF(PA!P197="","",PA!P197)</f>
        <v/>
      </c>
    </row>
    <row r="196" spans="1:13" ht="14.4" x14ac:dyDescent="0.3">
      <c r="A196" s="329">
        <f>Data!E193</f>
        <v>29</v>
      </c>
      <c r="B196" s="330" t="str">
        <f>IF(Data!F193="","",Data!F193)</f>
        <v>03738</v>
      </c>
      <c r="C196" s="330" t="str">
        <f>IF(Data!G193="","",Data!G193)</f>
        <v>3125544280</v>
      </c>
      <c r="D196" s="331" t="str">
        <f>IF(Data!H193="","",Data!H193)</f>
        <v>Vivi Putri Amanda</v>
      </c>
      <c r="E196" s="330" t="str">
        <f>IF(Data!I193="","",Data!I193)</f>
        <v>Perempuan</v>
      </c>
      <c r="F196" s="332" t="str">
        <f>IF(Data!J193="","",Data!J193)</f>
        <v>VIII-E</v>
      </c>
      <c r="G196" s="326" t="str">
        <f>IF(PA!G198="","",PA!G198)</f>
        <v/>
      </c>
      <c r="H196" s="327">
        <f>IF(PA!H198="","",PA!H198)</f>
        <v>95</v>
      </c>
      <c r="I196" s="327">
        <f>IF(PA!I198="","",PA!I198)</f>
        <v>85.1</v>
      </c>
      <c r="J196" s="327" t="str">
        <f>IF(PA!AA198="","",PA!AA198)</f>
        <v/>
      </c>
      <c r="K196" s="327" t="str">
        <f>IF(PA!AB198="","",PA!AB198)</f>
        <v/>
      </c>
      <c r="L196" s="327" t="str">
        <f>IF(PA!AC198="","",PA!AC198)</f>
        <v/>
      </c>
      <c r="M196" s="328" t="str">
        <f>IF(PA!P198="","",PA!P198)</f>
        <v/>
      </c>
    </row>
    <row r="197" spans="1:13" ht="14.4" x14ac:dyDescent="0.3">
      <c r="A197" s="329">
        <f>Data!E194</f>
        <v>30</v>
      </c>
      <c r="B197" s="330" t="str">
        <f>IF(Data!F194="","",Data!F194)</f>
        <v>03741</v>
      </c>
      <c r="C197" s="330" t="str">
        <f>IF(Data!G194="","",Data!G194)</f>
        <v>0126032180</v>
      </c>
      <c r="D197" s="331" t="str">
        <f>IF(Data!H194="","",Data!H194)</f>
        <v>Wulan Sevian Febianty</v>
      </c>
      <c r="E197" s="330" t="str">
        <f>IF(Data!I194="","",Data!I194)</f>
        <v>Perempuan</v>
      </c>
      <c r="F197" s="332" t="str">
        <f>IF(Data!J194="","",Data!J194)</f>
        <v>VIII-E</v>
      </c>
      <c r="G197" s="326" t="str">
        <f>IF(PA!G199="","",PA!G199)</f>
        <v/>
      </c>
      <c r="H197" s="327">
        <f>IF(PA!H199="","",PA!H199)</f>
        <v>80.099999999999994</v>
      </c>
      <c r="I197" s="327">
        <f>IF(PA!I199="","",PA!I199)</f>
        <v>81</v>
      </c>
      <c r="J197" s="327" t="str">
        <f>IF(PA!AA199="","",PA!AA199)</f>
        <v/>
      </c>
      <c r="K197" s="327" t="str">
        <f>IF(PA!AB199="","",PA!AB199)</f>
        <v/>
      </c>
      <c r="L197" s="327" t="str">
        <f>IF(PA!AC199="","",PA!AC199)</f>
        <v/>
      </c>
      <c r="M197" s="328" t="str">
        <f>IF(PA!P199="","",PA!P199)</f>
        <v/>
      </c>
    </row>
    <row r="198" spans="1:13" ht="14.4" x14ac:dyDescent="0.3">
      <c r="A198" s="329">
        <f>Data!E195</f>
        <v>31</v>
      </c>
      <c r="B198" s="330" t="str">
        <f>IF(Data!F195="","",Data!F195)</f>
        <v>03743</v>
      </c>
      <c r="C198" s="330" t="str">
        <f>IF(Data!G195="","",Data!G195)</f>
        <v>0128572546</v>
      </c>
      <c r="D198" s="331" t="str">
        <f>IF(Data!H195="","",Data!H195)</f>
        <v>Yulistia Tsania Salma</v>
      </c>
      <c r="E198" s="330" t="str">
        <f>IF(Data!I195="","",Data!I195)</f>
        <v>Perempuan</v>
      </c>
      <c r="F198" s="332" t="str">
        <f>IF(Data!J195="","",Data!J195)</f>
        <v>VIII-E</v>
      </c>
      <c r="G198" s="326" t="str">
        <f>IF(PA!G200="","",PA!G200)</f>
        <v/>
      </c>
      <c r="H198" s="327">
        <f>IF(PA!H200="","",PA!H200)</f>
        <v>80</v>
      </c>
      <c r="I198" s="327">
        <f>IF(PA!I200="","",PA!I200)</f>
        <v>81</v>
      </c>
      <c r="J198" s="327" t="str">
        <f>IF(PA!AA200="","",PA!AA200)</f>
        <v/>
      </c>
      <c r="K198" s="327" t="str">
        <f>IF(PA!AB200="","",PA!AB200)</f>
        <v/>
      </c>
      <c r="L198" s="327" t="str">
        <f>IF(PA!AC200="","",PA!AC200)</f>
        <v/>
      </c>
      <c r="M198" s="328" t="str">
        <f>IF(PA!P200="","",PA!P200)</f>
        <v/>
      </c>
    </row>
    <row r="199" spans="1:13" ht="14.4" x14ac:dyDescent="0.3">
      <c r="A199" s="329">
        <f>Data!E196</f>
        <v>32</v>
      </c>
      <c r="B199" s="330" t="str">
        <f>IF(Data!F196="","",Data!F196)</f>
        <v/>
      </c>
      <c r="C199" s="330" t="str">
        <f>IF(Data!G196="","",Data!G196)</f>
        <v/>
      </c>
      <c r="D199" s="331" t="str">
        <f>IF(Data!H196="","",Data!H196)</f>
        <v/>
      </c>
      <c r="E199" s="330" t="str">
        <f>IF(Data!I196="","",Data!I196)</f>
        <v/>
      </c>
      <c r="F199" s="332" t="str">
        <f>IF(Data!J196="","",Data!J196)</f>
        <v>VIII-E</v>
      </c>
      <c r="G199" s="326" t="str">
        <f>IF(PA!G201="","",PA!G201)</f>
        <v/>
      </c>
      <c r="H199" s="327" t="str">
        <f>IF(PA!H201="","",PA!H201)</f>
        <v/>
      </c>
      <c r="I199" s="327" t="str">
        <f>IF(PA!I201="","",PA!I201)</f>
        <v/>
      </c>
      <c r="J199" s="327" t="str">
        <f>IF(PA!AA201="","",PA!AA201)</f>
        <v/>
      </c>
      <c r="K199" s="327" t="str">
        <f>IF(PA!AB201="","",PA!AB201)</f>
        <v/>
      </c>
      <c r="L199" s="327" t="str">
        <f>IF(PA!AC201="","",PA!AC201)</f>
        <v/>
      </c>
      <c r="M199" s="328" t="str">
        <f>IF(PA!P201="","",PA!P201)</f>
        <v/>
      </c>
    </row>
    <row r="200" spans="1:13" ht="14.4" x14ac:dyDescent="0.3">
      <c r="A200" s="329">
        <f>Data!E197</f>
        <v>33</v>
      </c>
      <c r="B200" s="330" t="str">
        <f>IF(Data!F197="","",Data!F197)</f>
        <v/>
      </c>
      <c r="C200" s="330" t="str">
        <f>IF(Data!G197="","",Data!G197)</f>
        <v/>
      </c>
      <c r="D200" s="331" t="str">
        <f>IF(Data!H197="","",Data!H197)</f>
        <v/>
      </c>
      <c r="E200" s="330" t="str">
        <f>IF(Data!I197="","",Data!I197)</f>
        <v/>
      </c>
      <c r="F200" s="332" t="str">
        <f>IF(Data!J197="","",Data!J197)</f>
        <v>VIII-E</v>
      </c>
      <c r="G200" s="326" t="str">
        <f>IF(PA!G202="","",PA!G202)</f>
        <v/>
      </c>
      <c r="H200" s="327" t="str">
        <f>IF(PA!H202="","",PA!H202)</f>
        <v/>
      </c>
      <c r="I200" s="327" t="str">
        <f>IF(PA!I202="","",PA!I202)</f>
        <v/>
      </c>
      <c r="J200" s="327" t="str">
        <f>IF(PA!AA202="","",PA!AA202)</f>
        <v/>
      </c>
      <c r="K200" s="327" t="str">
        <f>IF(PA!AB202="","",PA!AB202)</f>
        <v/>
      </c>
      <c r="L200" s="327" t="str">
        <f>IF(PA!AC202="","",PA!AC202)</f>
        <v/>
      </c>
      <c r="M200" s="328" t="str">
        <f>IF(PA!P202="","",PA!P202)</f>
        <v/>
      </c>
    </row>
    <row r="201" spans="1:13" ht="14.4" x14ac:dyDescent="0.3">
      <c r="A201" s="329">
        <f>Data!E198</f>
        <v>34</v>
      </c>
      <c r="B201" s="330" t="str">
        <f>IF(Data!F198="","",Data!F198)</f>
        <v/>
      </c>
      <c r="C201" s="330" t="str">
        <f>IF(Data!G198="","",Data!G198)</f>
        <v/>
      </c>
      <c r="D201" s="331" t="str">
        <f>IF(Data!H198="","",Data!H198)</f>
        <v/>
      </c>
      <c r="E201" s="330" t="str">
        <f>IF(Data!I198="","",Data!I198)</f>
        <v/>
      </c>
      <c r="F201" s="332" t="str">
        <f>IF(Data!J198="","",Data!J198)</f>
        <v>VIII-E</v>
      </c>
      <c r="G201" s="326" t="str">
        <f>IF(PA!G203="","",PA!G203)</f>
        <v/>
      </c>
      <c r="H201" s="327" t="str">
        <f>IF(PA!H203="","",PA!H203)</f>
        <v/>
      </c>
      <c r="I201" s="327" t="str">
        <f>IF(PA!I203="","",PA!I203)</f>
        <v/>
      </c>
      <c r="J201" s="327" t="str">
        <f>IF(PA!AA203="","",PA!AA203)</f>
        <v/>
      </c>
      <c r="K201" s="327" t="str">
        <f>IF(PA!AB203="","",PA!AB203)</f>
        <v/>
      </c>
      <c r="L201" s="327" t="str">
        <f>IF(PA!AC203="","",PA!AC203)</f>
        <v/>
      </c>
      <c r="M201" s="328" t="str">
        <f>IF(PA!P203="","",PA!P203)</f>
        <v/>
      </c>
    </row>
    <row r="202" spans="1:13" ht="14.4" x14ac:dyDescent="0.3">
      <c r="A202" s="329">
        <f>Data!E199</f>
        <v>35</v>
      </c>
      <c r="B202" s="330" t="str">
        <f>IF(Data!F199="","",Data!F199)</f>
        <v/>
      </c>
      <c r="C202" s="330" t="str">
        <f>IF(Data!G199="","",Data!G199)</f>
        <v/>
      </c>
      <c r="D202" s="331" t="str">
        <f>IF(Data!H199="","",Data!H199)</f>
        <v/>
      </c>
      <c r="E202" s="330" t="str">
        <f>IF(Data!I199="","",Data!I199)</f>
        <v/>
      </c>
      <c r="F202" s="332" t="str">
        <f>IF(Data!J199="","",Data!J199)</f>
        <v>VIII-E</v>
      </c>
      <c r="G202" s="326" t="str">
        <f>IF(PA!G204="","",PA!G204)</f>
        <v/>
      </c>
      <c r="H202" s="327" t="str">
        <f>IF(PA!H204="","",PA!H204)</f>
        <v/>
      </c>
      <c r="I202" s="327" t="str">
        <f>IF(PA!I204="","",PA!I204)</f>
        <v/>
      </c>
      <c r="J202" s="327" t="str">
        <f>IF(PA!AA204="","",PA!AA204)</f>
        <v/>
      </c>
      <c r="K202" s="327" t="str">
        <f>IF(PA!AB204="","",PA!AB204)</f>
        <v/>
      </c>
      <c r="L202" s="327" t="str">
        <f>IF(PA!AC204="","",PA!AC204)</f>
        <v/>
      </c>
      <c r="M202" s="328" t="str">
        <f>IF(PA!P204="","",PA!P204)</f>
        <v/>
      </c>
    </row>
    <row r="203" spans="1:13" ht="14.4" x14ac:dyDescent="0.3">
      <c r="A203" s="329">
        <f>Data!E200</f>
        <v>36</v>
      </c>
      <c r="B203" s="330" t="str">
        <f>IF(Data!F200="","",Data!F200)</f>
        <v/>
      </c>
      <c r="C203" s="330" t="str">
        <f>IF(Data!G200="","",Data!G200)</f>
        <v/>
      </c>
      <c r="D203" s="331" t="str">
        <f>IF(Data!H200="","",Data!H200)</f>
        <v/>
      </c>
      <c r="E203" s="330" t="str">
        <f>IF(Data!I200="","",Data!I200)</f>
        <v/>
      </c>
      <c r="F203" s="332" t="str">
        <f>IF(Data!J200="","",Data!J200)</f>
        <v>VIII-E</v>
      </c>
      <c r="G203" s="326" t="str">
        <f>IF(PA!G205="","",PA!G205)</f>
        <v/>
      </c>
      <c r="H203" s="327" t="str">
        <f>IF(PA!H205="","",PA!H205)</f>
        <v/>
      </c>
      <c r="I203" s="327" t="str">
        <f>IF(PA!I205="","",PA!I205)</f>
        <v/>
      </c>
      <c r="J203" s="327" t="str">
        <f>IF(PA!AA205="","",PA!AA205)</f>
        <v/>
      </c>
      <c r="K203" s="327" t="str">
        <f>IF(PA!AB205="","",PA!AB205)</f>
        <v/>
      </c>
      <c r="L203" s="327" t="str">
        <f>IF(PA!AC205="","",PA!AC205)</f>
        <v/>
      </c>
      <c r="M203" s="328" t="str">
        <f>IF(PA!P205="","",PA!P205)</f>
        <v/>
      </c>
    </row>
    <row r="204" spans="1:13" ht="14.4" x14ac:dyDescent="0.3">
      <c r="A204" s="329">
        <f>Data!E201</f>
        <v>37</v>
      </c>
      <c r="B204" s="330" t="str">
        <f>IF(Data!F201="","",Data!F201)</f>
        <v/>
      </c>
      <c r="C204" s="330" t="str">
        <f>IF(Data!G201="","",Data!G201)</f>
        <v/>
      </c>
      <c r="D204" s="331" t="str">
        <f>IF(Data!H201="","",Data!H201)</f>
        <v/>
      </c>
      <c r="E204" s="330" t="str">
        <f>IF(Data!I201="","",Data!I201)</f>
        <v/>
      </c>
      <c r="F204" s="332" t="str">
        <f>IF(Data!J201="","",Data!J201)</f>
        <v>VIII-E</v>
      </c>
      <c r="G204" s="326" t="str">
        <f>IF(PA!G206="","",PA!G206)</f>
        <v/>
      </c>
      <c r="H204" s="327" t="str">
        <f>IF(PA!H206="","",PA!H206)</f>
        <v/>
      </c>
      <c r="I204" s="327" t="str">
        <f>IF(PA!I206="","",PA!I206)</f>
        <v/>
      </c>
      <c r="J204" s="327" t="str">
        <f>IF(PA!AA206="","",PA!AA206)</f>
        <v/>
      </c>
      <c r="K204" s="327" t="str">
        <f>IF(PA!AB206="","",PA!AB206)</f>
        <v/>
      </c>
      <c r="L204" s="327" t="str">
        <f>IF(PA!AC206="","",PA!AC206)</f>
        <v/>
      </c>
      <c r="M204" s="328" t="str">
        <f>IF(PA!P206="","",PA!P206)</f>
        <v/>
      </c>
    </row>
    <row r="205" spans="1:13" ht="14.4" x14ac:dyDescent="0.3">
      <c r="A205" s="329">
        <f>Data!E202</f>
        <v>38</v>
      </c>
      <c r="B205" s="330" t="str">
        <f>IF(Data!F202="","",Data!F202)</f>
        <v/>
      </c>
      <c r="C205" s="330" t="str">
        <f>IF(Data!G202="","",Data!G202)</f>
        <v/>
      </c>
      <c r="D205" s="331" t="str">
        <f>IF(Data!H202="","",Data!H202)</f>
        <v/>
      </c>
      <c r="E205" s="330" t="str">
        <f>IF(Data!I202="","",Data!I202)</f>
        <v/>
      </c>
      <c r="F205" s="332" t="str">
        <f>IF(Data!J202="","",Data!J202)</f>
        <v>VIII-E</v>
      </c>
      <c r="G205" s="326" t="str">
        <f>IF(PA!G207="","",PA!G207)</f>
        <v/>
      </c>
      <c r="H205" s="327" t="str">
        <f>IF(PA!H207="","",PA!H207)</f>
        <v/>
      </c>
      <c r="I205" s="327" t="str">
        <f>IF(PA!I207="","",PA!I207)</f>
        <v/>
      </c>
      <c r="J205" s="327" t="str">
        <f>IF(PA!AA207="","",PA!AA207)</f>
        <v/>
      </c>
      <c r="K205" s="327" t="str">
        <f>IF(PA!AB207="","",PA!AB207)</f>
        <v/>
      </c>
      <c r="L205" s="327" t="str">
        <f>IF(PA!AC207="","",PA!AC207)</f>
        <v/>
      </c>
      <c r="M205" s="328" t="str">
        <f>IF(PA!P207="","",PA!P207)</f>
        <v/>
      </c>
    </row>
    <row r="206" spans="1:13" ht="14.4" x14ac:dyDescent="0.3">
      <c r="A206" s="329">
        <f>Data!E203</f>
        <v>39</v>
      </c>
      <c r="B206" s="330" t="str">
        <f>IF(Data!F203="","",Data!F203)</f>
        <v/>
      </c>
      <c r="C206" s="330" t="str">
        <f>IF(Data!G203="","",Data!G203)</f>
        <v/>
      </c>
      <c r="D206" s="331" t="str">
        <f>IF(Data!H203="","",Data!H203)</f>
        <v/>
      </c>
      <c r="E206" s="330" t="str">
        <f>IF(Data!I203="","",Data!I203)</f>
        <v/>
      </c>
      <c r="F206" s="332" t="str">
        <f>IF(Data!J203="","",Data!J203)</f>
        <v>VIII-E</v>
      </c>
      <c r="G206" s="326" t="str">
        <f>IF(PA!G208="","",PA!G208)</f>
        <v/>
      </c>
      <c r="H206" s="327" t="str">
        <f>IF(PA!H208="","",PA!H208)</f>
        <v/>
      </c>
      <c r="I206" s="327" t="str">
        <f>IF(PA!I208="","",PA!I208)</f>
        <v/>
      </c>
      <c r="J206" s="327" t="str">
        <f>IF(PA!AA208="","",PA!AA208)</f>
        <v/>
      </c>
      <c r="K206" s="327" t="str">
        <f>IF(PA!AB208="","",PA!AB208)</f>
        <v/>
      </c>
      <c r="L206" s="327" t="str">
        <f>IF(PA!AC208="","",PA!AC208)</f>
        <v/>
      </c>
      <c r="M206" s="328" t="str">
        <f>IF(PA!P208="","",PA!P208)</f>
        <v/>
      </c>
    </row>
    <row r="207" spans="1:13" ht="15" thickBot="1" x14ac:dyDescent="0.35">
      <c r="A207" s="333">
        <f>Data!E204</f>
        <v>40</v>
      </c>
      <c r="B207" s="334" t="str">
        <f>IF(Data!F204="","",Data!F204)</f>
        <v/>
      </c>
      <c r="C207" s="334" t="str">
        <f>IF(Data!G204="","",Data!G204)</f>
        <v/>
      </c>
      <c r="D207" s="335" t="str">
        <f>IF(Data!H204="","",Data!H204)</f>
        <v/>
      </c>
      <c r="E207" s="334" t="str">
        <f>IF(Data!I204="","",Data!I204)</f>
        <v/>
      </c>
      <c r="F207" s="336" t="str">
        <f>IF(Data!J204="","",Data!J204)</f>
        <v>VIII-E</v>
      </c>
      <c r="G207" s="326" t="str">
        <f>IF(PA!G209="","",PA!G209)</f>
        <v/>
      </c>
      <c r="H207" s="327" t="str">
        <f>IF(PA!H209="","",PA!H209)</f>
        <v/>
      </c>
      <c r="I207" s="327" t="str">
        <f>IF(PA!I209="","",PA!I209)</f>
        <v/>
      </c>
      <c r="J207" s="327" t="str">
        <f>IF(PA!AA209="","",PA!AA209)</f>
        <v/>
      </c>
      <c r="K207" s="327" t="str">
        <f>IF(PA!AB209="","",PA!AB209)</f>
        <v/>
      </c>
      <c r="L207" s="327" t="str">
        <f>IF(PA!AC209="","",PA!AC209)</f>
        <v/>
      </c>
      <c r="M207" s="328" t="str">
        <f>IF(PA!P209="","",PA!P209)</f>
        <v/>
      </c>
    </row>
    <row r="208" spans="1:13" ht="15" thickTop="1" x14ac:dyDescent="0.3">
      <c r="A208" s="329">
        <f>Data!E205</f>
        <v>1</v>
      </c>
      <c r="B208" s="330" t="str">
        <f>IF(Data!F205="","",Data!F205)</f>
        <v>03627</v>
      </c>
      <c r="C208" s="330" t="str">
        <f>IF(Data!G205="","",Data!G205)</f>
        <v>3128485352</v>
      </c>
      <c r="D208" s="331" t="str">
        <f>IF(Data!H205="","",Data!H205)</f>
        <v>Afica Az-Zahra Kalila Bilqis</v>
      </c>
      <c r="E208" s="330" t="str">
        <f>IF(Data!I205="","",Data!I205)</f>
        <v>Perempuan</v>
      </c>
      <c r="F208" s="332" t="str">
        <f>IF(Data!J205="","",Data!J205)</f>
        <v>VIII-F</v>
      </c>
      <c r="G208" s="326">
        <f>IF(PA!G210="","",PA!G210)</f>
        <v>80.099999999999994</v>
      </c>
      <c r="H208" s="327">
        <f>IF(PA!H210="","",PA!H210)</f>
        <v>81</v>
      </c>
      <c r="I208" s="327">
        <f>IF(PA!I210="","",PA!I210)</f>
        <v>79</v>
      </c>
      <c r="J208" s="327" t="str">
        <f>IF(PA!AA210="","",PA!AA210)</f>
        <v/>
      </c>
      <c r="K208" s="327" t="str">
        <f>IF(PA!AB210="","",PA!AB210)</f>
        <v/>
      </c>
      <c r="L208" s="327" t="str">
        <f>IF(PA!AC210="","",PA!AC210)</f>
        <v/>
      </c>
      <c r="M208" s="328" t="str">
        <f>IF(PA!P210="","",PA!P210)</f>
        <v/>
      </c>
    </row>
    <row r="209" spans="1:13" ht="14.4" x14ac:dyDescent="0.3">
      <c r="A209" s="329">
        <f>Data!E206</f>
        <v>2</v>
      </c>
      <c r="B209" s="330" t="str">
        <f>IF(Data!F206="","",Data!F206)</f>
        <v>03628</v>
      </c>
      <c r="C209" s="330" t="str">
        <f>IF(Data!G206="","",Data!G206)</f>
        <v>3122866966</v>
      </c>
      <c r="D209" s="331" t="str">
        <f>IF(Data!H206="","",Data!H206)</f>
        <v>Afika Cahaya Anggraini</v>
      </c>
      <c r="E209" s="330" t="str">
        <f>IF(Data!I206="","",Data!I206)</f>
        <v>Perempuan</v>
      </c>
      <c r="F209" s="332" t="str">
        <f>IF(Data!J206="","",Data!J206)</f>
        <v>VIII-F</v>
      </c>
      <c r="G209" s="326">
        <f>IF(PA!G211="","",PA!G211)</f>
        <v>80.099999999999994</v>
      </c>
      <c r="H209" s="327">
        <f>IF(PA!H211="","",PA!H211)</f>
        <v>81</v>
      </c>
      <c r="I209" s="327">
        <f>IF(PA!I211="","",PA!I211)</f>
        <v>83</v>
      </c>
      <c r="J209" s="327" t="str">
        <f>IF(PA!AA211="","",PA!AA211)</f>
        <v/>
      </c>
      <c r="K209" s="327" t="str">
        <f>IF(PA!AB211="","",PA!AB211)</f>
        <v/>
      </c>
      <c r="L209" s="327" t="str">
        <f>IF(PA!AC211="","",PA!AC211)</f>
        <v/>
      </c>
      <c r="M209" s="328" t="str">
        <f>IF(PA!P211="","",PA!P211)</f>
        <v/>
      </c>
    </row>
    <row r="210" spans="1:13" ht="14.4" x14ac:dyDescent="0.3">
      <c r="A210" s="329">
        <f>Data!E207</f>
        <v>3</v>
      </c>
      <c r="B210" s="330" t="str">
        <f>IF(Data!F207="","",Data!F207)</f>
        <v>03631</v>
      </c>
      <c r="C210" s="330">
        <f>IF(Data!G207="","",Data!G207)</f>
        <v>3133458541</v>
      </c>
      <c r="D210" s="331" t="str">
        <f>IF(Data!H207="","",Data!H207)</f>
        <v>Amanda Kurnia Nur Afifah</v>
      </c>
      <c r="E210" s="330" t="str">
        <f>IF(Data!I207="","",Data!I207)</f>
        <v>Perempuan</v>
      </c>
      <c r="F210" s="332" t="str">
        <f>IF(Data!J207="","",Data!J207)</f>
        <v>VIII-F</v>
      </c>
      <c r="G210" s="326">
        <f>IF(PA!G212="","",PA!G212)</f>
        <v>80</v>
      </c>
      <c r="H210" s="327">
        <f>IF(PA!H212="","",PA!H212)</f>
        <v>83</v>
      </c>
      <c r="I210" s="327">
        <f>IF(PA!I212="","",PA!I212)</f>
        <v>85</v>
      </c>
      <c r="J210" s="327" t="str">
        <f>IF(PA!AA212="","",PA!AA212)</f>
        <v/>
      </c>
      <c r="K210" s="327" t="str">
        <f>IF(PA!AB212="","",PA!AB212)</f>
        <v/>
      </c>
      <c r="L210" s="327" t="str">
        <f>IF(PA!AC212="","",PA!AC212)</f>
        <v/>
      </c>
      <c r="M210" s="328" t="str">
        <f>IF(PA!P212="","",PA!P212)</f>
        <v/>
      </c>
    </row>
    <row r="211" spans="1:13" ht="14.4" x14ac:dyDescent="0.3">
      <c r="A211" s="329">
        <f>Data!E208</f>
        <v>4</v>
      </c>
      <c r="B211" s="330" t="str">
        <f>IF(Data!F208="","",Data!F208)</f>
        <v>03634</v>
      </c>
      <c r="C211" s="330" t="str">
        <f>IF(Data!G208="","",Data!G208)</f>
        <v>0128737877</v>
      </c>
      <c r="D211" s="331" t="str">
        <f>IF(Data!H208="","",Data!H208)</f>
        <v>Anna Ollivia</v>
      </c>
      <c r="E211" s="330" t="str">
        <f>IF(Data!I208="","",Data!I208)</f>
        <v>Perempuan</v>
      </c>
      <c r="F211" s="332" t="str">
        <f>IF(Data!J208="","",Data!J208)</f>
        <v>VIII-F</v>
      </c>
      <c r="G211" s="326">
        <f>IF(PA!G213="","",PA!G213)</f>
        <v>83</v>
      </c>
      <c r="H211" s="327">
        <f>IF(PA!H213="","",PA!H213)</f>
        <v>85</v>
      </c>
      <c r="I211" s="327">
        <f>IF(PA!I213="","",PA!I213)</f>
        <v>86</v>
      </c>
      <c r="J211" s="327" t="str">
        <f>IF(PA!AA213="","",PA!AA213)</f>
        <v/>
      </c>
      <c r="K211" s="327" t="str">
        <f>IF(PA!AB213="","",PA!AB213)</f>
        <v/>
      </c>
      <c r="L211" s="327" t="str">
        <f>IF(PA!AC213="","",PA!AC213)</f>
        <v/>
      </c>
      <c r="M211" s="328" t="str">
        <f>IF(PA!P213="","",PA!P213)</f>
        <v/>
      </c>
    </row>
    <row r="212" spans="1:13" ht="14.4" x14ac:dyDescent="0.3">
      <c r="A212" s="329">
        <f>Data!E209</f>
        <v>5</v>
      </c>
      <c r="B212" s="330" t="str">
        <f>IF(Data!F209="","",Data!F209)</f>
        <v>03637</v>
      </c>
      <c r="C212" s="330" t="str">
        <f>IF(Data!G209="","",Data!G209)</f>
        <v>0121613803</v>
      </c>
      <c r="D212" s="331" t="str">
        <f>IF(Data!H209="","",Data!H209)</f>
        <v>Aqilatus Syahiro</v>
      </c>
      <c r="E212" s="330" t="str">
        <f>IF(Data!I209="","",Data!I209)</f>
        <v>Perempuan</v>
      </c>
      <c r="F212" s="332" t="str">
        <f>IF(Data!J209="","",Data!J209)</f>
        <v>VIII-F</v>
      </c>
      <c r="G212" s="326">
        <f>IF(PA!G214="","",PA!G214)</f>
        <v>95</v>
      </c>
      <c r="H212" s="327">
        <f>IF(PA!H214="","",PA!H214)</f>
        <v>85</v>
      </c>
      <c r="I212" s="327">
        <f>IF(PA!I214="","",PA!I214)</f>
        <v>86</v>
      </c>
      <c r="J212" s="327" t="str">
        <f>IF(PA!AA214="","",PA!AA214)</f>
        <v/>
      </c>
      <c r="K212" s="327" t="str">
        <f>IF(PA!AB214="","",PA!AB214)</f>
        <v/>
      </c>
      <c r="L212" s="327" t="str">
        <f>IF(PA!AC214="","",PA!AC214)</f>
        <v/>
      </c>
      <c r="M212" s="328" t="str">
        <f>IF(PA!P214="","",PA!P214)</f>
        <v/>
      </c>
    </row>
    <row r="213" spans="1:13" ht="14.4" x14ac:dyDescent="0.3">
      <c r="A213" s="329">
        <f>Data!E210</f>
        <v>6</v>
      </c>
      <c r="B213" s="330" t="str">
        <f>IF(Data!F210="","",Data!F210)</f>
        <v>03638</v>
      </c>
      <c r="C213" s="330" t="str">
        <f>IF(Data!G210="","",Data!G210)</f>
        <v>0136316873</v>
      </c>
      <c r="D213" s="331" t="str">
        <f>IF(Data!H210="","",Data!H210)</f>
        <v>Ardian Pramesti Regita Cahyani</v>
      </c>
      <c r="E213" s="330" t="str">
        <f>IF(Data!I210="","",Data!I210)</f>
        <v>Perempuan</v>
      </c>
      <c r="F213" s="332" t="str">
        <f>IF(Data!J210="","",Data!J210)</f>
        <v>VIII-F</v>
      </c>
      <c r="G213" s="326">
        <f>IF(PA!G215="","",PA!G215)</f>
        <v>89</v>
      </c>
      <c r="H213" s="327">
        <f>IF(PA!H215="","",PA!H215)</f>
        <v>85.1</v>
      </c>
      <c r="I213" s="327">
        <f>IF(PA!I215="","",PA!I215)</f>
        <v>83</v>
      </c>
      <c r="J213" s="327" t="str">
        <f>IF(PA!AA215="","",PA!AA215)</f>
        <v/>
      </c>
      <c r="K213" s="327" t="str">
        <f>IF(PA!AB215="","",PA!AB215)</f>
        <v/>
      </c>
      <c r="L213" s="327" t="str">
        <f>IF(PA!AC215="","",PA!AC215)</f>
        <v/>
      </c>
      <c r="M213" s="328" t="str">
        <f>IF(PA!P215="","",PA!P215)</f>
        <v/>
      </c>
    </row>
    <row r="214" spans="1:13" ht="14.4" x14ac:dyDescent="0.3">
      <c r="A214" s="329">
        <f>Data!E211</f>
        <v>7</v>
      </c>
      <c r="B214" s="330" t="str">
        <f>IF(Data!F211="","",Data!F211)</f>
        <v>03652</v>
      </c>
      <c r="C214" s="330">
        <f>IF(Data!G211="","",Data!G211)</f>
        <v>3130935797</v>
      </c>
      <c r="D214" s="331" t="str">
        <f>IF(Data!H211="","",Data!H211)</f>
        <v>Chika Ramadhani Nur Khomariyah</v>
      </c>
      <c r="E214" s="330" t="str">
        <f>IF(Data!I211="","",Data!I211)</f>
        <v>Perempuan</v>
      </c>
      <c r="F214" s="332" t="str">
        <f>IF(Data!J211="","",Data!J211)</f>
        <v>VIII-F</v>
      </c>
      <c r="G214" s="326">
        <f>IF(PA!G216="","",PA!G216)</f>
        <v>83.1</v>
      </c>
      <c r="H214" s="327">
        <f>IF(PA!H216="","",PA!H216)</f>
        <v>85</v>
      </c>
      <c r="I214" s="327">
        <f>IF(PA!I216="","",PA!I216)</f>
        <v>80.2</v>
      </c>
      <c r="J214" s="327" t="str">
        <f>IF(PA!AA216="","",PA!AA216)</f>
        <v/>
      </c>
      <c r="K214" s="327" t="str">
        <f>IF(PA!AB216="","",PA!AB216)</f>
        <v/>
      </c>
      <c r="L214" s="327" t="str">
        <f>IF(PA!AC216="","",PA!AC216)</f>
        <v/>
      </c>
      <c r="M214" s="328" t="str">
        <f>IF(PA!P216="","",PA!P216)</f>
        <v/>
      </c>
    </row>
    <row r="215" spans="1:13" ht="14.4" x14ac:dyDescent="0.3">
      <c r="A215" s="329">
        <f>Data!E212</f>
        <v>8</v>
      </c>
      <c r="B215" s="330" t="str">
        <f>IF(Data!F212="","",Data!F212)</f>
        <v>03665</v>
      </c>
      <c r="C215" s="330" t="str">
        <f>IF(Data!G212="","",Data!G212)</f>
        <v>0124106012</v>
      </c>
      <c r="D215" s="331" t="str">
        <f>IF(Data!H212="","",Data!H212)</f>
        <v>Dwi Astutik</v>
      </c>
      <c r="E215" s="330" t="str">
        <f>IF(Data!I212="","",Data!I212)</f>
        <v>Perempuan</v>
      </c>
      <c r="F215" s="332" t="str">
        <f>IF(Data!J212="","",Data!J212)</f>
        <v>VIII-F</v>
      </c>
      <c r="G215" s="326">
        <f>IF(PA!G217="","",PA!G217)</f>
        <v>95</v>
      </c>
      <c r="H215" s="327">
        <f>IF(PA!H217="","",PA!H217)</f>
        <v>85</v>
      </c>
      <c r="I215" s="327">
        <f>IF(PA!I217="","",PA!I217)</f>
        <v>86</v>
      </c>
      <c r="J215" s="327" t="str">
        <f>IF(PA!AA217="","",PA!AA217)</f>
        <v/>
      </c>
      <c r="K215" s="327" t="str">
        <f>IF(PA!AB217="","",PA!AB217)</f>
        <v/>
      </c>
      <c r="L215" s="327" t="str">
        <f>IF(PA!AC217="","",PA!AC217)</f>
        <v/>
      </c>
      <c r="M215" s="328" t="str">
        <f>IF(PA!P217="","",PA!P217)</f>
        <v/>
      </c>
    </row>
    <row r="216" spans="1:13" ht="14.4" x14ac:dyDescent="0.3">
      <c r="A216" s="329">
        <f>Data!E213</f>
        <v>9</v>
      </c>
      <c r="B216" s="330" t="str">
        <f>IF(Data!F213="","",Data!F213)</f>
        <v>03669</v>
      </c>
      <c r="C216" s="330">
        <f>IF(Data!G213="","",Data!G213)</f>
        <v>3120872451</v>
      </c>
      <c r="D216" s="331" t="str">
        <f>IF(Data!H213="","",Data!H213)</f>
        <v>Fatimatuz Zahro Fina Ramadani</v>
      </c>
      <c r="E216" s="330" t="str">
        <f>IF(Data!I213="","",Data!I213)</f>
        <v>Perempuan</v>
      </c>
      <c r="F216" s="332" t="str">
        <f>IF(Data!J213="","",Data!J213)</f>
        <v>VIII-F</v>
      </c>
      <c r="G216" s="326">
        <f>IF(PA!G218="","",PA!G218)</f>
        <v>85</v>
      </c>
      <c r="H216" s="327">
        <f>IF(PA!H218="","",PA!H218)</f>
        <v>86</v>
      </c>
      <c r="I216" s="327">
        <f>IF(PA!I218="","",PA!I218)</f>
        <v>80.099999999999994</v>
      </c>
      <c r="J216" s="327" t="str">
        <f>IF(PA!AA218="","",PA!AA218)</f>
        <v/>
      </c>
      <c r="K216" s="327" t="str">
        <f>IF(PA!AB218="","",PA!AB218)</f>
        <v/>
      </c>
      <c r="L216" s="327" t="str">
        <f>IF(PA!AC218="","",PA!AC218)</f>
        <v/>
      </c>
      <c r="M216" s="328" t="str">
        <f>IF(PA!P218="","",PA!P218)</f>
        <v/>
      </c>
    </row>
    <row r="217" spans="1:13" ht="14.4" x14ac:dyDescent="0.3">
      <c r="A217" s="329">
        <f>Data!E214</f>
        <v>10</v>
      </c>
      <c r="B217" s="330" t="str">
        <f>IF(Data!F214="","",Data!F214)</f>
        <v>03674</v>
      </c>
      <c r="C217" s="330">
        <f>IF(Data!G214="","",Data!G214)</f>
        <v>3120240226</v>
      </c>
      <c r="D217" s="331" t="str">
        <f>IF(Data!H214="","",Data!H214)</f>
        <v>Hikmatul Aulya</v>
      </c>
      <c r="E217" s="330" t="str">
        <f>IF(Data!I214="","",Data!I214)</f>
        <v>Perempuan</v>
      </c>
      <c r="F217" s="332" t="str">
        <f>IF(Data!J214="","",Data!J214)</f>
        <v>VIII-F</v>
      </c>
      <c r="G217" s="326">
        <f>IF(PA!G219="","",PA!G219)</f>
        <v>85</v>
      </c>
      <c r="H217" s="327">
        <f>IF(PA!H219="","",PA!H219)</f>
        <v>86</v>
      </c>
      <c r="I217" s="327">
        <f>IF(PA!I219="","",PA!I219)</f>
        <v>83</v>
      </c>
      <c r="J217" s="327" t="str">
        <f>IF(PA!AA219="","",PA!AA219)</f>
        <v/>
      </c>
      <c r="K217" s="327" t="str">
        <f>IF(PA!AB219="","",PA!AB219)</f>
        <v/>
      </c>
      <c r="L217" s="327" t="str">
        <f>IF(PA!AC219="","",PA!AC219)</f>
        <v/>
      </c>
      <c r="M217" s="328" t="str">
        <f>IF(PA!P219="","",PA!P219)</f>
        <v/>
      </c>
    </row>
    <row r="218" spans="1:13" ht="14.4" x14ac:dyDescent="0.3">
      <c r="A218" s="329">
        <f>Data!E215</f>
        <v>11</v>
      </c>
      <c r="B218" s="330" t="str">
        <f>IF(Data!F215="","",Data!F215)</f>
        <v>03682</v>
      </c>
      <c r="C218" s="330" t="str">
        <f>IF(Data!G215="","",Data!G215)</f>
        <v>0128921105</v>
      </c>
      <c r="D218" s="331" t="str">
        <f>IF(Data!H215="","",Data!H215)</f>
        <v>Kenes Zenobia Rahmawan</v>
      </c>
      <c r="E218" s="330" t="str">
        <f>IF(Data!I215="","",Data!I215)</f>
        <v>Perempuan</v>
      </c>
      <c r="F218" s="332" t="str">
        <f>IF(Data!J215="","",Data!J215)</f>
        <v>VIII-F</v>
      </c>
      <c r="G218" s="326">
        <f>IF(PA!G220="","",PA!G220)</f>
        <v>85</v>
      </c>
      <c r="H218" s="327">
        <f>IF(PA!H220="","",PA!H220)</f>
        <v>86</v>
      </c>
      <c r="I218" s="327">
        <f>IF(PA!I220="","",PA!I220)</f>
        <v>83</v>
      </c>
      <c r="J218" s="327" t="str">
        <f>IF(PA!AA220="","",PA!AA220)</f>
        <v/>
      </c>
      <c r="K218" s="327" t="str">
        <f>IF(PA!AB220="","",PA!AB220)</f>
        <v/>
      </c>
      <c r="L218" s="327" t="str">
        <f>IF(PA!AC220="","",PA!AC220)</f>
        <v/>
      </c>
      <c r="M218" s="328" t="str">
        <f>IF(PA!P220="","",PA!P220)</f>
        <v/>
      </c>
    </row>
    <row r="219" spans="1:13" ht="14.4" x14ac:dyDescent="0.3">
      <c r="A219" s="329">
        <f>Data!E216</f>
        <v>12</v>
      </c>
      <c r="B219" s="330" t="str">
        <f>IF(Data!F216="","",Data!F216)</f>
        <v>03684</v>
      </c>
      <c r="C219" s="330">
        <f>IF(Data!G216="","",Data!G216)</f>
        <v>3132478722</v>
      </c>
      <c r="D219" s="331" t="str">
        <f>IF(Data!H216="","",Data!H216)</f>
        <v>Kheina Nadia Rahmania</v>
      </c>
      <c r="E219" s="330" t="str">
        <f>IF(Data!I216="","",Data!I216)</f>
        <v>Perempuan</v>
      </c>
      <c r="F219" s="332" t="str">
        <f>IF(Data!J216="","",Data!J216)</f>
        <v>VIII-F</v>
      </c>
      <c r="G219" s="326">
        <f>IF(PA!G221="","",PA!G221)</f>
        <v>85</v>
      </c>
      <c r="H219" s="327">
        <f>IF(PA!H221="","",PA!H221)</f>
        <v>83</v>
      </c>
      <c r="I219" s="327">
        <f>IF(PA!I221="","",PA!I221)</f>
        <v>80.099999999999994</v>
      </c>
      <c r="J219" s="327" t="str">
        <f>IF(PA!AA221="","",PA!AA221)</f>
        <v/>
      </c>
      <c r="K219" s="327" t="str">
        <f>IF(PA!AB221="","",PA!AB221)</f>
        <v/>
      </c>
      <c r="L219" s="327" t="str">
        <f>IF(PA!AC221="","",PA!AC221)</f>
        <v/>
      </c>
      <c r="M219" s="328" t="str">
        <f>IF(PA!P221="","",PA!P221)</f>
        <v/>
      </c>
    </row>
    <row r="220" spans="1:13" ht="14.4" x14ac:dyDescent="0.3">
      <c r="A220" s="329">
        <f>Data!E217</f>
        <v>13</v>
      </c>
      <c r="B220" s="330" t="str">
        <f>IF(Data!F217="","",Data!F217)</f>
        <v>03686</v>
      </c>
      <c r="C220" s="330" t="str">
        <f>IF(Data!G217="","",Data!G217)</f>
        <v>0129097589</v>
      </c>
      <c r="D220" s="331" t="str">
        <f>IF(Data!H217="","",Data!H217)</f>
        <v>Kholishotul Mahmudah</v>
      </c>
      <c r="E220" s="330" t="str">
        <f>IF(Data!I217="","",Data!I217)</f>
        <v>Perempuan</v>
      </c>
      <c r="F220" s="332" t="str">
        <f>IF(Data!J217="","",Data!J217)</f>
        <v>VIII-F</v>
      </c>
      <c r="G220" s="326">
        <f>IF(PA!G222="","",PA!G222)</f>
        <v>90</v>
      </c>
      <c r="H220" s="327">
        <f>IF(PA!H222="","",PA!H222)</f>
        <v>85</v>
      </c>
      <c r="I220" s="327">
        <f>IF(PA!I222="","",PA!I222)</f>
        <v>86</v>
      </c>
      <c r="J220" s="327" t="str">
        <f>IF(PA!AA222="","",PA!AA222)</f>
        <v/>
      </c>
      <c r="K220" s="327" t="str">
        <f>IF(PA!AB222="","",PA!AB222)</f>
        <v/>
      </c>
      <c r="L220" s="327" t="str">
        <f>IF(PA!AC222="","",PA!AC222)</f>
        <v/>
      </c>
      <c r="M220" s="328" t="str">
        <f>IF(PA!P222="","",PA!P222)</f>
        <v/>
      </c>
    </row>
    <row r="221" spans="1:13" ht="14.4" x14ac:dyDescent="0.3">
      <c r="A221" s="329">
        <f>Data!E218</f>
        <v>14</v>
      </c>
      <c r="B221" s="330" t="str">
        <f>IF(Data!F218="","",Data!F218)</f>
        <v>03689</v>
      </c>
      <c r="C221" s="330" t="str">
        <f>IF(Data!G218="","",Data!G218)</f>
        <v>0137490315</v>
      </c>
      <c r="D221" s="331" t="str">
        <f>IF(Data!H218="","",Data!H218)</f>
        <v>Laylatul Nurjana</v>
      </c>
      <c r="E221" s="330" t="str">
        <f>IF(Data!I218="","",Data!I218)</f>
        <v>Perempuan</v>
      </c>
      <c r="F221" s="332" t="str">
        <f>IF(Data!J218="","",Data!J218)</f>
        <v>VIII-F</v>
      </c>
      <c r="G221" s="326">
        <f>IF(PA!G223="","",PA!G223)</f>
        <v>85.1</v>
      </c>
      <c r="H221" s="327">
        <f>IF(PA!H223="","",PA!H223)</f>
        <v>86</v>
      </c>
      <c r="I221" s="327">
        <f>IF(PA!I223="","",PA!I223)</f>
        <v>85</v>
      </c>
      <c r="J221" s="327" t="str">
        <f>IF(PA!AA223="","",PA!AA223)</f>
        <v/>
      </c>
      <c r="K221" s="327" t="str">
        <f>IF(PA!AB223="","",PA!AB223)</f>
        <v/>
      </c>
      <c r="L221" s="327" t="str">
        <f>IF(PA!AC223="","",PA!AC223)</f>
        <v/>
      </c>
      <c r="M221" s="328" t="str">
        <f>IF(PA!P223="","",PA!P223)</f>
        <v/>
      </c>
    </row>
    <row r="222" spans="1:13" ht="14.4" x14ac:dyDescent="0.3">
      <c r="A222" s="329">
        <f>Data!E219</f>
        <v>15</v>
      </c>
      <c r="B222" s="330" t="str">
        <f>IF(Data!F219="","",Data!F219)</f>
        <v>03700</v>
      </c>
      <c r="C222" s="330" t="str">
        <f>IF(Data!G219="","",Data!G219)</f>
        <v>0121901779</v>
      </c>
      <c r="D222" s="331" t="str">
        <f>IF(Data!H219="","",Data!H219)</f>
        <v>Nadhira Rahma Fitriyana</v>
      </c>
      <c r="E222" s="330" t="str">
        <f>IF(Data!I219="","",Data!I219)</f>
        <v>Perempuan</v>
      </c>
      <c r="F222" s="332" t="str">
        <f>IF(Data!J219="","",Data!J219)</f>
        <v>VIII-F</v>
      </c>
      <c r="G222" s="326">
        <f>IF(PA!G224="","",PA!G224)</f>
        <v>90</v>
      </c>
      <c r="H222" s="327">
        <f>IF(PA!H224="","",PA!H224)</f>
        <v>83</v>
      </c>
      <c r="I222" s="327">
        <f>IF(PA!I224="","",PA!I224)</f>
        <v>80</v>
      </c>
      <c r="J222" s="327" t="str">
        <f>IF(PA!AA224="","",PA!AA224)</f>
        <v/>
      </c>
      <c r="K222" s="327" t="str">
        <f>IF(PA!AB224="","",PA!AB224)</f>
        <v/>
      </c>
      <c r="L222" s="327" t="str">
        <f>IF(PA!AC224="","",PA!AC224)</f>
        <v/>
      </c>
      <c r="M222" s="328" t="str">
        <f>IF(PA!P224="","",PA!P224)</f>
        <v/>
      </c>
    </row>
    <row r="223" spans="1:13" ht="14.4" x14ac:dyDescent="0.3">
      <c r="A223" s="329">
        <f>Data!E220</f>
        <v>16</v>
      </c>
      <c r="B223" s="330" t="str">
        <f>IF(Data!F220="","",Data!F220)</f>
        <v>03701</v>
      </c>
      <c r="C223" s="330" t="str">
        <f>IF(Data!G220="","",Data!G220)</f>
        <v>3127636470</v>
      </c>
      <c r="D223" s="331" t="str">
        <f>IF(Data!H220="","",Data!H220)</f>
        <v>Nadila Ayu Febryana Putrianata</v>
      </c>
      <c r="E223" s="330" t="str">
        <f>IF(Data!I220="","",Data!I220)</f>
        <v>Perempuan</v>
      </c>
      <c r="F223" s="332" t="str">
        <f>IF(Data!J220="","",Data!J220)</f>
        <v>VIII-F</v>
      </c>
      <c r="G223" s="326">
        <f>IF(PA!G225="","",PA!G225)</f>
        <v>85</v>
      </c>
      <c r="H223" s="327">
        <f>IF(PA!H225="","",PA!H225)</f>
        <v>86</v>
      </c>
      <c r="I223" s="327">
        <f>IF(PA!I225="","",PA!I225)</f>
        <v>83</v>
      </c>
      <c r="J223" s="327" t="str">
        <f>IF(PA!AA225="","",PA!AA225)</f>
        <v/>
      </c>
      <c r="K223" s="327" t="str">
        <f>IF(PA!AB225="","",PA!AB225)</f>
        <v/>
      </c>
      <c r="L223" s="327" t="str">
        <f>IF(PA!AC225="","",PA!AC225)</f>
        <v/>
      </c>
      <c r="M223" s="328" t="str">
        <f>IF(PA!P225="","",PA!P225)</f>
        <v/>
      </c>
    </row>
    <row r="224" spans="1:13" ht="14.4" x14ac:dyDescent="0.3">
      <c r="A224" s="329">
        <f>Data!E221</f>
        <v>17</v>
      </c>
      <c r="B224" s="330" t="str">
        <f>IF(Data!F221="","",Data!F221)</f>
        <v>03703</v>
      </c>
      <c r="C224" s="330">
        <f>IF(Data!G221="","",Data!G221)</f>
        <v>3122114617</v>
      </c>
      <c r="D224" s="331" t="str">
        <f>IF(Data!H221="","",Data!H221)</f>
        <v>Nailatul Rijciya</v>
      </c>
      <c r="E224" s="330" t="str">
        <f>IF(Data!I221="","",Data!I221)</f>
        <v>Perempuan</v>
      </c>
      <c r="F224" s="332" t="str">
        <f>IF(Data!J221="","",Data!J221)</f>
        <v>VIII-F</v>
      </c>
      <c r="G224" s="326">
        <f>IF(PA!G226="","",PA!G226)</f>
        <v>85</v>
      </c>
      <c r="H224" s="327">
        <f>IF(PA!H226="","",PA!H226)</f>
        <v>80.099999999999994</v>
      </c>
      <c r="I224" s="327">
        <f>IF(PA!I226="","",PA!I226)</f>
        <v>82</v>
      </c>
      <c r="J224" s="327" t="str">
        <f>IF(PA!AA226="","",PA!AA226)</f>
        <v/>
      </c>
      <c r="K224" s="327" t="str">
        <f>IF(PA!AB226="","",PA!AB226)</f>
        <v/>
      </c>
      <c r="L224" s="327" t="str">
        <f>IF(PA!AC226="","",PA!AC226)</f>
        <v/>
      </c>
      <c r="M224" s="328" t="str">
        <f>IF(PA!P226="","",PA!P226)</f>
        <v/>
      </c>
    </row>
    <row r="225" spans="1:13" ht="14.4" x14ac:dyDescent="0.3">
      <c r="A225" s="329">
        <f>Data!E222</f>
        <v>18</v>
      </c>
      <c r="B225" s="330" t="str">
        <f>IF(Data!F222="","",Data!F222)</f>
        <v>03704</v>
      </c>
      <c r="C225" s="330" t="str">
        <f>IF(Data!G222="","",Data!G222)</f>
        <v>0126624203</v>
      </c>
      <c r="D225" s="331" t="str">
        <f>IF(Data!H222="","",Data!H222)</f>
        <v>Najwa Asyila Salsabila</v>
      </c>
      <c r="E225" s="330" t="str">
        <f>IF(Data!I222="","",Data!I222)</f>
        <v>Perempuan</v>
      </c>
      <c r="F225" s="332" t="str">
        <f>IF(Data!J222="","",Data!J222)</f>
        <v>VIII-F</v>
      </c>
      <c r="G225" s="326">
        <f>IF(PA!G227="","",PA!G227)</f>
        <v>85</v>
      </c>
      <c r="H225" s="327">
        <f>IF(PA!H227="","",PA!H227)</f>
        <v>86</v>
      </c>
      <c r="I225" s="327">
        <f>IF(PA!I227="","",PA!I227)</f>
        <v>83</v>
      </c>
      <c r="J225" s="327" t="str">
        <f>IF(PA!AA227="","",PA!AA227)</f>
        <v/>
      </c>
      <c r="K225" s="327" t="str">
        <f>IF(PA!AB227="","",PA!AB227)</f>
        <v/>
      </c>
      <c r="L225" s="327" t="str">
        <f>IF(PA!AC227="","",PA!AC227)</f>
        <v/>
      </c>
      <c r="M225" s="328" t="str">
        <f>IF(PA!P227="","",PA!P227)</f>
        <v/>
      </c>
    </row>
    <row r="226" spans="1:13" ht="14.4" x14ac:dyDescent="0.3">
      <c r="A226" s="329">
        <f>Data!E223</f>
        <v>19</v>
      </c>
      <c r="B226" s="330" t="str">
        <f>IF(Data!F223="","",Data!F223)</f>
        <v>03706</v>
      </c>
      <c r="C226" s="330">
        <f>IF(Data!G223="","",Data!G223)</f>
        <v>3124985291</v>
      </c>
      <c r="D226" s="331" t="str">
        <f>IF(Data!H223="","",Data!H223)</f>
        <v>Natasya Elina Putri</v>
      </c>
      <c r="E226" s="330" t="str">
        <f>IF(Data!I223="","",Data!I223)</f>
        <v>Perempuan</v>
      </c>
      <c r="F226" s="332" t="str">
        <f>IF(Data!J223="","",Data!J223)</f>
        <v>VIII-F</v>
      </c>
      <c r="G226" s="326">
        <f>IF(PA!G228="","",PA!G228)</f>
        <v>87</v>
      </c>
      <c r="H226" s="327">
        <f>IF(PA!H228="","",PA!H228)</f>
        <v>80.099999999999994</v>
      </c>
      <c r="I226" s="327">
        <f>IF(PA!I228="","",PA!I228)</f>
        <v>85</v>
      </c>
      <c r="J226" s="327" t="str">
        <f>IF(PA!AA228="","",PA!AA228)</f>
        <v/>
      </c>
      <c r="K226" s="327" t="str">
        <f>IF(PA!AB228="","",PA!AB228)</f>
        <v/>
      </c>
      <c r="L226" s="327" t="str">
        <f>IF(PA!AC228="","",PA!AC228)</f>
        <v/>
      </c>
      <c r="M226" s="328" t="str">
        <f>IF(PA!P228="","",PA!P228)</f>
        <v/>
      </c>
    </row>
    <row r="227" spans="1:13" ht="14.4" x14ac:dyDescent="0.3">
      <c r="A227" s="329">
        <f>Data!E224</f>
        <v>20</v>
      </c>
      <c r="B227" s="330" t="str">
        <f>IF(Data!F224="","",Data!F224)</f>
        <v>03712</v>
      </c>
      <c r="C227" s="330" t="str">
        <f>IF(Data!G224="","",Data!G224)</f>
        <v>0123627394</v>
      </c>
      <c r="D227" s="331" t="str">
        <f>IF(Data!H224="","",Data!H224)</f>
        <v>Niken Maulia Ambarwati</v>
      </c>
      <c r="E227" s="330" t="str">
        <f>IF(Data!I224="","",Data!I224)</f>
        <v>Perempuan</v>
      </c>
      <c r="F227" s="332" t="str">
        <f>IF(Data!J224="","",Data!J224)</f>
        <v>VIII-F</v>
      </c>
      <c r="G227" s="326">
        <f>IF(PA!G229="","",PA!G229)</f>
        <v>85</v>
      </c>
      <c r="H227" s="327">
        <f>IF(PA!H229="","",PA!H229)</f>
        <v>86</v>
      </c>
      <c r="I227" s="327">
        <f>IF(PA!I229="","",PA!I229)</f>
        <v>83</v>
      </c>
      <c r="J227" s="327" t="str">
        <f>IF(PA!AA229="","",PA!AA229)</f>
        <v/>
      </c>
      <c r="K227" s="327" t="str">
        <f>IF(PA!AB229="","",PA!AB229)</f>
        <v/>
      </c>
      <c r="L227" s="327" t="str">
        <f>IF(PA!AC229="","",PA!AC229)</f>
        <v/>
      </c>
      <c r="M227" s="328" t="str">
        <f>IF(PA!P229="","",PA!P229)</f>
        <v/>
      </c>
    </row>
    <row r="228" spans="1:13" ht="14.4" x14ac:dyDescent="0.3">
      <c r="A228" s="329">
        <f>Data!E225</f>
        <v>21</v>
      </c>
      <c r="B228" s="330" t="str">
        <f>IF(Data!F225="","",Data!F225)</f>
        <v>03715</v>
      </c>
      <c r="C228" s="330" t="str">
        <f>IF(Data!G225="","",Data!G225)</f>
        <v>0134122799</v>
      </c>
      <c r="D228" s="331" t="str">
        <f>IF(Data!H225="","",Data!H225)</f>
        <v>Nuris Fatimatu Zahra</v>
      </c>
      <c r="E228" s="330" t="str">
        <f>IF(Data!I225="","",Data!I225)</f>
        <v>Perempuan</v>
      </c>
      <c r="F228" s="332" t="str">
        <f>IF(Data!J225="","",Data!J225)</f>
        <v>VIII-F</v>
      </c>
      <c r="G228" s="326">
        <f>IF(PA!G230="","",PA!G230)</f>
        <v>86.1</v>
      </c>
      <c r="H228" s="327">
        <f>IF(PA!H230="","",PA!H230)</f>
        <v>85</v>
      </c>
      <c r="I228" s="327">
        <f>IF(PA!I230="","",PA!I230)</f>
        <v>86</v>
      </c>
      <c r="J228" s="327" t="str">
        <f>IF(PA!AA230="","",PA!AA230)</f>
        <v/>
      </c>
      <c r="K228" s="327" t="str">
        <f>IF(PA!AB230="","",PA!AB230)</f>
        <v/>
      </c>
      <c r="L228" s="327" t="str">
        <f>IF(PA!AC230="","",PA!AC230)</f>
        <v/>
      </c>
      <c r="M228" s="328" t="str">
        <f>IF(PA!P230="","",PA!P230)</f>
        <v/>
      </c>
    </row>
    <row r="229" spans="1:13" ht="14.4" x14ac:dyDescent="0.3">
      <c r="A229" s="329">
        <f>Data!E226</f>
        <v>22</v>
      </c>
      <c r="B229" s="330" t="str">
        <f>IF(Data!F226="","",Data!F226)</f>
        <v>03717</v>
      </c>
      <c r="C229" s="330" t="str">
        <f>IF(Data!G226="","",Data!G226)</f>
        <v>0124456407</v>
      </c>
      <c r="D229" s="331" t="str">
        <f>IF(Data!H226="","",Data!H226)</f>
        <v>Rianti Yomi Dwi Admaja</v>
      </c>
      <c r="E229" s="330" t="str">
        <f>IF(Data!I226="","",Data!I226)</f>
        <v>Perempuan</v>
      </c>
      <c r="F229" s="332" t="str">
        <f>IF(Data!J226="","",Data!J226)</f>
        <v>VIII-F</v>
      </c>
      <c r="G229" s="326">
        <f>IF(PA!G231="","",PA!G231)</f>
        <v>85.1</v>
      </c>
      <c r="H229" s="327">
        <f>IF(PA!H231="","",PA!H231)</f>
        <v>80</v>
      </c>
      <c r="I229" s="327">
        <f>IF(PA!I231="","",PA!I231)</f>
        <v>83</v>
      </c>
      <c r="J229" s="327" t="str">
        <f>IF(PA!AA231="","",PA!AA231)</f>
        <v/>
      </c>
      <c r="K229" s="327" t="str">
        <f>IF(PA!AB231="","",PA!AB231)</f>
        <v/>
      </c>
      <c r="L229" s="327" t="str">
        <f>IF(PA!AC231="","",PA!AC231)</f>
        <v/>
      </c>
      <c r="M229" s="328" t="str">
        <f>IF(PA!P231="","",PA!P231)</f>
        <v/>
      </c>
    </row>
    <row r="230" spans="1:13" ht="14.4" x14ac:dyDescent="0.3">
      <c r="A230" s="329">
        <f>Data!E227</f>
        <v>23</v>
      </c>
      <c r="B230" s="330" t="str">
        <f>IF(Data!F227="","",Data!F227)</f>
        <v>03718</v>
      </c>
      <c r="C230" s="330">
        <f>IF(Data!G227="","",Data!G227)</f>
        <v>3121974324</v>
      </c>
      <c r="D230" s="331" t="str">
        <f>IF(Data!H227="","",Data!H227)</f>
        <v>Rosyidatul Marwa Nurin Najwa</v>
      </c>
      <c r="E230" s="330" t="str">
        <f>IF(Data!I227="","",Data!I227)</f>
        <v>Perempuan</v>
      </c>
      <c r="F230" s="332" t="str">
        <f>IF(Data!J227="","",Data!J227)</f>
        <v>VIII-F</v>
      </c>
      <c r="G230" s="326">
        <f>IF(PA!G232="","",PA!G232)</f>
        <v>80</v>
      </c>
      <c r="H230" s="327">
        <f>IF(PA!H232="","",PA!H232)</f>
        <v>81</v>
      </c>
      <c r="I230" s="327">
        <f>IF(PA!I232="","",PA!I232)</f>
        <v>79</v>
      </c>
      <c r="J230" s="327" t="str">
        <f>IF(PA!AA232="","",PA!AA232)</f>
        <v/>
      </c>
      <c r="K230" s="327" t="str">
        <f>IF(PA!AB232="","",PA!AB232)</f>
        <v/>
      </c>
      <c r="L230" s="327" t="str">
        <f>IF(PA!AC232="","",PA!AC232)</f>
        <v/>
      </c>
      <c r="M230" s="328" t="str">
        <f>IF(PA!P232="","",PA!P232)</f>
        <v/>
      </c>
    </row>
    <row r="231" spans="1:13" ht="14.4" x14ac:dyDescent="0.3">
      <c r="A231" s="329">
        <f>Data!E228</f>
        <v>24</v>
      </c>
      <c r="B231" s="330" t="str">
        <f>IF(Data!F228="","",Data!F228)</f>
        <v>03722</v>
      </c>
      <c r="C231" s="330" t="str">
        <f>IF(Data!G228="","",Data!G228)</f>
        <v>0131773769</v>
      </c>
      <c r="D231" s="331" t="str">
        <f>IF(Data!H228="","",Data!H228)</f>
        <v>Savira Dwi Anggraeny</v>
      </c>
      <c r="E231" s="330" t="str">
        <f>IF(Data!I228="","",Data!I228)</f>
        <v>Perempuan</v>
      </c>
      <c r="F231" s="332" t="str">
        <f>IF(Data!J228="","",Data!J228)</f>
        <v>VIII-F</v>
      </c>
      <c r="G231" s="326">
        <f>IF(PA!G233="","",PA!G233)</f>
        <v>90</v>
      </c>
      <c r="H231" s="327">
        <f>IF(PA!H233="","",PA!H233)</f>
        <v>85</v>
      </c>
      <c r="I231" s="327">
        <f>IF(PA!I233="","",PA!I233)</f>
        <v>86</v>
      </c>
      <c r="J231" s="327" t="str">
        <f>IF(PA!AA233="","",PA!AA233)</f>
        <v/>
      </c>
      <c r="K231" s="327" t="str">
        <f>IF(PA!AB233="","",PA!AB233)</f>
        <v/>
      </c>
      <c r="L231" s="327" t="str">
        <f>IF(PA!AC233="","",PA!AC233)</f>
        <v/>
      </c>
      <c r="M231" s="328" t="str">
        <f>IF(PA!P233="","",PA!P233)</f>
        <v/>
      </c>
    </row>
    <row r="232" spans="1:13" ht="14.4" x14ac:dyDescent="0.3">
      <c r="A232" s="329">
        <f>Data!E229</f>
        <v>25</v>
      </c>
      <c r="B232" s="330" t="str">
        <f>IF(Data!F229="","",Data!F229)</f>
        <v>03723</v>
      </c>
      <c r="C232" s="330" t="str">
        <f>IF(Data!G229="","",Data!G229)</f>
        <v>0126023029</v>
      </c>
      <c r="D232" s="331" t="str">
        <f>IF(Data!H229="","",Data!H229)</f>
        <v>Sekar Indriyani Saputra</v>
      </c>
      <c r="E232" s="330" t="str">
        <f>IF(Data!I229="","",Data!I229)</f>
        <v>Perempuan</v>
      </c>
      <c r="F232" s="332" t="str">
        <f>IF(Data!J229="","",Data!J229)</f>
        <v>VIII-F</v>
      </c>
      <c r="G232" s="326">
        <f>IF(PA!G234="","",PA!G234)</f>
        <v>95</v>
      </c>
      <c r="H232" s="327">
        <f>IF(PA!H234="","",PA!H234)</f>
        <v>85</v>
      </c>
      <c r="I232" s="327">
        <f>IF(PA!I234="","",PA!I234)</f>
        <v>86</v>
      </c>
      <c r="J232" s="327" t="str">
        <f>IF(PA!AA234="","",PA!AA234)</f>
        <v/>
      </c>
      <c r="K232" s="327" t="str">
        <f>IF(PA!AB234="","",PA!AB234)</f>
        <v/>
      </c>
      <c r="L232" s="327" t="str">
        <f>IF(PA!AC234="","",PA!AC234)</f>
        <v/>
      </c>
      <c r="M232" s="328" t="str">
        <f>IF(PA!P234="","",PA!P234)</f>
        <v/>
      </c>
    </row>
    <row r="233" spans="1:13" ht="14.4" x14ac:dyDescent="0.3">
      <c r="A233" s="329">
        <f>Data!E230</f>
        <v>26</v>
      </c>
      <c r="B233" s="330" t="str">
        <f>IF(Data!F230="","",Data!F230)</f>
        <v>03726</v>
      </c>
      <c r="C233" s="330">
        <f>IF(Data!G230="","",Data!G230)</f>
        <v>3122744885</v>
      </c>
      <c r="D233" s="331" t="str">
        <f>IF(Data!H230="","",Data!H230)</f>
        <v>Siti Eriana Erika Lailiyah</v>
      </c>
      <c r="E233" s="330" t="str">
        <f>IF(Data!I230="","",Data!I230)</f>
        <v>Perempuan</v>
      </c>
      <c r="F233" s="332" t="str">
        <f>IF(Data!J230="","",Data!J230)</f>
        <v>VIII-F</v>
      </c>
      <c r="G233" s="326">
        <f>IF(PA!G235="","",PA!G235)</f>
        <v>80.099999999999994</v>
      </c>
      <c r="H233" s="327">
        <f>IF(PA!H235="","",PA!H235)</f>
        <v>81</v>
      </c>
      <c r="I233" s="327">
        <f>IF(PA!I235="","",PA!I235)</f>
        <v>85</v>
      </c>
      <c r="J233" s="327" t="str">
        <f>IF(PA!AA235="","",PA!AA235)</f>
        <v/>
      </c>
      <c r="K233" s="327" t="str">
        <f>IF(PA!AB235="","",PA!AB235)</f>
        <v/>
      </c>
      <c r="L233" s="327" t="str">
        <f>IF(PA!AC235="","",PA!AC235)</f>
        <v/>
      </c>
      <c r="M233" s="328" t="str">
        <f>IF(PA!P235="","",PA!P235)</f>
        <v/>
      </c>
    </row>
    <row r="234" spans="1:13" ht="14.4" x14ac:dyDescent="0.3">
      <c r="A234" s="329">
        <f>Data!E231</f>
        <v>27</v>
      </c>
      <c r="B234" s="330" t="str">
        <f>IF(Data!F231="","",Data!F231)</f>
        <v>03727</v>
      </c>
      <c r="C234" s="330">
        <f>IF(Data!G231="","",Data!G231)</f>
        <v>3124029527</v>
      </c>
      <c r="D234" s="331" t="str">
        <f>IF(Data!H231="","",Data!H231)</f>
        <v>Siti Fatmawati</v>
      </c>
      <c r="E234" s="330" t="str">
        <f>IF(Data!I231="","",Data!I231)</f>
        <v>Perempuan</v>
      </c>
      <c r="F234" s="332" t="str">
        <f>IF(Data!J231="","",Data!J231)</f>
        <v>VIII-F</v>
      </c>
      <c r="G234" s="326">
        <f>IF(PA!G236="","",PA!G236)</f>
        <v>85</v>
      </c>
      <c r="H234" s="327">
        <f>IF(PA!H236="","",PA!H236)</f>
        <v>86</v>
      </c>
      <c r="I234" s="327">
        <f>IF(PA!I236="","",PA!I236)</f>
        <v>83</v>
      </c>
      <c r="J234" s="327" t="str">
        <f>IF(PA!AA236="","",PA!AA236)</f>
        <v/>
      </c>
      <c r="K234" s="327" t="str">
        <f>IF(PA!AB236="","",PA!AB236)</f>
        <v/>
      </c>
      <c r="L234" s="327" t="str">
        <f>IF(PA!AC236="","",PA!AC236)</f>
        <v/>
      </c>
      <c r="M234" s="328" t="str">
        <f>IF(PA!P236="","",PA!P236)</f>
        <v/>
      </c>
    </row>
    <row r="235" spans="1:13" ht="14.4" x14ac:dyDescent="0.3">
      <c r="A235" s="329">
        <f>Data!E232</f>
        <v>28</v>
      </c>
      <c r="B235" s="330" t="str">
        <f>IF(Data!F232="","",Data!F232)</f>
        <v>03734</v>
      </c>
      <c r="C235" s="330">
        <f>IF(Data!G232="","",Data!G232)</f>
        <v>3122691066</v>
      </c>
      <c r="D235" s="331" t="str">
        <f>IF(Data!H232="","",Data!H232)</f>
        <v>Syakira Novia Neysilla</v>
      </c>
      <c r="E235" s="330" t="str">
        <f>IF(Data!I232="","",Data!I232)</f>
        <v>Perempuan</v>
      </c>
      <c r="F235" s="332" t="str">
        <f>IF(Data!J232="","",Data!J232)</f>
        <v>VIII-F</v>
      </c>
      <c r="G235" s="326">
        <f>IF(PA!G237="","",PA!G237)</f>
        <v>90</v>
      </c>
      <c r="H235" s="327">
        <f>IF(PA!H237="","",PA!H237)</f>
        <v>80.099999999999994</v>
      </c>
      <c r="I235" s="327">
        <f>IF(PA!I237="","",PA!I237)</f>
        <v>85</v>
      </c>
      <c r="J235" s="327" t="str">
        <f>IF(PA!AA237="","",PA!AA237)</f>
        <v/>
      </c>
      <c r="K235" s="327" t="str">
        <f>IF(PA!AB237="","",PA!AB237)</f>
        <v/>
      </c>
      <c r="L235" s="327" t="str">
        <f>IF(PA!AC237="","",PA!AC237)</f>
        <v/>
      </c>
      <c r="M235" s="328" t="str">
        <f>IF(PA!P237="","",PA!P237)</f>
        <v/>
      </c>
    </row>
    <row r="236" spans="1:13" ht="14.4" x14ac:dyDescent="0.3">
      <c r="A236" s="329">
        <f>Data!E233</f>
        <v>29</v>
      </c>
      <c r="B236" s="330" t="str">
        <f>IF(Data!F233="","",Data!F233)</f>
        <v>03740</v>
      </c>
      <c r="C236" s="330" t="str">
        <f>IF(Data!G233="","",Data!G233)</f>
        <v>3124148925</v>
      </c>
      <c r="D236" s="331" t="str">
        <f>IF(Data!H233="","",Data!H233)</f>
        <v>Wafirotun Naja</v>
      </c>
      <c r="E236" s="330" t="str">
        <f>IF(Data!I233="","",Data!I233)</f>
        <v>Perempuan</v>
      </c>
      <c r="F236" s="332" t="str">
        <f>IF(Data!J233="","",Data!J233)</f>
        <v>VIII-F</v>
      </c>
      <c r="G236" s="326">
        <f>IF(PA!G238="","",PA!G238)</f>
        <v>85</v>
      </c>
      <c r="H236" s="327">
        <f>IF(PA!H238="","",PA!H238)</f>
        <v>86</v>
      </c>
      <c r="I236" s="327">
        <f>IF(PA!I238="","",PA!I238)</f>
        <v>83</v>
      </c>
      <c r="J236" s="327" t="str">
        <f>IF(PA!AA238="","",PA!AA238)</f>
        <v/>
      </c>
      <c r="K236" s="327" t="str">
        <f>IF(PA!AB238="","",PA!AB238)</f>
        <v/>
      </c>
      <c r="L236" s="327" t="str">
        <f>IF(PA!AC238="","",PA!AC238)</f>
        <v/>
      </c>
      <c r="M236" s="328" t="str">
        <f>IF(PA!P238="","",PA!P238)</f>
        <v/>
      </c>
    </row>
    <row r="237" spans="1:13" ht="14.4" x14ac:dyDescent="0.3">
      <c r="A237" s="329">
        <f>Data!E234</f>
        <v>30</v>
      </c>
      <c r="B237" s="330" t="str">
        <f>IF(Data!F234="","",Data!F234)</f>
        <v>03748</v>
      </c>
      <c r="C237" s="330">
        <f>IF(Data!G234="","",Data!G234)</f>
        <v>3129904682</v>
      </c>
      <c r="D237" s="331" t="str">
        <f>IF(Data!H234="","",Data!H234)</f>
        <v>Zakiya Nur Af'idah</v>
      </c>
      <c r="E237" s="330" t="str">
        <f>IF(Data!I234="","",Data!I234)</f>
        <v>Perempuan</v>
      </c>
      <c r="F237" s="332" t="str">
        <f>IF(Data!J234="","",Data!J234)</f>
        <v>VIII-F</v>
      </c>
      <c r="G237" s="326">
        <f>IF(PA!G239="","",PA!G239)</f>
        <v>85</v>
      </c>
      <c r="H237" s="327">
        <f>IF(PA!H239="","",PA!H239)</f>
        <v>86</v>
      </c>
      <c r="I237" s="327">
        <f>IF(PA!I239="","",PA!I239)</f>
        <v>80.099999999999994</v>
      </c>
      <c r="J237" s="327" t="str">
        <f>IF(PA!AA239="","",PA!AA239)</f>
        <v/>
      </c>
      <c r="K237" s="327" t="str">
        <f>IF(PA!AB239="","",PA!AB239)</f>
        <v/>
      </c>
      <c r="L237" s="327" t="str">
        <f>IF(PA!AC239="","",PA!AC239)</f>
        <v/>
      </c>
      <c r="M237" s="328" t="str">
        <f>IF(PA!P239="","",PA!P239)</f>
        <v/>
      </c>
    </row>
    <row r="238" spans="1:13" ht="14.4" x14ac:dyDescent="0.3">
      <c r="A238" s="329">
        <f>Data!E235</f>
        <v>31</v>
      </c>
      <c r="B238" s="330" t="str">
        <f>IF(Data!F235="","",Data!F235)</f>
        <v>03749</v>
      </c>
      <c r="C238" s="330" t="str">
        <f>IF(Data!G235="","",Data!G235)</f>
        <v>0132291262</v>
      </c>
      <c r="D238" s="331" t="str">
        <f>IF(Data!H235="","",Data!H235)</f>
        <v>Zella Najwa Era Fazira</v>
      </c>
      <c r="E238" s="330" t="str">
        <f>IF(Data!I235="","",Data!I235)</f>
        <v>Perempuan</v>
      </c>
      <c r="F238" s="332" t="str">
        <f>IF(Data!J235="","",Data!J235)</f>
        <v>VIII-F</v>
      </c>
      <c r="G238" s="326">
        <f>IF(PA!G240="","",PA!G240)</f>
        <v>85.1</v>
      </c>
      <c r="H238" s="327">
        <f>IF(PA!H240="","",PA!H240)</f>
        <v>86</v>
      </c>
      <c r="I238" s="327">
        <f>IF(PA!I240="","",PA!I240)</f>
        <v>82</v>
      </c>
      <c r="J238" s="327" t="str">
        <f>IF(PA!AA240="","",PA!AA240)</f>
        <v/>
      </c>
      <c r="K238" s="327" t="str">
        <f>IF(PA!AB240="","",PA!AB240)</f>
        <v/>
      </c>
      <c r="L238" s="327" t="str">
        <f>IF(PA!AC240="","",PA!AC240)</f>
        <v/>
      </c>
      <c r="M238" s="328" t="str">
        <f>IF(PA!P240="","",PA!P240)</f>
        <v/>
      </c>
    </row>
    <row r="239" spans="1:13" ht="14.4" x14ac:dyDescent="0.3">
      <c r="A239" s="329">
        <f>Data!E236</f>
        <v>32</v>
      </c>
      <c r="B239" s="330" t="str">
        <f>IF(Data!F236="","",Data!F236)</f>
        <v>03750</v>
      </c>
      <c r="C239" s="330" t="str">
        <f>IF(Data!G236="","",Data!G236)</f>
        <v>3134024574</v>
      </c>
      <c r="D239" s="331" t="str">
        <f>IF(Data!H236="","",Data!H236)</f>
        <v>Zifana Naila Fiskha</v>
      </c>
      <c r="E239" s="330" t="str">
        <f>IF(Data!I236="","",Data!I236)</f>
        <v>Perempuan</v>
      </c>
      <c r="F239" s="332" t="str">
        <f>IF(Data!J236="","",Data!J236)</f>
        <v>VIII-F</v>
      </c>
      <c r="G239" s="326">
        <f>IF(PA!G241="","",PA!G241)</f>
        <v>85</v>
      </c>
      <c r="H239" s="327">
        <f>IF(PA!H241="","",PA!H241)</f>
        <v>86</v>
      </c>
      <c r="I239" s="327">
        <f>IF(PA!I241="","",PA!I241)</f>
        <v>83</v>
      </c>
      <c r="J239" s="327" t="str">
        <f>IF(PA!AA241="","",PA!AA241)</f>
        <v/>
      </c>
      <c r="K239" s="327" t="str">
        <f>IF(PA!AB241="","",PA!AB241)</f>
        <v/>
      </c>
      <c r="L239" s="327" t="str">
        <f>IF(PA!AC241="","",PA!AC241)</f>
        <v/>
      </c>
      <c r="M239" s="328" t="str">
        <f>IF(PA!P241="","",PA!P241)</f>
        <v/>
      </c>
    </row>
    <row r="240" spans="1:13" ht="14.4" x14ac:dyDescent="0.3">
      <c r="A240" s="329">
        <f>Data!E237</f>
        <v>33</v>
      </c>
      <c r="B240" s="330" t="str">
        <f>IF(Data!F237="","",Data!F237)</f>
        <v>03752</v>
      </c>
      <c r="C240" s="330" t="str">
        <f>IF(Data!G237="","",Data!G237)</f>
        <v>0135401650</v>
      </c>
      <c r="D240" s="331" t="str">
        <f>IF(Data!H237="","",Data!H237)</f>
        <v>Zivana Vebby Alicia Putri</v>
      </c>
      <c r="E240" s="330" t="str">
        <f>IF(Data!I237="","",Data!I237)</f>
        <v>Perempuan</v>
      </c>
      <c r="F240" s="332" t="str">
        <f>IF(Data!J237="","",Data!J237)</f>
        <v>VIII-F</v>
      </c>
      <c r="G240" s="326">
        <f>IF(PA!G242="","",PA!G242)</f>
        <v>80.099999999999994</v>
      </c>
      <c r="H240" s="327">
        <f>IF(PA!H242="","",PA!H242)</f>
        <v>81</v>
      </c>
      <c r="I240" s="327">
        <f>IF(PA!I242="","",PA!I242)</f>
        <v>85</v>
      </c>
      <c r="J240" s="327" t="str">
        <f>IF(PA!AA242="","",PA!AA242)</f>
        <v/>
      </c>
      <c r="K240" s="327" t="str">
        <f>IF(PA!AB242="","",PA!AB242)</f>
        <v/>
      </c>
      <c r="L240" s="327" t="str">
        <f>IF(PA!AC242="","",PA!AC242)</f>
        <v/>
      </c>
      <c r="M240" s="328" t="str">
        <f>IF(PA!P242="","",PA!P242)</f>
        <v/>
      </c>
    </row>
    <row r="241" spans="1:13" ht="14.4" x14ac:dyDescent="0.3">
      <c r="A241" s="329">
        <f>Data!E238</f>
        <v>34</v>
      </c>
      <c r="B241" s="330" t="str">
        <f>IF(Data!F238="","",Data!F238)</f>
        <v/>
      </c>
      <c r="C241" s="330" t="str">
        <f>IF(Data!G238="","",Data!G238)</f>
        <v/>
      </c>
      <c r="D241" s="331" t="str">
        <f>IF(Data!H238="","",Data!H238)</f>
        <v/>
      </c>
      <c r="E241" s="330" t="str">
        <f>IF(Data!I238="","",Data!I238)</f>
        <v/>
      </c>
      <c r="F241" s="332" t="str">
        <f>IF(Data!J238="","",Data!J238)</f>
        <v>VIII-F</v>
      </c>
      <c r="G241" s="326" t="str">
        <f>IF(PA!G243="","",PA!G243)</f>
        <v/>
      </c>
      <c r="H241" s="327" t="str">
        <f>IF(PA!H243="","",PA!H243)</f>
        <v/>
      </c>
      <c r="I241" s="327" t="str">
        <f>IF(PA!I243="","",PA!I243)</f>
        <v/>
      </c>
      <c r="J241" s="327" t="str">
        <f>IF(PA!AA243="","",PA!AA243)</f>
        <v/>
      </c>
      <c r="K241" s="327" t="str">
        <f>IF(PA!AB243="","",PA!AB243)</f>
        <v/>
      </c>
      <c r="L241" s="327" t="str">
        <f>IF(PA!AC243="","",PA!AC243)</f>
        <v/>
      </c>
      <c r="M241" s="328" t="str">
        <f>IF(PA!P243="","",PA!P243)</f>
        <v/>
      </c>
    </row>
    <row r="242" spans="1:13" ht="14.4" x14ac:dyDescent="0.3">
      <c r="A242" s="329">
        <f>Data!E239</f>
        <v>35</v>
      </c>
      <c r="B242" s="330" t="str">
        <f>IF(Data!F239="","",Data!F239)</f>
        <v/>
      </c>
      <c r="C242" s="330" t="str">
        <f>IF(Data!G239="","",Data!G239)</f>
        <v/>
      </c>
      <c r="D242" s="331" t="str">
        <f>IF(Data!H239="","",Data!H239)</f>
        <v/>
      </c>
      <c r="E242" s="330" t="str">
        <f>IF(Data!I239="","",Data!I239)</f>
        <v/>
      </c>
      <c r="F242" s="332" t="str">
        <f>IF(Data!J239="","",Data!J239)</f>
        <v>VIII-F</v>
      </c>
      <c r="G242" s="326" t="str">
        <f>IF(PA!G244="","",PA!G244)</f>
        <v/>
      </c>
      <c r="H242" s="327" t="str">
        <f>IF(PA!H244="","",PA!H244)</f>
        <v/>
      </c>
      <c r="I242" s="327" t="str">
        <f>IF(PA!I244="","",PA!I244)</f>
        <v/>
      </c>
      <c r="J242" s="327" t="str">
        <f>IF(PA!AA244="","",PA!AA244)</f>
        <v/>
      </c>
      <c r="K242" s="327" t="str">
        <f>IF(PA!AB244="","",PA!AB244)</f>
        <v/>
      </c>
      <c r="L242" s="327" t="str">
        <f>IF(PA!AC244="","",PA!AC244)</f>
        <v/>
      </c>
      <c r="M242" s="328" t="str">
        <f>IF(PA!P244="","",PA!P244)</f>
        <v/>
      </c>
    </row>
    <row r="243" spans="1:13" ht="14.4" x14ac:dyDescent="0.3">
      <c r="A243" s="329">
        <f>Data!E240</f>
        <v>36</v>
      </c>
      <c r="B243" s="330" t="str">
        <f>IF(Data!F240="","",Data!F240)</f>
        <v/>
      </c>
      <c r="C243" s="330" t="str">
        <f>IF(Data!G240="","",Data!G240)</f>
        <v/>
      </c>
      <c r="D243" s="331" t="str">
        <f>IF(Data!H240="","",Data!H240)</f>
        <v/>
      </c>
      <c r="E243" s="330" t="str">
        <f>IF(Data!I240="","",Data!I240)</f>
        <v/>
      </c>
      <c r="F243" s="332" t="str">
        <f>IF(Data!J240="","",Data!J240)</f>
        <v>VIII-F</v>
      </c>
      <c r="G243" s="326" t="str">
        <f>IF(PA!G245="","",PA!G245)</f>
        <v/>
      </c>
      <c r="H243" s="327" t="str">
        <f>IF(PA!H245="","",PA!H245)</f>
        <v/>
      </c>
      <c r="I243" s="327" t="str">
        <f>IF(PA!I245="","",PA!I245)</f>
        <v/>
      </c>
      <c r="J243" s="327" t="str">
        <f>IF(PA!AA245="","",PA!AA245)</f>
        <v/>
      </c>
      <c r="K243" s="327" t="str">
        <f>IF(PA!AB245="","",PA!AB245)</f>
        <v/>
      </c>
      <c r="L243" s="327" t="str">
        <f>IF(PA!AC245="","",PA!AC245)</f>
        <v/>
      </c>
      <c r="M243" s="328" t="str">
        <f>IF(PA!P245="","",PA!P245)</f>
        <v/>
      </c>
    </row>
    <row r="244" spans="1:13" ht="14.4" x14ac:dyDescent="0.3">
      <c r="A244" s="329">
        <f>Data!E241</f>
        <v>37</v>
      </c>
      <c r="B244" s="330" t="str">
        <f>IF(Data!F241="","",Data!F241)</f>
        <v/>
      </c>
      <c r="C244" s="330" t="str">
        <f>IF(Data!G241="","",Data!G241)</f>
        <v/>
      </c>
      <c r="D244" s="331" t="str">
        <f>IF(Data!H241="","",Data!H241)</f>
        <v/>
      </c>
      <c r="E244" s="330" t="str">
        <f>IF(Data!I241="","",Data!I241)</f>
        <v/>
      </c>
      <c r="F244" s="332" t="str">
        <f>IF(Data!J241="","",Data!J241)</f>
        <v>VIII-F</v>
      </c>
      <c r="G244" s="326" t="str">
        <f>IF(PA!G246="","",PA!G246)</f>
        <v/>
      </c>
      <c r="H244" s="327" t="str">
        <f>IF(PA!H246="","",PA!H246)</f>
        <v/>
      </c>
      <c r="I244" s="327" t="str">
        <f>IF(PA!I246="","",PA!I246)</f>
        <v/>
      </c>
      <c r="J244" s="327" t="str">
        <f>IF(PA!AA246="","",PA!AA246)</f>
        <v/>
      </c>
      <c r="K244" s="327" t="str">
        <f>IF(PA!AB246="","",PA!AB246)</f>
        <v/>
      </c>
      <c r="L244" s="327" t="str">
        <f>IF(PA!AC246="","",PA!AC246)</f>
        <v/>
      </c>
      <c r="M244" s="328" t="str">
        <f>IF(PA!P246="","",PA!P246)</f>
        <v/>
      </c>
    </row>
    <row r="245" spans="1:13" ht="14.4" x14ac:dyDescent="0.3">
      <c r="A245" s="329">
        <f>Data!E242</f>
        <v>38</v>
      </c>
      <c r="B245" s="330" t="str">
        <f>IF(Data!F242="","",Data!F242)</f>
        <v/>
      </c>
      <c r="C245" s="330" t="str">
        <f>IF(Data!G242="","",Data!G242)</f>
        <v/>
      </c>
      <c r="D245" s="331" t="str">
        <f>IF(Data!H242="","",Data!H242)</f>
        <v/>
      </c>
      <c r="E245" s="330" t="str">
        <f>IF(Data!I242="","",Data!I242)</f>
        <v/>
      </c>
      <c r="F245" s="332" t="str">
        <f>IF(Data!J242="","",Data!J242)</f>
        <v>VIII-F</v>
      </c>
      <c r="G245" s="326" t="str">
        <f>IF(PA!G247="","",PA!G247)</f>
        <v/>
      </c>
      <c r="H245" s="327" t="str">
        <f>IF(PA!H247="","",PA!H247)</f>
        <v/>
      </c>
      <c r="I245" s="327" t="str">
        <f>IF(PA!I247="","",PA!I247)</f>
        <v/>
      </c>
      <c r="J245" s="327" t="str">
        <f>IF(PA!AA247="","",PA!AA247)</f>
        <v/>
      </c>
      <c r="K245" s="327" t="str">
        <f>IF(PA!AB247="","",PA!AB247)</f>
        <v/>
      </c>
      <c r="L245" s="327" t="str">
        <f>IF(PA!AC247="","",PA!AC247)</f>
        <v/>
      </c>
      <c r="M245" s="328" t="str">
        <f>IF(PA!P247="","",PA!P247)</f>
        <v/>
      </c>
    </row>
    <row r="246" spans="1:13" ht="14.4" x14ac:dyDescent="0.3">
      <c r="A246" s="329">
        <f>Data!E243</f>
        <v>39</v>
      </c>
      <c r="B246" s="330" t="str">
        <f>IF(Data!F243="","",Data!F243)</f>
        <v/>
      </c>
      <c r="C246" s="330" t="str">
        <f>IF(Data!G243="","",Data!G243)</f>
        <v/>
      </c>
      <c r="D246" s="331" t="str">
        <f>IF(Data!H243="","",Data!H243)</f>
        <v/>
      </c>
      <c r="E246" s="330" t="str">
        <f>IF(Data!I243="","",Data!I243)</f>
        <v/>
      </c>
      <c r="F246" s="332" t="str">
        <f>IF(Data!J243="","",Data!J243)</f>
        <v>VIII-F</v>
      </c>
      <c r="G246" s="326" t="str">
        <f>IF(PA!G248="","",PA!G248)</f>
        <v/>
      </c>
      <c r="H246" s="327" t="str">
        <f>IF(PA!H248="","",PA!H248)</f>
        <v/>
      </c>
      <c r="I246" s="327" t="str">
        <f>IF(PA!I248="","",PA!I248)</f>
        <v/>
      </c>
      <c r="J246" s="327" t="str">
        <f>IF(PA!AA248="","",PA!AA248)</f>
        <v/>
      </c>
      <c r="K246" s="327" t="str">
        <f>IF(PA!AB248="","",PA!AB248)</f>
        <v/>
      </c>
      <c r="L246" s="327" t="str">
        <f>IF(PA!AC248="","",PA!AC248)</f>
        <v/>
      </c>
      <c r="M246" s="328" t="str">
        <f>IF(PA!P248="","",PA!P248)</f>
        <v/>
      </c>
    </row>
    <row r="247" spans="1:13" ht="15" thickBot="1" x14ac:dyDescent="0.35">
      <c r="A247" s="333">
        <f>Data!E244</f>
        <v>40</v>
      </c>
      <c r="B247" s="334" t="str">
        <f>IF(Data!F244="","",Data!F244)</f>
        <v/>
      </c>
      <c r="C247" s="334" t="str">
        <f>IF(Data!G244="","",Data!G244)</f>
        <v/>
      </c>
      <c r="D247" s="335" t="str">
        <f>IF(Data!H244="","",Data!H244)</f>
        <v/>
      </c>
      <c r="E247" s="334" t="str">
        <f>IF(Data!I244="","",Data!I244)</f>
        <v/>
      </c>
      <c r="F247" s="336" t="str">
        <f>IF(Data!J244="","",Data!J244)</f>
        <v>VIII-F</v>
      </c>
      <c r="G247" s="326" t="str">
        <f>IF(PA!G249="","",PA!G249)</f>
        <v/>
      </c>
      <c r="H247" s="327" t="str">
        <f>IF(PA!H249="","",PA!H249)</f>
        <v/>
      </c>
      <c r="I247" s="327" t="str">
        <f>IF(PA!I249="","",PA!I249)</f>
        <v/>
      </c>
      <c r="J247" s="327" t="str">
        <f>IF(PA!AA249="","",PA!AA249)</f>
        <v/>
      </c>
      <c r="K247" s="327" t="str">
        <f>IF(PA!AB249="","",PA!AB249)</f>
        <v/>
      </c>
      <c r="L247" s="327" t="str">
        <f>IF(PA!AC249="","",PA!AC249)</f>
        <v/>
      </c>
      <c r="M247" s="328" t="str">
        <f>IF(PA!P249="","",PA!P249)</f>
        <v/>
      </c>
    </row>
    <row r="248" spans="1:13" ht="15" thickTop="1" x14ac:dyDescent="0.3">
      <c r="A248" s="329">
        <f>Data!E245</f>
        <v>1</v>
      </c>
      <c r="B248" s="330" t="str">
        <f>IF(Data!F245="","",Data!F245)</f>
        <v>03500</v>
      </c>
      <c r="C248" s="330" t="str">
        <f>IF(Data!G245="","",Data!G245)</f>
        <v>0128278963</v>
      </c>
      <c r="D248" s="331" t="str">
        <f>IF(Data!H245="","",Data!H245)</f>
        <v>Ach Qolbi Nazhirul Asrofi</v>
      </c>
      <c r="E248" s="330" t="str">
        <f>IF(Data!I245="","",Data!I245)</f>
        <v>Laki-laki</v>
      </c>
      <c r="F248" s="332" t="str">
        <f>IF(Data!J245="","",Data!J245)</f>
        <v>VIII-G</v>
      </c>
      <c r="G248" s="326" t="str">
        <f>IF(PA!G250="","",PA!G250)</f>
        <v/>
      </c>
      <c r="H248" s="327" t="str">
        <f>IF(PA!H250="","",PA!H250)</f>
        <v/>
      </c>
      <c r="I248" s="327" t="str">
        <f>IF(PA!I250="","",PA!I250)</f>
        <v/>
      </c>
      <c r="J248" s="327" t="str">
        <f>IF(PA!AA250="","",PA!AA250)</f>
        <v/>
      </c>
      <c r="K248" s="327" t="str">
        <f>IF(PA!AB250="","",PA!AB250)</f>
        <v/>
      </c>
      <c r="L248" s="327" t="str">
        <f>IF(PA!AC250="","",PA!AC250)</f>
        <v/>
      </c>
      <c r="M248" s="328" t="str">
        <f>IF(PA!P250="","",PA!P250)</f>
        <v/>
      </c>
    </row>
    <row r="249" spans="1:13" ht="14.4" x14ac:dyDescent="0.3">
      <c r="A249" s="329">
        <f>Data!E246</f>
        <v>2</v>
      </c>
      <c r="B249" s="330" t="str">
        <f>IF(Data!F246="","",Data!F246)</f>
        <v>03506</v>
      </c>
      <c r="C249" s="330" t="str">
        <f>IF(Data!G246="","",Data!G246)</f>
        <v>0121905267</v>
      </c>
      <c r="D249" s="331" t="str">
        <f>IF(Data!H246="","",Data!H246)</f>
        <v>Aditya Pranata Haikal Mahardika</v>
      </c>
      <c r="E249" s="330" t="str">
        <f>IF(Data!I246="","",Data!I246)</f>
        <v>Laki-laki</v>
      </c>
      <c r="F249" s="332" t="str">
        <f>IF(Data!J246="","",Data!J246)</f>
        <v>VIII-G</v>
      </c>
      <c r="G249" s="326" t="str">
        <f>IF(PA!G251="","",PA!G251)</f>
        <v/>
      </c>
      <c r="H249" s="327" t="str">
        <f>IF(PA!H251="","",PA!H251)</f>
        <v/>
      </c>
      <c r="I249" s="327" t="str">
        <f>IF(PA!I251="","",PA!I251)</f>
        <v/>
      </c>
      <c r="J249" s="327" t="str">
        <f>IF(PA!AA251="","",PA!AA251)</f>
        <v/>
      </c>
      <c r="K249" s="327" t="str">
        <f>IF(PA!AB251="","",PA!AB251)</f>
        <v/>
      </c>
      <c r="L249" s="327" t="str">
        <f>IF(PA!AC251="","",PA!AC251)</f>
        <v/>
      </c>
      <c r="M249" s="328" t="str">
        <f>IF(PA!P251="","",PA!P251)</f>
        <v/>
      </c>
    </row>
    <row r="250" spans="1:13" ht="14.4" x14ac:dyDescent="0.3">
      <c r="A250" s="329">
        <f>Data!E247</f>
        <v>3</v>
      </c>
      <c r="B250" s="330" t="str">
        <f>IF(Data!F247="","",Data!F247)</f>
        <v>03512</v>
      </c>
      <c r="C250" s="330" t="str">
        <f>IF(Data!G247="","",Data!G247)</f>
        <v>3120621911</v>
      </c>
      <c r="D250" s="331" t="str">
        <f>IF(Data!H247="","",Data!H247)</f>
        <v>Ahmad Ali Irawan</v>
      </c>
      <c r="E250" s="330" t="str">
        <f>IF(Data!I247="","",Data!I247)</f>
        <v>Laki-laki</v>
      </c>
      <c r="F250" s="332" t="str">
        <f>IF(Data!J247="","",Data!J247)</f>
        <v>VIII-G</v>
      </c>
      <c r="G250" s="326" t="str">
        <f>IF(PA!G252="","",PA!G252)</f>
        <v/>
      </c>
      <c r="H250" s="327" t="str">
        <f>IF(PA!H252="","",PA!H252)</f>
        <v/>
      </c>
      <c r="I250" s="327" t="str">
        <f>IF(PA!I252="","",PA!I252)</f>
        <v/>
      </c>
      <c r="J250" s="327" t="str">
        <f>IF(PA!AA252="","",PA!AA252)</f>
        <v/>
      </c>
      <c r="K250" s="327" t="str">
        <f>IF(PA!AB252="","",PA!AB252)</f>
        <v/>
      </c>
      <c r="L250" s="327" t="str">
        <f>IF(PA!AC252="","",PA!AC252)</f>
        <v/>
      </c>
      <c r="M250" s="328" t="str">
        <f>IF(PA!P252="","",PA!P252)</f>
        <v/>
      </c>
    </row>
    <row r="251" spans="1:13" ht="14.4" x14ac:dyDescent="0.3">
      <c r="A251" s="329">
        <f>Data!E248</f>
        <v>4</v>
      </c>
      <c r="B251" s="330" t="str">
        <f>IF(Data!F248="","",Data!F248)</f>
        <v>03513</v>
      </c>
      <c r="C251" s="330" t="str">
        <f>IF(Data!G248="","",Data!G248)</f>
        <v>0124072221</v>
      </c>
      <c r="D251" s="331" t="str">
        <f>IF(Data!H248="","",Data!H248)</f>
        <v>Ahmad Alifah Rudin</v>
      </c>
      <c r="E251" s="330" t="str">
        <f>IF(Data!I248="","",Data!I248)</f>
        <v>Laki-laki</v>
      </c>
      <c r="F251" s="332" t="str">
        <f>IF(Data!J248="","",Data!J248)</f>
        <v>VIII-G</v>
      </c>
      <c r="G251" s="326" t="str">
        <f>IF(PA!G253="","",PA!G253)</f>
        <v/>
      </c>
      <c r="H251" s="327" t="str">
        <f>IF(PA!H253="","",PA!H253)</f>
        <v/>
      </c>
      <c r="I251" s="327" t="str">
        <f>IF(PA!I253="","",PA!I253)</f>
        <v/>
      </c>
      <c r="J251" s="327" t="str">
        <f>IF(PA!AA253="","",PA!AA253)</f>
        <v/>
      </c>
      <c r="K251" s="327" t="str">
        <f>IF(PA!AB253="","",PA!AB253)</f>
        <v/>
      </c>
      <c r="L251" s="327" t="str">
        <f>IF(PA!AC253="","",PA!AC253)</f>
        <v/>
      </c>
      <c r="M251" s="328" t="str">
        <f>IF(PA!P253="","",PA!P253)</f>
        <v/>
      </c>
    </row>
    <row r="252" spans="1:13" ht="14.4" x14ac:dyDescent="0.3">
      <c r="A252" s="329">
        <f>Data!E249</f>
        <v>5</v>
      </c>
      <c r="B252" s="330" t="str">
        <f>IF(Data!F249="","",Data!F249)</f>
        <v>03529</v>
      </c>
      <c r="C252" s="330" t="str">
        <f>IF(Data!G249="","",Data!G249)</f>
        <v>3128940957</v>
      </c>
      <c r="D252" s="331" t="str">
        <f>IF(Data!H249="","",Data!H249)</f>
        <v>Alvian Dicky Putra Pratama</v>
      </c>
      <c r="E252" s="330" t="str">
        <f>IF(Data!I249="","",Data!I249)</f>
        <v>Laki-laki</v>
      </c>
      <c r="F252" s="332" t="str">
        <f>IF(Data!J249="","",Data!J249)</f>
        <v>VIII-G</v>
      </c>
      <c r="G252" s="326" t="str">
        <f>IF(PA!G254="","",PA!G254)</f>
        <v/>
      </c>
      <c r="H252" s="327" t="str">
        <f>IF(PA!H254="","",PA!H254)</f>
        <v/>
      </c>
      <c r="I252" s="327" t="str">
        <f>IF(PA!I254="","",PA!I254)</f>
        <v/>
      </c>
      <c r="J252" s="327" t="str">
        <f>IF(PA!AA254="","",PA!AA254)</f>
        <v/>
      </c>
      <c r="K252" s="327" t="str">
        <f>IF(PA!AB254="","",PA!AB254)</f>
        <v/>
      </c>
      <c r="L252" s="327" t="str">
        <f>IF(PA!AC254="","",PA!AC254)</f>
        <v/>
      </c>
      <c r="M252" s="328" t="str">
        <f>IF(PA!P254="","",PA!P254)</f>
        <v/>
      </c>
    </row>
    <row r="253" spans="1:13" ht="14.4" x14ac:dyDescent="0.3">
      <c r="A253" s="329">
        <f>Data!E250</f>
        <v>6</v>
      </c>
      <c r="B253" s="330" t="str">
        <f>IF(Data!F250="","",Data!F250)</f>
        <v>03538</v>
      </c>
      <c r="C253" s="330" t="str">
        <f>IF(Data!G250="","",Data!G250)</f>
        <v>0138979325</v>
      </c>
      <c r="D253" s="331" t="str">
        <f>IF(Data!H250="","",Data!H250)</f>
        <v>Dana Mahardika Yusuf</v>
      </c>
      <c r="E253" s="330" t="str">
        <f>IF(Data!I250="","",Data!I250)</f>
        <v>Laki-laki</v>
      </c>
      <c r="F253" s="332" t="str">
        <f>IF(Data!J250="","",Data!J250)</f>
        <v>VIII-G</v>
      </c>
      <c r="G253" s="326" t="str">
        <f>IF(PA!G255="","",PA!G255)</f>
        <v/>
      </c>
      <c r="H253" s="327" t="str">
        <f>IF(PA!H255="","",PA!H255)</f>
        <v/>
      </c>
      <c r="I253" s="327" t="str">
        <f>IF(PA!I255="","",PA!I255)</f>
        <v/>
      </c>
      <c r="J253" s="327" t="str">
        <f>IF(PA!AA255="","",PA!AA255)</f>
        <v/>
      </c>
      <c r="K253" s="327" t="str">
        <f>IF(PA!AB255="","",PA!AB255)</f>
        <v/>
      </c>
      <c r="L253" s="327" t="str">
        <f>IF(PA!AC255="","",PA!AC255)</f>
        <v/>
      </c>
      <c r="M253" s="328" t="str">
        <f>IF(PA!P255="","",PA!P255)</f>
        <v/>
      </c>
    </row>
    <row r="254" spans="1:13" ht="14.4" x14ac:dyDescent="0.3">
      <c r="A254" s="329">
        <f>Data!E251</f>
        <v>7</v>
      </c>
      <c r="B254" s="330" t="str">
        <f>IF(Data!F251="","",Data!F251)</f>
        <v>03539</v>
      </c>
      <c r="C254" s="330" t="str">
        <f>IF(Data!G251="","",Data!G251)</f>
        <v>3128821931</v>
      </c>
      <c r="D254" s="331" t="str">
        <f>IF(Data!H251="","",Data!H251)</f>
        <v>David Jazzen Alvaro</v>
      </c>
      <c r="E254" s="330" t="str">
        <f>IF(Data!I251="","",Data!I251)</f>
        <v>Laki-laki</v>
      </c>
      <c r="F254" s="332" t="str">
        <f>IF(Data!J251="","",Data!J251)</f>
        <v>VIII-G</v>
      </c>
      <c r="G254" s="326" t="str">
        <f>IF(PA!G256="","",PA!G256)</f>
        <v/>
      </c>
      <c r="H254" s="327" t="str">
        <f>IF(PA!H256="","",PA!H256)</f>
        <v/>
      </c>
      <c r="I254" s="327" t="str">
        <f>IF(PA!I256="","",PA!I256)</f>
        <v/>
      </c>
      <c r="J254" s="327" t="str">
        <f>IF(PA!AA256="","",PA!AA256)</f>
        <v/>
      </c>
      <c r="K254" s="327" t="str">
        <f>IF(PA!AB256="","",PA!AB256)</f>
        <v/>
      </c>
      <c r="L254" s="327" t="str">
        <f>IF(PA!AC256="","",PA!AC256)</f>
        <v/>
      </c>
      <c r="M254" s="328" t="str">
        <f>IF(PA!P256="","",PA!P256)</f>
        <v/>
      </c>
    </row>
    <row r="255" spans="1:13" ht="14.4" x14ac:dyDescent="0.3">
      <c r="A255" s="329">
        <f>Data!E252</f>
        <v>8</v>
      </c>
      <c r="B255" s="330" t="str">
        <f>IF(Data!F252="","",Data!F252)</f>
        <v>03551</v>
      </c>
      <c r="C255" s="330">
        <f>IF(Data!G252="","",Data!G252)</f>
        <v>3126917950</v>
      </c>
      <c r="D255" s="331" t="str">
        <f>IF(Data!H252="","",Data!H252)</f>
        <v>Kenzie Eka Angger Saputra</v>
      </c>
      <c r="E255" s="330" t="str">
        <f>IF(Data!I252="","",Data!I252)</f>
        <v>Laki-laki</v>
      </c>
      <c r="F255" s="332" t="str">
        <f>IF(Data!J252="","",Data!J252)</f>
        <v>VIII-G</v>
      </c>
      <c r="G255" s="326" t="str">
        <f>IF(PA!G257="","",PA!G257)</f>
        <v/>
      </c>
      <c r="H255" s="327" t="str">
        <f>IF(PA!H257="","",PA!H257)</f>
        <v/>
      </c>
      <c r="I255" s="327" t="str">
        <f>IF(PA!I257="","",PA!I257)</f>
        <v/>
      </c>
      <c r="J255" s="327" t="str">
        <f>IF(PA!AA257="","",PA!AA257)</f>
        <v/>
      </c>
      <c r="K255" s="327" t="str">
        <f>IF(PA!AB257="","",PA!AB257)</f>
        <v/>
      </c>
      <c r="L255" s="327" t="str">
        <f>IF(PA!AC257="","",PA!AC257)</f>
        <v/>
      </c>
      <c r="M255" s="328" t="str">
        <f>IF(PA!P257="","",PA!P257)</f>
        <v/>
      </c>
    </row>
    <row r="256" spans="1:13" ht="14.4" x14ac:dyDescent="0.3">
      <c r="A256" s="329">
        <f>Data!E253</f>
        <v>9</v>
      </c>
      <c r="B256" s="330" t="str">
        <f>IF(Data!F253="","",Data!F253)</f>
        <v>03558</v>
      </c>
      <c r="C256" s="330">
        <f>IF(Data!G253="","",Data!G253)</f>
        <v>3127852307</v>
      </c>
      <c r="D256" s="331" t="str">
        <f>IF(Data!H253="","",Data!H253)</f>
        <v>Mirzam Putra Mahardika</v>
      </c>
      <c r="E256" s="330" t="str">
        <f>IF(Data!I253="","",Data!I253)</f>
        <v>Laki-laki</v>
      </c>
      <c r="F256" s="332" t="str">
        <f>IF(Data!J253="","",Data!J253)</f>
        <v>VIII-G</v>
      </c>
      <c r="G256" s="326" t="str">
        <f>IF(PA!G258="","",PA!G258)</f>
        <v/>
      </c>
      <c r="H256" s="327" t="str">
        <f>IF(PA!H258="","",PA!H258)</f>
        <v/>
      </c>
      <c r="I256" s="327" t="str">
        <f>IF(PA!I258="","",PA!I258)</f>
        <v/>
      </c>
      <c r="J256" s="327" t="str">
        <f>IF(PA!AA258="","",PA!AA258)</f>
        <v/>
      </c>
      <c r="K256" s="327" t="str">
        <f>IF(PA!AB258="","",PA!AB258)</f>
        <v/>
      </c>
      <c r="L256" s="327" t="str">
        <f>IF(PA!AC258="","",PA!AC258)</f>
        <v/>
      </c>
      <c r="M256" s="328" t="str">
        <f>IF(PA!P258="","",PA!P258)</f>
        <v/>
      </c>
    </row>
    <row r="257" spans="1:13" ht="14.4" x14ac:dyDescent="0.3">
      <c r="A257" s="329">
        <f>Data!E254</f>
        <v>10</v>
      </c>
      <c r="B257" s="330" t="str">
        <f>IF(Data!F254="","",Data!F254)</f>
        <v>03565</v>
      </c>
      <c r="C257" s="330">
        <f>IF(Data!G254="","",Data!G254)</f>
        <v>3138475682</v>
      </c>
      <c r="D257" s="331" t="str">
        <f>IF(Data!H254="","",Data!H254)</f>
        <v>Mohammad Aqsan Maulana</v>
      </c>
      <c r="E257" s="330" t="str">
        <f>IF(Data!I254="","",Data!I254)</f>
        <v>Laki-laki</v>
      </c>
      <c r="F257" s="332" t="str">
        <f>IF(Data!J254="","",Data!J254)</f>
        <v>VIII-G</v>
      </c>
      <c r="G257" s="326" t="str">
        <f>IF(PA!G259="","",PA!G259)</f>
        <v/>
      </c>
      <c r="H257" s="327" t="str">
        <f>IF(PA!H259="","",PA!H259)</f>
        <v/>
      </c>
      <c r="I257" s="327" t="str">
        <f>IF(PA!I259="","",PA!I259)</f>
        <v/>
      </c>
      <c r="J257" s="327" t="str">
        <f>IF(PA!AA259="","",PA!AA259)</f>
        <v/>
      </c>
      <c r="K257" s="327" t="str">
        <f>IF(PA!AB259="","",PA!AB259)</f>
        <v/>
      </c>
      <c r="L257" s="327" t="str">
        <f>IF(PA!AC259="","",PA!AC259)</f>
        <v/>
      </c>
      <c r="M257" s="328" t="str">
        <f>IF(PA!P259="","",PA!P259)</f>
        <v/>
      </c>
    </row>
    <row r="258" spans="1:13" ht="14.4" x14ac:dyDescent="0.3">
      <c r="A258" s="329">
        <f>Data!E255</f>
        <v>11</v>
      </c>
      <c r="B258" s="330" t="str">
        <f>IF(Data!F255="","",Data!F255)</f>
        <v>03574</v>
      </c>
      <c r="C258" s="330" t="str">
        <f>IF(Data!G255="","",Data!G255)</f>
        <v>3113289572</v>
      </c>
      <c r="D258" s="331" t="str">
        <f>IF(Data!H255="","",Data!H255)</f>
        <v>Muhammad Azam Ali Fahmi</v>
      </c>
      <c r="E258" s="330" t="str">
        <f>IF(Data!I255="","",Data!I255)</f>
        <v>Laki-laki</v>
      </c>
      <c r="F258" s="332" t="str">
        <f>IF(Data!J255="","",Data!J255)</f>
        <v>VIII-G</v>
      </c>
      <c r="G258" s="326" t="str">
        <f>IF(PA!G260="","",PA!G260)</f>
        <v/>
      </c>
      <c r="H258" s="327" t="str">
        <f>IF(PA!H260="","",PA!H260)</f>
        <v/>
      </c>
      <c r="I258" s="327" t="str">
        <f>IF(PA!I260="","",PA!I260)</f>
        <v/>
      </c>
      <c r="J258" s="327" t="str">
        <f>IF(PA!AA260="","",PA!AA260)</f>
        <v/>
      </c>
      <c r="K258" s="327" t="str">
        <f>IF(PA!AB260="","",PA!AB260)</f>
        <v/>
      </c>
      <c r="L258" s="327" t="str">
        <f>IF(PA!AC260="","",PA!AC260)</f>
        <v/>
      </c>
      <c r="M258" s="328" t="str">
        <f>IF(PA!P260="","",PA!P260)</f>
        <v/>
      </c>
    </row>
    <row r="259" spans="1:13" ht="14.4" x14ac:dyDescent="0.3">
      <c r="A259" s="329">
        <f>Data!E256</f>
        <v>12</v>
      </c>
      <c r="B259" s="330" t="str">
        <f>IF(Data!F256="","",Data!F256)</f>
        <v>03577</v>
      </c>
      <c r="C259" s="330" t="str">
        <f>IF(Data!G256="","",Data!G256)</f>
        <v>3129653813</v>
      </c>
      <c r="D259" s="331" t="str">
        <f>IF(Data!H256="","",Data!H256)</f>
        <v>Muhammad Dzaki Darmawan</v>
      </c>
      <c r="E259" s="330" t="str">
        <f>IF(Data!I256="","",Data!I256)</f>
        <v>Laki-laki</v>
      </c>
      <c r="F259" s="332" t="str">
        <f>IF(Data!J256="","",Data!J256)</f>
        <v>VIII-G</v>
      </c>
      <c r="G259" s="326" t="str">
        <f>IF(PA!G261="","",PA!G261)</f>
        <v/>
      </c>
      <c r="H259" s="327" t="str">
        <f>IF(PA!H261="","",PA!H261)</f>
        <v/>
      </c>
      <c r="I259" s="327" t="str">
        <f>IF(PA!I261="","",PA!I261)</f>
        <v/>
      </c>
      <c r="J259" s="327" t="str">
        <f>IF(PA!AA261="","",PA!AA261)</f>
        <v/>
      </c>
      <c r="K259" s="327" t="str">
        <f>IF(PA!AB261="","",PA!AB261)</f>
        <v/>
      </c>
      <c r="L259" s="327" t="str">
        <f>IF(PA!AC261="","",PA!AC261)</f>
        <v/>
      </c>
      <c r="M259" s="328" t="str">
        <f>IF(PA!P261="","",PA!P261)</f>
        <v/>
      </c>
    </row>
    <row r="260" spans="1:13" ht="14.4" x14ac:dyDescent="0.3">
      <c r="A260" s="329">
        <f>Data!E257</f>
        <v>13</v>
      </c>
      <c r="B260" s="330" t="str">
        <f>IF(Data!F257="","",Data!F257)</f>
        <v>03587</v>
      </c>
      <c r="C260" s="330" t="str">
        <f>IF(Data!G257="","",Data!G257)</f>
        <v>3129177976</v>
      </c>
      <c r="D260" s="331" t="str">
        <f>IF(Data!H257="","",Data!H257)</f>
        <v>Muhammad Irsyadul Fathon</v>
      </c>
      <c r="E260" s="330" t="str">
        <f>IF(Data!I257="","",Data!I257)</f>
        <v>Laki-laki</v>
      </c>
      <c r="F260" s="332" t="str">
        <f>IF(Data!J257="","",Data!J257)</f>
        <v>VIII-G</v>
      </c>
      <c r="G260" s="326" t="str">
        <f>IF(PA!G262="","",PA!G262)</f>
        <v/>
      </c>
      <c r="H260" s="327" t="str">
        <f>IF(PA!H262="","",PA!H262)</f>
        <v/>
      </c>
      <c r="I260" s="327" t="str">
        <f>IF(PA!I262="","",PA!I262)</f>
        <v/>
      </c>
      <c r="J260" s="327" t="str">
        <f>IF(PA!AA262="","",PA!AA262)</f>
        <v/>
      </c>
      <c r="K260" s="327" t="str">
        <f>IF(PA!AB262="","",PA!AB262)</f>
        <v/>
      </c>
      <c r="L260" s="327" t="str">
        <f>IF(PA!AC262="","",PA!AC262)</f>
        <v/>
      </c>
      <c r="M260" s="328" t="str">
        <f>IF(PA!P262="","",PA!P262)</f>
        <v/>
      </c>
    </row>
    <row r="261" spans="1:13" ht="14.4" x14ac:dyDescent="0.3">
      <c r="A261" s="329">
        <f>Data!E258</f>
        <v>14</v>
      </c>
      <c r="B261" s="330" t="str">
        <f>IF(Data!F258="","",Data!F258)</f>
        <v>03588</v>
      </c>
      <c r="C261" s="330">
        <f>IF(Data!G258="","",Data!G258)</f>
        <v>3123040464</v>
      </c>
      <c r="D261" s="331" t="str">
        <f>IF(Data!H258="","",Data!H258)</f>
        <v>Muhammad Ja'far Sidiq</v>
      </c>
      <c r="E261" s="330" t="str">
        <f>IF(Data!I258="","",Data!I258)</f>
        <v>Laki-laki</v>
      </c>
      <c r="F261" s="332" t="str">
        <f>IF(Data!J258="","",Data!J258)</f>
        <v>VIII-G</v>
      </c>
      <c r="G261" s="326" t="str">
        <f>IF(PA!G263="","",PA!G263)</f>
        <v/>
      </c>
      <c r="H261" s="327" t="str">
        <f>IF(PA!H263="","",PA!H263)</f>
        <v/>
      </c>
      <c r="I261" s="327" t="str">
        <f>IF(PA!I263="","",PA!I263)</f>
        <v/>
      </c>
      <c r="J261" s="327" t="str">
        <f>IF(PA!AA263="","",PA!AA263)</f>
        <v/>
      </c>
      <c r="K261" s="327" t="str">
        <f>IF(PA!AB263="","",PA!AB263)</f>
        <v/>
      </c>
      <c r="L261" s="327" t="str">
        <f>IF(PA!AC263="","",PA!AC263)</f>
        <v/>
      </c>
      <c r="M261" s="328" t="str">
        <f>IF(PA!P263="","",PA!P263)</f>
        <v/>
      </c>
    </row>
    <row r="262" spans="1:13" ht="14.4" x14ac:dyDescent="0.3">
      <c r="A262" s="329">
        <f>Data!E259</f>
        <v>15</v>
      </c>
      <c r="B262" s="330" t="str">
        <f>IF(Data!F259="","",Data!F259)</f>
        <v>03591</v>
      </c>
      <c r="C262" s="330" t="str">
        <f>IF(Data!G259="","",Data!G259)</f>
        <v>3120585203</v>
      </c>
      <c r="D262" s="331" t="str">
        <f>IF(Data!H259="","",Data!H259)</f>
        <v>Muhammad Khafidz Dwi Mahendra</v>
      </c>
      <c r="E262" s="330" t="str">
        <f>IF(Data!I259="","",Data!I259)</f>
        <v>Laki-laki</v>
      </c>
      <c r="F262" s="332" t="str">
        <f>IF(Data!J259="","",Data!J259)</f>
        <v>VIII-G</v>
      </c>
      <c r="G262" s="326" t="str">
        <f>IF(PA!G264="","",PA!G264)</f>
        <v/>
      </c>
      <c r="H262" s="327" t="str">
        <f>IF(PA!H264="","",PA!H264)</f>
        <v/>
      </c>
      <c r="I262" s="327" t="str">
        <f>IF(PA!I264="","",PA!I264)</f>
        <v/>
      </c>
      <c r="J262" s="327" t="str">
        <f>IF(PA!AA264="","",PA!AA264)</f>
        <v/>
      </c>
      <c r="K262" s="327" t="str">
        <f>IF(PA!AB264="","",PA!AB264)</f>
        <v/>
      </c>
      <c r="L262" s="327" t="str">
        <f>IF(PA!AC264="","",PA!AC264)</f>
        <v/>
      </c>
      <c r="M262" s="328" t="str">
        <f>IF(PA!P264="","",PA!P264)</f>
        <v/>
      </c>
    </row>
    <row r="263" spans="1:13" ht="14.4" x14ac:dyDescent="0.3">
      <c r="A263" s="329">
        <f>Data!E260</f>
        <v>16</v>
      </c>
      <c r="B263" s="330" t="str">
        <f>IF(Data!F260="","",Data!F260)</f>
        <v>03753</v>
      </c>
      <c r="C263" s="330" t="str">
        <f>IF(Data!G260="","",Data!G260)</f>
        <v>3125302238</v>
      </c>
      <c r="D263" s="331" t="str">
        <f>IF(Data!H260="","",Data!H260)</f>
        <v>Muhammad Mazaza Rizki</v>
      </c>
      <c r="E263" s="330" t="str">
        <f>IF(Data!I260="","",Data!I260)</f>
        <v>Laki-laki</v>
      </c>
      <c r="F263" s="332" t="str">
        <f>IF(Data!J260="","",Data!J260)</f>
        <v>VIII-G</v>
      </c>
      <c r="G263" s="326" t="str">
        <f>IF(PA!G265="","",PA!G265)</f>
        <v/>
      </c>
      <c r="H263" s="327" t="str">
        <f>IF(PA!H265="","",PA!H265)</f>
        <v/>
      </c>
      <c r="I263" s="327" t="str">
        <f>IF(PA!I265="","",PA!I265)</f>
        <v/>
      </c>
      <c r="J263" s="327" t="str">
        <f>IF(PA!AA265="","",PA!AA265)</f>
        <v/>
      </c>
      <c r="K263" s="327" t="str">
        <f>IF(PA!AB265="","",PA!AB265)</f>
        <v/>
      </c>
      <c r="L263" s="327" t="str">
        <f>IF(PA!AC265="","",PA!AC265)</f>
        <v/>
      </c>
      <c r="M263" s="328" t="str">
        <f>IF(PA!P265="","",PA!P265)</f>
        <v/>
      </c>
    </row>
    <row r="264" spans="1:13" ht="14.4" x14ac:dyDescent="0.3">
      <c r="A264" s="329">
        <f>Data!E261</f>
        <v>17</v>
      </c>
      <c r="B264" s="330" t="str">
        <f>IF(Data!F261="","",Data!F261)</f>
        <v>03601</v>
      </c>
      <c r="C264" s="330" t="str">
        <f>IF(Data!G261="","",Data!G261)</f>
        <v>3134787139</v>
      </c>
      <c r="D264" s="331" t="str">
        <f>IF(Data!H261="","",Data!H261)</f>
        <v>Muhammad Wisnu Aji Ikhwan</v>
      </c>
      <c r="E264" s="330" t="str">
        <f>IF(Data!I261="","",Data!I261)</f>
        <v>Laki-laki</v>
      </c>
      <c r="F264" s="332" t="str">
        <f>IF(Data!J261="","",Data!J261)</f>
        <v>VIII-G</v>
      </c>
      <c r="G264" s="326" t="str">
        <f>IF(PA!G266="","",PA!G266)</f>
        <v/>
      </c>
      <c r="H264" s="327" t="str">
        <f>IF(PA!H266="","",PA!H266)</f>
        <v/>
      </c>
      <c r="I264" s="327" t="str">
        <f>IF(PA!I266="","",PA!I266)</f>
        <v/>
      </c>
      <c r="J264" s="327" t="str">
        <f>IF(PA!AA266="","",PA!AA266)</f>
        <v/>
      </c>
      <c r="K264" s="327" t="str">
        <f>IF(PA!AB266="","",PA!AB266)</f>
        <v/>
      </c>
      <c r="L264" s="327" t="str">
        <f>IF(PA!AC266="","",PA!AC266)</f>
        <v/>
      </c>
      <c r="M264" s="328" t="str">
        <f>IF(PA!P266="","",PA!P266)</f>
        <v/>
      </c>
    </row>
    <row r="265" spans="1:13" ht="14.4" x14ac:dyDescent="0.3">
      <c r="A265" s="329">
        <f>Data!E262</f>
        <v>18</v>
      </c>
      <c r="B265" s="330" t="str">
        <f>IF(Data!F262="","",Data!F262)</f>
        <v>03606</v>
      </c>
      <c r="C265" s="330" t="str">
        <f>IF(Data!G262="","",Data!G262)</f>
        <v>0129637924</v>
      </c>
      <c r="D265" s="331" t="str">
        <f>IF(Data!H262="","",Data!H262)</f>
        <v>Novenda Lutfy Ismail</v>
      </c>
      <c r="E265" s="330" t="str">
        <f>IF(Data!I262="","",Data!I262)</f>
        <v>Laki-laki</v>
      </c>
      <c r="F265" s="332" t="str">
        <f>IF(Data!J262="","",Data!J262)</f>
        <v>VIII-G</v>
      </c>
      <c r="G265" s="326" t="str">
        <f>IF(PA!G267="","",PA!G267)</f>
        <v/>
      </c>
      <c r="H265" s="327" t="str">
        <f>IF(PA!H267="","",PA!H267)</f>
        <v/>
      </c>
      <c r="I265" s="327" t="str">
        <f>IF(PA!I267="","",PA!I267)</f>
        <v/>
      </c>
      <c r="J265" s="327" t="str">
        <f>IF(PA!AA267="","",PA!AA267)</f>
        <v/>
      </c>
      <c r="K265" s="327" t="str">
        <f>IF(PA!AB267="","",PA!AB267)</f>
        <v/>
      </c>
      <c r="L265" s="327" t="str">
        <f>IF(PA!AC267="","",PA!AC267)</f>
        <v/>
      </c>
      <c r="M265" s="328" t="str">
        <f>IF(PA!P267="","",PA!P267)</f>
        <v/>
      </c>
    </row>
    <row r="266" spans="1:13" ht="14.4" x14ac:dyDescent="0.3">
      <c r="A266" s="329">
        <f>Data!E263</f>
        <v>19</v>
      </c>
      <c r="B266" s="330" t="str">
        <f>IF(Data!F263="","",Data!F263)</f>
        <v>03615</v>
      </c>
      <c r="C266" s="330" t="str">
        <f>IF(Data!G263="","",Data!G263)</f>
        <v>3124810899</v>
      </c>
      <c r="D266" s="331" t="str">
        <f>IF(Data!H263="","",Data!H263)</f>
        <v>Safyudin Helga Ciputro</v>
      </c>
      <c r="E266" s="330" t="str">
        <f>IF(Data!I263="","",Data!I263)</f>
        <v>Laki-laki</v>
      </c>
      <c r="F266" s="332" t="str">
        <f>IF(Data!J263="","",Data!J263)</f>
        <v>VIII-G</v>
      </c>
      <c r="G266" s="326" t="str">
        <f>IF(PA!G268="","",PA!G268)</f>
        <v/>
      </c>
      <c r="H266" s="327" t="str">
        <f>IF(PA!H268="","",PA!H268)</f>
        <v/>
      </c>
      <c r="I266" s="327" t="str">
        <f>IF(PA!I268="","",PA!I268)</f>
        <v/>
      </c>
      <c r="J266" s="327" t="str">
        <f>IF(PA!AA268="","",PA!AA268)</f>
        <v/>
      </c>
      <c r="K266" s="327" t="str">
        <f>IF(PA!AB268="","",PA!AB268)</f>
        <v/>
      </c>
      <c r="L266" s="327" t="str">
        <f>IF(PA!AC268="","",PA!AC268)</f>
        <v/>
      </c>
      <c r="M266" s="328" t="str">
        <f>IF(PA!P268="","",PA!P268)</f>
        <v/>
      </c>
    </row>
    <row r="267" spans="1:13" ht="14.4" x14ac:dyDescent="0.3">
      <c r="A267" s="329">
        <f>Data!E264</f>
        <v>20</v>
      </c>
      <c r="B267" s="330" t="str">
        <f>IF(Data!F264="","",Data!F264)</f>
        <v>03618</v>
      </c>
      <c r="C267" s="330" t="str">
        <f>IF(Data!G264="","",Data!G264)</f>
        <v>3122395157</v>
      </c>
      <c r="D267" s="331" t="str">
        <f>IF(Data!H264="","",Data!H264)</f>
        <v>Tifan Putra Yunanda</v>
      </c>
      <c r="E267" s="330" t="str">
        <f>IF(Data!I264="","",Data!I264)</f>
        <v>Laki-laki</v>
      </c>
      <c r="F267" s="332" t="str">
        <f>IF(Data!J264="","",Data!J264)</f>
        <v>VIII-G</v>
      </c>
      <c r="G267" s="326" t="str">
        <f>IF(PA!G269="","",PA!G269)</f>
        <v/>
      </c>
      <c r="H267" s="327" t="str">
        <f>IF(PA!H269="","",PA!H269)</f>
        <v/>
      </c>
      <c r="I267" s="327" t="str">
        <f>IF(PA!I269="","",PA!I269)</f>
        <v/>
      </c>
      <c r="J267" s="327" t="str">
        <f>IF(PA!AA269="","",PA!AA269)</f>
        <v/>
      </c>
      <c r="K267" s="327" t="str">
        <f>IF(PA!AB269="","",PA!AB269)</f>
        <v/>
      </c>
      <c r="L267" s="327" t="str">
        <f>IF(PA!AC269="","",PA!AC269)</f>
        <v/>
      </c>
      <c r="M267" s="328" t="str">
        <f>IF(PA!P269="","",PA!P269)</f>
        <v/>
      </c>
    </row>
    <row r="268" spans="1:13" ht="14.4" x14ac:dyDescent="0.3">
      <c r="A268" s="329">
        <f>Data!E265</f>
        <v>21</v>
      </c>
      <c r="B268" s="330" t="str">
        <f>IF(Data!F265="","",Data!F265)</f>
        <v>03620</v>
      </c>
      <c r="C268" s="330" t="str">
        <f>IF(Data!G265="","",Data!G265)</f>
        <v>0137957579</v>
      </c>
      <c r="D268" s="331" t="str">
        <f>IF(Data!H265="","",Data!H265)</f>
        <v>Toni Febri Maulana</v>
      </c>
      <c r="E268" s="330" t="str">
        <f>IF(Data!I265="","",Data!I265)</f>
        <v>Laki-laki</v>
      </c>
      <c r="F268" s="332" t="str">
        <f>IF(Data!J265="","",Data!J265)</f>
        <v>VIII-G</v>
      </c>
      <c r="G268" s="326" t="str">
        <f>IF(PA!G270="","",PA!G270)</f>
        <v/>
      </c>
      <c r="H268" s="327" t="str">
        <f>IF(PA!H270="","",PA!H270)</f>
        <v/>
      </c>
      <c r="I268" s="327" t="str">
        <f>IF(PA!I270="","",PA!I270)</f>
        <v/>
      </c>
      <c r="J268" s="327" t="str">
        <f>IF(PA!AA270="","",PA!AA270)</f>
        <v/>
      </c>
      <c r="K268" s="327" t="str">
        <f>IF(PA!AB270="","",PA!AB270)</f>
        <v/>
      </c>
      <c r="L268" s="327" t="str">
        <f>IF(PA!AC270="","",PA!AC270)</f>
        <v/>
      </c>
      <c r="M268" s="328" t="str">
        <f>IF(PA!P270="","",PA!P270)</f>
        <v/>
      </c>
    </row>
    <row r="269" spans="1:13" ht="14.4" x14ac:dyDescent="0.3">
      <c r="A269" s="329">
        <f>Data!E266</f>
        <v>22</v>
      </c>
      <c r="B269" s="330" t="str">
        <f>IF(Data!F266="","",Data!F266)</f>
        <v>03621</v>
      </c>
      <c r="C269" s="330" t="str">
        <f>IF(Data!G266="","",Data!G266)</f>
        <v>3120131950</v>
      </c>
      <c r="D269" s="331" t="str">
        <f>IF(Data!H266="","",Data!H266)</f>
        <v>Wahyu Bagus Maulana</v>
      </c>
      <c r="E269" s="330" t="str">
        <f>IF(Data!I266="","",Data!I266)</f>
        <v>Laki-laki</v>
      </c>
      <c r="F269" s="332" t="str">
        <f>IF(Data!J266="","",Data!J266)</f>
        <v>VIII-G</v>
      </c>
      <c r="G269" s="326" t="str">
        <f>IF(PA!G271="","",PA!G271)</f>
        <v/>
      </c>
      <c r="H269" s="327" t="str">
        <f>IF(PA!H271="","",PA!H271)</f>
        <v/>
      </c>
      <c r="I269" s="327" t="str">
        <f>IF(PA!I271="","",PA!I271)</f>
        <v/>
      </c>
      <c r="J269" s="327" t="str">
        <f>IF(PA!AA271="","",PA!AA271)</f>
        <v/>
      </c>
      <c r="K269" s="327" t="str">
        <f>IF(PA!AB271="","",PA!AB271)</f>
        <v/>
      </c>
      <c r="L269" s="327" t="str">
        <f>IF(PA!AC271="","",PA!AC271)</f>
        <v/>
      </c>
      <c r="M269" s="328" t="str">
        <f>IF(PA!P271="","",PA!P271)</f>
        <v/>
      </c>
    </row>
    <row r="270" spans="1:13" ht="14.4" x14ac:dyDescent="0.3">
      <c r="A270" s="329">
        <f>Data!E267</f>
        <v>23</v>
      </c>
      <c r="B270" s="330" t="str">
        <f>IF(Data!F267="","",Data!F267)</f>
        <v>03622</v>
      </c>
      <c r="C270" s="330" t="str">
        <f>IF(Data!G267="","",Data!G267)</f>
        <v>3127879906</v>
      </c>
      <c r="D270" s="331" t="str">
        <f>IF(Data!H267="","",Data!H267)</f>
        <v>Willa Tikta Az'Har</v>
      </c>
      <c r="E270" s="330" t="str">
        <f>IF(Data!I267="","",Data!I267)</f>
        <v>Laki-laki</v>
      </c>
      <c r="F270" s="332" t="str">
        <f>IF(Data!J267="","",Data!J267)</f>
        <v>VIII-G</v>
      </c>
      <c r="G270" s="326" t="str">
        <f>IF(PA!G272="","",PA!G272)</f>
        <v/>
      </c>
      <c r="H270" s="327" t="str">
        <f>IF(PA!H272="","",PA!H272)</f>
        <v/>
      </c>
      <c r="I270" s="327" t="str">
        <f>IF(PA!I272="","",PA!I272)</f>
        <v/>
      </c>
      <c r="J270" s="327" t="str">
        <f>IF(PA!AA272="","",PA!AA272)</f>
        <v/>
      </c>
      <c r="K270" s="327" t="str">
        <f>IF(PA!AB272="","",PA!AB272)</f>
        <v/>
      </c>
      <c r="L270" s="327" t="str">
        <f>IF(PA!AC272="","",PA!AC272)</f>
        <v/>
      </c>
      <c r="M270" s="328" t="str">
        <f>IF(PA!P272="","",PA!P272)</f>
        <v/>
      </c>
    </row>
    <row r="271" spans="1:13" ht="14.4" x14ac:dyDescent="0.3">
      <c r="A271" s="329">
        <f>Data!E268</f>
        <v>24</v>
      </c>
      <c r="B271" s="330" t="str">
        <f>IF(Data!F268="","",Data!F268)</f>
        <v>03757</v>
      </c>
      <c r="C271" s="330">
        <f>IF(Data!G268="","",Data!G268)</f>
        <v>3138056932</v>
      </c>
      <c r="D271" s="331" t="str">
        <f>IF(Data!H268="","",Data!H268)</f>
        <v>Farid Maulana Kristianto</v>
      </c>
      <c r="E271" s="330" t="str">
        <f>IF(Data!I268="","",Data!I268)</f>
        <v>Laki-laki</v>
      </c>
      <c r="F271" s="332" t="str">
        <f>IF(Data!J268="","",Data!J268)</f>
        <v>VIII-G</v>
      </c>
      <c r="G271" s="326" t="str">
        <f>IF(PA!G273="","",PA!G273)</f>
        <v/>
      </c>
      <c r="H271" s="327" t="str">
        <f>IF(PA!H273="","",PA!H273)</f>
        <v/>
      </c>
      <c r="I271" s="327" t="str">
        <f>IF(PA!I273="","",PA!I273)</f>
        <v/>
      </c>
      <c r="J271" s="327" t="str">
        <f>IF(PA!AA273="","",PA!AA273)</f>
        <v/>
      </c>
      <c r="K271" s="327" t="str">
        <f>IF(PA!AB273="","",PA!AB273)</f>
        <v/>
      </c>
      <c r="L271" s="327" t="str">
        <f>IF(PA!AC273="","",PA!AC273)</f>
        <v/>
      </c>
      <c r="M271" s="328" t="str">
        <f>IF(PA!P273="","",PA!P273)</f>
        <v/>
      </c>
    </row>
    <row r="272" spans="1:13" ht="14.4" x14ac:dyDescent="0.3">
      <c r="A272" s="329">
        <f>Data!E269</f>
        <v>25</v>
      </c>
      <c r="B272" s="330" t="str">
        <f>IF(Data!F269="","",Data!F269)</f>
        <v/>
      </c>
      <c r="C272" s="330" t="str">
        <f>IF(Data!G269="","",Data!G269)</f>
        <v/>
      </c>
      <c r="D272" s="331" t="str">
        <f>IF(Data!H269="","",Data!H269)</f>
        <v/>
      </c>
      <c r="E272" s="330" t="str">
        <f>IF(Data!I269="","",Data!I269)</f>
        <v/>
      </c>
      <c r="F272" s="332" t="str">
        <f>IF(Data!J269="","",Data!J269)</f>
        <v>VIII-G</v>
      </c>
      <c r="G272" s="326" t="str">
        <f>IF(PA!G274="","",PA!G274)</f>
        <v/>
      </c>
      <c r="H272" s="327" t="str">
        <f>IF(PA!H274="","",PA!H274)</f>
        <v/>
      </c>
      <c r="I272" s="327" t="str">
        <f>IF(PA!I274="","",PA!I274)</f>
        <v/>
      </c>
      <c r="J272" s="327" t="str">
        <f>IF(PA!AA274="","",PA!AA274)</f>
        <v/>
      </c>
      <c r="K272" s="327" t="str">
        <f>IF(PA!AB274="","",PA!AB274)</f>
        <v/>
      </c>
      <c r="L272" s="327" t="str">
        <f>IF(PA!AC274="","",PA!AC274)</f>
        <v/>
      </c>
      <c r="M272" s="328" t="str">
        <f>IF(PA!P274="","",PA!P274)</f>
        <v/>
      </c>
    </row>
    <row r="273" spans="1:13" ht="14.4" x14ac:dyDescent="0.3">
      <c r="A273" s="329">
        <f>Data!E270</f>
        <v>26</v>
      </c>
      <c r="B273" s="330" t="str">
        <f>IF(Data!F270="","",Data!F270)</f>
        <v/>
      </c>
      <c r="C273" s="330" t="str">
        <f>IF(Data!G270="","",Data!G270)</f>
        <v/>
      </c>
      <c r="D273" s="331" t="str">
        <f>IF(Data!H270="","",Data!H270)</f>
        <v/>
      </c>
      <c r="E273" s="330" t="str">
        <f>IF(Data!I270="","",Data!I270)</f>
        <v/>
      </c>
      <c r="F273" s="332" t="str">
        <f>IF(Data!J270="","",Data!J270)</f>
        <v>VIII-G</v>
      </c>
      <c r="G273" s="326" t="str">
        <f>IF(PA!G275="","",PA!G275)</f>
        <v/>
      </c>
      <c r="H273" s="327" t="str">
        <f>IF(PA!H275="","",PA!H275)</f>
        <v/>
      </c>
      <c r="I273" s="327" t="str">
        <f>IF(PA!I275="","",PA!I275)</f>
        <v/>
      </c>
      <c r="J273" s="327" t="str">
        <f>IF(PA!AA275="","",PA!AA275)</f>
        <v/>
      </c>
      <c r="K273" s="327" t="str">
        <f>IF(PA!AB275="","",PA!AB275)</f>
        <v/>
      </c>
      <c r="L273" s="327" t="str">
        <f>IF(PA!AC275="","",PA!AC275)</f>
        <v/>
      </c>
      <c r="M273" s="328" t="str">
        <f>IF(PA!P275="","",PA!P275)</f>
        <v/>
      </c>
    </row>
    <row r="274" spans="1:13" ht="14.4" x14ac:dyDescent="0.3">
      <c r="A274" s="329">
        <f>Data!E271</f>
        <v>27</v>
      </c>
      <c r="B274" s="330" t="str">
        <f>IF(Data!F271="","",Data!F271)</f>
        <v/>
      </c>
      <c r="C274" s="330" t="str">
        <f>IF(Data!G271="","",Data!G271)</f>
        <v/>
      </c>
      <c r="D274" s="331" t="str">
        <f>IF(Data!H271="","",Data!H271)</f>
        <v/>
      </c>
      <c r="E274" s="330" t="str">
        <f>IF(Data!I271="","",Data!I271)</f>
        <v/>
      </c>
      <c r="F274" s="332" t="str">
        <f>IF(Data!J271="","",Data!J271)</f>
        <v>VIII-G</v>
      </c>
      <c r="G274" s="326" t="str">
        <f>IF(PA!G276="","",PA!G276)</f>
        <v/>
      </c>
      <c r="H274" s="327" t="str">
        <f>IF(PA!H276="","",PA!H276)</f>
        <v/>
      </c>
      <c r="I274" s="327" t="str">
        <f>IF(PA!I276="","",PA!I276)</f>
        <v/>
      </c>
      <c r="J274" s="327" t="str">
        <f>IF(PA!AA276="","",PA!AA276)</f>
        <v/>
      </c>
      <c r="K274" s="327" t="str">
        <f>IF(PA!AB276="","",PA!AB276)</f>
        <v/>
      </c>
      <c r="L274" s="327" t="str">
        <f>IF(PA!AC276="","",PA!AC276)</f>
        <v/>
      </c>
      <c r="M274" s="328" t="str">
        <f>IF(PA!P276="","",PA!P276)</f>
        <v/>
      </c>
    </row>
    <row r="275" spans="1:13" ht="14.4" x14ac:dyDescent="0.3">
      <c r="A275" s="329">
        <f>Data!E272</f>
        <v>28</v>
      </c>
      <c r="B275" s="330" t="str">
        <f>IF(Data!F272="","",Data!F272)</f>
        <v/>
      </c>
      <c r="C275" s="330" t="str">
        <f>IF(Data!G272="","",Data!G272)</f>
        <v/>
      </c>
      <c r="D275" s="331" t="str">
        <f>IF(Data!H272="","",Data!H272)</f>
        <v/>
      </c>
      <c r="E275" s="330" t="str">
        <f>IF(Data!I272="","",Data!I272)</f>
        <v/>
      </c>
      <c r="F275" s="332" t="str">
        <f>IF(Data!J272="","",Data!J272)</f>
        <v>VIII-G</v>
      </c>
      <c r="G275" s="326" t="str">
        <f>IF(PA!G277="","",PA!G277)</f>
        <v/>
      </c>
      <c r="H275" s="327" t="str">
        <f>IF(PA!H277="","",PA!H277)</f>
        <v/>
      </c>
      <c r="I275" s="327" t="str">
        <f>IF(PA!I277="","",PA!I277)</f>
        <v/>
      </c>
      <c r="J275" s="327" t="str">
        <f>IF(PA!AA277="","",PA!AA277)</f>
        <v/>
      </c>
      <c r="K275" s="327" t="str">
        <f>IF(PA!AB277="","",PA!AB277)</f>
        <v/>
      </c>
      <c r="L275" s="327" t="str">
        <f>IF(PA!AC277="","",PA!AC277)</f>
        <v/>
      </c>
      <c r="M275" s="328" t="str">
        <f>IF(PA!P277="","",PA!P277)</f>
        <v/>
      </c>
    </row>
    <row r="276" spans="1:13" ht="14.4" x14ac:dyDescent="0.3">
      <c r="A276" s="329">
        <f>Data!E273</f>
        <v>29</v>
      </c>
      <c r="B276" s="330" t="str">
        <f>IF(Data!F273="","",Data!F273)</f>
        <v/>
      </c>
      <c r="C276" s="330" t="str">
        <f>IF(Data!G273="","",Data!G273)</f>
        <v/>
      </c>
      <c r="D276" s="331" t="str">
        <f>IF(Data!H273="","",Data!H273)</f>
        <v/>
      </c>
      <c r="E276" s="330" t="str">
        <f>IF(Data!I273="","",Data!I273)</f>
        <v/>
      </c>
      <c r="F276" s="332" t="str">
        <f>IF(Data!J273="","",Data!J273)</f>
        <v>VIII-G</v>
      </c>
      <c r="G276" s="326" t="str">
        <f>IF(PA!G278="","",PA!G278)</f>
        <v/>
      </c>
      <c r="H276" s="327" t="str">
        <f>IF(PA!H278="","",PA!H278)</f>
        <v/>
      </c>
      <c r="I276" s="327" t="str">
        <f>IF(PA!I278="","",PA!I278)</f>
        <v/>
      </c>
      <c r="J276" s="327" t="str">
        <f>IF(PA!AA278="","",PA!AA278)</f>
        <v/>
      </c>
      <c r="K276" s="327" t="str">
        <f>IF(PA!AB278="","",PA!AB278)</f>
        <v/>
      </c>
      <c r="L276" s="327" t="str">
        <f>IF(PA!AC278="","",PA!AC278)</f>
        <v/>
      </c>
      <c r="M276" s="328" t="str">
        <f>IF(PA!P278="","",PA!P278)</f>
        <v/>
      </c>
    </row>
    <row r="277" spans="1:13" ht="14.4" x14ac:dyDescent="0.3">
      <c r="A277" s="329">
        <f>Data!E274</f>
        <v>30</v>
      </c>
      <c r="B277" s="330" t="str">
        <f>IF(Data!F274="","",Data!F274)</f>
        <v/>
      </c>
      <c r="C277" s="330" t="str">
        <f>IF(Data!G274="","",Data!G274)</f>
        <v/>
      </c>
      <c r="D277" s="331" t="str">
        <f>IF(Data!H274="","",Data!H274)</f>
        <v/>
      </c>
      <c r="E277" s="330" t="str">
        <f>IF(Data!I274="","",Data!I274)</f>
        <v/>
      </c>
      <c r="F277" s="332" t="str">
        <f>IF(Data!J274="","",Data!J274)</f>
        <v>VIII-G</v>
      </c>
      <c r="G277" s="326" t="str">
        <f>IF(PA!G279="","",PA!G279)</f>
        <v/>
      </c>
      <c r="H277" s="327" t="str">
        <f>IF(PA!H279="","",PA!H279)</f>
        <v/>
      </c>
      <c r="I277" s="327" t="str">
        <f>IF(PA!I279="","",PA!I279)</f>
        <v/>
      </c>
      <c r="J277" s="327" t="str">
        <f>IF(PA!AA279="","",PA!AA279)</f>
        <v/>
      </c>
      <c r="K277" s="327" t="str">
        <f>IF(PA!AB279="","",PA!AB279)</f>
        <v/>
      </c>
      <c r="L277" s="327" t="str">
        <f>IF(PA!AC279="","",PA!AC279)</f>
        <v/>
      </c>
      <c r="M277" s="328" t="str">
        <f>IF(PA!P279="","",PA!P279)</f>
        <v/>
      </c>
    </row>
    <row r="278" spans="1:13" ht="14.4" x14ac:dyDescent="0.3">
      <c r="A278" s="329">
        <f>Data!E275</f>
        <v>31</v>
      </c>
      <c r="B278" s="330" t="str">
        <f>IF(Data!F275="","",Data!F275)</f>
        <v/>
      </c>
      <c r="C278" s="330" t="str">
        <f>IF(Data!G275="","",Data!G275)</f>
        <v/>
      </c>
      <c r="D278" s="331" t="str">
        <f>IF(Data!H275="","",Data!H275)</f>
        <v/>
      </c>
      <c r="E278" s="330" t="str">
        <f>IF(Data!I275="","",Data!I275)</f>
        <v/>
      </c>
      <c r="F278" s="332" t="str">
        <f>IF(Data!J275="","",Data!J275)</f>
        <v>VIII-G</v>
      </c>
      <c r="G278" s="326" t="str">
        <f>IF(PA!G280="","",PA!G280)</f>
        <v/>
      </c>
      <c r="H278" s="327" t="str">
        <f>IF(PA!H280="","",PA!H280)</f>
        <v/>
      </c>
      <c r="I278" s="327" t="str">
        <f>IF(PA!I280="","",PA!I280)</f>
        <v/>
      </c>
      <c r="J278" s="327" t="str">
        <f>IF(PA!AA280="","",PA!AA280)</f>
        <v/>
      </c>
      <c r="K278" s="327" t="str">
        <f>IF(PA!AB280="","",PA!AB280)</f>
        <v/>
      </c>
      <c r="L278" s="327" t="str">
        <f>IF(PA!AC280="","",PA!AC280)</f>
        <v/>
      </c>
      <c r="M278" s="328" t="str">
        <f>IF(PA!P280="","",PA!P280)</f>
        <v/>
      </c>
    </row>
    <row r="279" spans="1:13" ht="14.4" x14ac:dyDescent="0.3">
      <c r="A279" s="329">
        <f>Data!E276</f>
        <v>32</v>
      </c>
      <c r="B279" s="330" t="str">
        <f>IF(Data!F276="","",Data!F276)</f>
        <v/>
      </c>
      <c r="C279" s="330" t="str">
        <f>IF(Data!G276="","",Data!G276)</f>
        <v/>
      </c>
      <c r="D279" s="331" t="str">
        <f>IF(Data!H276="","",Data!H276)</f>
        <v/>
      </c>
      <c r="E279" s="330" t="str">
        <f>IF(Data!I276="","",Data!I276)</f>
        <v/>
      </c>
      <c r="F279" s="332" t="str">
        <f>IF(Data!J276="","",Data!J276)</f>
        <v>VIII-G</v>
      </c>
      <c r="G279" s="326" t="str">
        <f>IF(PA!G281="","",PA!G281)</f>
        <v/>
      </c>
      <c r="H279" s="327" t="str">
        <f>IF(PA!H281="","",PA!H281)</f>
        <v/>
      </c>
      <c r="I279" s="327" t="str">
        <f>IF(PA!I281="","",PA!I281)</f>
        <v/>
      </c>
      <c r="J279" s="327" t="str">
        <f>IF(PA!AA281="","",PA!AA281)</f>
        <v/>
      </c>
      <c r="K279" s="327" t="str">
        <f>IF(PA!AB281="","",PA!AB281)</f>
        <v/>
      </c>
      <c r="L279" s="327" t="str">
        <f>IF(PA!AC281="","",PA!AC281)</f>
        <v/>
      </c>
      <c r="M279" s="328" t="str">
        <f>IF(PA!P281="","",PA!P281)</f>
        <v/>
      </c>
    </row>
    <row r="280" spans="1:13" ht="14.4" x14ac:dyDescent="0.3">
      <c r="A280" s="329">
        <f>Data!E277</f>
        <v>33</v>
      </c>
      <c r="B280" s="330" t="str">
        <f>IF(Data!F277="","",Data!F277)</f>
        <v/>
      </c>
      <c r="C280" s="330" t="str">
        <f>IF(Data!G277="","",Data!G277)</f>
        <v/>
      </c>
      <c r="D280" s="331" t="str">
        <f>IF(Data!H277="","",Data!H277)</f>
        <v/>
      </c>
      <c r="E280" s="330" t="str">
        <f>IF(Data!I277="","",Data!I277)</f>
        <v/>
      </c>
      <c r="F280" s="332" t="str">
        <f>IF(Data!J277="","",Data!J277)</f>
        <v>VIII-G</v>
      </c>
      <c r="G280" s="326" t="str">
        <f>IF(PA!G282="","",PA!G282)</f>
        <v/>
      </c>
      <c r="H280" s="327" t="str">
        <f>IF(PA!H282="","",PA!H282)</f>
        <v/>
      </c>
      <c r="I280" s="327" t="str">
        <f>IF(PA!I282="","",PA!I282)</f>
        <v/>
      </c>
      <c r="J280" s="327" t="str">
        <f>IF(PA!AA282="","",PA!AA282)</f>
        <v/>
      </c>
      <c r="K280" s="327" t="str">
        <f>IF(PA!AB282="","",PA!AB282)</f>
        <v/>
      </c>
      <c r="L280" s="327" t="str">
        <f>IF(PA!AC282="","",PA!AC282)</f>
        <v/>
      </c>
      <c r="M280" s="328" t="str">
        <f>IF(PA!P282="","",PA!P282)</f>
        <v/>
      </c>
    </row>
    <row r="281" spans="1:13" ht="14.4" x14ac:dyDescent="0.3">
      <c r="A281" s="329">
        <f>Data!E278</f>
        <v>34</v>
      </c>
      <c r="B281" s="330" t="str">
        <f>IF(Data!F278="","",Data!F278)</f>
        <v/>
      </c>
      <c r="C281" s="330" t="str">
        <f>IF(Data!G278="","",Data!G278)</f>
        <v/>
      </c>
      <c r="D281" s="331" t="str">
        <f>IF(Data!H278="","",Data!H278)</f>
        <v/>
      </c>
      <c r="E281" s="330" t="str">
        <f>IF(Data!I278="","",Data!I278)</f>
        <v/>
      </c>
      <c r="F281" s="332" t="str">
        <f>IF(Data!J278="","",Data!J278)</f>
        <v>VIII-G</v>
      </c>
      <c r="G281" s="326" t="str">
        <f>IF(PA!G283="","",PA!G283)</f>
        <v/>
      </c>
      <c r="H281" s="327" t="str">
        <f>IF(PA!H283="","",PA!H283)</f>
        <v/>
      </c>
      <c r="I281" s="327" t="str">
        <f>IF(PA!I283="","",PA!I283)</f>
        <v/>
      </c>
      <c r="J281" s="327" t="str">
        <f>IF(PA!AA283="","",PA!AA283)</f>
        <v/>
      </c>
      <c r="K281" s="327" t="str">
        <f>IF(PA!AB283="","",PA!AB283)</f>
        <v/>
      </c>
      <c r="L281" s="327" t="str">
        <f>IF(PA!AC283="","",PA!AC283)</f>
        <v/>
      </c>
      <c r="M281" s="328" t="str">
        <f>IF(PA!P283="","",PA!P283)</f>
        <v/>
      </c>
    </row>
    <row r="282" spans="1:13" ht="14.4" x14ac:dyDescent="0.3">
      <c r="A282" s="329">
        <f>Data!E279</f>
        <v>35</v>
      </c>
      <c r="B282" s="330" t="str">
        <f>IF(Data!F279="","",Data!F279)</f>
        <v/>
      </c>
      <c r="C282" s="330" t="str">
        <f>IF(Data!G279="","",Data!G279)</f>
        <v/>
      </c>
      <c r="D282" s="331" t="str">
        <f>IF(Data!H279="","",Data!H279)</f>
        <v/>
      </c>
      <c r="E282" s="330" t="str">
        <f>IF(Data!I279="","",Data!I279)</f>
        <v/>
      </c>
      <c r="F282" s="332" t="str">
        <f>IF(Data!J279="","",Data!J279)</f>
        <v>VIII-G</v>
      </c>
      <c r="G282" s="326" t="str">
        <f>IF(PA!G284="","",PA!G284)</f>
        <v/>
      </c>
      <c r="H282" s="327" t="str">
        <f>IF(PA!H284="","",PA!H284)</f>
        <v/>
      </c>
      <c r="I282" s="327" t="str">
        <f>IF(PA!I284="","",PA!I284)</f>
        <v/>
      </c>
      <c r="J282" s="327" t="str">
        <f>IF(PA!AA284="","",PA!AA284)</f>
        <v/>
      </c>
      <c r="K282" s="327" t="str">
        <f>IF(PA!AB284="","",PA!AB284)</f>
        <v/>
      </c>
      <c r="L282" s="327" t="str">
        <f>IF(PA!AC284="","",PA!AC284)</f>
        <v/>
      </c>
      <c r="M282" s="328" t="str">
        <f>IF(PA!P284="","",PA!P284)</f>
        <v/>
      </c>
    </row>
    <row r="283" spans="1:13" ht="14.4" x14ac:dyDescent="0.3">
      <c r="A283" s="329">
        <f>Data!E280</f>
        <v>36</v>
      </c>
      <c r="B283" s="330" t="str">
        <f>IF(Data!F280="","",Data!F280)</f>
        <v/>
      </c>
      <c r="C283" s="330" t="str">
        <f>IF(Data!G280="","",Data!G280)</f>
        <v/>
      </c>
      <c r="D283" s="331" t="str">
        <f>IF(Data!H280="","",Data!H280)</f>
        <v/>
      </c>
      <c r="E283" s="330" t="str">
        <f>IF(Data!I280="","",Data!I280)</f>
        <v/>
      </c>
      <c r="F283" s="332" t="str">
        <f>IF(Data!J280="","",Data!J280)</f>
        <v>VIII-G</v>
      </c>
      <c r="G283" s="326" t="str">
        <f>IF(PA!G285="","",PA!G285)</f>
        <v/>
      </c>
      <c r="H283" s="327" t="str">
        <f>IF(PA!H285="","",PA!H285)</f>
        <v/>
      </c>
      <c r="I283" s="327" t="str">
        <f>IF(PA!I285="","",PA!I285)</f>
        <v/>
      </c>
      <c r="J283" s="327" t="str">
        <f>IF(PA!AA285="","",PA!AA285)</f>
        <v/>
      </c>
      <c r="K283" s="327" t="str">
        <f>IF(PA!AB285="","",PA!AB285)</f>
        <v/>
      </c>
      <c r="L283" s="327" t="str">
        <f>IF(PA!AC285="","",PA!AC285)</f>
        <v/>
      </c>
      <c r="M283" s="328" t="str">
        <f>IF(PA!P285="","",PA!P285)</f>
        <v/>
      </c>
    </row>
    <row r="284" spans="1:13" ht="14.4" x14ac:dyDescent="0.3">
      <c r="A284" s="329">
        <f>Data!E281</f>
        <v>37</v>
      </c>
      <c r="B284" s="330" t="str">
        <f>IF(Data!F281="","",Data!F281)</f>
        <v/>
      </c>
      <c r="C284" s="330" t="str">
        <f>IF(Data!G281="","",Data!G281)</f>
        <v/>
      </c>
      <c r="D284" s="331" t="str">
        <f>IF(Data!H281="","",Data!H281)</f>
        <v/>
      </c>
      <c r="E284" s="330" t="str">
        <f>IF(Data!I281="","",Data!I281)</f>
        <v/>
      </c>
      <c r="F284" s="332" t="str">
        <f>IF(Data!J281="","",Data!J281)</f>
        <v>VIII-G</v>
      </c>
      <c r="G284" s="326" t="str">
        <f>IF(PA!G286="","",PA!G286)</f>
        <v/>
      </c>
      <c r="H284" s="327" t="str">
        <f>IF(PA!H286="","",PA!H286)</f>
        <v/>
      </c>
      <c r="I284" s="327" t="str">
        <f>IF(PA!I286="","",PA!I286)</f>
        <v/>
      </c>
      <c r="J284" s="327" t="str">
        <f>IF(PA!AA286="","",PA!AA286)</f>
        <v/>
      </c>
      <c r="K284" s="327" t="str">
        <f>IF(PA!AB286="","",PA!AB286)</f>
        <v/>
      </c>
      <c r="L284" s="327" t="str">
        <f>IF(PA!AC286="","",PA!AC286)</f>
        <v/>
      </c>
      <c r="M284" s="328" t="str">
        <f>IF(PA!P286="","",PA!P286)</f>
        <v/>
      </c>
    </row>
    <row r="285" spans="1:13" ht="14.4" x14ac:dyDescent="0.3">
      <c r="A285" s="329">
        <f>Data!E282</f>
        <v>38</v>
      </c>
      <c r="B285" s="330" t="str">
        <f>IF(Data!F282="","",Data!F282)</f>
        <v/>
      </c>
      <c r="C285" s="330" t="str">
        <f>IF(Data!G282="","",Data!G282)</f>
        <v/>
      </c>
      <c r="D285" s="331" t="str">
        <f>IF(Data!H282="","",Data!H282)</f>
        <v/>
      </c>
      <c r="E285" s="330" t="str">
        <f>IF(Data!I282="","",Data!I282)</f>
        <v/>
      </c>
      <c r="F285" s="332" t="str">
        <f>IF(Data!J282="","",Data!J282)</f>
        <v>VIII-G</v>
      </c>
      <c r="G285" s="326" t="str">
        <f>IF(PA!G287="","",PA!G287)</f>
        <v/>
      </c>
      <c r="H285" s="327" t="str">
        <f>IF(PA!H287="","",PA!H287)</f>
        <v/>
      </c>
      <c r="I285" s="327" t="str">
        <f>IF(PA!I287="","",PA!I287)</f>
        <v/>
      </c>
      <c r="J285" s="327" t="str">
        <f>IF(PA!AA287="","",PA!AA287)</f>
        <v/>
      </c>
      <c r="K285" s="327" t="str">
        <f>IF(PA!AB287="","",PA!AB287)</f>
        <v/>
      </c>
      <c r="L285" s="327" t="str">
        <f>IF(PA!AC287="","",PA!AC287)</f>
        <v/>
      </c>
      <c r="M285" s="328" t="str">
        <f>IF(PA!P287="","",PA!P287)</f>
        <v/>
      </c>
    </row>
    <row r="286" spans="1:13" ht="14.4" x14ac:dyDescent="0.3">
      <c r="A286" s="329">
        <f>Data!E283</f>
        <v>39</v>
      </c>
      <c r="B286" s="330" t="str">
        <f>IF(Data!F283="","",Data!F283)</f>
        <v/>
      </c>
      <c r="C286" s="330" t="str">
        <f>IF(Data!G283="","",Data!G283)</f>
        <v/>
      </c>
      <c r="D286" s="331" t="str">
        <f>IF(Data!H283="","",Data!H283)</f>
        <v/>
      </c>
      <c r="E286" s="330" t="str">
        <f>IF(Data!I283="","",Data!I283)</f>
        <v/>
      </c>
      <c r="F286" s="332" t="str">
        <f>IF(Data!J283="","",Data!J283)</f>
        <v>VIII-G</v>
      </c>
      <c r="G286" s="326" t="str">
        <f>IF(PA!G288="","",PA!G288)</f>
        <v/>
      </c>
      <c r="H286" s="327" t="str">
        <f>IF(PA!H288="","",PA!H288)</f>
        <v/>
      </c>
      <c r="I286" s="327" t="str">
        <f>IF(PA!I288="","",PA!I288)</f>
        <v/>
      </c>
      <c r="J286" s="327" t="str">
        <f>IF(PA!AA288="","",PA!AA288)</f>
        <v/>
      </c>
      <c r="K286" s="327" t="str">
        <f>IF(PA!AB288="","",PA!AB288)</f>
        <v/>
      </c>
      <c r="L286" s="327" t="str">
        <f>IF(PA!AC288="","",PA!AC288)</f>
        <v/>
      </c>
      <c r="M286" s="328" t="str">
        <f>IF(PA!P288="","",PA!P288)</f>
        <v/>
      </c>
    </row>
    <row r="287" spans="1:13" ht="15" thickBot="1" x14ac:dyDescent="0.35">
      <c r="A287" s="333">
        <f>Data!E284</f>
        <v>40</v>
      </c>
      <c r="B287" s="334" t="str">
        <f>IF(Data!F284="","",Data!F284)</f>
        <v/>
      </c>
      <c r="C287" s="334" t="str">
        <f>IF(Data!G284="","",Data!G284)</f>
        <v/>
      </c>
      <c r="D287" s="335" t="str">
        <f>IF(Data!H284="","",Data!H284)</f>
        <v/>
      </c>
      <c r="E287" s="334" t="str">
        <f>IF(Data!I284="","",Data!I284)</f>
        <v/>
      </c>
      <c r="F287" s="336" t="str">
        <f>IF(Data!J284="","",Data!J284)</f>
        <v>VIII-G</v>
      </c>
      <c r="G287" s="326" t="str">
        <f>IF(PA!G289="","",PA!G289)</f>
        <v/>
      </c>
      <c r="H287" s="327" t="str">
        <f>IF(PA!H289="","",PA!H289)</f>
        <v/>
      </c>
      <c r="I287" s="327" t="str">
        <f>IF(PA!I289="","",PA!I289)</f>
        <v/>
      </c>
      <c r="J287" s="327" t="str">
        <f>IF(PA!AA289="","",PA!AA289)</f>
        <v/>
      </c>
      <c r="K287" s="327" t="str">
        <f>IF(PA!AB289="","",PA!AB289)</f>
        <v/>
      </c>
      <c r="L287" s="327" t="str">
        <f>IF(PA!AC289="","",PA!AC289)</f>
        <v/>
      </c>
      <c r="M287" s="328" t="str">
        <f>IF(PA!P289="","",PA!P289)</f>
        <v/>
      </c>
    </row>
    <row r="288" spans="1:13" ht="15" thickTop="1" x14ac:dyDescent="0.3">
      <c r="A288" s="329">
        <f>Data!E285</f>
        <v>1</v>
      </c>
      <c r="B288" s="330" t="str">
        <f>IF(Data!F285="","",Data!F285)</f>
        <v>03645</v>
      </c>
      <c r="C288" s="330" t="str">
        <f>IF(Data!G285="","",Data!G285)</f>
        <v>3121785640</v>
      </c>
      <c r="D288" s="331" t="str">
        <f>IF(Data!H285="","",Data!H285)</f>
        <v>Auliya Silviana Eka Putri</v>
      </c>
      <c r="E288" s="330" t="str">
        <f>IF(Data!I285="","",Data!I285)</f>
        <v>Perempuan</v>
      </c>
      <c r="F288" s="332" t="str">
        <f>IF(Data!J285="","",Data!J285)</f>
        <v>VIII-H</v>
      </c>
      <c r="G288" s="326" t="str">
        <f>IF(PA!G290="","",PA!G290)</f>
        <v/>
      </c>
      <c r="H288" s="327" t="str">
        <f>IF(PA!H290="","",PA!H290)</f>
        <v/>
      </c>
      <c r="I288" s="327" t="str">
        <f>IF(PA!I290="","",PA!I290)</f>
        <v/>
      </c>
      <c r="J288" s="327" t="str">
        <f>IF(PA!AA290="","",PA!AA290)</f>
        <v/>
      </c>
      <c r="K288" s="327" t="str">
        <f>IF(PA!AB290="","",PA!AB290)</f>
        <v/>
      </c>
      <c r="L288" s="327" t="str">
        <f>IF(PA!AC290="","",PA!AC290)</f>
        <v/>
      </c>
      <c r="M288" s="328" t="str">
        <f>IF(PA!P290="","",PA!P290)</f>
        <v/>
      </c>
    </row>
    <row r="289" spans="1:13" ht="14.4" x14ac:dyDescent="0.3">
      <c r="A289" s="329">
        <f>Data!E286</f>
        <v>2</v>
      </c>
      <c r="B289" s="330" t="str">
        <f>IF(Data!F286="","",Data!F286)</f>
        <v>03658</v>
      </c>
      <c r="C289" s="330">
        <f>IF(Data!G286="","",Data!G286)</f>
        <v>3121015197</v>
      </c>
      <c r="D289" s="331" t="str">
        <f>IF(Data!H286="","",Data!H286)</f>
        <v>Dhara Silvia Nur Septiany</v>
      </c>
      <c r="E289" s="330" t="str">
        <f>IF(Data!I286="","",Data!I286)</f>
        <v>Perempuan</v>
      </c>
      <c r="F289" s="332" t="str">
        <f>IF(Data!J286="","",Data!J286)</f>
        <v>VIII-H</v>
      </c>
      <c r="G289" s="326" t="str">
        <f>IF(PA!G291="","",PA!G291)</f>
        <v/>
      </c>
      <c r="H289" s="327" t="str">
        <f>IF(PA!H291="","",PA!H291)</f>
        <v/>
      </c>
      <c r="I289" s="327" t="str">
        <f>IF(PA!I291="","",PA!I291)</f>
        <v/>
      </c>
      <c r="J289" s="327" t="str">
        <f>IF(PA!AA291="","",PA!AA291)</f>
        <v/>
      </c>
      <c r="K289" s="327" t="str">
        <f>IF(PA!AB291="","",PA!AB291)</f>
        <v/>
      </c>
      <c r="L289" s="327" t="str">
        <f>IF(PA!AC291="","",PA!AC291)</f>
        <v/>
      </c>
      <c r="M289" s="328" t="str">
        <f>IF(PA!P291="","",PA!P291)</f>
        <v/>
      </c>
    </row>
    <row r="290" spans="1:13" ht="14.4" x14ac:dyDescent="0.3">
      <c r="A290" s="329">
        <f>Data!E287</f>
        <v>3</v>
      </c>
      <c r="B290" s="330" t="str">
        <f>IF(Data!F287="","",Data!F287)</f>
        <v>03663</v>
      </c>
      <c r="C290" s="330" t="str">
        <f>IF(Data!G287="","",Data!G287)</f>
        <v>0129153598</v>
      </c>
      <c r="D290" s="331" t="str">
        <f>IF(Data!H287="","",Data!H287)</f>
        <v>Dinda Margaretha</v>
      </c>
      <c r="E290" s="330" t="str">
        <f>IF(Data!I287="","",Data!I287)</f>
        <v>Perempuan</v>
      </c>
      <c r="F290" s="332" t="str">
        <f>IF(Data!J287="","",Data!J287)</f>
        <v>VIII-H</v>
      </c>
      <c r="G290" s="326" t="str">
        <f>IF(PA!G292="","",PA!G292)</f>
        <v/>
      </c>
      <c r="H290" s="327" t="str">
        <f>IF(PA!H292="","",PA!H292)</f>
        <v/>
      </c>
      <c r="I290" s="327" t="str">
        <f>IF(PA!I292="","",PA!I292)</f>
        <v/>
      </c>
      <c r="J290" s="327" t="str">
        <f>IF(PA!AA292="","",PA!AA292)</f>
        <v/>
      </c>
      <c r="K290" s="327" t="str">
        <f>IF(PA!AB292="","",PA!AB292)</f>
        <v/>
      </c>
      <c r="L290" s="327" t="str">
        <f>IF(PA!AC292="","",PA!AC292)</f>
        <v/>
      </c>
      <c r="M290" s="328" t="str">
        <f>IF(PA!P292="","",PA!P292)</f>
        <v/>
      </c>
    </row>
    <row r="291" spans="1:13" ht="14.4" x14ac:dyDescent="0.3">
      <c r="A291" s="329">
        <f>Data!E288</f>
        <v>4</v>
      </c>
      <c r="B291" s="330" t="str">
        <f>IF(Data!F288="","",Data!F288)</f>
        <v>03679</v>
      </c>
      <c r="C291" s="330">
        <f>IF(Data!G288="","",Data!G288)</f>
        <v>3126618271</v>
      </c>
      <c r="D291" s="331" t="str">
        <f>IF(Data!H288="","",Data!H288)</f>
        <v>Jihan Kharisma Andoko Putri</v>
      </c>
      <c r="E291" s="330" t="str">
        <f>IF(Data!I288="","",Data!I288)</f>
        <v>Perempuan</v>
      </c>
      <c r="F291" s="332" t="str">
        <f>IF(Data!J288="","",Data!J288)</f>
        <v>VIII-H</v>
      </c>
      <c r="G291" s="326" t="str">
        <f>IF(PA!G293="","",PA!G293)</f>
        <v/>
      </c>
      <c r="H291" s="327" t="str">
        <f>IF(PA!H293="","",PA!H293)</f>
        <v/>
      </c>
      <c r="I291" s="327" t="str">
        <f>IF(PA!I293="","",PA!I293)</f>
        <v/>
      </c>
      <c r="J291" s="327" t="str">
        <f>IF(PA!AA293="","",PA!AA293)</f>
        <v/>
      </c>
      <c r="K291" s="327" t="str">
        <f>IF(PA!AB293="","",PA!AB293)</f>
        <v/>
      </c>
      <c r="L291" s="327" t="str">
        <f>IF(PA!AC293="","",PA!AC293)</f>
        <v/>
      </c>
      <c r="M291" s="328" t="str">
        <f>IF(PA!P293="","",PA!P293)</f>
        <v/>
      </c>
    </row>
    <row r="292" spans="1:13" ht="14.4" x14ac:dyDescent="0.3">
      <c r="A292" s="329">
        <f>Data!E289</f>
        <v>5</v>
      </c>
      <c r="B292" s="330" t="str">
        <f>IF(Data!F289="","",Data!F289)</f>
        <v>03685</v>
      </c>
      <c r="C292" s="330">
        <f>IF(Data!G289="","",Data!G289)</f>
        <v>3126618271</v>
      </c>
      <c r="D292" s="331" t="str">
        <f>IF(Data!H289="","",Data!H289)</f>
        <v>Khofifah Dwi Wulandini</v>
      </c>
      <c r="E292" s="330" t="str">
        <f>IF(Data!I289="","",Data!I289)</f>
        <v>Perempuan</v>
      </c>
      <c r="F292" s="332" t="str">
        <f>IF(Data!J289="","",Data!J289)</f>
        <v>VIII-H</v>
      </c>
      <c r="G292" s="326" t="str">
        <f>IF(PA!G294="","",PA!G294)</f>
        <v/>
      </c>
      <c r="H292" s="327" t="str">
        <f>IF(PA!H294="","",PA!H294)</f>
        <v/>
      </c>
      <c r="I292" s="327" t="str">
        <f>IF(PA!I294="","",PA!I294)</f>
        <v/>
      </c>
      <c r="J292" s="327" t="str">
        <f>IF(PA!AA294="","",PA!AA294)</f>
        <v/>
      </c>
      <c r="K292" s="327" t="str">
        <f>IF(PA!AB294="","",PA!AB294)</f>
        <v/>
      </c>
      <c r="L292" s="327" t="str">
        <f>IF(PA!AC294="","",PA!AC294)</f>
        <v/>
      </c>
      <c r="M292" s="328" t="str">
        <f>IF(PA!P294="","",PA!P294)</f>
        <v/>
      </c>
    </row>
    <row r="293" spans="1:13" ht="14.4" x14ac:dyDescent="0.3">
      <c r="A293" s="329">
        <f>Data!E290</f>
        <v>6</v>
      </c>
      <c r="B293" s="330" t="str">
        <f>IF(Data!F290="","",Data!F290)</f>
        <v>03692</v>
      </c>
      <c r="C293" s="330" t="str">
        <f>IF(Data!G290="","",Data!G290)</f>
        <v>3116520248</v>
      </c>
      <c r="D293" s="331" t="str">
        <f>IF(Data!H290="","",Data!H290)</f>
        <v>Maulidan Najwa Lathifah</v>
      </c>
      <c r="E293" s="330" t="str">
        <f>IF(Data!I290="","",Data!I290)</f>
        <v>Perempuan</v>
      </c>
      <c r="F293" s="332" t="str">
        <f>IF(Data!J290="","",Data!J290)</f>
        <v>VIII-H</v>
      </c>
      <c r="G293" s="326" t="str">
        <f>IF(PA!G295="","",PA!G295)</f>
        <v/>
      </c>
      <c r="H293" s="327" t="str">
        <f>IF(PA!H295="","",PA!H295)</f>
        <v/>
      </c>
      <c r="I293" s="327" t="str">
        <f>IF(PA!I295="","",PA!I295)</f>
        <v/>
      </c>
      <c r="J293" s="327" t="str">
        <f>IF(PA!AA295="","",PA!AA295)</f>
        <v/>
      </c>
      <c r="K293" s="327" t="str">
        <f>IF(PA!AB295="","",PA!AB295)</f>
        <v/>
      </c>
      <c r="L293" s="327" t="str">
        <f>IF(PA!AC295="","",PA!AC295)</f>
        <v/>
      </c>
      <c r="M293" s="328" t="str">
        <f>IF(PA!P295="","",PA!P295)</f>
        <v/>
      </c>
    </row>
    <row r="294" spans="1:13" ht="14.4" x14ac:dyDescent="0.3">
      <c r="A294" s="329">
        <f>Data!E291</f>
        <v>7</v>
      </c>
      <c r="B294" s="330" t="str">
        <f>IF(Data!F291="","",Data!F291)</f>
        <v>03693</v>
      </c>
      <c r="C294" s="330" t="str">
        <f>IF(Data!G291="","",Data!G291)</f>
        <v>0127433920</v>
      </c>
      <c r="D294" s="331" t="str">
        <f>IF(Data!H291="","",Data!H291)</f>
        <v>Meysha Vallerie Azzahra</v>
      </c>
      <c r="E294" s="330" t="str">
        <f>IF(Data!I291="","",Data!I291)</f>
        <v>Perempuan</v>
      </c>
      <c r="F294" s="332" t="str">
        <f>IF(Data!J291="","",Data!J291)</f>
        <v>VIII-H</v>
      </c>
      <c r="G294" s="326" t="str">
        <f>IF(PA!G296="","",PA!G296)</f>
        <v/>
      </c>
      <c r="H294" s="327" t="str">
        <f>IF(PA!H296="","",PA!H296)</f>
        <v/>
      </c>
      <c r="I294" s="327" t="str">
        <f>IF(PA!I296="","",PA!I296)</f>
        <v/>
      </c>
      <c r="J294" s="327" t="str">
        <f>IF(PA!AA296="","",PA!AA296)</f>
        <v/>
      </c>
      <c r="K294" s="327" t="str">
        <f>IF(PA!AB296="","",PA!AB296)</f>
        <v/>
      </c>
      <c r="L294" s="327" t="str">
        <f>IF(PA!AC296="","",PA!AC296)</f>
        <v/>
      </c>
      <c r="M294" s="328" t="str">
        <f>IF(PA!P296="","",PA!P296)</f>
        <v/>
      </c>
    </row>
    <row r="295" spans="1:13" ht="14.4" x14ac:dyDescent="0.3">
      <c r="A295" s="329">
        <f>Data!E292</f>
        <v>8</v>
      </c>
      <c r="B295" s="330" t="str">
        <f>IF(Data!F292="","",Data!F292)</f>
        <v>03697</v>
      </c>
      <c r="C295" s="330" t="str">
        <f>IF(Data!G292="","",Data!G292)</f>
        <v>0122328848</v>
      </c>
      <c r="D295" s="331" t="str">
        <f>IF(Data!H292="","",Data!H292)</f>
        <v>Mufidah Salwa Ramadhani</v>
      </c>
      <c r="E295" s="330" t="str">
        <f>IF(Data!I292="","",Data!I292)</f>
        <v>Perempuan</v>
      </c>
      <c r="F295" s="332" t="str">
        <f>IF(Data!J292="","",Data!J292)</f>
        <v>VIII-H</v>
      </c>
      <c r="G295" s="326" t="str">
        <f>IF(PA!G297="","",PA!G297)</f>
        <v/>
      </c>
      <c r="H295" s="327" t="str">
        <f>IF(PA!H297="","",PA!H297)</f>
        <v/>
      </c>
      <c r="I295" s="327" t="str">
        <f>IF(PA!I297="","",PA!I297)</f>
        <v/>
      </c>
      <c r="J295" s="327" t="str">
        <f>IF(PA!AA297="","",PA!AA297)</f>
        <v/>
      </c>
      <c r="K295" s="327" t="str">
        <f>IF(PA!AB297="","",PA!AB297)</f>
        <v/>
      </c>
      <c r="L295" s="327" t="str">
        <f>IF(PA!AC297="","",PA!AC297)</f>
        <v/>
      </c>
      <c r="M295" s="328" t="str">
        <f>IF(PA!P297="","",PA!P297)</f>
        <v/>
      </c>
    </row>
    <row r="296" spans="1:13" ht="14.4" x14ac:dyDescent="0.3">
      <c r="A296" s="329">
        <f>Data!E293</f>
        <v>9</v>
      </c>
      <c r="B296" s="330" t="str">
        <f>IF(Data!F293="","",Data!F293)</f>
        <v>03711</v>
      </c>
      <c r="C296" s="330" t="str">
        <f>IF(Data!G293="","",Data!G293)</f>
        <v>3127550162</v>
      </c>
      <c r="D296" s="331" t="str">
        <f>IF(Data!H293="","",Data!H293)</f>
        <v>Nelli Rahma Ramadani</v>
      </c>
      <c r="E296" s="330" t="str">
        <f>IF(Data!I293="","",Data!I293)</f>
        <v>Perempuan</v>
      </c>
      <c r="F296" s="332" t="str">
        <f>IF(Data!J293="","",Data!J293)</f>
        <v>VIII-H</v>
      </c>
      <c r="G296" s="326" t="str">
        <f>IF(PA!G298="","",PA!G298)</f>
        <v/>
      </c>
      <c r="H296" s="327" t="str">
        <f>IF(PA!H298="","",PA!H298)</f>
        <v/>
      </c>
      <c r="I296" s="327" t="str">
        <f>IF(PA!I298="","",PA!I298)</f>
        <v/>
      </c>
      <c r="J296" s="327" t="str">
        <f>IF(PA!AA298="","",PA!AA298)</f>
        <v/>
      </c>
      <c r="K296" s="327" t="str">
        <f>IF(PA!AB298="","",PA!AB298)</f>
        <v/>
      </c>
      <c r="L296" s="327" t="str">
        <f>IF(PA!AC298="","",PA!AC298)</f>
        <v/>
      </c>
      <c r="M296" s="328" t="str">
        <f>IF(PA!P298="","",PA!P298)</f>
        <v/>
      </c>
    </row>
    <row r="297" spans="1:13" ht="14.4" x14ac:dyDescent="0.3">
      <c r="A297" s="329">
        <f>Data!E294</f>
        <v>10</v>
      </c>
      <c r="B297" s="330" t="str">
        <f>IF(Data!F294="","",Data!F294)</f>
        <v>03720</v>
      </c>
      <c r="C297" s="330" t="str">
        <f>IF(Data!G294="","",Data!G294)</f>
        <v>0129486394</v>
      </c>
      <c r="D297" s="331" t="str">
        <f>IF(Data!H294="","",Data!H294)</f>
        <v>Salsabila Alfira Anggia Putri</v>
      </c>
      <c r="E297" s="330" t="str">
        <f>IF(Data!I294="","",Data!I294)</f>
        <v>Perempuan</v>
      </c>
      <c r="F297" s="332" t="str">
        <f>IF(Data!J294="","",Data!J294)</f>
        <v>VIII-H</v>
      </c>
      <c r="G297" s="326" t="str">
        <f>IF(PA!G299="","",PA!G299)</f>
        <v/>
      </c>
      <c r="H297" s="327" t="str">
        <f>IF(PA!H299="","",PA!H299)</f>
        <v/>
      </c>
      <c r="I297" s="327" t="str">
        <f>IF(PA!I299="","",PA!I299)</f>
        <v/>
      </c>
      <c r="J297" s="327" t="str">
        <f>IF(PA!AA299="","",PA!AA299)</f>
        <v/>
      </c>
      <c r="K297" s="327" t="str">
        <f>IF(PA!AB299="","",PA!AB299)</f>
        <v/>
      </c>
      <c r="L297" s="327" t="str">
        <f>IF(PA!AC299="","",PA!AC299)</f>
        <v/>
      </c>
      <c r="M297" s="328" t="str">
        <f>IF(PA!P299="","",PA!P299)</f>
        <v/>
      </c>
    </row>
    <row r="298" spans="1:13" ht="14.4" x14ac:dyDescent="0.3">
      <c r="A298" s="329">
        <f>Data!E295</f>
        <v>11</v>
      </c>
      <c r="B298" s="330" t="str">
        <f>IF(Data!F295="","",Data!F295)</f>
        <v>03728</v>
      </c>
      <c r="C298" s="330" t="str">
        <f>IF(Data!G295="","",Data!G295)</f>
        <v>3121458801</v>
      </c>
      <c r="D298" s="331" t="str">
        <f>IF(Data!H295="","",Data!H295)</f>
        <v>Siti Nur Halimah Thusadia</v>
      </c>
      <c r="E298" s="330" t="str">
        <f>IF(Data!I295="","",Data!I295)</f>
        <v>Perempuan</v>
      </c>
      <c r="F298" s="332" t="str">
        <f>IF(Data!J295="","",Data!J295)</f>
        <v>VIII-H</v>
      </c>
      <c r="G298" s="326" t="str">
        <f>IF(PA!G300="","",PA!G300)</f>
        <v/>
      </c>
      <c r="H298" s="327" t="str">
        <f>IF(PA!H300="","",PA!H300)</f>
        <v/>
      </c>
      <c r="I298" s="327" t="str">
        <f>IF(PA!I300="","",PA!I300)</f>
        <v/>
      </c>
      <c r="J298" s="327" t="str">
        <f>IF(PA!AA300="","",PA!AA300)</f>
        <v/>
      </c>
      <c r="K298" s="327" t="str">
        <f>IF(PA!AB300="","",PA!AB300)</f>
        <v/>
      </c>
      <c r="L298" s="327" t="str">
        <f>IF(PA!AC300="","",PA!AC300)</f>
        <v/>
      </c>
      <c r="M298" s="328" t="str">
        <f>IF(PA!P300="","",PA!P300)</f>
        <v/>
      </c>
    </row>
    <row r="299" spans="1:13" ht="14.4" x14ac:dyDescent="0.3">
      <c r="A299" s="329">
        <f>Data!E296</f>
        <v>12</v>
      </c>
      <c r="B299" s="330" t="str">
        <f>IF(Data!F296="","",Data!F296)</f>
        <v>03729</v>
      </c>
      <c r="C299" s="330" t="str">
        <f>IF(Data!G296="","",Data!G296)</f>
        <v>3126955954</v>
      </c>
      <c r="D299" s="331" t="str">
        <f>IF(Data!H296="","",Data!H296)</f>
        <v>Siti Sofiatul Milah</v>
      </c>
      <c r="E299" s="330" t="str">
        <f>IF(Data!I296="","",Data!I296)</f>
        <v>Perempuan</v>
      </c>
      <c r="F299" s="332" t="str">
        <f>IF(Data!J296="","",Data!J296)</f>
        <v>VIII-H</v>
      </c>
      <c r="G299" s="326" t="str">
        <f>IF(PA!G301="","",PA!G301)</f>
        <v/>
      </c>
      <c r="H299" s="327" t="str">
        <f>IF(PA!H301="","",PA!H301)</f>
        <v/>
      </c>
      <c r="I299" s="327" t="str">
        <f>IF(PA!I301="","",PA!I301)</f>
        <v/>
      </c>
      <c r="J299" s="327" t="str">
        <f>IF(PA!AA301="","",PA!AA301)</f>
        <v/>
      </c>
      <c r="K299" s="327" t="str">
        <f>IF(PA!AB301="","",PA!AB301)</f>
        <v/>
      </c>
      <c r="L299" s="327" t="str">
        <f>IF(PA!AC301="","",PA!AC301)</f>
        <v/>
      </c>
      <c r="M299" s="328" t="str">
        <f>IF(PA!P301="","",PA!P301)</f>
        <v/>
      </c>
    </row>
    <row r="300" spans="1:13" ht="14.4" x14ac:dyDescent="0.3">
      <c r="A300" s="329">
        <f>Data!E297</f>
        <v>13</v>
      </c>
      <c r="B300" s="330" t="str">
        <f>IF(Data!F297="","",Data!F297)</f>
        <v>03733</v>
      </c>
      <c r="C300" s="330" t="str">
        <f>IF(Data!G297="","",Data!G297)</f>
        <v>0134020120</v>
      </c>
      <c r="D300" s="331" t="str">
        <f>IF(Data!H297="","",Data!H297)</f>
        <v>Syafiqoh Aliya Aimuni</v>
      </c>
      <c r="E300" s="330" t="str">
        <f>IF(Data!I297="","",Data!I297)</f>
        <v>Perempuan</v>
      </c>
      <c r="F300" s="332" t="str">
        <f>IF(Data!J297="","",Data!J297)</f>
        <v>VIII-H</v>
      </c>
      <c r="G300" s="326" t="str">
        <f>IF(PA!G302="","",PA!G302)</f>
        <v/>
      </c>
      <c r="H300" s="327" t="str">
        <f>IF(PA!H302="","",PA!H302)</f>
        <v/>
      </c>
      <c r="I300" s="327" t="str">
        <f>IF(PA!I302="","",PA!I302)</f>
        <v/>
      </c>
      <c r="J300" s="327" t="str">
        <f>IF(PA!AA302="","",PA!AA302)</f>
        <v/>
      </c>
      <c r="K300" s="327" t="str">
        <f>IF(PA!AB302="","",PA!AB302)</f>
        <v/>
      </c>
      <c r="L300" s="327" t="str">
        <f>IF(PA!AC302="","",PA!AC302)</f>
        <v/>
      </c>
      <c r="M300" s="328" t="str">
        <f>IF(PA!P302="","",PA!P302)</f>
        <v/>
      </c>
    </row>
    <row r="301" spans="1:13" ht="14.4" x14ac:dyDescent="0.3">
      <c r="A301" s="329">
        <f>Data!E298</f>
        <v>14</v>
      </c>
      <c r="B301" s="330" t="str">
        <f>IF(Data!F298="","",Data!F298)</f>
        <v>03736</v>
      </c>
      <c r="C301" s="330" t="str">
        <f>IF(Data!G298="","",Data!G298)</f>
        <v>3125669317</v>
      </c>
      <c r="D301" s="331" t="str">
        <f>IF(Data!H298="","",Data!H298)</f>
        <v>Techa Pramudia Ramadhani</v>
      </c>
      <c r="E301" s="330" t="str">
        <f>IF(Data!I298="","",Data!I298)</f>
        <v>Perempuan</v>
      </c>
      <c r="F301" s="332" t="str">
        <f>IF(Data!J298="","",Data!J298)</f>
        <v>VIII-H</v>
      </c>
      <c r="G301" s="326" t="str">
        <f>IF(PA!G303="","",PA!G303)</f>
        <v/>
      </c>
      <c r="H301" s="327" t="str">
        <f>IF(PA!H303="","",PA!H303)</f>
        <v/>
      </c>
      <c r="I301" s="327" t="str">
        <f>IF(PA!I303="","",PA!I303)</f>
        <v/>
      </c>
      <c r="J301" s="327" t="str">
        <f>IF(PA!AA303="","",PA!AA303)</f>
        <v/>
      </c>
      <c r="K301" s="327" t="str">
        <f>IF(PA!AB303="","",PA!AB303)</f>
        <v/>
      </c>
      <c r="L301" s="327" t="str">
        <f>IF(PA!AC303="","",PA!AC303)</f>
        <v/>
      </c>
      <c r="M301" s="328" t="str">
        <f>IF(PA!P303="","",PA!P303)</f>
        <v/>
      </c>
    </row>
    <row r="302" spans="1:13" ht="14.4" x14ac:dyDescent="0.3">
      <c r="A302" s="329">
        <f>Data!E299</f>
        <v>15</v>
      </c>
      <c r="B302" s="330" t="str">
        <f>IF(Data!F299="","",Data!F299)</f>
        <v>03739</v>
      </c>
      <c r="C302" s="330" t="str">
        <f>IF(Data!G299="","",Data!G299)</f>
        <v>3132041939</v>
      </c>
      <c r="D302" s="331" t="str">
        <f>IF(Data!H299="","",Data!H299)</f>
        <v>Wafaanil Misthobah</v>
      </c>
      <c r="E302" s="330" t="str">
        <f>IF(Data!I299="","",Data!I299)</f>
        <v>Perempuan</v>
      </c>
      <c r="F302" s="332" t="str">
        <f>IF(Data!J299="","",Data!J299)</f>
        <v>VIII-H</v>
      </c>
      <c r="G302" s="326" t="str">
        <f>IF(PA!G304="","",PA!G304)</f>
        <v/>
      </c>
      <c r="H302" s="327" t="str">
        <f>IF(PA!H304="","",PA!H304)</f>
        <v/>
      </c>
      <c r="I302" s="327" t="str">
        <f>IF(PA!I304="","",PA!I304)</f>
        <v/>
      </c>
      <c r="J302" s="327" t="str">
        <f>IF(PA!AA304="","",PA!AA304)</f>
        <v/>
      </c>
      <c r="K302" s="327" t="str">
        <f>IF(PA!AB304="","",PA!AB304)</f>
        <v/>
      </c>
      <c r="L302" s="327" t="str">
        <f>IF(PA!AC304="","",PA!AC304)</f>
        <v/>
      </c>
      <c r="M302" s="328" t="str">
        <f>IF(PA!P304="","",PA!P304)</f>
        <v/>
      </c>
    </row>
    <row r="303" spans="1:13" ht="14.4" x14ac:dyDescent="0.3">
      <c r="A303" s="329">
        <f>Data!E300</f>
        <v>16</v>
      </c>
      <c r="B303" s="330" t="str">
        <f>IF(Data!F300="","",Data!F300)</f>
        <v>03742</v>
      </c>
      <c r="C303" s="330" t="str">
        <f>IF(Data!G300="","",Data!G300)</f>
        <v>3121348662</v>
      </c>
      <c r="D303" s="331" t="str">
        <f>IF(Data!H300="","",Data!H300)</f>
        <v>Yesenia Qadira Neysa</v>
      </c>
      <c r="E303" s="330" t="str">
        <f>IF(Data!I300="","",Data!I300)</f>
        <v>Perempuan</v>
      </c>
      <c r="F303" s="332" t="str">
        <f>IF(Data!J300="","",Data!J300)</f>
        <v>VIII-H</v>
      </c>
      <c r="G303" s="326" t="str">
        <f>IF(PA!G305="","",PA!G305)</f>
        <v/>
      </c>
      <c r="H303" s="327" t="str">
        <f>IF(PA!H305="","",PA!H305)</f>
        <v/>
      </c>
      <c r="I303" s="327" t="str">
        <f>IF(PA!I305="","",PA!I305)</f>
        <v/>
      </c>
      <c r="J303" s="327" t="str">
        <f>IF(PA!AA305="","",PA!AA305)</f>
        <v/>
      </c>
      <c r="K303" s="327" t="str">
        <f>IF(PA!AB305="","",PA!AB305)</f>
        <v/>
      </c>
      <c r="L303" s="327" t="str">
        <f>IF(PA!AC305="","",PA!AC305)</f>
        <v/>
      </c>
      <c r="M303" s="328" t="str">
        <f>IF(PA!P305="","",PA!P305)</f>
        <v/>
      </c>
    </row>
    <row r="304" spans="1:13" ht="14.4" x14ac:dyDescent="0.3">
      <c r="A304" s="329">
        <f>Data!E301</f>
        <v>17</v>
      </c>
      <c r="B304" s="330" t="str">
        <f>IF(Data!F301="","",Data!F301)</f>
        <v>03747</v>
      </c>
      <c r="C304" s="330" t="str">
        <f>IF(Data!G301="","",Data!G301)</f>
        <v>0122344331</v>
      </c>
      <c r="D304" s="331" t="str">
        <f>IF(Data!H301="","",Data!H301)</f>
        <v>Zahroul Afidah</v>
      </c>
      <c r="E304" s="330" t="str">
        <f>IF(Data!I301="","",Data!I301)</f>
        <v>Perempuan</v>
      </c>
      <c r="F304" s="332" t="str">
        <f>IF(Data!J301="","",Data!J301)</f>
        <v>VIII-H</v>
      </c>
      <c r="G304" s="326" t="str">
        <f>IF(PA!G306="","",PA!G306)</f>
        <v/>
      </c>
      <c r="H304" s="327" t="str">
        <f>IF(PA!H306="","",PA!H306)</f>
        <v/>
      </c>
      <c r="I304" s="327" t="str">
        <f>IF(PA!I306="","",PA!I306)</f>
        <v/>
      </c>
      <c r="J304" s="327" t="str">
        <f>IF(PA!AA306="","",PA!AA306)</f>
        <v/>
      </c>
      <c r="K304" s="327" t="str">
        <f>IF(PA!AB306="","",PA!AB306)</f>
        <v/>
      </c>
      <c r="L304" s="327" t="str">
        <f>IF(PA!AC306="","",PA!AC306)</f>
        <v/>
      </c>
      <c r="M304" s="328" t="str">
        <f>IF(PA!P306="","",PA!P306)</f>
        <v/>
      </c>
    </row>
    <row r="305" spans="1:13" ht="14.4" x14ac:dyDescent="0.3">
      <c r="A305" s="329">
        <f>Data!E302</f>
        <v>18</v>
      </c>
      <c r="B305" s="330" t="str">
        <f>IF(Data!F302="","",Data!F302)</f>
        <v/>
      </c>
      <c r="C305" s="330" t="str">
        <f>IF(Data!G302="","",Data!G302)</f>
        <v/>
      </c>
      <c r="D305" s="331" t="str">
        <f>IF(Data!H302="","",Data!H302)</f>
        <v/>
      </c>
      <c r="E305" s="330" t="str">
        <f>IF(Data!I302="","",Data!I302)</f>
        <v/>
      </c>
      <c r="F305" s="332" t="str">
        <f>IF(Data!J302="","",Data!J302)</f>
        <v>VIII-H</v>
      </c>
      <c r="G305" s="326" t="str">
        <f>IF(PA!G307="","",PA!G307)</f>
        <v/>
      </c>
      <c r="H305" s="327" t="str">
        <f>IF(PA!H307="","",PA!H307)</f>
        <v/>
      </c>
      <c r="I305" s="327" t="str">
        <f>IF(PA!I307="","",PA!I307)</f>
        <v/>
      </c>
      <c r="J305" s="327" t="str">
        <f>IF(PA!AA307="","",PA!AA307)</f>
        <v/>
      </c>
      <c r="K305" s="327" t="str">
        <f>IF(PA!AB307="","",PA!AB307)</f>
        <v/>
      </c>
      <c r="L305" s="327" t="str">
        <f>IF(PA!AC307="","",PA!AC307)</f>
        <v/>
      </c>
      <c r="M305" s="328" t="str">
        <f>IF(PA!P307="","",PA!P307)</f>
        <v/>
      </c>
    </row>
    <row r="306" spans="1:13" ht="14.4" x14ac:dyDescent="0.3">
      <c r="A306" s="329">
        <f>Data!E303</f>
        <v>19</v>
      </c>
      <c r="B306" s="330" t="str">
        <f>IF(Data!F303="","",Data!F303)</f>
        <v/>
      </c>
      <c r="C306" s="330" t="str">
        <f>IF(Data!G303="","",Data!G303)</f>
        <v/>
      </c>
      <c r="D306" s="331" t="str">
        <f>IF(Data!H303="","",Data!H303)</f>
        <v/>
      </c>
      <c r="E306" s="330" t="str">
        <f>IF(Data!I303="","",Data!I303)</f>
        <v/>
      </c>
      <c r="F306" s="332" t="str">
        <f>IF(Data!J303="","",Data!J303)</f>
        <v>VIII-H</v>
      </c>
      <c r="G306" s="326" t="str">
        <f>IF(PA!G308="","",PA!G308)</f>
        <v/>
      </c>
      <c r="H306" s="327" t="str">
        <f>IF(PA!H308="","",PA!H308)</f>
        <v/>
      </c>
      <c r="I306" s="327" t="str">
        <f>IF(PA!I308="","",PA!I308)</f>
        <v/>
      </c>
      <c r="J306" s="327" t="str">
        <f>IF(PA!AA308="","",PA!AA308)</f>
        <v/>
      </c>
      <c r="K306" s="327" t="str">
        <f>IF(PA!AB308="","",PA!AB308)</f>
        <v/>
      </c>
      <c r="L306" s="327" t="str">
        <f>IF(PA!AC308="","",PA!AC308)</f>
        <v/>
      </c>
      <c r="M306" s="328" t="str">
        <f>IF(PA!P308="","",PA!P308)</f>
        <v/>
      </c>
    </row>
    <row r="307" spans="1:13" ht="14.4" x14ac:dyDescent="0.3">
      <c r="A307" s="329">
        <f>Data!E304</f>
        <v>20</v>
      </c>
      <c r="B307" s="330" t="str">
        <f>IF(Data!F304="","",Data!F304)</f>
        <v/>
      </c>
      <c r="C307" s="330" t="str">
        <f>IF(Data!G304="","",Data!G304)</f>
        <v/>
      </c>
      <c r="D307" s="331" t="str">
        <f>IF(Data!H304="","",Data!H304)</f>
        <v/>
      </c>
      <c r="E307" s="330" t="str">
        <f>IF(Data!I304="","",Data!I304)</f>
        <v/>
      </c>
      <c r="F307" s="332" t="str">
        <f>IF(Data!J304="","",Data!J304)</f>
        <v>VIII-H</v>
      </c>
      <c r="G307" s="326" t="str">
        <f>IF(PA!G309="","",PA!G309)</f>
        <v/>
      </c>
      <c r="H307" s="327" t="str">
        <f>IF(PA!H309="","",PA!H309)</f>
        <v/>
      </c>
      <c r="I307" s="327" t="str">
        <f>IF(PA!I309="","",PA!I309)</f>
        <v/>
      </c>
      <c r="J307" s="327" t="str">
        <f>IF(PA!AA309="","",PA!AA309)</f>
        <v/>
      </c>
      <c r="K307" s="327" t="str">
        <f>IF(PA!AB309="","",PA!AB309)</f>
        <v/>
      </c>
      <c r="L307" s="327" t="str">
        <f>IF(PA!AC309="","",PA!AC309)</f>
        <v/>
      </c>
      <c r="M307" s="328" t="str">
        <f>IF(PA!P309="","",PA!P309)</f>
        <v/>
      </c>
    </row>
    <row r="308" spans="1:13" ht="14.4" x14ac:dyDescent="0.3">
      <c r="A308" s="329">
        <f>Data!E305</f>
        <v>21</v>
      </c>
      <c r="B308" s="330" t="str">
        <f>IF(Data!F305="","",Data!F305)</f>
        <v/>
      </c>
      <c r="C308" s="330" t="str">
        <f>IF(Data!G305="","",Data!G305)</f>
        <v/>
      </c>
      <c r="D308" s="331" t="str">
        <f>IF(Data!H305="","",Data!H305)</f>
        <v/>
      </c>
      <c r="E308" s="330" t="str">
        <f>IF(Data!I305="","",Data!I305)</f>
        <v/>
      </c>
      <c r="F308" s="332" t="str">
        <f>IF(Data!J305="","",Data!J305)</f>
        <v>VIII-H</v>
      </c>
      <c r="G308" s="326" t="str">
        <f>IF(PA!G310="","",PA!G310)</f>
        <v/>
      </c>
      <c r="H308" s="327" t="str">
        <f>IF(PA!H310="","",PA!H310)</f>
        <v/>
      </c>
      <c r="I308" s="327" t="str">
        <f>IF(PA!I310="","",PA!I310)</f>
        <v/>
      </c>
      <c r="J308" s="327" t="str">
        <f>IF(PA!AA310="","",PA!AA310)</f>
        <v/>
      </c>
      <c r="K308" s="327" t="str">
        <f>IF(PA!AB310="","",PA!AB310)</f>
        <v/>
      </c>
      <c r="L308" s="327" t="str">
        <f>IF(PA!AC310="","",PA!AC310)</f>
        <v/>
      </c>
      <c r="M308" s="328" t="str">
        <f>IF(PA!P310="","",PA!P310)</f>
        <v/>
      </c>
    </row>
    <row r="309" spans="1:13" ht="14.4" x14ac:dyDescent="0.3">
      <c r="A309" s="329">
        <f>Data!E306</f>
        <v>22</v>
      </c>
      <c r="B309" s="330" t="str">
        <f>IF(Data!F306="","",Data!F306)</f>
        <v/>
      </c>
      <c r="C309" s="330" t="str">
        <f>IF(Data!G306="","",Data!G306)</f>
        <v/>
      </c>
      <c r="D309" s="331" t="str">
        <f>IF(Data!H306="","",Data!H306)</f>
        <v/>
      </c>
      <c r="E309" s="330" t="str">
        <f>IF(Data!I306="","",Data!I306)</f>
        <v/>
      </c>
      <c r="F309" s="332" t="str">
        <f>IF(Data!J306="","",Data!J306)</f>
        <v>VIII-H</v>
      </c>
      <c r="G309" s="326" t="str">
        <f>IF(PA!G311="","",PA!G311)</f>
        <v/>
      </c>
      <c r="H309" s="327" t="str">
        <f>IF(PA!H311="","",PA!H311)</f>
        <v/>
      </c>
      <c r="I309" s="327" t="str">
        <f>IF(PA!I311="","",PA!I311)</f>
        <v/>
      </c>
      <c r="J309" s="327" t="str">
        <f>IF(PA!AA311="","",PA!AA311)</f>
        <v/>
      </c>
      <c r="K309" s="327" t="str">
        <f>IF(PA!AB311="","",PA!AB311)</f>
        <v/>
      </c>
      <c r="L309" s="327" t="str">
        <f>IF(PA!AC311="","",PA!AC311)</f>
        <v/>
      </c>
      <c r="M309" s="328" t="str">
        <f>IF(PA!P311="","",PA!P311)</f>
        <v/>
      </c>
    </row>
    <row r="310" spans="1:13" ht="14.4" x14ac:dyDescent="0.3">
      <c r="A310" s="329">
        <f>Data!E307</f>
        <v>23</v>
      </c>
      <c r="B310" s="330" t="str">
        <f>IF(Data!F307="","",Data!F307)</f>
        <v/>
      </c>
      <c r="C310" s="330" t="str">
        <f>IF(Data!G307="","",Data!G307)</f>
        <v/>
      </c>
      <c r="D310" s="331" t="str">
        <f>IF(Data!H307="","",Data!H307)</f>
        <v/>
      </c>
      <c r="E310" s="330" t="str">
        <f>IF(Data!I307="","",Data!I307)</f>
        <v/>
      </c>
      <c r="F310" s="332" t="str">
        <f>IF(Data!J307="","",Data!J307)</f>
        <v>VIII-H</v>
      </c>
      <c r="G310" s="326" t="str">
        <f>IF(PA!G312="","",PA!G312)</f>
        <v/>
      </c>
      <c r="H310" s="327" t="str">
        <f>IF(PA!H312="","",PA!H312)</f>
        <v/>
      </c>
      <c r="I310" s="327" t="str">
        <f>IF(PA!I312="","",PA!I312)</f>
        <v/>
      </c>
      <c r="J310" s="327" t="str">
        <f>IF(PA!AA312="","",PA!AA312)</f>
        <v/>
      </c>
      <c r="K310" s="327" t="str">
        <f>IF(PA!AB312="","",PA!AB312)</f>
        <v/>
      </c>
      <c r="L310" s="327" t="str">
        <f>IF(PA!AC312="","",PA!AC312)</f>
        <v/>
      </c>
      <c r="M310" s="328" t="str">
        <f>IF(PA!P312="","",PA!P312)</f>
        <v/>
      </c>
    </row>
    <row r="311" spans="1:13" ht="14.4" x14ac:dyDescent="0.3">
      <c r="A311" s="329">
        <f>Data!E308</f>
        <v>24</v>
      </c>
      <c r="B311" s="330" t="str">
        <f>IF(Data!F308="","",Data!F308)</f>
        <v/>
      </c>
      <c r="C311" s="330" t="str">
        <f>IF(Data!G308="","",Data!G308)</f>
        <v/>
      </c>
      <c r="D311" s="331" t="str">
        <f>IF(Data!H308="","",Data!H308)</f>
        <v/>
      </c>
      <c r="E311" s="330" t="str">
        <f>IF(Data!I308="","",Data!I308)</f>
        <v/>
      </c>
      <c r="F311" s="332" t="str">
        <f>IF(Data!J308="","",Data!J308)</f>
        <v>VIII-H</v>
      </c>
      <c r="G311" s="326" t="str">
        <f>IF(PA!G313="","",PA!G313)</f>
        <v/>
      </c>
      <c r="H311" s="327" t="str">
        <f>IF(PA!H313="","",PA!H313)</f>
        <v/>
      </c>
      <c r="I311" s="327" t="str">
        <f>IF(PA!I313="","",PA!I313)</f>
        <v/>
      </c>
      <c r="J311" s="327" t="str">
        <f>IF(PA!AA313="","",PA!AA313)</f>
        <v/>
      </c>
      <c r="K311" s="327" t="str">
        <f>IF(PA!AB313="","",PA!AB313)</f>
        <v/>
      </c>
      <c r="L311" s="327" t="str">
        <f>IF(PA!AC313="","",PA!AC313)</f>
        <v/>
      </c>
      <c r="M311" s="328" t="str">
        <f>IF(PA!P313="","",PA!P313)</f>
        <v/>
      </c>
    </row>
    <row r="312" spans="1:13" ht="14.4" x14ac:dyDescent="0.3">
      <c r="A312" s="329">
        <f>Data!E309</f>
        <v>25</v>
      </c>
      <c r="B312" s="330" t="str">
        <f>IF(Data!F309="","",Data!F309)</f>
        <v/>
      </c>
      <c r="C312" s="330" t="str">
        <f>IF(Data!G309="","",Data!G309)</f>
        <v/>
      </c>
      <c r="D312" s="331" t="str">
        <f>IF(Data!H309="","",Data!H309)</f>
        <v/>
      </c>
      <c r="E312" s="330" t="str">
        <f>IF(Data!I309="","",Data!I309)</f>
        <v/>
      </c>
      <c r="F312" s="332" t="str">
        <f>IF(Data!J309="","",Data!J309)</f>
        <v>VIII-H</v>
      </c>
      <c r="G312" s="326" t="str">
        <f>IF(PA!G314="","",PA!G314)</f>
        <v/>
      </c>
      <c r="H312" s="327" t="str">
        <f>IF(PA!H314="","",PA!H314)</f>
        <v/>
      </c>
      <c r="I312" s="327" t="str">
        <f>IF(PA!I314="","",PA!I314)</f>
        <v/>
      </c>
      <c r="J312" s="327" t="str">
        <f>IF(PA!AA314="","",PA!AA314)</f>
        <v/>
      </c>
      <c r="K312" s="327" t="str">
        <f>IF(PA!AB314="","",PA!AB314)</f>
        <v/>
      </c>
      <c r="L312" s="327" t="str">
        <f>IF(PA!AC314="","",PA!AC314)</f>
        <v/>
      </c>
      <c r="M312" s="328" t="str">
        <f>IF(PA!P314="","",PA!P314)</f>
        <v/>
      </c>
    </row>
    <row r="313" spans="1:13" ht="14.4" x14ac:dyDescent="0.3">
      <c r="A313" s="329">
        <f>Data!E310</f>
        <v>26</v>
      </c>
      <c r="B313" s="330" t="str">
        <f>IF(Data!F310="","",Data!F310)</f>
        <v/>
      </c>
      <c r="C313" s="330" t="str">
        <f>IF(Data!G310="","",Data!G310)</f>
        <v/>
      </c>
      <c r="D313" s="331" t="str">
        <f>IF(Data!H310="","",Data!H310)</f>
        <v/>
      </c>
      <c r="E313" s="330" t="str">
        <f>IF(Data!I310="","",Data!I310)</f>
        <v/>
      </c>
      <c r="F313" s="332" t="str">
        <f>IF(Data!J310="","",Data!J310)</f>
        <v>VIII-H</v>
      </c>
      <c r="G313" s="326" t="str">
        <f>IF(PA!G315="","",PA!G315)</f>
        <v/>
      </c>
      <c r="H313" s="327" t="str">
        <f>IF(PA!H315="","",PA!H315)</f>
        <v/>
      </c>
      <c r="I313" s="327" t="str">
        <f>IF(PA!I315="","",PA!I315)</f>
        <v/>
      </c>
      <c r="J313" s="327" t="str">
        <f>IF(PA!AA315="","",PA!AA315)</f>
        <v/>
      </c>
      <c r="K313" s="327" t="str">
        <f>IF(PA!AB315="","",PA!AB315)</f>
        <v/>
      </c>
      <c r="L313" s="327" t="str">
        <f>IF(PA!AC315="","",PA!AC315)</f>
        <v/>
      </c>
      <c r="M313" s="328" t="str">
        <f>IF(PA!P315="","",PA!P315)</f>
        <v/>
      </c>
    </row>
    <row r="314" spans="1:13" ht="14.4" x14ac:dyDescent="0.3">
      <c r="A314" s="329">
        <f>Data!E311</f>
        <v>27</v>
      </c>
      <c r="B314" s="330" t="str">
        <f>IF(Data!F311="","",Data!F311)</f>
        <v/>
      </c>
      <c r="C314" s="330" t="str">
        <f>IF(Data!G311="","",Data!G311)</f>
        <v/>
      </c>
      <c r="D314" s="331" t="str">
        <f>IF(Data!H311="","",Data!H311)</f>
        <v/>
      </c>
      <c r="E314" s="330" t="str">
        <f>IF(Data!I311="","",Data!I311)</f>
        <v/>
      </c>
      <c r="F314" s="332" t="str">
        <f>IF(Data!J311="","",Data!J311)</f>
        <v>VIII-H</v>
      </c>
      <c r="G314" s="326" t="str">
        <f>IF(PA!G316="","",PA!G316)</f>
        <v/>
      </c>
      <c r="H314" s="327" t="str">
        <f>IF(PA!H316="","",PA!H316)</f>
        <v/>
      </c>
      <c r="I314" s="327" t="str">
        <f>IF(PA!I316="","",PA!I316)</f>
        <v/>
      </c>
      <c r="J314" s="327" t="str">
        <f>IF(PA!AA316="","",PA!AA316)</f>
        <v/>
      </c>
      <c r="K314" s="327" t="str">
        <f>IF(PA!AB316="","",PA!AB316)</f>
        <v/>
      </c>
      <c r="L314" s="327" t="str">
        <f>IF(PA!AC316="","",PA!AC316)</f>
        <v/>
      </c>
      <c r="M314" s="328" t="str">
        <f>IF(PA!P316="","",PA!P316)</f>
        <v/>
      </c>
    </row>
    <row r="315" spans="1:13" ht="14.4" x14ac:dyDescent="0.3">
      <c r="A315" s="329">
        <f>Data!E312</f>
        <v>28</v>
      </c>
      <c r="B315" s="330" t="str">
        <f>IF(Data!F312="","",Data!F312)</f>
        <v/>
      </c>
      <c r="C315" s="330" t="str">
        <f>IF(Data!G312="","",Data!G312)</f>
        <v/>
      </c>
      <c r="D315" s="331" t="str">
        <f>IF(Data!H312="","",Data!H312)</f>
        <v/>
      </c>
      <c r="E315" s="330" t="str">
        <f>IF(Data!I312="","",Data!I312)</f>
        <v/>
      </c>
      <c r="F315" s="332" t="str">
        <f>IF(Data!J312="","",Data!J312)</f>
        <v>VIII-H</v>
      </c>
      <c r="G315" s="326" t="str">
        <f>IF(PA!G317="","",PA!G317)</f>
        <v/>
      </c>
      <c r="H315" s="327" t="str">
        <f>IF(PA!H317="","",PA!H317)</f>
        <v/>
      </c>
      <c r="I315" s="327" t="str">
        <f>IF(PA!I317="","",PA!I317)</f>
        <v/>
      </c>
      <c r="J315" s="327" t="str">
        <f>IF(PA!AA317="","",PA!AA317)</f>
        <v/>
      </c>
      <c r="K315" s="327" t="str">
        <f>IF(PA!AB317="","",PA!AB317)</f>
        <v/>
      </c>
      <c r="L315" s="327" t="str">
        <f>IF(PA!AC317="","",PA!AC317)</f>
        <v/>
      </c>
      <c r="M315" s="328" t="str">
        <f>IF(PA!P317="","",PA!P317)</f>
        <v/>
      </c>
    </row>
    <row r="316" spans="1:13" ht="14.4" x14ac:dyDescent="0.3">
      <c r="A316" s="329">
        <f>Data!E313</f>
        <v>29</v>
      </c>
      <c r="B316" s="330" t="str">
        <f>IF(Data!F313="","",Data!F313)</f>
        <v/>
      </c>
      <c r="C316" s="330" t="str">
        <f>IF(Data!G313="","",Data!G313)</f>
        <v/>
      </c>
      <c r="D316" s="331" t="str">
        <f>IF(Data!H313="","",Data!H313)</f>
        <v/>
      </c>
      <c r="E316" s="330" t="str">
        <f>IF(Data!I313="","",Data!I313)</f>
        <v/>
      </c>
      <c r="F316" s="332" t="str">
        <f>IF(Data!J313="","",Data!J313)</f>
        <v>VIII-H</v>
      </c>
      <c r="G316" s="326" t="str">
        <f>IF(PA!G318="","",PA!G318)</f>
        <v/>
      </c>
      <c r="H316" s="327" t="str">
        <f>IF(PA!H318="","",PA!H318)</f>
        <v/>
      </c>
      <c r="I316" s="327" t="str">
        <f>IF(PA!I318="","",PA!I318)</f>
        <v/>
      </c>
      <c r="J316" s="327" t="str">
        <f>IF(PA!AA318="","",PA!AA318)</f>
        <v/>
      </c>
      <c r="K316" s="327" t="str">
        <f>IF(PA!AB318="","",PA!AB318)</f>
        <v/>
      </c>
      <c r="L316" s="327" t="str">
        <f>IF(PA!AC318="","",PA!AC318)</f>
        <v/>
      </c>
      <c r="M316" s="328" t="str">
        <f>IF(PA!P318="","",PA!P318)</f>
        <v/>
      </c>
    </row>
    <row r="317" spans="1:13" ht="14.4" x14ac:dyDescent="0.3">
      <c r="A317" s="329">
        <f>Data!E314</f>
        <v>30</v>
      </c>
      <c r="B317" s="330" t="str">
        <f>IF(Data!F314="","",Data!F314)</f>
        <v/>
      </c>
      <c r="C317" s="330" t="str">
        <f>IF(Data!G314="","",Data!G314)</f>
        <v/>
      </c>
      <c r="D317" s="331" t="str">
        <f>IF(Data!H314="","",Data!H314)</f>
        <v/>
      </c>
      <c r="E317" s="330" t="str">
        <f>IF(Data!I314="","",Data!I314)</f>
        <v/>
      </c>
      <c r="F317" s="332" t="str">
        <f>IF(Data!J314="","",Data!J314)</f>
        <v>VIII-H</v>
      </c>
      <c r="G317" s="326" t="str">
        <f>IF(PA!G319="","",PA!G319)</f>
        <v/>
      </c>
      <c r="H317" s="327" t="str">
        <f>IF(PA!H319="","",PA!H319)</f>
        <v/>
      </c>
      <c r="I317" s="327" t="str">
        <f>IF(PA!I319="","",PA!I319)</f>
        <v/>
      </c>
      <c r="J317" s="327" t="str">
        <f>IF(PA!AA319="","",PA!AA319)</f>
        <v/>
      </c>
      <c r="K317" s="327" t="str">
        <f>IF(PA!AB319="","",PA!AB319)</f>
        <v/>
      </c>
      <c r="L317" s="327" t="str">
        <f>IF(PA!AC319="","",PA!AC319)</f>
        <v/>
      </c>
      <c r="M317" s="328" t="str">
        <f>IF(PA!P319="","",PA!P319)</f>
        <v/>
      </c>
    </row>
    <row r="318" spans="1:13" ht="14.4" x14ac:dyDescent="0.3">
      <c r="A318" s="329">
        <f>Data!E315</f>
        <v>31</v>
      </c>
      <c r="B318" s="330" t="str">
        <f>IF(Data!F315="","",Data!F315)</f>
        <v/>
      </c>
      <c r="C318" s="330" t="str">
        <f>IF(Data!G315="","",Data!G315)</f>
        <v/>
      </c>
      <c r="D318" s="331" t="str">
        <f>IF(Data!H315="","",Data!H315)</f>
        <v/>
      </c>
      <c r="E318" s="330" t="str">
        <f>IF(Data!I315="","",Data!I315)</f>
        <v/>
      </c>
      <c r="F318" s="332" t="str">
        <f>IF(Data!J315="","",Data!J315)</f>
        <v>VIII-H</v>
      </c>
      <c r="G318" s="326" t="str">
        <f>IF(PA!G320="","",PA!G320)</f>
        <v/>
      </c>
      <c r="H318" s="327" t="str">
        <f>IF(PA!H320="","",PA!H320)</f>
        <v/>
      </c>
      <c r="I318" s="327" t="str">
        <f>IF(PA!I320="","",PA!I320)</f>
        <v/>
      </c>
      <c r="J318" s="327" t="str">
        <f>IF(PA!AA320="","",PA!AA320)</f>
        <v/>
      </c>
      <c r="K318" s="327" t="str">
        <f>IF(PA!AB320="","",PA!AB320)</f>
        <v/>
      </c>
      <c r="L318" s="327" t="str">
        <f>IF(PA!AC320="","",PA!AC320)</f>
        <v/>
      </c>
      <c r="M318" s="328" t="str">
        <f>IF(PA!P320="","",PA!P320)</f>
        <v/>
      </c>
    </row>
    <row r="319" spans="1:13" ht="14.4" x14ac:dyDescent="0.3">
      <c r="A319" s="329">
        <f>Data!E316</f>
        <v>32</v>
      </c>
      <c r="B319" s="330" t="str">
        <f>IF(Data!F316="","",Data!F316)</f>
        <v/>
      </c>
      <c r="C319" s="330" t="str">
        <f>IF(Data!G316="","",Data!G316)</f>
        <v/>
      </c>
      <c r="D319" s="331" t="str">
        <f>IF(Data!H316="","",Data!H316)</f>
        <v/>
      </c>
      <c r="E319" s="330" t="str">
        <f>IF(Data!I316="","",Data!I316)</f>
        <v/>
      </c>
      <c r="F319" s="332" t="str">
        <f>IF(Data!J316="","",Data!J316)</f>
        <v>VIII-H</v>
      </c>
      <c r="G319" s="326" t="str">
        <f>IF(PA!G321="","",PA!G321)</f>
        <v/>
      </c>
      <c r="H319" s="327" t="str">
        <f>IF(PA!H321="","",PA!H321)</f>
        <v/>
      </c>
      <c r="I319" s="327" t="str">
        <f>IF(PA!I321="","",PA!I321)</f>
        <v/>
      </c>
      <c r="J319" s="327" t="str">
        <f>IF(PA!AA321="","",PA!AA321)</f>
        <v/>
      </c>
      <c r="K319" s="327" t="str">
        <f>IF(PA!AB321="","",PA!AB321)</f>
        <v/>
      </c>
      <c r="L319" s="327" t="str">
        <f>IF(PA!AC321="","",PA!AC321)</f>
        <v/>
      </c>
      <c r="M319" s="328" t="str">
        <f>IF(PA!P321="","",PA!P321)</f>
        <v/>
      </c>
    </row>
    <row r="320" spans="1:13" ht="14.4" x14ac:dyDescent="0.3">
      <c r="A320" s="329">
        <f>Data!E317</f>
        <v>33</v>
      </c>
      <c r="B320" s="330" t="str">
        <f>IF(Data!F317="","",Data!F317)</f>
        <v/>
      </c>
      <c r="C320" s="330" t="str">
        <f>IF(Data!G317="","",Data!G317)</f>
        <v/>
      </c>
      <c r="D320" s="331" t="str">
        <f>IF(Data!H317="","",Data!H317)</f>
        <v/>
      </c>
      <c r="E320" s="330" t="str">
        <f>IF(Data!I317="","",Data!I317)</f>
        <v/>
      </c>
      <c r="F320" s="332" t="str">
        <f>IF(Data!J317="","",Data!J317)</f>
        <v>VIII-H</v>
      </c>
      <c r="G320" s="326" t="str">
        <f>IF(PA!G322="","",PA!G322)</f>
        <v/>
      </c>
      <c r="H320" s="327" t="str">
        <f>IF(PA!H322="","",PA!H322)</f>
        <v/>
      </c>
      <c r="I320" s="327" t="str">
        <f>IF(PA!I322="","",PA!I322)</f>
        <v/>
      </c>
      <c r="J320" s="327" t="str">
        <f>IF(PA!AA322="","",PA!AA322)</f>
        <v/>
      </c>
      <c r="K320" s="327" t="str">
        <f>IF(PA!AB322="","",PA!AB322)</f>
        <v/>
      </c>
      <c r="L320" s="327" t="str">
        <f>IF(PA!AC322="","",PA!AC322)</f>
        <v/>
      </c>
      <c r="M320" s="328" t="str">
        <f>IF(PA!P322="","",PA!P322)</f>
        <v/>
      </c>
    </row>
    <row r="321" spans="1:13" ht="14.4" x14ac:dyDescent="0.3">
      <c r="A321" s="329">
        <f>Data!E318</f>
        <v>34</v>
      </c>
      <c r="B321" s="330" t="str">
        <f>IF(Data!F318="","",Data!F318)</f>
        <v/>
      </c>
      <c r="C321" s="330" t="str">
        <f>IF(Data!G318="","",Data!G318)</f>
        <v/>
      </c>
      <c r="D321" s="331" t="str">
        <f>IF(Data!H318="","",Data!H318)</f>
        <v/>
      </c>
      <c r="E321" s="330" t="str">
        <f>IF(Data!I318="","",Data!I318)</f>
        <v/>
      </c>
      <c r="F321" s="332" t="str">
        <f>IF(Data!J318="","",Data!J318)</f>
        <v>VIII-H</v>
      </c>
      <c r="G321" s="326" t="str">
        <f>IF(PA!G323="","",PA!G323)</f>
        <v/>
      </c>
      <c r="H321" s="327" t="str">
        <f>IF(PA!H323="","",PA!H323)</f>
        <v/>
      </c>
      <c r="I321" s="327" t="str">
        <f>IF(PA!I323="","",PA!I323)</f>
        <v/>
      </c>
      <c r="J321" s="327" t="str">
        <f>IF(PA!AA323="","",PA!AA323)</f>
        <v/>
      </c>
      <c r="K321" s="327" t="str">
        <f>IF(PA!AB323="","",PA!AB323)</f>
        <v/>
      </c>
      <c r="L321" s="327" t="str">
        <f>IF(PA!AC323="","",PA!AC323)</f>
        <v/>
      </c>
      <c r="M321" s="328" t="str">
        <f>IF(PA!P323="","",PA!P323)</f>
        <v/>
      </c>
    </row>
    <row r="322" spans="1:13" ht="14.4" x14ac:dyDescent="0.3">
      <c r="A322" s="329">
        <f>Data!E319</f>
        <v>35</v>
      </c>
      <c r="B322" s="330" t="str">
        <f>IF(Data!F319="","",Data!F319)</f>
        <v/>
      </c>
      <c r="C322" s="330" t="str">
        <f>IF(Data!G319="","",Data!G319)</f>
        <v/>
      </c>
      <c r="D322" s="331" t="str">
        <f>IF(Data!H319="","",Data!H319)</f>
        <v/>
      </c>
      <c r="E322" s="330" t="str">
        <f>IF(Data!I319="","",Data!I319)</f>
        <v/>
      </c>
      <c r="F322" s="332" t="str">
        <f>IF(Data!J319="","",Data!J319)</f>
        <v>VIII-H</v>
      </c>
      <c r="G322" s="326" t="str">
        <f>IF(PA!G324="","",PA!G324)</f>
        <v/>
      </c>
      <c r="H322" s="327" t="str">
        <f>IF(PA!H324="","",PA!H324)</f>
        <v/>
      </c>
      <c r="I322" s="327" t="str">
        <f>IF(PA!I324="","",PA!I324)</f>
        <v/>
      </c>
      <c r="J322" s="327" t="str">
        <f>IF(PA!AA324="","",PA!AA324)</f>
        <v/>
      </c>
      <c r="K322" s="327" t="str">
        <f>IF(PA!AB324="","",PA!AB324)</f>
        <v/>
      </c>
      <c r="L322" s="327" t="str">
        <f>IF(PA!AC324="","",PA!AC324)</f>
        <v/>
      </c>
      <c r="M322" s="328" t="str">
        <f>IF(PA!P324="","",PA!P324)</f>
        <v/>
      </c>
    </row>
    <row r="323" spans="1:13" ht="14.4" x14ac:dyDescent="0.3">
      <c r="A323" s="329">
        <f>Data!E320</f>
        <v>36</v>
      </c>
      <c r="B323" s="330" t="str">
        <f>IF(Data!F320="","",Data!F320)</f>
        <v/>
      </c>
      <c r="C323" s="330" t="str">
        <f>IF(Data!G320="","",Data!G320)</f>
        <v/>
      </c>
      <c r="D323" s="331" t="str">
        <f>IF(Data!H320="","",Data!H320)</f>
        <v/>
      </c>
      <c r="E323" s="330" t="str">
        <f>IF(Data!I320="","",Data!I320)</f>
        <v/>
      </c>
      <c r="F323" s="332" t="str">
        <f>IF(Data!J320="","",Data!J320)</f>
        <v>VIII-H</v>
      </c>
      <c r="G323" s="326" t="str">
        <f>IF(PA!G325="","",PA!G325)</f>
        <v/>
      </c>
      <c r="H323" s="327" t="str">
        <f>IF(PA!H325="","",PA!H325)</f>
        <v/>
      </c>
      <c r="I323" s="327" t="str">
        <f>IF(PA!I325="","",PA!I325)</f>
        <v/>
      </c>
      <c r="J323" s="327" t="str">
        <f>IF(PA!AA325="","",PA!AA325)</f>
        <v/>
      </c>
      <c r="K323" s="327" t="str">
        <f>IF(PA!AB325="","",PA!AB325)</f>
        <v/>
      </c>
      <c r="L323" s="327" t="str">
        <f>IF(PA!AC325="","",PA!AC325)</f>
        <v/>
      </c>
      <c r="M323" s="328" t="str">
        <f>IF(PA!P325="","",PA!P325)</f>
        <v/>
      </c>
    </row>
    <row r="324" spans="1:13" ht="14.4" x14ac:dyDescent="0.3">
      <c r="A324" s="329">
        <f>Data!E321</f>
        <v>37</v>
      </c>
      <c r="B324" s="330" t="str">
        <f>IF(Data!F321="","",Data!F321)</f>
        <v/>
      </c>
      <c r="C324" s="330" t="str">
        <f>IF(Data!G321="","",Data!G321)</f>
        <v/>
      </c>
      <c r="D324" s="331" t="str">
        <f>IF(Data!H321="","",Data!H321)</f>
        <v/>
      </c>
      <c r="E324" s="330" t="str">
        <f>IF(Data!I321="","",Data!I321)</f>
        <v/>
      </c>
      <c r="F324" s="332" t="str">
        <f>IF(Data!J321="","",Data!J321)</f>
        <v>VIII-H</v>
      </c>
      <c r="G324" s="326" t="str">
        <f>IF(PA!G326="","",PA!G326)</f>
        <v/>
      </c>
      <c r="H324" s="327" t="str">
        <f>IF(PA!H326="","",PA!H326)</f>
        <v/>
      </c>
      <c r="I324" s="327" t="str">
        <f>IF(PA!I326="","",PA!I326)</f>
        <v/>
      </c>
      <c r="J324" s="327" t="str">
        <f>IF(PA!AA326="","",PA!AA326)</f>
        <v/>
      </c>
      <c r="K324" s="327" t="str">
        <f>IF(PA!AB326="","",PA!AB326)</f>
        <v/>
      </c>
      <c r="L324" s="327" t="str">
        <f>IF(PA!AC326="","",PA!AC326)</f>
        <v/>
      </c>
      <c r="M324" s="328" t="str">
        <f>IF(PA!P326="","",PA!P326)</f>
        <v/>
      </c>
    </row>
    <row r="325" spans="1:13" ht="14.4" x14ac:dyDescent="0.3">
      <c r="A325" s="329">
        <f>Data!E322</f>
        <v>38</v>
      </c>
      <c r="B325" s="330" t="str">
        <f>IF(Data!F322="","",Data!F322)</f>
        <v/>
      </c>
      <c r="C325" s="330" t="str">
        <f>IF(Data!G322="","",Data!G322)</f>
        <v/>
      </c>
      <c r="D325" s="331" t="str">
        <f>IF(Data!H322="","",Data!H322)</f>
        <v/>
      </c>
      <c r="E325" s="330" t="str">
        <f>IF(Data!I322="","",Data!I322)</f>
        <v/>
      </c>
      <c r="F325" s="332" t="str">
        <f>IF(Data!J322="","",Data!J322)</f>
        <v>VIII-H</v>
      </c>
      <c r="G325" s="326" t="str">
        <f>IF(PA!G327="","",PA!G327)</f>
        <v/>
      </c>
      <c r="H325" s="327" t="str">
        <f>IF(PA!H327="","",PA!H327)</f>
        <v/>
      </c>
      <c r="I325" s="327" t="str">
        <f>IF(PA!I327="","",PA!I327)</f>
        <v/>
      </c>
      <c r="J325" s="327" t="str">
        <f>IF(PA!AA327="","",PA!AA327)</f>
        <v/>
      </c>
      <c r="K325" s="327" t="str">
        <f>IF(PA!AB327="","",PA!AB327)</f>
        <v/>
      </c>
      <c r="L325" s="327" t="str">
        <f>IF(PA!AC327="","",PA!AC327)</f>
        <v/>
      </c>
      <c r="M325" s="328" t="str">
        <f>IF(PA!P327="","",PA!P327)</f>
        <v/>
      </c>
    </row>
    <row r="326" spans="1:13" ht="14.4" x14ac:dyDescent="0.3">
      <c r="A326" s="329">
        <f>Data!E323</f>
        <v>39</v>
      </c>
      <c r="B326" s="330" t="str">
        <f>IF(Data!F323="","",Data!F323)</f>
        <v/>
      </c>
      <c r="C326" s="330" t="str">
        <f>IF(Data!G323="","",Data!G323)</f>
        <v/>
      </c>
      <c r="D326" s="331" t="str">
        <f>IF(Data!H323="","",Data!H323)</f>
        <v/>
      </c>
      <c r="E326" s="330" t="str">
        <f>IF(Data!I323="","",Data!I323)</f>
        <v/>
      </c>
      <c r="F326" s="332" t="str">
        <f>IF(Data!J323="","",Data!J323)</f>
        <v>VIII-H</v>
      </c>
      <c r="G326" s="326" t="str">
        <f>IF(PA!G328="","",PA!G328)</f>
        <v/>
      </c>
      <c r="H326" s="327" t="str">
        <f>IF(PA!H328="","",PA!H328)</f>
        <v/>
      </c>
      <c r="I326" s="327" t="str">
        <f>IF(PA!I328="","",PA!I328)</f>
        <v/>
      </c>
      <c r="J326" s="327" t="str">
        <f>IF(PA!AA328="","",PA!AA328)</f>
        <v/>
      </c>
      <c r="K326" s="327" t="str">
        <f>IF(PA!AB328="","",PA!AB328)</f>
        <v/>
      </c>
      <c r="L326" s="327" t="str">
        <f>IF(PA!AC328="","",PA!AC328)</f>
        <v/>
      </c>
      <c r="M326" s="328" t="str">
        <f>IF(PA!P328="","",PA!P328)</f>
        <v/>
      </c>
    </row>
    <row r="327" spans="1:13" ht="15" thickBot="1" x14ac:dyDescent="0.35">
      <c r="A327" s="333">
        <f>Data!E324</f>
        <v>40</v>
      </c>
      <c r="B327" s="334" t="str">
        <f>IF(Data!F324="","",Data!F324)</f>
        <v/>
      </c>
      <c r="C327" s="334" t="str">
        <f>IF(Data!G324="","",Data!G324)</f>
        <v/>
      </c>
      <c r="D327" s="335" t="str">
        <f>IF(Data!H324="","",Data!H324)</f>
        <v/>
      </c>
      <c r="E327" s="334" t="str">
        <f>IF(Data!I324="","",Data!I324)</f>
        <v/>
      </c>
      <c r="F327" s="336" t="str">
        <f>IF(Data!J324="","",Data!J324)</f>
        <v>VIII-H</v>
      </c>
      <c r="G327" s="326" t="str">
        <f>IF(PA!G329="","",PA!G329)</f>
        <v/>
      </c>
      <c r="H327" s="327" t="str">
        <f>IF(PA!H329="","",PA!H329)</f>
        <v/>
      </c>
      <c r="I327" s="327" t="str">
        <f>IF(PA!I329="","",PA!I329)</f>
        <v/>
      </c>
      <c r="J327" s="327" t="str">
        <f>IF(PA!AA329="","",PA!AA329)</f>
        <v/>
      </c>
      <c r="K327" s="327" t="str">
        <f>IF(PA!AB329="","",PA!AB329)</f>
        <v/>
      </c>
      <c r="L327" s="327" t="str">
        <f>IF(PA!AC329="","",PA!AC329)</f>
        <v/>
      </c>
      <c r="M327" s="328" t="str">
        <f>IF(PA!P329="","",PA!P329)</f>
        <v/>
      </c>
    </row>
    <row r="328" spans="1:13" ht="15" thickTop="1" x14ac:dyDescent="0.3">
      <c r="A328" s="329">
        <f>Data!E325</f>
        <v>1</v>
      </c>
      <c r="B328" s="330" t="str">
        <f>IF(Data!F325="","",Data!F325)</f>
        <v/>
      </c>
      <c r="C328" s="330" t="str">
        <f>IF(Data!G325="","",Data!G325)</f>
        <v/>
      </c>
      <c r="D328" s="331" t="str">
        <f>IF(Data!H325="","",Data!H325)</f>
        <v/>
      </c>
      <c r="E328" s="330" t="str">
        <f>IF(Data!I325="","",Data!I325)</f>
        <v/>
      </c>
      <c r="F328" s="332" t="str">
        <f>IF(Data!J325="","",Data!J325)</f>
        <v>VIII-I</v>
      </c>
      <c r="G328" s="326" t="str">
        <f>IF(PA!G330="","",PA!G330)</f>
        <v/>
      </c>
      <c r="H328" s="327" t="str">
        <f>IF(PA!H330="","",PA!H330)</f>
        <v/>
      </c>
      <c r="I328" s="327" t="str">
        <f>IF(PA!I330="","",PA!I330)</f>
        <v/>
      </c>
      <c r="J328" s="327" t="str">
        <f>IF(PA!AA330="","",PA!AA330)</f>
        <v/>
      </c>
      <c r="K328" s="327" t="str">
        <f>IF(PA!AB330="","",PA!AB330)</f>
        <v/>
      </c>
      <c r="L328" s="327" t="str">
        <f>IF(PA!AC330="","",PA!AC330)</f>
        <v/>
      </c>
      <c r="M328" s="328" t="str">
        <f>IF(PA!P330="","",PA!P330)</f>
        <v/>
      </c>
    </row>
    <row r="329" spans="1:13" ht="14.4" x14ac:dyDescent="0.3">
      <c r="A329" s="329">
        <f>Data!E326</f>
        <v>2</v>
      </c>
      <c r="B329" s="330" t="str">
        <f>IF(Data!F326="","",Data!F326)</f>
        <v/>
      </c>
      <c r="C329" s="330" t="str">
        <f>IF(Data!G326="","",Data!G326)</f>
        <v/>
      </c>
      <c r="D329" s="331" t="str">
        <f>IF(Data!H326="","",Data!H326)</f>
        <v/>
      </c>
      <c r="E329" s="330" t="str">
        <f>IF(Data!I326="","",Data!I326)</f>
        <v/>
      </c>
      <c r="F329" s="332" t="str">
        <f>IF(Data!J326="","",Data!J326)</f>
        <v>VIII-I</v>
      </c>
      <c r="G329" s="326" t="str">
        <f>IF(PA!G331="","",PA!G331)</f>
        <v/>
      </c>
      <c r="H329" s="327" t="str">
        <f>IF(PA!H331="","",PA!H331)</f>
        <v/>
      </c>
      <c r="I329" s="327" t="str">
        <f>IF(PA!I331="","",PA!I331)</f>
        <v/>
      </c>
      <c r="J329" s="327" t="str">
        <f>IF(PA!AA331="","",PA!AA331)</f>
        <v/>
      </c>
      <c r="K329" s="327" t="str">
        <f>IF(PA!AB331="","",PA!AB331)</f>
        <v/>
      </c>
      <c r="L329" s="327" t="str">
        <f>IF(PA!AC331="","",PA!AC331)</f>
        <v/>
      </c>
      <c r="M329" s="328" t="str">
        <f>IF(PA!P331="","",PA!P331)</f>
        <v/>
      </c>
    </row>
    <row r="330" spans="1:13" ht="14.4" x14ac:dyDescent="0.3">
      <c r="A330" s="329">
        <f>Data!E327</f>
        <v>3</v>
      </c>
      <c r="B330" s="330" t="str">
        <f>IF(Data!F327="","",Data!F327)</f>
        <v/>
      </c>
      <c r="C330" s="330" t="str">
        <f>IF(Data!G327="","",Data!G327)</f>
        <v/>
      </c>
      <c r="D330" s="331" t="str">
        <f>IF(Data!H327="","",Data!H327)</f>
        <v/>
      </c>
      <c r="E330" s="330" t="str">
        <f>IF(Data!I327="","",Data!I327)</f>
        <v/>
      </c>
      <c r="F330" s="332" t="str">
        <f>IF(Data!J327="","",Data!J327)</f>
        <v>VIII-I</v>
      </c>
      <c r="G330" s="326" t="str">
        <f>IF(PA!G332="","",PA!G332)</f>
        <v/>
      </c>
      <c r="H330" s="327" t="str">
        <f>IF(PA!H332="","",PA!H332)</f>
        <v/>
      </c>
      <c r="I330" s="327" t="str">
        <f>IF(PA!I332="","",PA!I332)</f>
        <v/>
      </c>
      <c r="J330" s="327" t="str">
        <f>IF(PA!AA332="","",PA!AA332)</f>
        <v/>
      </c>
      <c r="K330" s="327" t="str">
        <f>IF(PA!AB332="","",PA!AB332)</f>
        <v/>
      </c>
      <c r="L330" s="327" t="str">
        <f>IF(PA!AC332="","",PA!AC332)</f>
        <v/>
      </c>
      <c r="M330" s="328" t="str">
        <f>IF(PA!P332="","",PA!P332)</f>
        <v/>
      </c>
    </row>
    <row r="331" spans="1:13" ht="14.4" x14ac:dyDescent="0.3">
      <c r="A331" s="329">
        <f>Data!E328</f>
        <v>4</v>
      </c>
      <c r="B331" s="330" t="str">
        <f>IF(Data!F328="","",Data!F328)</f>
        <v/>
      </c>
      <c r="C331" s="330" t="str">
        <f>IF(Data!G328="","",Data!G328)</f>
        <v/>
      </c>
      <c r="D331" s="331" t="str">
        <f>IF(Data!H328="","",Data!H328)</f>
        <v/>
      </c>
      <c r="E331" s="330" t="str">
        <f>IF(Data!I328="","",Data!I328)</f>
        <v/>
      </c>
      <c r="F331" s="332" t="str">
        <f>IF(Data!J328="","",Data!J328)</f>
        <v>VIII-I</v>
      </c>
      <c r="G331" s="326" t="str">
        <f>IF(PA!G333="","",PA!G333)</f>
        <v/>
      </c>
      <c r="H331" s="327" t="str">
        <f>IF(PA!H333="","",PA!H333)</f>
        <v/>
      </c>
      <c r="I331" s="327" t="str">
        <f>IF(PA!I333="","",PA!I333)</f>
        <v/>
      </c>
      <c r="J331" s="327" t="str">
        <f>IF(PA!AA333="","",PA!AA333)</f>
        <v/>
      </c>
      <c r="K331" s="327" t="str">
        <f>IF(PA!AB333="","",PA!AB333)</f>
        <v/>
      </c>
      <c r="L331" s="327" t="str">
        <f>IF(PA!AC333="","",PA!AC333)</f>
        <v/>
      </c>
      <c r="M331" s="328" t="str">
        <f>IF(PA!P333="","",PA!P333)</f>
        <v/>
      </c>
    </row>
    <row r="332" spans="1:13" ht="14.4" x14ac:dyDescent="0.3">
      <c r="A332" s="329">
        <f>Data!E329</f>
        <v>5</v>
      </c>
      <c r="B332" s="330" t="str">
        <f>IF(Data!F329="","",Data!F329)</f>
        <v/>
      </c>
      <c r="C332" s="330" t="str">
        <f>IF(Data!G329="","",Data!G329)</f>
        <v/>
      </c>
      <c r="D332" s="331" t="str">
        <f>IF(Data!H329="","",Data!H329)</f>
        <v/>
      </c>
      <c r="E332" s="330" t="str">
        <f>IF(Data!I329="","",Data!I329)</f>
        <v/>
      </c>
      <c r="F332" s="332" t="str">
        <f>IF(Data!J329="","",Data!J329)</f>
        <v>VIII-I</v>
      </c>
      <c r="G332" s="326" t="str">
        <f>IF(PA!G334="","",PA!G334)</f>
        <v/>
      </c>
      <c r="H332" s="327" t="str">
        <f>IF(PA!H334="","",PA!H334)</f>
        <v/>
      </c>
      <c r="I332" s="327" t="str">
        <f>IF(PA!I334="","",PA!I334)</f>
        <v/>
      </c>
      <c r="J332" s="327" t="str">
        <f>IF(PA!AA334="","",PA!AA334)</f>
        <v/>
      </c>
      <c r="K332" s="327" t="str">
        <f>IF(PA!AB334="","",PA!AB334)</f>
        <v/>
      </c>
      <c r="L332" s="327" t="str">
        <f>IF(PA!AC334="","",PA!AC334)</f>
        <v/>
      </c>
      <c r="M332" s="328" t="str">
        <f>IF(PA!P334="","",PA!P334)</f>
        <v/>
      </c>
    </row>
    <row r="333" spans="1:13" ht="14.4" x14ac:dyDescent="0.3">
      <c r="A333" s="329">
        <f>Data!E330</f>
        <v>6</v>
      </c>
      <c r="B333" s="330" t="str">
        <f>IF(Data!F330="","",Data!F330)</f>
        <v/>
      </c>
      <c r="C333" s="330" t="str">
        <f>IF(Data!G330="","",Data!G330)</f>
        <v/>
      </c>
      <c r="D333" s="331" t="str">
        <f>IF(Data!H330="","",Data!H330)</f>
        <v/>
      </c>
      <c r="E333" s="330" t="str">
        <f>IF(Data!I330="","",Data!I330)</f>
        <v/>
      </c>
      <c r="F333" s="332" t="str">
        <f>IF(Data!J330="","",Data!J330)</f>
        <v>VIII-I</v>
      </c>
      <c r="G333" s="326" t="str">
        <f>IF(PA!G335="","",PA!G335)</f>
        <v/>
      </c>
      <c r="H333" s="327" t="str">
        <f>IF(PA!H335="","",PA!H335)</f>
        <v/>
      </c>
      <c r="I333" s="327" t="str">
        <f>IF(PA!I335="","",PA!I335)</f>
        <v/>
      </c>
      <c r="J333" s="327" t="str">
        <f>IF(PA!AA335="","",PA!AA335)</f>
        <v/>
      </c>
      <c r="K333" s="327" t="str">
        <f>IF(PA!AB335="","",PA!AB335)</f>
        <v/>
      </c>
      <c r="L333" s="327" t="str">
        <f>IF(PA!AC335="","",PA!AC335)</f>
        <v/>
      </c>
      <c r="M333" s="328" t="str">
        <f>IF(PA!P335="","",PA!P335)</f>
        <v/>
      </c>
    </row>
    <row r="334" spans="1:13" ht="14.4" x14ac:dyDescent="0.3">
      <c r="A334" s="329">
        <f>Data!E331</f>
        <v>7</v>
      </c>
      <c r="B334" s="330" t="str">
        <f>IF(Data!F331="","",Data!F331)</f>
        <v/>
      </c>
      <c r="C334" s="330" t="str">
        <f>IF(Data!G331="","",Data!G331)</f>
        <v/>
      </c>
      <c r="D334" s="331" t="str">
        <f>IF(Data!H331="","",Data!H331)</f>
        <v/>
      </c>
      <c r="E334" s="330" t="str">
        <f>IF(Data!I331="","",Data!I331)</f>
        <v/>
      </c>
      <c r="F334" s="332" t="str">
        <f>IF(Data!J331="","",Data!J331)</f>
        <v>VIII-I</v>
      </c>
      <c r="G334" s="326" t="str">
        <f>IF(PA!G336="","",PA!G336)</f>
        <v/>
      </c>
      <c r="H334" s="327" t="str">
        <f>IF(PA!H336="","",PA!H336)</f>
        <v/>
      </c>
      <c r="I334" s="327" t="str">
        <f>IF(PA!I336="","",PA!I336)</f>
        <v/>
      </c>
      <c r="J334" s="327" t="str">
        <f>IF(PA!AA336="","",PA!AA336)</f>
        <v/>
      </c>
      <c r="K334" s="327" t="str">
        <f>IF(PA!AB336="","",PA!AB336)</f>
        <v/>
      </c>
      <c r="L334" s="327" t="str">
        <f>IF(PA!AC336="","",PA!AC336)</f>
        <v/>
      </c>
      <c r="M334" s="328" t="str">
        <f>IF(PA!P336="","",PA!P336)</f>
        <v/>
      </c>
    </row>
    <row r="335" spans="1:13" ht="14.4" x14ac:dyDescent="0.3">
      <c r="A335" s="329">
        <f>Data!E332</f>
        <v>8</v>
      </c>
      <c r="B335" s="330" t="str">
        <f>IF(Data!F332="","",Data!F332)</f>
        <v/>
      </c>
      <c r="C335" s="330" t="str">
        <f>IF(Data!G332="","",Data!G332)</f>
        <v/>
      </c>
      <c r="D335" s="331" t="str">
        <f>IF(Data!H332="","",Data!H332)</f>
        <v/>
      </c>
      <c r="E335" s="330" t="str">
        <f>IF(Data!I332="","",Data!I332)</f>
        <v/>
      </c>
      <c r="F335" s="332" t="str">
        <f>IF(Data!J332="","",Data!J332)</f>
        <v>VIII-I</v>
      </c>
      <c r="G335" s="326" t="str">
        <f>IF(PA!G337="","",PA!G337)</f>
        <v/>
      </c>
      <c r="H335" s="327" t="str">
        <f>IF(PA!H337="","",PA!H337)</f>
        <v/>
      </c>
      <c r="I335" s="327" t="str">
        <f>IF(PA!I337="","",PA!I337)</f>
        <v/>
      </c>
      <c r="J335" s="327" t="str">
        <f>IF(PA!AA337="","",PA!AA337)</f>
        <v/>
      </c>
      <c r="K335" s="327" t="str">
        <f>IF(PA!AB337="","",PA!AB337)</f>
        <v/>
      </c>
      <c r="L335" s="327" t="str">
        <f>IF(PA!AC337="","",PA!AC337)</f>
        <v/>
      </c>
      <c r="M335" s="328" t="str">
        <f>IF(PA!P337="","",PA!P337)</f>
        <v/>
      </c>
    </row>
    <row r="336" spans="1:13" ht="14.4" x14ac:dyDescent="0.3">
      <c r="A336" s="329">
        <f>Data!E333</f>
        <v>9</v>
      </c>
      <c r="B336" s="330" t="str">
        <f>IF(Data!F333="","",Data!F333)</f>
        <v/>
      </c>
      <c r="C336" s="330" t="str">
        <f>IF(Data!G333="","",Data!G333)</f>
        <v/>
      </c>
      <c r="D336" s="331" t="str">
        <f>IF(Data!H333="","",Data!H333)</f>
        <v/>
      </c>
      <c r="E336" s="330" t="str">
        <f>IF(Data!I333="","",Data!I333)</f>
        <v/>
      </c>
      <c r="F336" s="332" t="str">
        <f>IF(Data!J333="","",Data!J333)</f>
        <v>VIII-I</v>
      </c>
      <c r="G336" s="326" t="str">
        <f>IF(PA!G338="","",PA!G338)</f>
        <v/>
      </c>
      <c r="H336" s="327" t="str">
        <f>IF(PA!H338="","",PA!H338)</f>
        <v/>
      </c>
      <c r="I336" s="327" t="str">
        <f>IF(PA!I338="","",PA!I338)</f>
        <v/>
      </c>
      <c r="J336" s="327" t="str">
        <f>IF(PA!AA338="","",PA!AA338)</f>
        <v/>
      </c>
      <c r="K336" s="327" t="str">
        <f>IF(PA!AB338="","",PA!AB338)</f>
        <v/>
      </c>
      <c r="L336" s="327" t="str">
        <f>IF(PA!AC338="","",PA!AC338)</f>
        <v/>
      </c>
      <c r="M336" s="328" t="str">
        <f>IF(PA!P338="","",PA!P338)</f>
        <v/>
      </c>
    </row>
    <row r="337" spans="1:13" ht="14.4" x14ac:dyDescent="0.3">
      <c r="A337" s="329">
        <f>Data!E334</f>
        <v>10</v>
      </c>
      <c r="B337" s="330" t="str">
        <f>IF(Data!F334="","",Data!F334)</f>
        <v/>
      </c>
      <c r="C337" s="330" t="str">
        <f>IF(Data!G334="","",Data!G334)</f>
        <v/>
      </c>
      <c r="D337" s="331" t="str">
        <f>IF(Data!H334="","",Data!H334)</f>
        <v/>
      </c>
      <c r="E337" s="330" t="str">
        <f>IF(Data!I334="","",Data!I334)</f>
        <v/>
      </c>
      <c r="F337" s="332" t="str">
        <f>IF(Data!J334="","",Data!J334)</f>
        <v>VIII-I</v>
      </c>
      <c r="G337" s="326" t="str">
        <f>IF(PA!G339="","",PA!G339)</f>
        <v/>
      </c>
      <c r="H337" s="327" t="str">
        <f>IF(PA!H339="","",PA!H339)</f>
        <v/>
      </c>
      <c r="I337" s="327" t="str">
        <f>IF(PA!I339="","",PA!I339)</f>
        <v/>
      </c>
      <c r="J337" s="327" t="str">
        <f>IF(PA!AA339="","",PA!AA339)</f>
        <v/>
      </c>
      <c r="K337" s="327" t="str">
        <f>IF(PA!AB339="","",PA!AB339)</f>
        <v/>
      </c>
      <c r="L337" s="327" t="str">
        <f>IF(PA!AC339="","",PA!AC339)</f>
        <v/>
      </c>
      <c r="M337" s="328" t="str">
        <f>IF(PA!P339="","",PA!P339)</f>
        <v/>
      </c>
    </row>
    <row r="338" spans="1:13" ht="14.4" x14ac:dyDescent="0.3">
      <c r="A338" s="329">
        <f>Data!E335</f>
        <v>11</v>
      </c>
      <c r="B338" s="330" t="str">
        <f>IF(Data!F335="","",Data!F335)</f>
        <v/>
      </c>
      <c r="C338" s="330" t="str">
        <f>IF(Data!G335="","",Data!G335)</f>
        <v/>
      </c>
      <c r="D338" s="331" t="str">
        <f>IF(Data!H335="","",Data!H335)</f>
        <v/>
      </c>
      <c r="E338" s="330" t="str">
        <f>IF(Data!I335="","",Data!I335)</f>
        <v/>
      </c>
      <c r="F338" s="332" t="str">
        <f>IF(Data!J335="","",Data!J335)</f>
        <v>VIII-I</v>
      </c>
      <c r="G338" s="326" t="str">
        <f>IF(PA!G340="","",PA!G340)</f>
        <v/>
      </c>
      <c r="H338" s="327" t="str">
        <f>IF(PA!H340="","",PA!H340)</f>
        <v/>
      </c>
      <c r="I338" s="327" t="str">
        <f>IF(PA!I340="","",PA!I340)</f>
        <v/>
      </c>
      <c r="J338" s="327" t="str">
        <f>IF(PA!AA340="","",PA!AA340)</f>
        <v/>
      </c>
      <c r="K338" s="327" t="str">
        <f>IF(PA!AB340="","",PA!AB340)</f>
        <v/>
      </c>
      <c r="L338" s="327" t="str">
        <f>IF(PA!AC340="","",PA!AC340)</f>
        <v/>
      </c>
      <c r="M338" s="328" t="str">
        <f>IF(PA!P340="","",PA!P340)</f>
        <v/>
      </c>
    </row>
    <row r="339" spans="1:13" ht="14.4" x14ac:dyDescent="0.3">
      <c r="A339" s="329">
        <f>Data!E336</f>
        <v>12</v>
      </c>
      <c r="B339" s="330" t="str">
        <f>IF(Data!F336="","",Data!F336)</f>
        <v/>
      </c>
      <c r="C339" s="330" t="str">
        <f>IF(Data!G336="","",Data!G336)</f>
        <v/>
      </c>
      <c r="D339" s="331" t="str">
        <f>IF(Data!H336="","",Data!H336)</f>
        <v/>
      </c>
      <c r="E339" s="330" t="str">
        <f>IF(Data!I336="","",Data!I336)</f>
        <v/>
      </c>
      <c r="F339" s="332" t="str">
        <f>IF(Data!J336="","",Data!J336)</f>
        <v>VIII-I</v>
      </c>
      <c r="G339" s="326" t="str">
        <f>IF(PA!G341="","",PA!G341)</f>
        <v/>
      </c>
      <c r="H339" s="327" t="str">
        <f>IF(PA!H341="","",PA!H341)</f>
        <v/>
      </c>
      <c r="I339" s="327" t="str">
        <f>IF(PA!I341="","",PA!I341)</f>
        <v/>
      </c>
      <c r="J339" s="327" t="str">
        <f>IF(PA!AA341="","",PA!AA341)</f>
        <v/>
      </c>
      <c r="K339" s="327" t="str">
        <f>IF(PA!AB341="","",PA!AB341)</f>
        <v/>
      </c>
      <c r="L339" s="327" t="str">
        <f>IF(PA!AC341="","",PA!AC341)</f>
        <v/>
      </c>
      <c r="M339" s="328" t="str">
        <f>IF(PA!P341="","",PA!P341)</f>
        <v/>
      </c>
    </row>
    <row r="340" spans="1:13" ht="14.4" x14ac:dyDescent="0.3">
      <c r="A340" s="329">
        <f>Data!E337</f>
        <v>13</v>
      </c>
      <c r="B340" s="330" t="str">
        <f>IF(Data!F337="","",Data!F337)</f>
        <v/>
      </c>
      <c r="C340" s="330" t="str">
        <f>IF(Data!G337="","",Data!G337)</f>
        <v/>
      </c>
      <c r="D340" s="331" t="str">
        <f>IF(Data!H337="","",Data!H337)</f>
        <v/>
      </c>
      <c r="E340" s="330" t="str">
        <f>IF(Data!I337="","",Data!I337)</f>
        <v/>
      </c>
      <c r="F340" s="332" t="str">
        <f>IF(Data!J337="","",Data!J337)</f>
        <v>VIII-I</v>
      </c>
      <c r="G340" s="326" t="str">
        <f>IF(PA!G342="","",PA!G342)</f>
        <v/>
      </c>
      <c r="H340" s="327" t="str">
        <f>IF(PA!H342="","",PA!H342)</f>
        <v/>
      </c>
      <c r="I340" s="327" t="str">
        <f>IF(PA!I342="","",PA!I342)</f>
        <v/>
      </c>
      <c r="J340" s="327" t="str">
        <f>IF(PA!AA342="","",PA!AA342)</f>
        <v/>
      </c>
      <c r="K340" s="327" t="str">
        <f>IF(PA!AB342="","",PA!AB342)</f>
        <v/>
      </c>
      <c r="L340" s="327" t="str">
        <f>IF(PA!AC342="","",PA!AC342)</f>
        <v/>
      </c>
      <c r="M340" s="328" t="str">
        <f>IF(PA!P342="","",PA!P342)</f>
        <v/>
      </c>
    </row>
    <row r="341" spans="1:13" ht="14.4" x14ac:dyDescent="0.3">
      <c r="A341" s="329">
        <f>Data!E338</f>
        <v>14</v>
      </c>
      <c r="B341" s="330" t="str">
        <f>IF(Data!F338="","",Data!F338)</f>
        <v/>
      </c>
      <c r="C341" s="330" t="str">
        <f>IF(Data!G338="","",Data!G338)</f>
        <v/>
      </c>
      <c r="D341" s="331" t="str">
        <f>IF(Data!H338="","",Data!H338)</f>
        <v/>
      </c>
      <c r="E341" s="330" t="str">
        <f>IF(Data!I338="","",Data!I338)</f>
        <v/>
      </c>
      <c r="F341" s="332" t="str">
        <f>IF(Data!J338="","",Data!J338)</f>
        <v>VIII-I</v>
      </c>
      <c r="G341" s="326" t="str">
        <f>IF(PA!G343="","",PA!G343)</f>
        <v/>
      </c>
      <c r="H341" s="327" t="str">
        <f>IF(PA!H343="","",PA!H343)</f>
        <v/>
      </c>
      <c r="I341" s="327" t="str">
        <f>IF(PA!I343="","",PA!I343)</f>
        <v/>
      </c>
      <c r="J341" s="327" t="str">
        <f>IF(PA!AA343="","",PA!AA343)</f>
        <v/>
      </c>
      <c r="K341" s="327" t="str">
        <f>IF(PA!AB343="","",PA!AB343)</f>
        <v/>
      </c>
      <c r="L341" s="327" t="str">
        <f>IF(PA!AC343="","",PA!AC343)</f>
        <v/>
      </c>
      <c r="M341" s="328" t="str">
        <f>IF(PA!P343="","",PA!P343)</f>
        <v/>
      </c>
    </row>
    <row r="342" spans="1:13" ht="14.4" x14ac:dyDescent="0.3">
      <c r="A342" s="329">
        <f>Data!E339</f>
        <v>15</v>
      </c>
      <c r="B342" s="330" t="str">
        <f>IF(Data!F339="","",Data!F339)</f>
        <v/>
      </c>
      <c r="C342" s="330" t="str">
        <f>IF(Data!G339="","",Data!G339)</f>
        <v/>
      </c>
      <c r="D342" s="331" t="str">
        <f>IF(Data!H339="","",Data!H339)</f>
        <v/>
      </c>
      <c r="E342" s="330" t="str">
        <f>IF(Data!I339="","",Data!I339)</f>
        <v/>
      </c>
      <c r="F342" s="332" t="str">
        <f>IF(Data!J339="","",Data!J339)</f>
        <v>VIII-I</v>
      </c>
      <c r="G342" s="326" t="str">
        <f>IF(PA!G344="","",PA!G344)</f>
        <v/>
      </c>
      <c r="H342" s="327" t="str">
        <f>IF(PA!H344="","",PA!H344)</f>
        <v/>
      </c>
      <c r="I342" s="327" t="str">
        <f>IF(PA!I344="","",PA!I344)</f>
        <v/>
      </c>
      <c r="J342" s="327" t="str">
        <f>IF(PA!AA344="","",PA!AA344)</f>
        <v/>
      </c>
      <c r="K342" s="327" t="str">
        <f>IF(PA!AB344="","",PA!AB344)</f>
        <v/>
      </c>
      <c r="L342" s="327" t="str">
        <f>IF(PA!AC344="","",PA!AC344)</f>
        <v/>
      </c>
      <c r="M342" s="328" t="str">
        <f>IF(PA!P344="","",PA!P344)</f>
        <v/>
      </c>
    </row>
    <row r="343" spans="1:13" ht="14.4" x14ac:dyDescent="0.3">
      <c r="A343" s="329">
        <f>Data!E340</f>
        <v>16</v>
      </c>
      <c r="B343" s="330" t="str">
        <f>IF(Data!F340="","",Data!F340)</f>
        <v/>
      </c>
      <c r="C343" s="330" t="str">
        <f>IF(Data!G340="","",Data!G340)</f>
        <v/>
      </c>
      <c r="D343" s="331" t="str">
        <f>IF(Data!H340="","",Data!H340)</f>
        <v/>
      </c>
      <c r="E343" s="330" t="str">
        <f>IF(Data!I340="","",Data!I340)</f>
        <v/>
      </c>
      <c r="F343" s="332" t="str">
        <f>IF(Data!J340="","",Data!J340)</f>
        <v>VIII-I</v>
      </c>
      <c r="G343" s="326" t="str">
        <f>IF(PA!G345="","",PA!G345)</f>
        <v/>
      </c>
      <c r="H343" s="327" t="str">
        <f>IF(PA!H345="","",PA!H345)</f>
        <v/>
      </c>
      <c r="I343" s="327" t="str">
        <f>IF(PA!I345="","",PA!I345)</f>
        <v/>
      </c>
      <c r="J343" s="327" t="str">
        <f>IF(PA!AA345="","",PA!AA345)</f>
        <v/>
      </c>
      <c r="K343" s="327" t="str">
        <f>IF(PA!AB345="","",PA!AB345)</f>
        <v/>
      </c>
      <c r="L343" s="327" t="str">
        <f>IF(PA!AC345="","",PA!AC345)</f>
        <v/>
      </c>
      <c r="M343" s="328" t="str">
        <f>IF(PA!P345="","",PA!P345)</f>
        <v/>
      </c>
    </row>
    <row r="344" spans="1:13" ht="14.4" x14ac:dyDescent="0.3">
      <c r="A344" s="329">
        <f>Data!E341</f>
        <v>17</v>
      </c>
      <c r="B344" s="330" t="str">
        <f>IF(Data!F341="","",Data!F341)</f>
        <v/>
      </c>
      <c r="C344" s="330" t="str">
        <f>IF(Data!G341="","",Data!G341)</f>
        <v/>
      </c>
      <c r="D344" s="331" t="str">
        <f>IF(Data!H341="","",Data!H341)</f>
        <v/>
      </c>
      <c r="E344" s="330" t="str">
        <f>IF(Data!I341="","",Data!I341)</f>
        <v/>
      </c>
      <c r="F344" s="332" t="str">
        <f>IF(Data!J341="","",Data!J341)</f>
        <v>VIII-I</v>
      </c>
      <c r="G344" s="326" t="str">
        <f>IF(PA!G346="","",PA!G346)</f>
        <v/>
      </c>
      <c r="H344" s="327" t="str">
        <f>IF(PA!H346="","",PA!H346)</f>
        <v/>
      </c>
      <c r="I344" s="327" t="str">
        <f>IF(PA!I346="","",PA!I346)</f>
        <v/>
      </c>
      <c r="J344" s="327" t="str">
        <f>IF(PA!AA346="","",PA!AA346)</f>
        <v/>
      </c>
      <c r="K344" s="327" t="str">
        <f>IF(PA!AB346="","",PA!AB346)</f>
        <v/>
      </c>
      <c r="L344" s="327" t="str">
        <f>IF(PA!AC346="","",PA!AC346)</f>
        <v/>
      </c>
      <c r="M344" s="328" t="str">
        <f>IF(PA!P346="","",PA!P346)</f>
        <v/>
      </c>
    </row>
    <row r="345" spans="1:13" ht="14.4" x14ac:dyDescent="0.3">
      <c r="A345" s="329">
        <f>Data!E342</f>
        <v>18</v>
      </c>
      <c r="B345" s="330" t="str">
        <f>IF(Data!F342="","",Data!F342)</f>
        <v/>
      </c>
      <c r="C345" s="330" t="str">
        <f>IF(Data!G342="","",Data!G342)</f>
        <v/>
      </c>
      <c r="D345" s="331" t="str">
        <f>IF(Data!H342="","",Data!H342)</f>
        <v/>
      </c>
      <c r="E345" s="330" t="str">
        <f>IF(Data!I342="","",Data!I342)</f>
        <v/>
      </c>
      <c r="F345" s="332" t="str">
        <f>IF(Data!J342="","",Data!J342)</f>
        <v>VIII-I</v>
      </c>
      <c r="G345" s="326" t="str">
        <f>IF(PA!G347="","",PA!G347)</f>
        <v/>
      </c>
      <c r="H345" s="327" t="str">
        <f>IF(PA!H347="","",PA!H347)</f>
        <v/>
      </c>
      <c r="I345" s="327" t="str">
        <f>IF(PA!I347="","",PA!I347)</f>
        <v/>
      </c>
      <c r="J345" s="327" t="str">
        <f>IF(PA!AA347="","",PA!AA347)</f>
        <v/>
      </c>
      <c r="K345" s="327" t="str">
        <f>IF(PA!AB347="","",PA!AB347)</f>
        <v/>
      </c>
      <c r="L345" s="327" t="str">
        <f>IF(PA!AC347="","",PA!AC347)</f>
        <v/>
      </c>
      <c r="M345" s="328" t="str">
        <f>IF(PA!P347="","",PA!P347)</f>
        <v/>
      </c>
    </row>
    <row r="346" spans="1:13" ht="14.4" x14ac:dyDescent="0.3">
      <c r="A346" s="329">
        <f>Data!E343</f>
        <v>19</v>
      </c>
      <c r="B346" s="330" t="str">
        <f>IF(Data!F343="","",Data!F343)</f>
        <v/>
      </c>
      <c r="C346" s="330" t="str">
        <f>IF(Data!G343="","",Data!G343)</f>
        <v/>
      </c>
      <c r="D346" s="331" t="str">
        <f>IF(Data!H343="","",Data!H343)</f>
        <v/>
      </c>
      <c r="E346" s="330" t="str">
        <f>IF(Data!I343="","",Data!I343)</f>
        <v/>
      </c>
      <c r="F346" s="332" t="str">
        <f>IF(Data!J343="","",Data!J343)</f>
        <v>VIII-I</v>
      </c>
      <c r="G346" s="326" t="str">
        <f>IF(PA!G348="","",PA!G348)</f>
        <v/>
      </c>
      <c r="H346" s="327" t="str">
        <f>IF(PA!H348="","",PA!H348)</f>
        <v/>
      </c>
      <c r="I346" s="327" t="str">
        <f>IF(PA!I348="","",PA!I348)</f>
        <v/>
      </c>
      <c r="J346" s="327" t="str">
        <f>IF(PA!AA348="","",PA!AA348)</f>
        <v/>
      </c>
      <c r="K346" s="327" t="str">
        <f>IF(PA!AB348="","",PA!AB348)</f>
        <v/>
      </c>
      <c r="L346" s="327" t="str">
        <f>IF(PA!AC348="","",PA!AC348)</f>
        <v/>
      </c>
      <c r="M346" s="328" t="str">
        <f>IF(PA!P348="","",PA!P348)</f>
        <v/>
      </c>
    </row>
    <row r="347" spans="1:13" ht="14.4" x14ac:dyDescent="0.3">
      <c r="A347" s="329">
        <f>Data!E344</f>
        <v>20</v>
      </c>
      <c r="B347" s="330" t="str">
        <f>IF(Data!F344="","",Data!F344)</f>
        <v/>
      </c>
      <c r="C347" s="330" t="str">
        <f>IF(Data!G344="","",Data!G344)</f>
        <v/>
      </c>
      <c r="D347" s="331" t="str">
        <f>IF(Data!H344="","",Data!H344)</f>
        <v/>
      </c>
      <c r="E347" s="330" t="str">
        <f>IF(Data!I344="","",Data!I344)</f>
        <v/>
      </c>
      <c r="F347" s="332" t="str">
        <f>IF(Data!J344="","",Data!J344)</f>
        <v>VIII-I</v>
      </c>
      <c r="G347" s="326" t="str">
        <f>IF(PA!G349="","",PA!G349)</f>
        <v/>
      </c>
      <c r="H347" s="327" t="str">
        <f>IF(PA!H349="","",PA!H349)</f>
        <v/>
      </c>
      <c r="I347" s="327" t="str">
        <f>IF(PA!I349="","",PA!I349)</f>
        <v/>
      </c>
      <c r="J347" s="327" t="str">
        <f>IF(PA!AA349="","",PA!AA349)</f>
        <v/>
      </c>
      <c r="K347" s="327" t="str">
        <f>IF(PA!AB349="","",PA!AB349)</f>
        <v/>
      </c>
      <c r="L347" s="327" t="str">
        <f>IF(PA!AC349="","",PA!AC349)</f>
        <v/>
      </c>
      <c r="M347" s="328" t="str">
        <f>IF(PA!P349="","",PA!P349)</f>
        <v/>
      </c>
    </row>
    <row r="348" spans="1:13" ht="14.4" x14ac:dyDescent="0.3">
      <c r="A348" s="329">
        <f>Data!E345</f>
        <v>21</v>
      </c>
      <c r="B348" s="330" t="str">
        <f>IF(Data!F345="","",Data!F345)</f>
        <v/>
      </c>
      <c r="C348" s="330" t="str">
        <f>IF(Data!G345="","",Data!G345)</f>
        <v/>
      </c>
      <c r="D348" s="331" t="str">
        <f>IF(Data!H345="","",Data!H345)</f>
        <v/>
      </c>
      <c r="E348" s="330" t="str">
        <f>IF(Data!I345="","",Data!I345)</f>
        <v/>
      </c>
      <c r="F348" s="332" t="str">
        <f>IF(Data!J345="","",Data!J345)</f>
        <v>VIII-I</v>
      </c>
      <c r="G348" s="326" t="str">
        <f>IF(PA!G350="","",PA!G350)</f>
        <v/>
      </c>
      <c r="H348" s="327" t="str">
        <f>IF(PA!H350="","",PA!H350)</f>
        <v/>
      </c>
      <c r="I348" s="327" t="str">
        <f>IF(PA!I350="","",PA!I350)</f>
        <v/>
      </c>
      <c r="J348" s="327" t="str">
        <f>IF(PA!AA350="","",PA!AA350)</f>
        <v/>
      </c>
      <c r="K348" s="327" t="str">
        <f>IF(PA!AB350="","",PA!AB350)</f>
        <v/>
      </c>
      <c r="L348" s="327" t="str">
        <f>IF(PA!AC350="","",PA!AC350)</f>
        <v/>
      </c>
      <c r="M348" s="328" t="str">
        <f>IF(PA!P350="","",PA!P350)</f>
        <v/>
      </c>
    </row>
    <row r="349" spans="1:13" ht="14.4" x14ac:dyDescent="0.3">
      <c r="A349" s="329">
        <f>Data!E346</f>
        <v>22</v>
      </c>
      <c r="B349" s="330" t="str">
        <f>IF(Data!F346="","",Data!F346)</f>
        <v/>
      </c>
      <c r="C349" s="330" t="str">
        <f>IF(Data!G346="","",Data!G346)</f>
        <v/>
      </c>
      <c r="D349" s="331" t="str">
        <f>IF(Data!H346="","",Data!H346)</f>
        <v/>
      </c>
      <c r="E349" s="330" t="str">
        <f>IF(Data!I346="","",Data!I346)</f>
        <v/>
      </c>
      <c r="F349" s="332" t="str">
        <f>IF(Data!J346="","",Data!J346)</f>
        <v>VIII-I</v>
      </c>
      <c r="G349" s="326" t="str">
        <f>IF(PA!G351="","",PA!G351)</f>
        <v/>
      </c>
      <c r="H349" s="327" t="str">
        <f>IF(PA!H351="","",PA!H351)</f>
        <v/>
      </c>
      <c r="I349" s="327" t="str">
        <f>IF(PA!I351="","",PA!I351)</f>
        <v/>
      </c>
      <c r="J349" s="327" t="str">
        <f>IF(PA!AA351="","",PA!AA351)</f>
        <v/>
      </c>
      <c r="K349" s="327" t="str">
        <f>IF(PA!AB351="","",PA!AB351)</f>
        <v/>
      </c>
      <c r="L349" s="327" t="str">
        <f>IF(PA!AC351="","",PA!AC351)</f>
        <v/>
      </c>
      <c r="M349" s="328" t="str">
        <f>IF(PA!P351="","",PA!P351)</f>
        <v/>
      </c>
    </row>
    <row r="350" spans="1:13" ht="14.4" x14ac:dyDescent="0.3">
      <c r="A350" s="329">
        <f>Data!E347</f>
        <v>23</v>
      </c>
      <c r="B350" s="330" t="str">
        <f>IF(Data!F347="","",Data!F347)</f>
        <v/>
      </c>
      <c r="C350" s="330" t="str">
        <f>IF(Data!G347="","",Data!G347)</f>
        <v/>
      </c>
      <c r="D350" s="331" t="str">
        <f>IF(Data!H347="","",Data!H347)</f>
        <v/>
      </c>
      <c r="E350" s="330" t="str">
        <f>IF(Data!I347="","",Data!I347)</f>
        <v/>
      </c>
      <c r="F350" s="332" t="str">
        <f>IF(Data!J347="","",Data!J347)</f>
        <v>VIII-I</v>
      </c>
      <c r="G350" s="326" t="str">
        <f>IF(PA!G352="","",PA!G352)</f>
        <v/>
      </c>
      <c r="H350" s="327" t="str">
        <f>IF(PA!H352="","",PA!H352)</f>
        <v/>
      </c>
      <c r="I350" s="327" t="str">
        <f>IF(PA!I352="","",PA!I352)</f>
        <v/>
      </c>
      <c r="J350" s="327" t="str">
        <f>IF(PA!AA352="","",PA!AA352)</f>
        <v/>
      </c>
      <c r="K350" s="327" t="str">
        <f>IF(PA!AB352="","",PA!AB352)</f>
        <v/>
      </c>
      <c r="L350" s="327" t="str">
        <f>IF(PA!AC352="","",PA!AC352)</f>
        <v/>
      </c>
      <c r="M350" s="328" t="str">
        <f>IF(PA!P352="","",PA!P352)</f>
        <v/>
      </c>
    </row>
    <row r="351" spans="1:13" ht="14.4" x14ac:dyDescent="0.3">
      <c r="A351" s="329">
        <f>Data!E348</f>
        <v>24</v>
      </c>
      <c r="B351" s="330" t="str">
        <f>IF(Data!F348="","",Data!F348)</f>
        <v/>
      </c>
      <c r="C351" s="330" t="str">
        <f>IF(Data!G348="","",Data!G348)</f>
        <v/>
      </c>
      <c r="D351" s="331" t="str">
        <f>IF(Data!H348="","",Data!H348)</f>
        <v/>
      </c>
      <c r="E351" s="330" t="str">
        <f>IF(Data!I348="","",Data!I348)</f>
        <v/>
      </c>
      <c r="F351" s="332" t="str">
        <f>IF(Data!J348="","",Data!J348)</f>
        <v>VIII-I</v>
      </c>
      <c r="G351" s="326" t="str">
        <f>IF(PA!G353="","",PA!G353)</f>
        <v/>
      </c>
      <c r="H351" s="327" t="str">
        <f>IF(PA!H353="","",PA!H353)</f>
        <v/>
      </c>
      <c r="I351" s="327" t="str">
        <f>IF(PA!I353="","",PA!I353)</f>
        <v/>
      </c>
      <c r="J351" s="327" t="str">
        <f>IF(PA!AA353="","",PA!AA353)</f>
        <v/>
      </c>
      <c r="K351" s="327" t="str">
        <f>IF(PA!AB353="","",PA!AB353)</f>
        <v/>
      </c>
      <c r="L351" s="327" t="str">
        <f>IF(PA!AC353="","",PA!AC353)</f>
        <v/>
      </c>
      <c r="M351" s="328" t="str">
        <f>IF(PA!P353="","",PA!P353)</f>
        <v/>
      </c>
    </row>
    <row r="352" spans="1:13" ht="14.4" x14ac:dyDescent="0.3">
      <c r="A352" s="329">
        <f>Data!E349</f>
        <v>25</v>
      </c>
      <c r="B352" s="330" t="str">
        <f>IF(Data!F349="","",Data!F349)</f>
        <v/>
      </c>
      <c r="C352" s="330" t="str">
        <f>IF(Data!G349="","",Data!G349)</f>
        <v/>
      </c>
      <c r="D352" s="331" t="str">
        <f>IF(Data!H349="","",Data!H349)</f>
        <v/>
      </c>
      <c r="E352" s="330" t="str">
        <f>IF(Data!I349="","",Data!I349)</f>
        <v/>
      </c>
      <c r="F352" s="332" t="str">
        <f>IF(Data!J349="","",Data!J349)</f>
        <v>VIII-I</v>
      </c>
      <c r="G352" s="326" t="str">
        <f>IF(PA!G354="","",PA!G354)</f>
        <v/>
      </c>
      <c r="H352" s="327" t="str">
        <f>IF(PA!H354="","",PA!H354)</f>
        <v/>
      </c>
      <c r="I352" s="327" t="str">
        <f>IF(PA!I354="","",PA!I354)</f>
        <v/>
      </c>
      <c r="J352" s="327" t="str">
        <f>IF(PA!AA354="","",PA!AA354)</f>
        <v/>
      </c>
      <c r="K352" s="327" t="str">
        <f>IF(PA!AB354="","",PA!AB354)</f>
        <v/>
      </c>
      <c r="L352" s="327" t="str">
        <f>IF(PA!AC354="","",PA!AC354)</f>
        <v/>
      </c>
      <c r="M352" s="328" t="str">
        <f>IF(PA!P354="","",PA!P354)</f>
        <v/>
      </c>
    </row>
    <row r="353" spans="1:13" ht="14.4" x14ac:dyDescent="0.3">
      <c r="A353" s="329">
        <f>Data!E350</f>
        <v>26</v>
      </c>
      <c r="B353" s="330" t="str">
        <f>IF(Data!F350="","",Data!F350)</f>
        <v/>
      </c>
      <c r="C353" s="330" t="str">
        <f>IF(Data!G350="","",Data!G350)</f>
        <v/>
      </c>
      <c r="D353" s="331" t="str">
        <f>IF(Data!H350="","",Data!H350)</f>
        <v/>
      </c>
      <c r="E353" s="330" t="str">
        <f>IF(Data!I350="","",Data!I350)</f>
        <v/>
      </c>
      <c r="F353" s="332" t="str">
        <f>IF(Data!J350="","",Data!J350)</f>
        <v>VIII-I</v>
      </c>
      <c r="G353" s="326" t="str">
        <f>IF(PA!G355="","",PA!G355)</f>
        <v/>
      </c>
      <c r="H353" s="327" t="str">
        <f>IF(PA!H355="","",PA!H355)</f>
        <v/>
      </c>
      <c r="I353" s="327" t="str">
        <f>IF(PA!I355="","",PA!I355)</f>
        <v/>
      </c>
      <c r="J353" s="327" t="str">
        <f>IF(PA!AA355="","",PA!AA355)</f>
        <v/>
      </c>
      <c r="K353" s="327" t="str">
        <f>IF(PA!AB355="","",PA!AB355)</f>
        <v/>
      </c>
      <c r="L353" s="327" t="str">
        <f>IF(PA!AC355="","",PA!AC355)</f>
        <v/>
      </c>
      <c r="M353" s="328" t="str">
        <f>IF(PA!P355="","",PA!P355)</f>
        <v/>
      </c>
    </row>
    <row r="354" spans="1:13" ht="14.4" x14ac:dyDescent="0.3">
      <c r="A354" s="329">
        <f>Data!E351</f>
        <v>27</v>
      </c>
      <c r="B354" s="330" t="str">
        <f>IF(Data!F351="","",Data!F351)</f>
        <v/>
      </c>
      <c r="C354" s="330" t="str">
        <f>IF(Data!G351="","",Data!G351)</f>
        <v/>
      </c>
      <c r="D354" s="331" t="str">
        <f>IF(Data!H351="","",Data!H351)</f>
        <v/>
      </c>
      <c r="E354" s="330" t="str">
        <f>IF(Data!I351="","",Data!I351)</f>
        <v/>
      </c>
      <c r="F354" s="332" t="str">
        <f>IF(Data!J351="","",Data!J351)</f>
        <v>VIII-I</v>
      </c>
      <c r="G354" s="326" t="str">
        <f>IF(PA!G356="","",PA!G356)</f>
        <v/>
      </c>
      <c r="H354" s="327" t="str">
        <f>IF(PA!H356="","",PA!H356)</f>
        <v/>
      </c>
      <c r="I354" s="327" t="str">
        <f>IF(PA!I356="","",PA!I356)</f>
        <v/>
      </c>
      <c r="J354" s="327" t="str">
        <f>IF(PA!AA356="","",PA!AA356)</f>
        <v/>
      </c>
      <c r="K354" s="327" t="str">
        <f>IF(PA!AB356="","",PA!AB356)</f>
        <v/>
      </c>
      <c r="L354" s="327" t="str">
        <f>IF(PA!AC356="","",PA!AC356)</f>
        <v/>
      </c>
      <c r="M354" s="328" t="str">
        <f>IF(PA!P356="","",PA!P356)</f>
        <v/>
      </c>
    </row>
    <row r="355" spans="1:13" ht="14.4" x14ac:dyDescent="0.3">
      <c r="A355" s="329">
        <f>Data!E352</f>
        <v>28</v>
      </c>
      <c r="B355" s="330" t="str">
        <f>IF(Data!F352="","",Data!F352)</f>
        <v/>
      </c>
      <c r="C355" s="330" t="str">
        <f>IF(Data!G352="","",Data!G352)</f>
        <v/>
      </c>
      <c r="D355" s="331" t="str">
        <f>IF(Data!H352="","",Data!H352)</f>
        <v/>
      </c>
      <c r="E355" s="330" t="str">
        <f>IF(Data!I352="","",Data!I352)</f>
        <v/>
      </c>
      <c r="F355" s="332" t="str">
        <f>IF(Data!J352="","",Data!J352)</f>
        <v>VIII-I</v>
      </c>
      <c r="G355" s="326" t="str">
        <f>IF(PA!G357="","",PA!G357)</f>
        <v/>
      </c>
      <c r="H355" s="327" t="str">
        <f>IF(PA!H357="","",PA!H357)</f>
        <v/>
      </c>
      <c r="I355" s="327" t="str">
        <f>IF(PA!I357="","",PA!I357)</f>
        <v/>
      </c>
      <c r="J355" s="327" t="str">
        <f>IF(PA!AA357="","",PA!AA357)</f>
        <v/>
      </c>
      <c r="K355" s="327" t="str">
        <f>IF(PA!AB357="","",PA!AB357)</f>
        <v/>
      </c>
      <c r="L355" s="327" t="str">
        <f>IF(PA!AC357="","",PA!AC357)</f>
        <v/>
      </c>
      <c r="M355" s="328" t="str">
        <f>IF(PA!P357="","",PA!P357)</f>
        <v/>
      </c>
    </row>
    <row r="356" spans="1:13" ht="14.4" x14ac:dyDescent="0.3">
      <c r="A356" s="329">
        <f>Data!E353</f>
        <v>29</v>
      </c>
      <c r="B356" s="330" t="str">
        <f>IF(Data!F353="","",Data!F353)</f>
        <v/>
      </c>
      <c r="C356" s="330" t="str">
        <f>IF(Data!G353="","",Data!G353)</f>
        <v/>
      </c>
      <c r="D356" s="331" t="str">
        <f>IF(Data!H353="","",Data!H353)</f>
        <v/>
      </c>
      <c r="E356" s="330" t="str">
        <f>IF(Data!I353="","",Data!I353)</f>
        <v/>
      </c>
      <c r="F356" s="332" t="str">
        <f>IF(Data!J353="","",Data!J353)</f>
        <v>VIII-I</v>
      </c>
      <c r="G356" s="326" t="str">
        <f>IF(PA!G358="","",PA!G358)</f>
        <v/>
      </c>
      <c r="H356" s="327" t="str">
        <f>IF(PA!H358="","",PA!H358)</f>
        <v/>
      </c>
      <c r="I356" s="327" t="str">
        <f>IF(PA!I358="","",PA!I358)</f>
        <v/>
      </c>
      <c r="J356" s="327" t="str">
        <f>IF(PA!AA358="","",PA!AA358)</f>
        <v/>
      </c>
      <c r="K356" s="327" t="str">
        <f>IF(PA!AB358="","",PA!AB358)</f>
        <v/>
      </c>
      <c r="L356" s="327" t="str">
        <f>IF(PA!AC358="","",PA!AC358)</f>
        <v/>
      </c>
      <c r="M356" s="328" t="str">
        <f>IF(PA!P358="","",PA!P358)</f>
        <v/>
      </c>
    </row>
    <row r="357" spans="1:13" ht="14.4" x14ac:dyDescent="0.3">
      <c r="A357" s="329">
        <f>Data!E354</f>
        <v>30</v>
      </c>
      <c r="B357" s="330" t="str">
        <f>IF(Data!F354="","",Data!F354)</f>
        <v/>
      </c>
      <c r="C357" s="330" t="str">
        <f>IF(Data!G354="","",Data!G354)</f>
        <v/>
      </c>
      <c r="D357" s="331" t="str">
        <f>IF(Data!H354="","",Data!H354)</f>
        <v/>
      </c>
      <c r="E357" s="330" t="str">
        <f>IF(Data!I354="","",Data!I354)</f>
        <v/>
      </c>
      <c r="F357" s="332" t="str">
        <f>IF(Data!J354="","",Data!J354)</f>
        <v>VIII-I</v>
      </c>
      <c r="G357" s="326" t="str">
        <f>IF(PA!G359="","",PA!G359)</f>
        <v/>
      </c>
      <c r="H357" s="327" t="str">
        <f>IF(PA!H359="","",PA!H359)</f>
        <v/>
      </c>
      <c r="I357" s="327" t="str">
        <f>IF(PA!I359="","",PA!I359)</f>
        <v/>
      </c>
      <c r="J357" s="327" t="str">
        <f>IF(PA!AA359="","",PA!AA359)</f>
        <v/>
      </c>
      <c r="K357" s="327" t="str">
        <f>IF(PA!AB359="","",PA!AB359)</f>
        <v/>
      </c>
      <c r="L357" s="327" t="str">
        <f>IF(PA!AC359="","",PA!AC359)</f>
        <v/>
      </c>
      <c r="M357" s="328" t="str">
        <f>IF(PA!P359="","",PA!P359)</f>
        <v/>
      </c>
    </row>
    <row r="358" spans="1:13" ht="14.4" x14ac:dyDescent="0.3">
      <c r="A358" s="329">
        <f>Data!E355</f>
        <v>31</v>
      </c>
      <c r="B358" s="330" t="str">
        <f>IF(Data!F355="","",Data!F355)</f>
        <v/>
      </c>
      <c r="C358" s="330" t="str">
        <f>IF(Data!G355="","",Data!G355)</f>
        <v/>
      </c>
      <c r="D358" s="331" t="str">
        <f>IF(Data!H355="","",Data!H355)</f>
        <v/>
      </c>
      <c r="E358" s="330" t="str">
        <f>IF(Data!I355="","",Data!I355)</f>
        <v/>
      </c>
      <c r="F358" s="332" t="str">
        <f>IF(Data!J355="","",Data!J355)</f>
        <v>VIII-I</v>
      </c>
      <c r="G358" s="326" t="str">
        <f>IF(PA!G360="","",PA!G360)</f>
        <v/>
      </c>
      <c r="H358" s="327" t="str">
        <f>IF(PA!H360="","",PA!H360)</f>
        <v/>
      </c>
      <c r="I358" s="327" t="str">
        <f>IF(PA!I360="","",PA!I360)</f>
        <v/>
      </c>
      <c r="J358" s="327" t="str">
        <f>IF(PA!AA360="","",PA!AA360)</f>
        <v/>
      </c>
      <c r="K358" s="327" t="str">
        <f>IF(PA!AB360="","",PA!AB360)</f>
        <v/>
      </c>
      <c r="L358" s="327" t="str">
        <f>IF(PA!AC360="","",PA!AC360)</f>
        <v/>
      </c>
      <c r="M358" s="328" t="str">
        <f>IF(PA!P360="","",PA!P360)</f>
        <v/>
      </c>
    </row>
    <row r="359" spans="1:13" ht="14.4" x14ac:dyDescent="0.3">
      <c r="A359" s="329">
        <f>Data!E356</f>
        <v>32</v>
      </c>
      <c r="B359" s="330" t="str">
        <f>IF(Data!F356="","",Data!F356)</f>
        <v/>
      </c>
      <c r="C359" s="330" t="str">
        <f>IF(Data!G356="","",Data!G356)</f>
        <v/>
      </c>
      <c r="D359" s="331" t="str">
        <f>IF(Data!H356="","",Data!H356)</f>
        <v/>
      </c>
      <c r="E359" s="330" t="str">
        <f>IF(Data!I356="","",Data!I356)</f>
        <v/>
      </c>
      <c r="F359" s="332" t="str">
        <f>IF(Data!J356="","",Data!J356)</f>
        <v>VIII-I</v>
      </c>
      <c r="G359" s="326" t="str">
        <f>IF(PA!G361="","",PA!G361)</f>
        <v/>
      </c>
      <c r="H359" s="327" t="str">
        <f>IF(PA!H361="","",PA!H361)</f>
        <v/>
      </c>
      <c r="I359" s="327" t="str">
        <f>IF(PA!I361="","",PA!I361)</f>
        <v/>
      </c>
      <c r="J359" s="327" t="str">
        <f>IF(PA!AA361="","",PA!AA361)</f>
        <v/>
      </c>
      <c r="K359" s="327" t="str">
        <f>IF(PA!AB361="","",PA!AB361)</f>
        <v/>
      </c>
      <c r="L359" s="327" t="str">
        <f>IF(PA!AC361="","",PA!AC361)</f>
        <v/>
      </c>
      <c r="M359" s="328" t="str">
        <f>IF(PA!P361="","",PA!P361)</f>
        <v/>
      </c>
    </row>
    <row r="360" spans="1:13" ht="14.4" x14ac:dyDescent="0.3">
      <c r="A360" s="329">
        <f>Data!E357</f>
        <v>33</v>
      </c>
      <c r="B360" s="330" t="str">
        <f>IF(Data!F357="","",Data!F357)</f>
        <v/>
      </c>
      <c r="C360" s="330" t="str">
        <f>IF(Data!G357="","",Data!G357)</f>
        <v/>
      </c>
      <c r="D360" s="331" t="str">
        <f>IF(Data!H357="","",Data!H357)</f>
        <v/>
      </c>
      <c r="E360" s="330" t="str">
        <f>IF(Data!I357="","",Data!I357)</f>
        <v/>
      </c>
      <c r="F360" s="332" t="str">
        <f>IF(Data!J357="","",Data!J357)</f>
        <v>VIII-I</v>
      </c>
      <c r="G360" s="326" t="str">
        <f>IF(PA!G362="","",PA!G362)</f>
        <v/>
      </c>
      <c r="H360" s="327" t="str">
        <f>IF(PA!H362="","",PA!H362)</f>
        <v/>
      </c>
      <c r="I360" s="327" t="str">
        <f>IF(PA!I362="","",PA!I362)</f>
        <v/>
      </c>
      <c r="J360" s="327" t="str">
        <f>IF(PA!AA362="","",PA!AA362)</f>
        <v/>
      </c>
      <c r="K360" s="327" t="str">
        <f>IF(PA!AB362="","",PA!AB362)</f>
        <v/>
      </c>
      <c r="L360" s="327" t="str">
        <f>IF(PA!AC362="","",PA!AC362)</f>
        <v/>
      </c>
      <c r="M360" s="328" t="str">
        <f>IF(PA!P362="","",PA!P362)</f>
        <v/>
      </c>
    </row>
    <row r="361" spans="1:13" ht="14.4" x14ac:dyDescent="0.3">
      <c r="A361" s="329">
        <f>Data!E358</f>
        <v>34</v>
      </c>
      <c r="B361" s="330" t="str">
        <f>IF(Data!F358="","",Data!F358)</f>
        <v/>
      </c>
      <c r="C361" s="330" t="str">
        <f>IF(Data!G358="","",Data!G358)</f>
        <v/>
      </c>
      <c r="D361" s="331" t="str">
        <f>IF(Data!H358="","",Data!H358)</f>
        <v/>
      </c>
      <c r="E361" s="330" t="str">
        <f>IF(Data!I358="","",Data!I358)</f>
        <v/>
      </c>
      <c r="F361" s="332" t="str">
        <f>IF(Data!J358="","",Data!J358)</f>
        <v>VIII-I</v>
      </c>
      <c r="G361" s="326" t="str">
        <f>IF(PA!G363="","",PA!G363)</f>
        <v/>
      </c>
      <c r="H361" s="327" t="str">
        <f>IF(PA!H363="","",PA!H363)</f>
        <v/>
      </c>
      <c r="I361" s="327" t="str">
        <f>IF(PA!I363="","",PA!I363)</f>
        <v/>
      </c>
      <c r="J361" s="327" t="str">
        <f>IF(PA!AA363="","",PA!AA363)</f>
        <v/>
      </c>
      <c r="K361" s="327" t="str">
        <f>IF(PA!AB363="","",PA!AB363)</f>
        <v/>
      </c>
      <c r="L361" s="327" t="str">
        <f>IF(PA!AC363="","",PA!AC363)</f>
        <v/>
      </c>
      <c r="M361" s="328" t="str">
        <f>IF(PA!P363="","",PA!P363)</f>
        <v/>
      </c>
    </row>
    <row r="362" spans="1:13" ht="14.4" x14ac:dyDescent="0.3">
      <c r="A362" s="329">
        <f>Data!E359</f>
        <v>35</v>
      </c>
      <c r="B362" s="330" t="str">
        <f>IF(Data!F359="","",Data!F359)</f>
        <v/>
      </c>
      <c r="C362" s="330" t="str">
        <f>IF(Data!G359="","",Data!G359)</f>
        <v/>
      </c>
      <c r="D362" s="331" t="str">
        <f>IF(Data!H359="","",Data!H359)</f>
        <v/>
      </c>
      <c r="E362" s="330" t="str">
        <f>IF(Data!I359="","",Data!I359)</f>
        <v/>
      </c>
      <c r="F362" s="332" t="str">
        <f>IF(Data!J359="","",Data!J359)</f>
        <v>VIII-I</v>
      </c>
      <c r="G362" s="326" t="str">
        <f>IF(PA!G364="","",PA!G364)</f>
        <v/>
      </c>
      <c r="H362" s="327" t="str">
        <f>IF(PA!H364="","",PA!H364)</f>
        <v/>
      </c>
      <c r="I362" s="327" t="str">
        <f>IF(PA!I364="","",PA!I364)</f>
        <v/>
      </c>
      <c r="J362" s="327" t="str">
        <f>IF(PA!AA364="","",PA!AA364)</f>
        <v/>
      </c>
      <c r="K362" s="327" t="str">
        <f>IF(PA!AB364="","",PA!AB364)</f>
        <v/>
      </c>
      <c r="L362" s="327" t="str">
        <f>IF(PA!AC364="","",PA!AC364)</f>
        <v/>
      </c>
      <c r="M362" s="328" t="str">
        <f>IF(PA!P364="","",PA!P364)</f>
        <v/>
      </c>
    </row>
    <row r="363" spans="1:13" ht="14.4" x14ac:dyDescent="0.3">
      <c r="A363" s="329">
        <f>Data!E360</f>
        <v>36</v>
      </c>
      <c r="B363" s="330" t="str">
        <f>IF(Data!F360="","",Data!F360)</f>
        <v/>
      </c>
      <c r="C363" s="330" t="str">
        <f>IF(Data!G360="","",Data!G360)</f>
        <v/>
      </c>
      <c r="D363" s="331" t="str">
        <f>IF(Data!H360="","",Data!H360)</f>
        <v/>
      </c>
      <c r="E363" s="330" t="str">
        <f>IF(Data!I360="","",Data!I360)</f>
        <v/>
      </c>
      <c r="F363" s="332" t="str">
        <f>IF(Data!J360="","",Data!J360)</f>
        <v>VIII-I</v>
      </c>
      <c r="G363" s="326" t="str">
        <f>IF(PA!G365="","",PA!G365)</f>
        <v/>
      </c>
      <c r="H363" s="327" t="str">
        <f>IF(PA!H365="","",PA!H365)</f>
        <v/>
      </c>
      <c r="I363" s="327" t="str">
        <f>IF(PA!I365="","",PA!I365)</f>
        <v/>
      </c>
      <c r="J363" s="327" t="str">
        <f>IF(PA!AA365="","",PA!AA365)</f>
        <v/>
      </c>
      <c r="K363" s="327" t="str">
        <f>IF(PA!AB365="","",PA!AB365)</f>
        <v/>
      </c>
      <c r="L363" s="327" t="str">
        <f>IF(PA!AC365="","",PA!AC365)</f>
        <v/>
      </c>
      <c r="M363" s="328" t="str">
        <f>IF(PA!P365="","",PA!P365)</f>
        <v/>
      </c>
    </row>
    <row r="364" spans="1:13" ht="14.4" x14ac:dyDescent="0.3">
      <c r="A364" s="329">
        <f>Data!E361</f>
        <v>37</v>
      </c>
      <c r="B364" s="330" t="str">
        <f>IF(Data!F361="","",Data!F361)</f>
        <v/>
      </c>
      <c r="C364" s="330" t="str">
        <f>IF(Data!G361="","",Data!G361)</f>
        <v/>
      </c>
      <c r="D364" s="331" t="str">
        <f>IF(Data!H361="","",Data!H361)</f>
        <v/>
      </c>
      <c r="E364" s="330" t="str">
        <f>IF(Data!I361="","",Data!I361)</f>
        <v/>
      </c>
      <c r="F364" s="332" t="str">
        <f>IF(Data!J361="","",Data!J361)</f>
        <v>VIII-I</v>
      </c>
      <c r="G364" s="326" t="str">
        <f>IF(PA!G366="","",PA!G366)</f>
        <v/>
      </c>
      <c r="H364" s="327" t="str">
        <f>IF(PA!H366="","",PA!H366)</f>
        <v/>
      </c>
      <c r="I364" s="327" t="str">
        <f>IF(PA!I366="","",PA!I366)</f>
        <v/>
      </c>
      <c r="J364" s="327" t="str">
        <f>IF(PA!AA366="","",PA!AA366)</f>
        <v/>
      </c>
      <c r="K364" s="327" t="str">
        <f>IF(PA!AB366="","",PA!AB366)</f>
        <v/>
      </c>
      <c r="L364" s="327" t="str">
        <f>IF(PA!AC366="","",PA!AC366)</f>
        <v/>
      </c>
      <c r="M364" s="328" t="str">
        <f>IF(PA!P366="","",PA!P366)</f>
        <v/>
      </c>
    </row>
    <row r="365" spans="1:13" ht="14.4" x14ac:dyDescent="0.3">
      <c r="A365" s="329">
        <f>Data!E362</f>
        <v>38</v>
      </c>
      <c r="B365" s="330" t="str">
        <f>IF(Data!F362="","",Data!F362)</f>
        <v/>
      </c>
      <c r="C365" s="330" t="str">
        <f>IF(Data!G362="","",Data!G362)</f>
        <v/>
      </c>
      <c r="D365" s="331" t="str">
        <f>IF(Data!H362="","",Data!H362)</f>
        <v/>
      </c>
      <c r="E365" s="330" t="str">
        <f>IF(Data!I362="","",Data!I362)</f>
        <v/>
      </c>
      <c r="F365" s="332" t="str">
        <f>IF(Data!J362="","",Data!J362)</f>
        <v>VIII-I</v>
      </c>
      <c r="G365" s="326" t="str">
        <f>IF(PA!G367="","",PA!G367)</f>
        <v/>
      </c>
      <c r="H365" s="327" t="str">
        <f>IF(PA!H367="","",PA!H367)</f>
        <v/>
      </c>
      <c r="I365" s="327" t="str">
        <f>IF(PA!I367="","",PA!I367)</f>
        <v/>
      </c>
      <c r="J365" s="327" t="str">
        <f>IF(PA!AA367="","",PA!AA367)</f>
        <v/>
      </c>
      <c r="K365" s="327" t="str">
        <f>IF(PA!AB367="","",PA!AB367)</f>
        <v/>
      </c>
      <c r="L365" s="327" t="str">
        <f>IF(PA!AC367="","",PA!AC367)</f>
        <v/>
      </c>
      <c r="M365" s="328" t="str">
        <f>IF(PA!P367="","",PA!P367)</f>
        <v/>
      </c>
    </row>
    <row r="366" spans="1:13" ht="14.4" x14ac:dyDescent="0.3">
      <c r="A366" s="329">
        <f>Data!E363</f>
        <v>39</v>
      </c>
      <c r="B366" s="330" t="str">
        <f>IF(Data!F363="","",Data!F363)</f>
        <v/>
      </c>
      <c r="C366" s="330" t="str">
        <f>IF(Data!G363="","",Data!G363)</f>
        <v/>
      </c>
      <c r="D366" s="331" t="str">
        <f>IF(Data!H363="","",Data!H363)</f>
        <v/>
      </c>
      <c r="E366" s="330" t="str">
        <f>IF(Data!I363="","",Data!I363)</f>
        <v/>
      </c>
      <c r="F366" s="332" t="str">
        <f>IF(Data!J363="","",Data!J363)</f>
        <v>VIII-I</v>
      </c>
      <c r="G366" s="326" t="str">
        <f>IF(PA!G368="","",PA!G368)</f>
        <v/>
      </c>
      <c r="H366" s="327" t="str">
        <f>IF(PA!H368="","",PA!H368)</f>
        <v/>
      </c>
      <c r="I366" s="327" t="str">
        <f>IF(PA!I368="","",PA!I368)</f>
        <v/>
      </c>
      <c r="J366" s="327" t="str">
        <f>IF(PA!AA368="","",PA!AA368)</f>
        <v/>
      </c>
      <c r="K366" s="327" t="str">
        <f>IF(PA!AB368="","",PA!AB368)</f>
        <v/>
      </c>
      <c r="L366" s="327" t="str">
        <f>IF(PA!AC368="","",PA!AC368)</f>
        <v/>
      </c>
      <c r="M366" s="328" t="str">
        <f>IF(PA!P368="","",PA!P368)</f>
        <v/>
      </c>
    </row>
    <row r="367" spans="1:13" ht="15" thickBot="1" x14ac:dyDescent="0.35">
      <c r="A367" s="333">
        <f>Data!E364</f>
        <v>40</v>
      </c>
      <c r="B367" s="334" t="str">
        <f>IF(Data!F364="","",Data!F364)</f>
        <v/>
      </c>
      <c r="C367" s="334" t="str">
        <f>IF(Data!G364="","",Data!G364)</f>
        <v/>
      </c>
      <c r="D367" s="335" t="str">
        <f>IF(Data!H364="","",Data!H364)</f>
        <v/>
      </c>
      <c r="E367" s="334" t="str">
        <f>IF(Data!I364="","",Data!I364)</f>
        <v/>
      </c>
      <c r="F367" s="336" t="str">
        <f>IF(Data!J364="","",Data!J364)</f>
        <v>VIII-I</v>
      </c>
      <c r="G367" s="326" t="str">
        <f>IF(PA!G369="","",PA!G369)</f>
        <v/>
      </c>
      <c r="H367" s="327" t="str">
        <f>IF(PA!H369="","",PA!H369)</f>
        <v/>
      </c>
      <c r="I367" s="327" t="str">
        <f>IF(PA!I369="","",PA!I369)</f>
        <v/>
      </c>
      <c r="J367" s="327" t="str">
        <f>IF(PA!AA369="","",PA!AA369)</f>
        <v/>
      </c>
      <c r="K367" s="327" t="str">
        <f>IF(PA!AB369="","",PA!AB369)</f>
        <v/>
      </c>
      <c r="L367" s="327" t="str">
        <f>IF(PA!AC369="","",PA!AC369)</f>
        <v/>
      </c>
      <c r="M367" s="328" t="str">
        <f>IF(PA!P369="","",PA!P369)</f>
        <v/>
      </c>
    </row>
    <row r="368" spans="1:13" ht="15" thickTop="1" x14ac:dyDescent="0.3">
      <c r="A368" s="329">
        <f>Data!E365</f>
        <v>1</v>
      </c>
      <c r="B368" s="330" t="str">
        <f>IF(Data!F365="","",Data!F365)</f>
        <v/>
      </c>
      <c r="C368" s="330" t="str">
        <f>IF(Data!G365="","",Data!G365)</f>
        <v/>
      </c>
      <c r="D368" s="331" t="str">
        <f>IF(Data!H365="","",Data!H365)</f>
        <v/>
      </c>
      <c r="E368" s="330" t="str">
        <f>IF(Data!I365="","",Data!I365)</f>
        <v/>
      </c>
      <c r="F368" s="332" t="str">
        <f>IF(Data!J365="","",Data!J365)</f>
        <v>VIII-J</v>
      </c>
      <c r="G368" s="326" t="str">
        <f>IF(PA!G370="","",PA!G370)</f>
        <v/>
      </c>
      <c r="H368" s="327" t="str">
        <f>IF(PA!H370="","",PA!H370)</f>
        <v/>
      </c>
      <c r="I368" s="327" t="str">
        <f>IF(PA!I370="","",PA!I370)</f>
        <v/>
      </c>
      <c r="J368" s="327" t="str">
        <f>IF(PA!AA370="","",PA!AA370)</f>
        <v/>
      </c>
      <c r="K368" s="327" t="str">
        <f>IF(PA!AB370="","",PA!AB370)</f>
        <v/>
      </c>
      <c r="L368" s="327" t="str">
        <f>IF(PA!AC370="","",PA!AC370)</f>
        <v/>
      </c>
      <c r="M368" s="328" t="str">
        <f>IF(PA!P370="","",PA!P370)</f>
        <v/>
      </c>
    </row>
    <row r="369" spans="1:13" ht="14.4" x14ac:dyDescent="0.3">
      <c r="A369" s="329">
        <f>Data!E366</f>
        <v>2</v>
      </c>
      <c r="B369" s="330" t="str">
        <f>IF(Data!F366="","",Data!F366)</f>
        <v/>
      </c>
      <c r="C369" s="330" t="str">
        <f>IF(Data!G366="","",Data!G366)</f>
        <v/>
      </c>
      <c r="D369" s="331" t="str">
        <f>IF(Data!H366="","",Data!H366)</f>
        <v/>
      </c>
      <c r="E369" s="330" t="str">
        <f>IF(Data!I366="","",Data!I366)</f>
        <v/>
      </c>
      <c r="F369" s="332" t="str">
        <f>IF(Data!J366="","",Data!J366)</f>
        <v>VIII-J</v>
      </c>
      <c r="G369" s="326" t="str">
        <f>IF(PA!G371="","",PA!G371)</f>
        <v/>
      </c>
      <c r="H369" s="327" t="str">
        <f>IF(PA!H371="","",PA!H371)</f>
        <v/>
      </c>
      <c r="I369" s="327" t="str">
        <f>IF(PA!I371="","",PA!I371)</f>
        <v/>
      </c>
      <c r="J369" s="327" t="str">
        <f>IF(PA!AA371="","",PA!AA371)</f>
        <v/>
      </c>
      <c r="K369" s="327" t="str">
        <f>IF(PA!AB371="","",PA!AB371)</f>
        <v/>
      </c>
      <c r="L369" s="327" t="str">
        <f>IF(PA!AC371="","",PA!AC371)</f>
        <v/>
      </c>
      <c r="M369" s="328" t="str">
        <f>IF(PA!P371="","",PA!P371)</f>
        <v/>
      </c>
    </row>
    <row r="370" spans="1:13" ht="14.4" x14ac:dyDescent="0.3">
      <c r="A370" s="329">
        <f>Data!E367</f>
        <v>3</v>
      </c>
      <c r="B370" s="330" t="str">
        <f>IF(Data!F367="","",Data!F367)</f>
        <v/>
      </c>
      <c r="C370" s="330" t="str">
        <f>IF(Data!G367="","",Data!G367)</f>
        <v/>
      </c>
      <c r="D370" s="331" t="str">
        <f>IF(Data!H367="","",Data!H367)</f>
        <v/>
      </c>
      <c r="E370" s="330" t="str">
        <f>IF(Data!I367="","",Data!I367)</f>
        <v/>
      </c>
      <c r="F370" s="332" t="str">
        <f>IF(Data!J367="","",Data!J367)</f>
        <v>VIII-J</v>
      </c>
      <c r="G370" s="326" t="str">
        <f>IF(PA!G372="","",PA!G372)</f>
        <v/>
      </c>
      <c r="H370" s="327" t="str">
        <f>IF(PA!H372="","",PA!H372)</f>
        <v/>
      </c>
      <c r="I370" s="327" t="str">
        <f>IF(PA!I372="","",PA!I372)</f>
        <v/>
      </c>
      <c r="J370" s="327" t="str">
        <f>IF(PA!AA372="","",PA!AA372)</f>
        <v/>
      </c>
      <c r="K370" s="327" t="str">
        <f>IF(PA!AB372="","",PA!AB372)</f>
        <v/>
      </c>
      <c r="L370" s="327" t="str">
        <f>IF(PA!AC372="","",PA!AC372)</f>
        <v/>
      </c>
      <c r="M370" s="328" t="str">
        <f>IF(PA!P372="","",PA!P372)</f>
        <v/>
      </c>
    </row>
    <row r="371" spans="1:13" ht="14.4" x14ac:dyDescent="0.3">
      <c r="A371" s="329">
        <f>Data!E368</f>
        <v>4</v>
      </c>
      <c r="B371" s="330" t="str">
        <f>IF(Data!F368="","",Data!F368)</f>
        <v/>
      </c>
      <c r="C371" s="330" t="str">
        <f>IF(Data!G368="","",Data!G368)</f>
        <v/>
      </c>
      <c r="D371" s="331" t="str">
        <f>IF(Data!H368="","",Data!H368)</f>
        <v/>
      </c>
      <c r="E371" s="330" t="str">
        <f>IF(Data!I368="","",Data!I368)</f>
        <v/>
      </c>
      <c r="F371" s="332" t="str">
        <f>IF(Data!J368="","",Data!J368)</f>
        <v>VIII-J</v>
      </c>
      <c r="G371" s="326" t="str">
        <f>IF(PA!G373="","",PA!G373)</f>
        <v/>
      </c>
      <c r="H371" s="327" t="str">
        <f>IF(PA!H373="","",PA!H373)</f>
        <v/>
      </c>
      <c r="I371" s="327" t="str">
        <f>IF(PA!I373="","",PA!I373)</f>
        <v/>
      </c>
      <c r="J371" s="327" t="str">
        <f>IF(PA!AA373="","",PA!AA373)</f>
        <v/>
      </c>
      <c r="K371" s="327" t="str">
        <f>IF(PA!AB373="","",PA!AB373)</f>
        <v/>
      </c>
      <c r="L371" s="327" t="str">
        <f>IF(PA!AC373="","",PA!AC373)</f>
        <v/>
      </c>
      <c r="M371" s="328" t="str">
        <f>IF(PA!P373="","",PA!P373)</f>
        <v/>
      </c>
    </row>
    <row r="372" spans="1:13" ht="14.4" x14ac:dyDescent="0.3">
      <c r="A372" s="329">
        <f>Data!E369</f>
        <v>5</v>
      </c>
      <c r="B372" s="330" t="str">
        <f>IF(Data!F369="","",Data!F369)</f>
        <v/>
      </c>
      <c r="C372" s="330" t="str">
        <f>IF(Data!G369="","",Data!G369)</f>
        <v/>
      </c>
      <c r="D372" s="331" t="str">
        <f>IF(Data!H369="","",Data!H369)</f>
        <v/>
      </c>
      <c r="E372" s="330" t="str">
        <f>IF(Data!I369="","",Data!I369)</f>
        <v/>
      </c>
      <c r="F372" s="332" t="str">
        <f>IF(Data!J369="","",Data!J369)</f>
        <v>VIII-J</v>
      </c>
      <c r="G372" s="326" t="str">
        <f>IF(PA!G374="","",PA!G374)</f>
        <v/>
      </c>
      <c r="H372" s="327" t="str">
        <f>IF(PA!H374="","",PA!H374)</f>
        <v/>
      </c>
      <c r="I372" s="327" t="str">
        <f>IF(PA!I374="","",PA!I374)</f>
        <v/>
      </c>
      <c r="J372" s="327" t="str">
        <f>IF(PA!AA374="","",PA!AA374)</f>
        <v/>
      </c>
      <c r="K372" s="327" t="str">
        <f>IF(PA!AB374="","",PA!AB374)</f>
        <v/>
      </c>
      <c r="L372" s="327" t="str">
        <f>IF(PA!AC374="","",PA!AC374)</f>
        <v/>
      </c>
      <c r="M372" s="328" t="str">
        <f>IF(PA!P374="","",PA!P374)</f>
        <v/>
      </c>
    </row>
    <row r="373" spans="1:13" ht="14.4" x14ac:dyDescent="0.3">
      <c r="A373" s="329">
        <f>Data!E370</f>
        <v>6</v>
      </c>
      <c r="B373" s="330" t="str">
        <f>IF(Data!F370="","",Data!F370)</f>
        <v/>
      </c>
      <c r="C373" s="330" t="str">
        <f>IF(Data!G370="","",Data!G370)</f>
        <v/>
      </c>
      <c r="D373" s="331" t="str">
        <f>IF(Data!H370="","",Data!H370)</f>
        <v/>
      </c>
      <c r="E373" s="330" t="str">
        <f>IF(Data!I370="","",Data!I370)</f>
        <v/>
      </c>
      <c r="F373" s="332" t="str">
        <f>IF(Data!J370="","",Data!J370)</f>
        <v>VIII-J</v>
      </c>
      <c r="G373" s="326" t="str">
        <f>IF(PA!G375="","",PA!G375)</f>
        <v/>
      </c>
      <c r="H373" s="327" t="str">
        <f>IF(PA!H375="","",PA!H375)</f>
        <v/>
      </c>
      <c r="I373" s="327" t="str">
        <f>IF(PA!I375="","",PA!I375)</f>
        <v/>
      </c>
      <c r="J373" s="327" t="str">
        <f>IF(PA!AA375="","",PA!AA375)</f>
        <v/>
      </c>
      <c r="K373" s="327" t="str">
        <f>IF(PA!AB375="","",PA!AB375)</f>
        <v/>
      </c>
      <c r="L373" s="327" t="str">
        <f>IF(PA!AC375="","",PA!AC375)</f>
        <v/>
      </c>
      <c r="M373" s="328" t="str">
        <f>IF(PA!P375="","",PA!P375)</f>
        <v/>
      </c>
    </row>
    <row r="374" spans="1:13" ht="14.4" x14ac:dyDescent="0.3">
      <c r="A374" s="329">
        <f>Data!E371</f>
        <v>7</v>
      </c>
      <c r="B374" s="330" t="str">
        <f>IF(Data!F371="","",Data!F371)</f>
        <v/>
      </c>
      <c r="C374" s="330" t="str">
        <f>IF(Data!G371="","",Data!G371)</f>
        <v/>
      </c>
      <c r="D374" s="331" t="str">
        <f>IF(Data!H371="","",Data!H371)</f>
        <v/>
      </c>
      <c r="E374" s="330" t="str">
        <f>IF(Data!I371="","",Data!I371)</f>
        <v/>
      </c>
      <c r="F374" s="332" t="str">
        <f>IF(Data!J371="","",Data!J371)</f>
        <v>VIII-J</v>
      </c>
      <c r="G374" s="326" t="str">
        <f>IF(PA!G376="","",PA!G376)</f>
        <v/>
      </c>
      <c r="H374" s="327" t="str">
        <f>IF(PA!H376="","",PA!H376)</f>
        <v/>
      </c>
      <c r="I374" s="327" t="str">
        <f>IF(PA!I376="","",PA!I376)</f>
        <v/>
      </c>
      <c r="J374" s="327" t="str">
        <f>IF(PA!AA376="","",PA!AA376)</f>
        <v/>
      </c>
      <c r="K374" s="327" t="str">
        <f>IF(PA!AB376="","",PA!AB376)</f>
        <v/>
      </c>
      <c r="L374" s="327" t="str">
        <f>IF(PA!AC376="","",PA!AC376)</f>
        <v/>
      </c>
      <c r="M374" s="328" t="str">
        <f>IF(PA!P376="","",PA!P376)</f>
        <v/>
      </c>
    </row>
    <row r="375" spans="1:13" ht="14.4" x14ac:dyDescent="0.3">
      <c r="A375" s="329">
        <f>Data!E372</f>
        <v>8</v>
      </c>
      <c r="B375" s="330" t="str">
        <f>IF(Data!F372="","",Data!F372)</f>
        <v/>
      </c>
      <c r="C375" s="330" t="str">
        <f>IF(Data!G372="","",Data!G372)</f>
        <v/>
      </c>
      <c r="D375" s="331" t="str">
        <f>IF(Data!H372="","",Data!H372)</f>
        <v/>
      </c>
      <c r="E375" s="330" t="str">
        <f>IF(Data!I372="","",Data!I372)</f>
        <v/>
      </c>
      <c r="F375" s="332" t="str">
        <f>IF(Data!J372="","",Data!J372)</f>
        <v>VIII-J</v>
      </c>
      <c r="G375" s="326" t="str">
        <f>IF(PA!G377="","",PA!G377)</f>
        <v/>
      </c>
      <c r="H375" s="327" t="str">
        <f>IF(PA!H377="","",PA!H377)</f>
        <v/>
      </c>
      <c r="I375" s="327" t="str">
        <f>IF(PA!I377="","",PA!I377)</f>
        <v/>
      </c>
      <c r="J375" s="327" t="str">
        <f>IF(PA!AA377="","",PA!AA377)</f>
        <v/>
      </c>
      <c r="K375" s="327" t="str">
        <f>IF(PA!AB377="","",PA!AB377)</f>
        <v/>
      </c>
      <c r="L375" s="327" t="str">
        <f>IF(PA!AC377="","",PA!AC377)</f>
        <v/>
      </c>
      <c r="M375" s="328" t="str">
        <f>IF(PA!P377="","",PA!P377)</f>
        <v/>
      </c>
    </row>
    <row r="376" spans="1:13" ht="14.4" x14ac:dyDescent="0.3">
      <c r="A376" s="329">
        <f>Data!E373</f>
        <v>9</v>
      </c>
      <c r="B376" s="330" t="str">
        <f>IF(Data!F373="","",Data!F373)</f>
        <v/>
      </c>
      <c r="C376" s="330" t="str">
        <f>IF(Data!G373="","",Data!G373)</f>
        <v/>
      </c>
      <c r="D376" s="331" t="str">
        <f>IF(Data!H373="","",Data!H373)</f>
        <v/>
      </c>
      <c r="E376" s="330" t="str">
        <f>IF(Data!I373="","",Data!I373)</f>
        <v/>
      </c>
      <c r="F376" s="332" t="str">
        <f>IF(Data!J373="","",Data!J373)</f>
        <v>VIII-J</v>
      </c>
      <c r="G376" s="326" t="str">
        <f>IF(PA!G378="","",PA!G378)</f>
        <v/>
      </c>
      <c r="H376" s="327" t="str">
        <f>IF(PA!H378="","",PA!H378)</f>
        <v/>
      </c>
      <c r="I376" s="327" t="str">
        <f>IF(PA!I378="","",PA!I378)</f>
        <v/>
      </c>
      <c r="J376" s="327" t="str">
        <f>IF(PA!AA378="","",PA!AA378)</f>
        <v/>
      </c>
      <c r="K376" s="327" t="str">
        <f>IF(PA!AB378="","",PA!AB378)</f>
        <v/>
      </c>
      <c r="L376" s="327" t="str">
        <f>IF(PA!AC378="","",PA!AC378)</f>
        <v/>
      </c>
      <c r="M376" s="328" t="str">
        <f>IF(PA!P378="","",PA!P378)</f>
        <v/>
      </c>
    </row>
    <row r="377" spans="1:13" ht="14.4" x14ac:dyDescent="0.3">
      <c r="A377" s="329">
        <f>Data!E374</f>
        <v>10</v>
      </c>
      <c r="B377" s="330" t="str">
        <f>IF(Data!F374="","",Data!F374)</f>
        <v/>
      </c>
      <c r="C377" s="330" t="str">
        <f>IF(Data!G374="","",Data!G374)</f>
        <v/>
      </c>
      <c r="D377" s="331" t="str">
        <f>IF(Data!H374="","",Data!H374)</f>
        <v/>
      </c>
      <c r="E377" s="330" t="str">
        <f>IF(Data!I374="","",Data!I374)</f>
        <v/>
      </c>
      <c r="F377" s="332" t="str">
        <f>IF(Data!J374="","",Data!J374)</f>
        <v>VIII-J</v>
      </c>
      <c r="G377" s="326" t="str">
        <f>IF(PA!G379="","",PA!G379)</f>
        <v/>
      </c>
      <c r="H377" s="327" t="str">
        <f>IF(PA!H379="","",PA!H379)</f>
        <v/>
      </c>
      <c r="I377" s="327" t="str">
        <f>IF(PA!I379="","",PA!I379)</f>
        <v/>
      </c>
      <c r="J377" s="327" t="str">
        <f>IF(PA!AA379="","",PA!AA379)</f>
        <v/>
      </c>
      <c r="K377" s="327" t="str">
        <f>IF(PA!AB379="","",PA!AB379)</f>
        <v/>
      </c>
      <c r="L377" s="327" t="str">
        <f>IF(PA!AC379="","",PA!AC379)</f>
        <v/>
      </c>
      <c r="M377" s="328" t="str">
        <f>IF(PA!P379="","",PA!P379)</f>
        <v/>
      </c>
    </row>
    <row r="378" spans="1:13" ht="14.4" x14ac:dyDescent="0.3">
      <c r="A378" s="329">
        <f>Data!E375</f>
        <v>11</v>
      </c>
      <c r="B378" s="330" t="str">
        <f>IF(Data!F375="","",Data!F375)</f>
        <v/>
      </c>
      <c r="C378" s="330" t="str">
        <f>IF(Data!G375="","",Data!G375)</f>
        <v/>
      </c>
      <c r="D378" s="331" t="str">
        <f>IF(Data!H375="","",Data!H375)</f>
        <v/>
      </c>
      <c r="E378" s="330" t="str">
        <f>IF(Data!I375="","",Data!I375)</f>
        <v/>
      </c>
      <c r="F378" s="332" t="str">
        <f>IF(Data!J375="","",Data!J375)</f>
        <v>VIII-J</v>
      </c>
      <c r="G378" s="326" t="str">
        <f>IF(PA!G380="","",PA!G380)</f>
        <v/>
      </c>
      <c r="H378" s="327" t="str">
        <f>IF(PA!H380="","",PA!H380)</f>
        <v/>
      </c>
      <c r="I378" s="327" t="str">
        <f>IF(PA!I380="","",PA!I380)</f>
        <v/>
      </c>
      <c r="J378" s="327" t="str">
        <f>IF(PA!AA380="","",PA!AA380)</f>
        <v/>
      </c>
      <c r="K378" s="327" t="str">
        <f>IF(PA!AB380="","",PA!AB380)</f>
        <v/>
      </c>
      <c r="L378" s="327" t="str">
        <f>IF(PA!AC380="","",PA!AC380)</f>
        <v/>
      </c>
      <c r="M378" s="328" t="str">
        <f>IF(PA!P380="","",PA!P380)</f>
        <v/>
      </c>
    </row>
    <row r="379" spans="1:13" ht="14.4" x14ac:dyDescent="0.3">
      <c r="A379" s="329">
        <f>Data!E376</f>
        <v>12</v>
      </c>
      <c r="B379" s="330" t="str">
        <f>IF(Data!F376="","",Data!F376)</f>
        <v/>
      </c>
      <c r="C379" s="330" t="str">
        <f>IF(Data!G376="","",Data!G376)</f>
        <v/>
      </c>
      <c r="D379" s="331" t="str">
        <f>IF(Data!H376="","",Data!H376)</f>
        <v/>
      </c>
      <c r="E379" s="330" t="str">
        <f>IF(Data!I376="","",Data!I376)</f>
        <v/>
      </c>
      <c r="F379" s="332" t="str">
        <f>IF(Data!J376="","",Data!J376)</f>
        <v>VIII-J</v>
      </c>
      <c r="G379" s="326" t="str">
        <f>IF(PA!G381="","",PA!G381)</f>
        <v/>
      </c>
      <c r="H379" s="327" t="str">
        <f>IF(PA!H381="","",PA!H381)</f>
        <v/>
      </c>
      <c r="I379" s="327" t="str">
        <f>IF(PA!I381="","",PA!I381)</f>
        <v/>
      </c>
      <c r="J379" s="327" t="str">
        <f>IF(PA!AA381="","",PA!AA381)</f>
        <v/>
      </c>
      <c r="K379" s="327" t="str">
        <f>IF(PA!AB381="","",PA!AB381)</f>
        <v/>
      </c>
      <c r="L379" s="327" t="str">
        <f>IF(PA!AC381="","",PA!AC381)</f>
        <v/>
      </c>
      <c r="M379" s="328" t="str">
        <f>IF(PA!P381="","",PA!P381)</f>
        <v/>
      </c>
    </row>
    <row r="380" spans="1:13" ht="14.4" x14ac:dyDescent="0.3">
      <c r="A380" s="329">
        <f>Data!E377</f>
        <v>13</v>
      </c>
      <c r="B380" s="330" t="str">
        <f>IF(Data!F377="","",Data!F377)</f>
        <v/>
      </c>
      <c r="C380" s="330" t="str">
        <f>IF(Data!G377="","",Data!G377)</f>
        <v/>
      </c>
      <c r="D380" s="331" t="str">
        <f>IF(Data!H377="","",Data!H377)</f>
        <v/>
      </c>
      <c r="E380" s="330" t="str">
        <f>IF(Data!I377="","",Data!I377)</f>
        <v/>
      </c>
      <c r="F380" s="332" t="str">
        <f>IF(Data!J377="","",Data!J377)</f>
        <v>VIII-J</v>
      </c>
      <c r="G380" s="326" t="str">
        <f>IF(PA!G382="","",PA!G382)</f>
        <v/>
      </c>
      <c r="H380" s="327" t="str">
        <f>IF(PA!H382="","",PA!H382)</f>
        <v/>
      </c>
      <c r="I380" s="327" t="str">
        <f>IF(PA!I382="","",PA!I382)</f>
        <v/>
      </c>
      <c r="J380" s="327" t="str">
        <f>IF(PA!AA382="","",PA!AA382)</f>
        <v/>
      </c>
      <c r="K380" s="327" t="str">
        <f>IF(PA!AB382="","",PA!AB382)</f>
        <v/>
      </c>
      <c r="L380" s="327" t="str">
        <f>IF(PA!AC382="","",PA!AC382)</f>
        <v/>
      </c>
      <c r="M380" s="328" t="str">
        <f>IF(PA!P382="","",PA!P382)</f>
        <v/>
      </c>
    </row>
    <row r="381" spans="1:13" ht="14.4" x14ac:dyDescent="0.3">
      <c r="A381" s="329">
        <f>Data!E378</f>
        <v>14</v>
      </c>
      <c r="B381" s="330" t="str">
        <f>IF(Data!F378="","",Data!F378)</f>
        <v/>
      </c>
      <c r="C381" s="330" t="str">
        <f>IF(Data!G378="","",Data!G378)</f>
        <v/>
      </c>
      <c r="D381" s="331" t="str">
        <f>IF(Data!H378="","",Data!H378)</f>
        <v/>
      </c>
      <c r="E381" s="330" t="str">
        <f>IF(Data!I378="","",Data!I378)</f>
        <v/>
      </c>
      <c r="F381" s="332" t="str">
        <f>IF(Data!J378="","",Data!J378)</f>
        <v>VIII-J</v>
      </c>
      <c r="G381" s="326" t="str">
        <f>IF(PA!G383="","",PA!G383)</f>
        <v/>
      </c>
      <c r="H381" s="327" t="str">
        <f>IF(PA!H383="","",PA!H383)</f>
        <v/>
      </c>
      <c r="I381" s="327" t="str">
        <f>IF(PA!I383="","",PA!I383)</f>
        <v/>
      </c>
      <c r="J381" s="327" t="str">
        <f>IF(PA!AA383="","",PA!AA383)</f>
        <v/>
      </c>
      <c r="K381" s="327" t="str">
        <f>IF(PA!AB383="","",PA!AB383)</f>
        <v/>
      </c>
      <c r="L381" s="327" t="str">
        <f>IF(PA!AC383="","",PA!AC383)</f>
        <v/>
      </c>
      <c r="M381" s="328" t="str">
        <f>IF(PA!P383="","",PA!P383)</f>
        <v/>
      </c>
    </row>
    <row r="382" spans="1:13" ht="14.4" x14ac:dyDescent="0.3">
      <c r="A382" s="329">
        <f>Data!E379</f>
        <v>15</v>
      </c>
      <c r="B382" s="330" t="str">
        <f>IF(Data!F379="","",Data!F379)</f>
        <v/>
      </c>
      <c r="C382" s="330" t="str">
        <f>IF(Data!G379="","",Data!G379)</f>
        <v/>
      </c>
      <c r="D382" s="331" t="str">
        <f>IF(Data!H379="","",Data!H379)</f>
        <v/>
      </c>
      <c r="E382" s="330" t="str">
        <f>IF(Data!I379="","",Data!I379)</f>
        <v/>
      </c>
      <c r="F382" s="332" t="str">
        <f>IF(Data!J379="","",Data!J379)</f>
        <v>VIII-J</v>
      </c>
      <c r="G382" s="326" t="str">
        <f>IF(PA!G384="","",PA!G384)</f>
        <v/>
      </c>
      <c r="H382" s="327" t="str">
        <f>IF(PA!H384="","",PA!H384)</f>
        <v/>
      </c>
      <c r="I382" s="327" t="str">
        <f>IF(PA!I384="","",PA!I384)</f>
        <v/>
      </c>
      <c r="J382" s="327" t="str">
        <f>IF(PA!AA384="","",PA!AA384)</f>
        <v/>
      </c>
      <c r="K382" s="327" t="str">
        <f>IF(PA!AB384="","",PA!AB384)</f>
        <v/>
      </c>
      <c r="L382" s="327" t="str">
        <f>IF(PA!AC384="","",PA!AC384)</f>
        <v/>
      </c>
      <c r="M382" s="328" t="str">
        <f>IF(PA!P384="","",PA!P384)</f>
        <v/>
      </c>
    </row>
    <row r="383" spans="1:13" ht="14.4" x14ac:dyDescent="0.3">
      <c r="A383" s="329">
        <f>Data!E380</f>
        <v>16</v>
      </c>
      <c r="B383" s="330" t="str">
        <f>IF(Data!F380="","",Data!F380)</f>
        <v/>
      </c>
      <c r="C383" s="330" t="str">
        <f>IF(Data!G380="","",Data!G380)</f>
        <v/>
      </c>
      <c r="D383" s="331" t="str">
        <f>IF(Data!H380="","",Data!H380)</f>
        <v/>
      </c>
      <c r="E383" s="330" t="str">
        <f>IF(Data!I380="","",Data!I380)</f>
        <v/>
      </c>
      <c r="F383" s="332" t="str">
        <f>IF(Data!J380="","",Data!J380)</f>
        <v>VIII-J</v>
      </c>
      <c r="G383" s="326" t="str">
        <f>IF(PA!G385="","",PA!G385)</f>
        <v/>
      </c>
      <c r="H383" s="327" t="str">
        <f>IF(PA!H385="","",PA!H385)</f>
        <v/>
      </c>
      <c r="I383" s="327" t="str">
        <f>IF(PA!I385="","",PA!I385)</f>
        <v/>
      </c>
      <c r="J383" s="327" t="str">
        <f>IF(PA!AA385="","",PA!AA385)</f>
        <v/>
      </c>
      <c r="K383" s="327" t="str">
        <f>IF(PA!AB385="","",PA!AB385)</f>
        <v/>
      </c>
      <c r="L383" s="327" t="str">
        <f>IF(PA!AC385="","",PA!AC385)</f>
        <v/>
      </c>
      <c r="M383" s="328" t="str">
        <f>IF(PA!P385="","",PA!P385)</f>
        <v/>
      </c>
    </row>
    <row r="384" spans="1:13" ht="14.4" x14ac:dyDescent="0.3">
      <c r="A384" s="329">
        <f>Data!E381</f>
        <v>17</v>
      </c>
      <c r="B384" s="330" t="str">
        <f>IF(Data!F381="","",Data!F381)</f>
        <v/>
      </c>
      <c r="C384" s="330" t="str">
        <f>IF(Data!G381="","",Data!G381)</f>
        <v/>
      </c>
      <c r="D384" s="331" t="str">
        <f>IF(Data!H381="","",Data!H381)</f>
        <v/>
      </c>
      <c r="E384" s="330" t="str">
        <f>IF(Data!I381="","",Data!I381)</f>
        <v/>
      </c>
      <c r="F384" s="332" t="str">
        <f>IF(Data!J381="","",Data!J381)</f>
        <v>VIII-J</v>
      </c>
      <c r="G384" s="326" t="str">
        <f>IF(PA!G386="","",PA!G386)</f>
        <v/>
      </c>
      <c r="H384" s="327" t="str">
        <f>IF(PA!H386="","",PA!H386)</f>
        <v/>
      </c>
      <c r="I384" s="327" t="str">
        <f>IF(PA!I386="","",PA!I386)</f>
        <v/>
      </c>
      <c r="J384" s="327" t="str">
        <f>IF(PA!AA386="","",PA!AA386)</f>
        <v/>
      </c>
      <c r="K384" s="327" t="str">
        <f>IF(PA!AB386="","",PA!AB386)</f>
        <v/>
      </c>
      <c r="L384" s="327" t="str">
        <f>IF(PA!AC386="","",PA!AC386)</f>
        <v/>
      </c>
      <c r="M384" s="328" t="str">
        <f>IF(PA!P386="","",PA!P386)</f>
        <v/>
      </c>
    </row>
    <row r="385" spans="1:13" ht="14.4" x14ac:dyDescent="0.3">
      <c r="A385" s="329">
        <f>Data!E382</f>
        <v>18</v>
      </c>
      <c r="B385" s="330" t="str">
        <f>IF(Data!F382="","",Data!F382)</f>
        <v/>
      </c>
      <c r="C385" s="330" t="str">
        <f>IF(Data!G382="","",Data!G382)</f>
        <v/>
      </c>
      <c r="D385" s="331" t="str">
        <f>IF(Data!H382="","",Data!H382)</f>
        <v/>
      </c>
      <c r="E385" s="330" t="str">
        <f>IF(Data!I382="","",Data!I382)</f>
        <v/>
      </c>
      <c r="F385" s="332" t="str">
        <f>IF(Data!J382="","",Data!J382)</f>
        <v>VIII-J</v>
      </c>
      <c r="G385" s="326" t="str">
        <f>IF(PA!G387="","",PA!G387)</f>
        <v/>
      </c>
      <c r="H385" s="327" t="str">
        <f>IF(PA!H387="","",PA!H387)</f>
        <v/>
      </c>
      <c r="I385" s="327" t="str">
        <f>IF(PA!I387="","",PA!I387)</f>
        <v/>
      </c>
      <c r="J385" s="327" t="str">
        <f>IF(PA!AA387="","",PA!AA387)</f>
        <v/>
      </c>
      <c r="K385" s="327" t="str">
        <f>IF(PA!AB387="","",PA!AB387)</f>
        <v/>
      </c>
      <c r="L385" s="327" t="str">
        <f>IF(PA!AC387="","",PA!AC387)</f>
        <v/>
      </c>
      <c r="M385" s="328" t="str">
        <f>IF(PA!P387="","",PA!P387)</f>
        <v/>
      </c>
    </row>
    <row r="386" spans="1:13" ht="14.4" x14ac:dyDescent="0.3">
      <c r="A386" s="329">
        <f>Data!E383</f>
        <v>19</v>
      </c>
      <c r="B386" s="330" t="str">
        <f>IF(Data!F383="","",Data!F383)</f>
        <v/>
      </c>
      <c r="C386" s="330" t="str">
        <f>IF(Data!G383="","",Data!G383)</f>
        <v/>
      </c>
      <c r="D386" s="331" t="str">
        <f>IF(Data!H383="","",Data!H383)</f>
        <v/>
      </c>
      <c r="E386" s="330" t="str">
        <f>IF(Data!I383="","",Data!I383)</f>
        <v/>
      </c>
      <c r="F386" s="332" t="str">
        <f>IF(Data!J383="","",Data!J383)</f>
        <v>VIII-J</v>
      </c>
      <c r="G386" s="326" t="str">
        <f>IF(PA!G388="","",PA!G388)</f>
        <v/>
      </c>
      <c r="H386" s="327" t="str">
        <f>IF(PA!H388="","",PA!H388)</f>
        <v/>
      </c>
      <c r="I386" s="327" t="str">
        <f>IF(PA!I388="","",PA!I388)</f>
        <v/>
      </c>
      <c r="J386" s="327" t="str">
        <f>IF(PA!AA388="","",PA!AA388)</f>
        <v/>
      </c>
      <c r="K386" s="327" t="str">
        <f>IF(PA!AB388="","",PA!AB388)</f>
        <v/>
      </c>
      <c r="L386" s="327" t="str">
        <f>IF(PA!AC388="","",PA!AC388)</f>
        <v/>
      </c>
      <c r="M386" s="328" t="str">
        <f>IF(PA!P388="","",PA!P388)</f>
        <v/>
      </c>
    </row>
    <row r="387" spans="1:13" ht="14.4" x14ac:dyDescent="0.3">
      <c r="A387" s="329">
        <f>Data!E384</f>
        <v>20</v>
      </c>
      <c r="B387" s="330" t="str">
        <f>IF(Data!F384="","",Data!F384)</f>
        <v/>
      </c>
      <c r="C387" s="330" t="str">
        <f>IF(Data!G384="","",Data!G384)</f>
        <v/>
      </c>
      <c r="D387" s="331" t="str">
        <f>IF(Data!H384="","",Data!H384)</f>
        <v/>
      </c>
      <c r="E387" s="330" t="str">
        <f>IF(Data!I384="","",Data!I384)</f>
        <v/>
      </c>
      <c r="F387" s="332" t="str">
        <f>IF(Data!J384="","",Data!J384)</f>
        <v>VIII-J</v>
      </c>
      <c r="G387" s="326" t="str">
        <f>IF(PA!G389="","",PA!G389)</f>
        <v/>
      </c>
      <c r="H387" s="327" t="str">
        <f>IF(PA!H389="","",PA!H389)</f>
        <v/>
      </c>
      <c r="I387" s="327" t="str">
        <f>IF(PA!I389="","",PA!I389)</f>
        <v/>
      </c>
      <c r="J387" s="327" t="str">
        <f>IF(PA!AA389="","",PA!AA389)</f>
        <v/>
      </c>
      <c r="K387" s="327" t="str">
        <f>IF(PA!AB389="","",PA!AB389)</f>
        <v/>
      </c>
      <c r="L387" s="327" t="str">
        <f>IF(PA!AC389="","",PA!AC389)</f>
        <v/>
      </c>
      <c r="M387" s="328" t="str">
        <f>IF(PA!P389="","",PA!P389)</f>
        <v/>
      </c>
    </row>
    <row r="388" spans="1:13" ht="14.4" x14ac:dyDescent="0.3">
      <c r="A388" s="329">
        <f>Data!E385</f>
        <v>21</v>
      </c>
      <c r="B388" s="330" t="str">
        <f>IF(Data!F385="","",Data!F385)</f>
        <v/>
      </c>
      <c r="C388" s="330" t="str">
        <f>IF(Data!G385="","",Data!G385)</f>
        <v/>
      </c>
      <c r="D388" s="331" t="str">
        <f>IF(Data!H385="","",Data!H385)</f>
        <v/>
      </c>
      <c r="E388" s="330" t="str">
        <f>IF(Data!I385="","",Data!I385)</f>
        <v/>
      </c>
      <c r="F388" s="332" t="str">
        <f>IF(Data!J385="","",Data!J385)</f>
        <v>VIII-J</v>
      </c>
      <c r="G388" s="326" t="str">
        <f>IF(PA!G390="","",PA!G390)</f>
        <v/>
      </c>
      <c r="H388" s="327" t="str">
        <f>IF(PA!H390="","",PA!H390)</f>
        <v/>
      </c>
      <c r="I388" s="327" t="str">
        <f>IF(PA!I390="","",PA!I390)</f>
        <v/>
      </c>
      <c r="J388" s="327" t="str">
        <f>IF(PA!AA390="","",PA!AA390)</f>
        <v/>
      </c>
      <c r="K388" s="327" t="str">
        <f>IF(PA!AB390="","",PA!AB390)</f>
        <v/>
      </c>
      <c r="L388" s="327" t="str">
        <f>IF(PA!AC390="","",PA!AC390)</f>
        <v/>
      </c>
      <c r="M388" s="328" t="str">
        <f>IF(PA!P390="","",PA!P390)</f>
        <v/>
      </c>
    </row>
    <row r="389" spans="1:13" ht="14.4" x14ac:dyDescent="0.3">
      <c r="A389" s="329">
        <f>Data!E386</f>
        <v>22</v>
      </c>
      <c r="B389" s="330" t="str">
        <f>IF(Data!F386="","",Data!F386)</f>
        <v/>
      </c>
      <c r="C389" s="330" t="str">
        <f>IF(Data!G386="","",Data!G386)</f>
        <v/>
      </c>
      <c r="D389" s="331" t="str">
        <f>IF(Data!H386="","",Data!H386)</f>
        <v/>
      </c>
      <c r="E389" s="330" t="str">
        <f>IF(Data!I386="","",Data!I386)</f>
        <v/>
      </c>
      <c r="F389" s="332" t="str">
        <f>IF(Data!J386="","",Data!J386)</f>
        <v>VIII-J</v>
      </c>
      <c r="G389" s="326" t="str">
        <f>IF(PA!G391="","",PA!G391)</f>
        <v/>
      </c>
      <c r="H389" s="327" t="str">
        <f>IF(PA!H391="","",PA!H391)</f>
        <v/>
      </c>
      <c r="I389" s="327" t="str">
        <f>IF(PA!I391="","",PA!I391)</f>
        <v/>
      </c>
      <c r="J389" s="327" t="str">
        <f>IF(PA!AA391="","",PA!AA391)</f>
        <v/>
      </c>
      <c r="K389" s="327" t="str">
        <f>IF(PA!AB391="","",PA!AB391)</f>
        <v/>
      </c>
      <c r="L389" s="327" t="str">
        <f>IF(PA!AC391="","",PA!AC391)</f>
        <v/>
      </c>
      <c r="M389" s="328" t="str">
        <f>IF(PA!P391="","",PA!P391)</f>
        <v/>
      </c>
    </row>
    <row r="390" spans="1:13" ht="14.4" x14ac:dyDescent="0.3">
      <c r="A390" s="329">
        <f>Data!E387</f>
        <v>23</v>
      </c>
      <c r="B390" s="330" t="str">
        <f>IF(Data!F387="","",Data!F387)</f>
        <v/>
      </c>
      <c r="C390" s="330" t="str">
        <f>IF(Data!G387="","",Data!G387)</f>
        <v/>
      </c>
      <c r="D390" s="331" t="str">
        <f>IF(Data!H387="","",Data!H387)</f>
        <v/>
      </c>
      <c r="E390" s="330" t="str">
        <f>IF(Data!I387="","",Data!I387)</f>
        <v/>
      </c>
      <c r="F390" s="332" t="str">
        <f>IF(Data!J387="","",Data!J387)</f>
        <v>VIII-J</v>
      </c>
      <c r="G390" s="326" t="str">
        <f>IF(PA!G392="","",PA!G392)</f>
        <v/>
      </c>
      <c r="H390" s="327" t="str">
        <f>IF(PA!H392="","",PA!H392)</f>
        <v/>
      </c>
      <c r="I390" s="327" t="str">
        <f>IF(PA!I392="","",PA!I392)</f>
        <v/>
      </c>
      <c r="J390" s="327" t="str">
        <f>IF(PA!AA392="","",PA!AA392)</f>
        <v/>
      </c>
      <c r="K390" s="327" t="str">
        <f>IF(PA!AB392="","",PA!AB392)</f>
        <v/>
      </c>
      <c r="L390" s="327" t="str">
        <f>IF(PA!AC392="","",PA!AC392)</f>
        <v/>
      </c>
      <c r="M390" s="328" t="str">
        <f>IF(PA!P392="","",PA!P392)</f>
        <v/>
      </c>
    </row>
    <row r="391" spans="1:13" ht="14.4" x14ac:dyDescent="0.3">
      <c r="A391" s="329">
        <f>Data!E388</f>
        <v>24</v>
      </c>
      <c r="B391" s="330" t="str">
        <f>IF(Data!F388="","",Data!F388)</f>
        <v/>
      </c>
      <c r="C391" s="330" t="str">
        <f>IF(Data!G388="","",Data!G388)</f>
        <v/>
      </c>
      <c r="D391" s="331" t="str">
        <f>IF(Data!H388="","",Data!H388)</f>
        <v/>
      </c>
      <c r="E391" s="330" t="str">
        <f>IF(Data!I388="","",Data!I388)</f>
        <v/>
      </c>
      <c r="F391" s="332" t="str">
        <f>IF(Data!J388="","",Data!J388)</f>
        <v>VIII-J</v>
      </c>
      <c r="G391" s="326" t="str">
        <f>IF(PA!G393="","",PA!G393)</f>
        <v/>
      </c>
      <c r="H391" s="327" t="str">
        <f>IF(PA!H393="","",PA!H393)</f>
        <v/>
      </c>
      <c r="I391" s="327" t="str">
        <f>IF(PA!I393="","",PA!I393)</f>
        <v/>
      </c>
      <c r="J391" s="327" t="str">
        <f>IF(PA!AA393="","",PA!AA393)</f>
        <v/>
      </c>
      <c r="K391" s="327" t="str">
        <f>IF(PA!AB393="","",PA!AB393)</f>
        <v/>
      </c>
      <c r="L391" s="327" t="str">
        <f>IF(PA!AC393="","",PA!AC393)</f>
        <v/>
      </c>
      <c r="M391" s="328" t="str">
        <f>IF(PA!P393="","",PA!P393)</f>
        <v/>
      </c>
    </row>
    <row r="392" spans="1:13" ht="14.4" x14ac:dyDescent="0.3">
      <c r="A392" s="329">
        <f>Data!E389</f>
        <v>25</v>
      </c>
      <c r="B392" s="330" t="str">
        <f>IF(Data!F389="","",Data!F389)</f>
        <v/>
      </c>
      <c r="C392" s="330" t="str">
        <f>IF(Data!G389="","",Data!G389)</f>
        <v/>
      </c>
      <c r="D392" s="331" t="str">
        <f>IF(Data!H389="","",Data!H389)</f>
        <v/>
      </c>
      <c r="E392" s="330" t="str">
        <f>IF(Data!I389="","",Data!I389)</f>
        <v/>
      </c>
      <c r="F392" s="332" t="str">
        <f>IF(Data!J389="","",Data!J389)</f>
        <v>VIII-J</v>
      </c>
      <c r="G392" s="326" t="str">
        <f>IF(PA!G394="","",PA!G394)</f>
        <v/>
      </c>
      <c r="H392" s="327" t="str">
        <f>IF(PA!H394="","",PA!H394)</f>
        <v/>
      </c>
      <c r="I392" s="327" t="str">
        <f>IF(PA!I394="","",PA!I394)</f>
        <v/>
      </c>
      <c r="J392" s="327" t="str">
        <f>IF(PA!AA394="","",PA!AA394)</f>
        <v/>
      </c>
      <c r="K392" s="327" t="str">
        <f>IF(PA!AB394="","",PA!AB394)</f>
        <v/>
      </c>
      <c r="L392" s="327" t="str">
        <f>IF(PA!AC394="","",PA!AC394)</f>
        <v/>
      </c>
      <c r="M392" s="328" t="str">
        <f>IF(PA!P394="","",PA!P394)</f>
        <v/>
      </c>
    </row>
    <row r="393" spans="1:13" ht="14.4" x14ac:dyDescent="0.3">
      <c r="A393" s="329">
        <f>Data!E390</f>
        <v>26</v>
      </c>
      <c r="B393" s="330" t="str">
        <f>IF(Data!F390="","",Data!F390)</f>
        <v/>
      </c>
      <c r="C393" s="330" t="str">
        <f>IF(Data!G390="","",Data!G390)</f>
        <v/>
      </c>
      <c r="D393" s="331" t="str">
        <f>IF(Data!H390="","",Data!H390)</f>
        <v/>
      </c>
      <c r="E393" s="330" t="str">
        <f>IF(Data!I390="","",Data!I390)</f>
        <v/>
      </c>
      <c r="F393" s="332" t="str">
        <f>IF(Data!J390="","",Data!J390)</f>
        <v>VIII-J</v>
      </c>
      <c r="G393" s="326" t="str">
        <f>IF(PA!G395="","",PA!G395)</f>
        <v/>
      </c>
      <c r="H393" s="327" t="str">
        <f>IF(PA!H395="","",PA!H395)</f>
        <v/>
      </c>
      <c r="I393" s="327" t="str">
        <f>IF(PA!I395="","",PA!I395)</f>
        <v/>
      </c>
      <c r="J393" s="327" t="str">
        <f>IF(PA!AA395="","",PA!AA395)</f>
        <v/>
      </c>
      <c r="K393" s="327" t="str">
        <f>IF(PA!AB395="","",PA!AB395)</f>
        <v/>
      </c>
      <c r="L393" s="327" t="str">
        <f>IF(PA!AC395="","",PA!AC395)</f>
        <v/>
      </c>
      <c r="M393" s="328" t="str">
        <f>IF(PA!P395="","",PA!P395)</f>
        <v/>
      </c>
    </row>
    <row r="394" spans="1:13" ht="14.4" x14ac:dyDescent="0.3">
      <c r="A394" s="329">
        <f>Data!E391</f>
        <v>27</v>
      </c>
      <c r="B394" s="330" t="str">
        <f>IF(Data!F391="","",Data!F391)</f>
        <v/>
      </c>
      <c r="C394" s="330" t="str">
        <f>IF(Data!G391="","",Data!G391)</f>
        <v/>
      </c>
      <c r="D394" s="331" t="str">
        <f>IF(Data!H391="","",Data!H391)</f>
        <v/>
      </c>
      <c r="E394" s="330" t="str">
        <f>IF(Data!I391="","",Data!I391)</f>
        <v/>
      </c>
      <c r="F394" s="332" t="str">
        <f>IF(Data!J391="","",Data!J391)</f>
        <v>VIII-J</v>
      </c>
      <c r="G394" s="326" t="str">
        <f>IF(PA!G396="","",PA!G396)</f>
        <v/>
      </c>
      <c r="H394" s="327" t="str">
        <f>IF(PA!H396="","",PA!H396)</f>
        <v/>
      </c>
      <c r="I394" s="327" t="str">
        <f>IF(PA!I396="","",PA!I396)</f>
        <v/>
      </c>
      <c r="J394" s="327" t="str">
        <f>IF(PA!AA396="","",PA!AA396)</f>
        <v/>
      </c>
      <c r="K394" s="327" t="str">
        <f>IF(PA!AB396="","",PA!AB396)</f>
        <v/>
      </c>
      <c r="L394" s="327" t="str">
        <f>IF(PA!AC396="","",PA!AC396)</f>
        <v/>
      </c>
      <c r="M394" s="328" t="str">
        <f>IF(PA!P396="","",PA!P396)</f>
        <v/>
      </c>
    </row>
    <row r="395" spans="1:13" ht="14.4" x14ac:dyDescent="0.3">
      <c r="A395" s="329">
        <f>Data!E392</f>
        <v>28</v>
      </c>
      <c r="B395" s="330" t="str">
        <f>IF(Data!F392="","",Data!F392)</f>
        <v/>
      </c>
      <c r="C395" s="330" t="str">
        <f>IF(Data!G392="","",Data!G392)</f>
        <v/>
      </c>
      <c r="D395" s="331" t="str">
        <f>IF(Data!H392="","",Data!H392)</f>
        <v/>
      </c>
      <c r="E395" s="330" t="str">
        <f>IF(Data!I392="","",Data!I392)</f>
        <v/>
      </c>
      <c r="F395" s="332" t="str">
        <f>IF(Data!J392="","",Data!J392)</f>
        <v>VIII-J</v>
      </c>
      <c r="G395" s="326" t="str">
        <f>IF(PA!G397="","",PA!G397)</f>
        <v/>
      </c>
      <c r="H395" s="327" t="str">
        <f>IF(PA!H397="","",PA!H397)</f>
        <v/>
      </c>
      <c r="I395" s="327" t="str">
        <f>IF(PA!I397="","",PA!I397)</f>
        <v/>
      </c>
      <c r="J395" s="327" t="str">
        <f>IF(PA!AA397="","",PA!AA397)</f>
        <v/>
      </c>
      <c r="K395" s="327" t="str">
        <f>IF(PA!AB397="","",PA!AB397)</f>
        <v/>
      </c>
      <c r="L395" s="327" t="str">
        <f>IF(PA!AC397="","",PA!AC397)</f>
        <v/>
      </c>
      <c r="M395" s="328" t="str">
        <f>IF(PA!P397="","",PA!P397)</f>
        <v/>
      </c>
    </row>
    <row r="396" spans="1:13" ht="14.4" x14ac:dyDescent="0.3">
      <c r="A396" s="329">
        <f>Data!E393</f>
        <v>29</v>
      </c>
      <c r="B396" s="330" t="str">
        <f>IF(Data!F393="","",Data!F393)</f>
        <v/>
      </c>
      <c r="C396" s="330" t="str">
        <f>IF(Data!G393="","",Data!G393)</f>
        <v/>
      </c>
      <c r="D396" s="331" t="str">
        <f>IF(Data!H393="","",Data!H393)</f>
        <v/>
      </c>
      <c r="E396" s="330" t="str">
        <f>IF(Data!I393="","",Data!I393)</f>
        <v/>
      </c>
      <c r="F396" s="332" t="str">
        <f>IF(Data!J393="","",Data!J393)</f>
        <v>VIII-J</v>
      </c>
      <c r="G396" s="326" t="str">
        <f>IF(PA!G398="","",PA!G398)</f>
        <v/>
      </c>
      <c r="H396" s="327" t="str">
        <f>IF(PA!H398="","",PA!H398)</f>
        <v/>
      </c>
      <c r="I396" s="327" t="str">
        <f>IF(PA!I398="","",PA!I398)</f>
        <v/>
      </c>
      <c r="J396" s="327" t="str">
        <f>IF(PA!AA398="","",PA!AA398)</f>
        <v/>
      </c>
      <c r="K396" s="327" t="str">
        <f>IF(PA!AB398="","",PA!AB398)</f>
        <v/>
      </c>
      <c r="L396" s="327" t="str">
        <f>IF(PA!AC398="","",PA!AC398)</f>
        <v/>
      </c>
      <c r="M396" s="328" t="str">
        <f>IF(PA!P398="","",PA!P398)</f>
        <v/>
      </c>
    </row>
    <row r="397" spans="1:13" ht="14.4" x14ac:dyDescent="0.3">
      <c r="A397" s="329">
        <f>Data!E394</f>
        <v>30</v>
      </c>
      <c r="B397" s="330" t="str">
        <f>IF(Data!F394="","",Data!F394)</f>
        <v/>
      </c>
      <c r="C397" s="330" t="str">
        <f>IF(Data!G394="","",Data!G394)</f>
        <v/>
      </c>
      <c r="D397" s="331" t="str">
        <f>IF(Data!H394="","",Data!H394)</f>
        <v/>
      </c>
      <c r="E397" s="330" t="str">
        <f>IF(Data!I394="","",Data!I394)</f>
        <v/>
      </c>
      <c r="F397" s="332" t="str">
        <f>IF(Data!J394="","",Data!J394)</f>
        <v>VIII-J</v>
      </c>
      <c r="G397" s="326" t="str">
        <f>IF(PA!G399="","",PA!G399)</f>
        <v/>
      </c>
      <c r="H397" s="327" t="str">
        <f>IF(PA!H399="","",PA!H399)</f>
        <v/>
      </c>
      <c r="I397" s="327" t="str">
        <f>IF(PA!I399="","",PA!I399)</f>
        <v/>
      </c>
      <c r="J397" s="327" t="str">
        <f>IF(PA!AA399="","",PA!AA399)</f>
        <v/>
      </c>
      <c r="K397" s="327" t="str">
        <f>IF(PA!AB399="","",PA!AB399)</f>
        <v/>
      </c>
      <c r="L397" s="327" t="str">
        <f>IF(PA!AC399="","",PA!AC399)</f>
        <v/>
      </c>
      <c r="M397" s="328" t="str">
        <f>IF(PA!P399="","",PA!P399)</f>
        <v/>
      </c>
    </row>
    <row r="398" spans="1:13" ht="14.4" x14ac:dyDescent="0.3">
      <c r="A398" s="329">
        <f>Data!E395</f>
        <v>31</v>
      </c>
      <c r="B398" s="330" t="str">
        <f>IF(Data!F395="","",Data!F395)</f>
        <v/>
      </c>
      <c r="C398" s="330" t="str">
        <f>IF(Data!G395="","",Data!G395)</f>
        <v/>
      </c>
      <c r="D398" s="331" t="str">
        <f>IF(Data!H395="","",Data!H395)</f>
        <v/>
      </c>
      <c r="E398" s="330" t="str">
        <f>IF(Data!I395="","",Data!I395)</f>
        <v/>
      </c>
      <c r="F398" s="332" t="str">
        <f>IF(Data!J395="","",Data!J395)</f>
        <v>VIII-J</v>
      </c>
      <c r="G398" s="326" t="str">
        <f>IF(PA!G400="","",PA!G400)</f>
        <v/>
      </c>
      <c r="H398" s="327" t="str">
        <f>IF(PA!H400="","",PA!H400)</f>
        <v/>
      </c>
      <c r="I398" s="327" t="str">
        <f>IF(PA!I400="","",PA!I400)</f>
        <v/>
      </c>
      <c r="J398" s="327" t="str">
        <f>IF(PA!AA400="","",PA!AA400)</f>
        <v/>
      </c>
      <c r="K398" s="327" t="str">
        <f>IF(PA!AB400="","",PA!AB400)</f>
        <v/>
      </c>
      <c r="L398" s="327" t="str">
        <f>IF(PA!AC400="","",PA!AC400)</f>
        <v/>
      </c>
      <c r="M398" s="328" t="str">
        <f>IF(PA!P400="","",PA!P400)</f>
        <v/>
      </c>
    </row>
    <row r="399" spans="1:13" ht="14.4" x14ac:dyDescent="0.3">
      <c r="A399" s="329">
        <f>Data!E396</f>
        <v>32</v>
      </c>
      <c r="B399" s="330" t="str">
        <f>IF(Data!F396="","",Data!F396)</f>
        <v/>
      </c>
      <c r="C399" s="330" t="str">
        <f>IF(Data!G396="","",Data!G396)</f>
        <v/>
      </c>
      <c r="D399" s="331" t="str">
        <f>IF(Data!H396="","",Data!H396)</f>
        <v/>
      </c>
      <c r="E399" s="330" t="str">
        <f>IF(Data!I396="","",Data!I396)</f>
        <v/>
      </c>
      <c r="F399" s="332" t="str">
        <f>IF(Data!J396="","",Data!J396)</f>
        <v>VIII-J</v>
      </c>
      <c r="G399" s="326" t="str">
        <f>IF(PA!G401="","",PA!G401)</f>
        <v/>
      </c>
      <c r="H399" s="327" t="str">
        <f>IF(PA!H401="","",PA!H401)</f>
        <v/>
      </c>
      <c r="I399" s="327" t="str">
        <f>IF(PA!I401="","",PA!I401)</f>
        <v/>
      </c>
      <c r="J399" s="327" t="str">
        <f>IF(PA!AA401="","",PA!AA401)</f>
        <v/>
      </c>
      <c r="K399" s="327" t="str">
        <f>IF(PA!AB401="","",PA!AB401)</f>
        <v/>
      </c>
      <c r="L399" s="327" t="str">
        <f>IF(PA!AC401="","",PA!AC401)</f>
        <v/>
      </c>
      <c r="M399" s="328" t="str">
        <f>IF(PA!P401="","",PA!P401)</f>
        <v/>
      </c>
    </row>
    <row r="400" spans="1:13" ht="14.4" x14ac:dyDescent="0.3">
      <c r="A400" s="329">
        <f>Data!E397</f>
        <v>33</v>
      </c>
      <c r="B400" s="330" t="str">
        <f>IF(Data!F397="","",Data!F397)</f>
        <v/>
      </c>
      <c r="C400" s="330" t="str">
        <f>IF(Data!G397="","",Data!G397)</f>
        <v/>
      </c>
      <c r="D400" s="331" t="str">
        <f>IF(Data!H397="","",Data!H397)</f>
        <v/>
      </c>
      <c r="E400" s="330" t="str">
        <f>IF(Data!I397="","",Data!I397)</f>
        <v/>
      </c>
      <c r="F400" s="332" t="str">
        <f>IF(Data!J397="","",Data!J397)</f>
        <v>VIII-J</v>
      </c>
      <c r="G400" s="326" t="str">
        <f>IF(PA!G402="","",PA!G402)</f>
        <v/>
      </c>
      <c r="H400" s="327" t="str">
        <f>IF(PA!H402="","",PA!H402)</f>
        <v/>
      </c>
      <c r="I400" s="327" t="str">
        <f>IF(PA!I402="","",PA!I402)</f>
        <v/>
      </c>
      <c r="J400" s="327" t="str">
        <f>IF(PA!AA402="","",PA!AA402)</f>
        <v/>
      </c>
      <c r="K400" s="327" t="str">
        <f>IF(PA!AB402="","",PA!AB402)</f>
        <v/>
      </c>
      <c r="L400" s="327" t="str">
        <f>IF(PA!AC402="","",PA!AC402)</f>
        <v/>
      </c>
      <c r="M400" s="328" t="str">
        <f>IF(PA!P402="","",PA!P402)</f>
        <v/>
      </c>
    </row>
    <row r="401" spans="1:13" ht="14.4" x14ac:dyDescent="0.3">
      <c r="A401" s="329">
        <f>Data!E398</f>
        <v>34</v>
      </c>
      <c r="B401" s="330" t="str">
        <f>IF(Data!F398="","",Data!F398)</f>
        <v/>
      </c>
      <c r="C401" s="330" t="str">
        <f>IF(Data!G398="","",Data!G398)</f>
        <v/>
      </c>
      <c r="D401" s="331" t="str">
        <f>IF(Data!H398="","",Data!H398)</f>
        <v/>
      </c>
      <c r="E401" s="330" t="str">
        <f>IF(Data!I398="","",Data!I398)</f>
        <v/>
      </c>
      <c r="F401" s="332" t="str">
        <f>IF(Data!J398="","",Data!J398)</f>
        <v>VIII-J</v>
      </c>
      <c r="G401" s="326" t="str">
        <f>IF(PA!G403="","",PA!G403)</f>
        <v/>
      </c>
      <c r="H401" s="327" t="str">
        <f>IF(PA!H403="","",PA!H403)</f>
        <v/>
      </c>
      <c r="I401" s="327" t="str">
        <f>IF(PA!I403="","",PA!I403)</f>
        <v/>
      </c>
      <c r="J401" s="327" t="str">
        <f>IF(PA!AA403="","",PA!AA403)</f>
        <v/>
      </c>
      <c r="K401" s="327" t="str">
        <f>IF(PA!AB403="","",PA!AB403)</f>
        <v/>
      </c>
      <c r="L401" s="327" t="str">
        <f>IF(PA!AC403="","",PA!AC403)</f>
        <v/>
      </c>
      <c r="M401" s="328" t="str">
        <f>IF(PA!P403="","",PA!P403)</f>
        <v/>
      </c>
    </row>
    <row r="402" spans="1:13" ht="14.4" x14ac:dyDescent="0.3">
      <c r="A402" s="329">
        <f>Data!E399</f>
        <v>35</v>
      </c>
      <c r="B402" s="330" t="str">
        <f>IF(Data!F399="","",Data!F399)</f>
        <v/>
      </c>
      <c r="C402" s="330" t="str">
        <f>IF(Data!G399="","",Data!G399)</f>
        <v/>
      </c>
      <c r="D402" s="331" t="str">
        <f>IF(Data!H399="","",Data!H399)</f>
        <v/>
      </c>
      <c r="E402" s="330" t="str">
        <f>IF(Data!I399="","",Data!I399)</f>
        <v/>
      </c>
      <c r="F402" s="332" t="str">
        <f>IF(Data!J399="","",Data!J399)</f>
        <v>VIII-J</v>
      </c>
      <c r="G402" s="326" t="str">
        <f>IF(PA!G404="","",PA!G404)</f>
        <v/>
      </c>
      <c r="H402" s="327" t="str">
        <f>IF(PA!H404="","",PA!H404)</f>
        <v/>
      </c>
      <c r="I402" s="327" t="str">
        <f>IF(PA!I404="","",PA!I404)</f>
        <v/>
      </c>
      <c r="J402" s="327" t="str">
        <f>IF(PA!AA404="","",PA!AA404)</f>
        <v/>
      </c>
      <c r="K402" s="327" t="str">
        <f>IF(PA!AB404="","",PA!AB404)</f>
        <v/>
      </c>
      <c r="L402" s="327" t="str">
        <f>IF(PA!AC404="","",PA!AC404)</f>
        <v/>
      </c>
      <c r="M402" s="328" t="str">
        <f>IF(PA!P404="","",PA!P404)</f>
        <v/>
      </c>
    </row>
    <row r="403" spans="1:13" ht="14.4" x14ac:dyDescent="0.3">
      <c r="A403" s="329">
        <f>Data!E400</f>
        <v>36</v>
      </c>
      <c r="B403" s="330" t="str">
        <f>IF(Data!F400="","",Data!F400)</f>
        <v/>
      </c>
      <c r="C403" s="330" t="str">
        <f>IF(Data!G400="","",Data!G400)</f>
        <v/>
      </c>
      <c r="D403" s="331" t="str">
        <f>IF(Data!H400="","",Data!H400)</f>
        <v/>
      </c>
      <c r="E403" s="330" t="str">
        <f>IF(Data!I400="","",Data!I400)</f>
        <v/>
      </c>
      <c r="F403" s="332" t="str">
        <f>IF(Data!J400="","",Data!J400)</f>
        <v>VIII-J</v>
      </c>
      <c r="G403" s="326" t="str">
        <f>IF(PA!G405="","",PA!G405)</f>
        <v/>
      </c>
      <c r="H403" s="327" t="str">
        <f>IF(PA!H405="","",PA!H405)</f>
        <v/>
      </c>
      <c r="I403" s="327" t="str">
        <f>IF(PA!I405="","",PA!I405)</f>
        <v/>
      </c>
      <c r="J403" s="327" t="str">
        <f>IF(PA!AA405="","",PA!AA405)</f>
        <v/>
      </c>
      <c r="K403" s="327" t="str">
        <f>IF(PA!AB405="","",PA!AB405)</f>
        <v/>
      </c>
      <c r="L403" s="327" t="str">
        <f>IF(PA!AC405="","",PA!AC405)</f>
        <v/>
      </c>
      <c r="M403" s="328" t="str">
        <f>IF(PA!P405="","",PA!P405)</f>
        <v/>
      </c>
    </row>
    <row r="404" spans="1:13" ht="14.4" x14ac:dyDescent="0.3">
      <c r="A404" s="329">
        <f>Data!E401</f>
        <v>37</v>
      </c>
      <c r="B404" s="330" t="str">
        <f>IF(Data!F401="","",Data!F401)</f>
        <v/>
      </c>
      <c r="C404" s="330" t="str">
        <f>IF(Data!G401="","",Data!G401)</f>
        <v/>
      </c>
      <c r="D404" s="331" t="str">
        <f>IF(Data!H401="","",Data!H401)</f>
        <v/>
      </c>
      <c r="E404" s="330" t="str">
        <f>IF(Data!I401="","",Data!I401)</f>
        <v/>
      </c>
      <c r="F404" s="332" t="str">
        <f>IF(Data!J401="","",Data!J401)</f>
        <v>VIII-J</v>
      </c>
      <c r="G404" s="326" t="str">
        <f>IF(PA!G406="","",PA!G406)</f>
        <v/>
      </c>
      <c r="H404" s="327" t="str">
        <f>IF(PA!H406="","",PA!H406)</f>
        <v/>
      </c>
      <c r="I404" s="327" t="str">
        <f>IF(PA!I406="","",PA!I406)</f>
        <v/>
      </c>
      <c r="J404" s="327" t="str">
        <f>IF(PA!AA406="","",PA!AA406)</f>
        <v/>
      </c>
      <c r="K404" s="327" t="str">
        <f>IF(PA!AB406="","",PA!AB406)</f>
        <v/>
      </c>
      <c r="L404" s="327" t="str">
        <f>IF(PA!AC406="","",PA!AC406)</f>
        <v/>
      </c>
      <c r="M404" s="328" t="str">
        <f>IF(PA!P406="","",PA!P406)</f>
        <v/>
      </c>
    </row>
    <row r="405" spans="1:13" ht="14.4" x14ac:dyDescent="0.3">
      <c r="A405" s="329">
        <f>Data!E402</f>
        <v>38</v>
      </c>
      <c r="B405" s="330" t="str">
        <f>IF(Data!F402="","",Data!F402)</f>
        <v/>
      </c>
      <c r="C405" s="330" t="str">
        <f>IF(Data!G402="","",Data!G402)</f>
        <v/>
      </c>
      <c r="D405" s="331" t="str">
        <f>IF(Data!H402="","",Data!H402)</f>
        <v/>
      </c>
      <c r="E405" s="330" t="str">
        <f>IF(Data!I402="","",Data!I402)</f>
        <v/>
      </c>
      <c r="F405" s="332" t="str">
        <f>IF(Data!J402="","",Data!J402)</f>
        <v>VIII-J</v>
      </c>
      <c r="G405" s="326" t="str">
        <f>IF(PA!G407="","",PA!G407)</f>
        <v/>
      </c>
      <c r="H405" s="327" t="str">
        <f>IF(PA!H407="","",PA!H407)</f>
        <v/>
      </c>
      <c r="I405" s="327" t="str">
        <f>IF(PA!I407="","",PA!I407)</f>
        <v/>
      </c>
      <c r="J405" s="327" t="str">
        <f>IF(PA!AA407="","",PA!AA407)</f>
        <v/>
      </c>
      <c r="K405" s="327" t="str">
        <f>IF(PA!AB407="","",PA!AB407)</f>
        <v/>
      </c>
      <c r="L405" s="327" t="str">
        <f>IF(PA!AC407="","",PA!AC407)</f>
        <v/>
      </c>
      <c r="M405" s="328" t="str">
        <f>IF(PA!P407="","",PA!P407)</f>
        <v/>
      </c>
    </row>
    <row r="406" spans="1:13" ht="14.4" x14ac:dyDescent="0.3">
      <c r="A406" s="329">
        <f>Data!E403</f>
        <v>39</v>
      </c>
      <c r="B406" s="330" t="str">
        <f>IF(Data!F403="","",Data!F403)</f>
        <v/>
      </c>
      <c r="C406" s="330" t="str">
        <f>IF(Data!G403="","",Data!G403)</f>
        <v/>
      </c>
      <c r="D406" s="331" t="str">
        <f>IF(Data!H403="","",Data!H403)</f>
        <v/>
      </c>
      <c r="E406" s="330" t="str">
        <f>IF(Data!I403="","",Data!I403)</f>
        <v/>
      </c>
      <c r="F406" s="332" t="str">
        <f>IF(Data!J403="","",Data!J403)</f>
        <v>VIII-J</v>
      </c>
      <c r="G406" s="326" t="str">
        <f>IF(PA!G408="","",PA!G408)</f>
        <v/>
      </c>
      <c r="H406" s="327" t="str">
        <f>IF(PA!H408="","",PA!H408)</f>
        <v/>
      </c>
      <c r="I406" s="327" t="str">
        <f>IF(PA!I408="","",PA!I408)</f>
        <v/>
      </c>
      <c r="J406" s="327" t="str">
        <f>IF(PA!AA408="","",PA!AA408)</f>
        <v/>
      </c>
      <c r="K406" s="327" t="str">
        <f>IF(PA!AB408="","",PA!AB408)</f>
        <v/>
      </c>
      <c r="L406" s="327" t="str">
        <f>IF(PA!AC408="","",PA!AC408)</f>
        <v/>
      </c>
      <c r="M406" s="328" t="str">
        <f>IF(PA!P408="","",PA!P408)</f>
        <v/>
      </c>
    </row>
    <row r="407" spans="1:13" ht="15" thickBot="1" x14ac:dyDescent="0.35">
      <c r="A407" s="333">
        <f>Data!E404</f>
        <v>40</v>
      </c>
      <c r="B407" s="334" t="str">
        <f>IF(Data!F404="","",Data!F404)</f>
        <v/>
      </c>
      <c r="C407" s="334" t="str">
        <f>IF(Data!G404="","",Data!G404)</f>
        <v/>
      </c>
      <c r="D407" s="335" t="str">
        <f>IF(Data!H404="","",Data!H404)</f>
        <v/>
      </c>
      <c r="E407" s="334" t="str">
        <f>IF(Data!I404="","",Data!I404)</f>
        <v/>
      </c>
      <c r="F407" s="336" t="str">
        <f>IF(Data!J404="","",Data!J404)</f>
        <v>VIII-J</v>
      </c>
      <c r="G407" s="326" t="str">
        <f>IF(PA!G409="","",PA!G409)</f>
        <v/>
      </c>
      <c r="H407" s="327" t="str">
        <f>IF(PA!H409="","",PA!H409)</f>
        <v/>
      </c>
      <c r="I407" s="327" t="str">
        <f>IF(PA!I409="","",PA!I409)</f>
        <v/>
      </c>
      <c r="J407" s="327" t="str">
        <f>IF(PA!AA409="","",PA!AA409)</f>
        <v/>
      </c>
      <c r="K407" s="327" t="str">
        <f>IF(PA!AB409="","",PA!AB409)</f>
        <v/>
      </c>
      <c r="L407" s="327" t="str">
        <f>IF(PA!AC409="","",PA!AC409)</f>
        <v/>
      </c>
      <c r="M407" s="328" t="str">
        <f>IF(PA!P409="","",PA!P409)</f>
        <v/>
      </c>
    </row>
    <row r="408" spans="1:13" ht="15" thickTop="1" x14ac:dyDescent="0.3">
      <c r="A408" s="329">
        <f>Data!E405</f>
        <v>1</v>
      </c>
      <c r="B408" s="330" t="str">
        <f>IF(Data!F405="","",Data!F405)</f>
        <v/>
      </c>
      <c r="C408" s="330" t="str">
        <f>IF(Data!G405="","",Data!G405)</f>
        <v/>
      </c>
      <c r="D408" s="331" t="str">
        <f>IF(Data!H405="","",Data!H405)</f>
        <v/>
      </c>
      <c r="E408" s="330" t="str">
        <f>IF(Data!I405="","",Data!I405)</f>
        <v/>
      </c>
      <c r="F408" s="332" t="str">
        <f>IF(Data!J405="","",Data!J405)</f>
        <v>VIII-K</v>
      </c>
      <c r="G408" s="326" t="str">
        <f>IF(PA!G410="","",PA!G410)</f>
        <v/>
      </c>
      <c r="H408" s="327" t="str">
        <f>IF(PA!H410="","",PA!H410)</f>
        <v/>
      </c>
      <c r="I408" s="327" t="str">
        <f>IF(PA!I410="","",PA!I410)</f>
        <v/>
      </c>
      <c r="J408" s="327" t="str">
        <f>IF(PA!AA410="","",PA!AA410)</f>
        <v/>
      </c>
      <c r="K408" s="327" t="str">
        <f>IF(PA!AB410="","",PA!AB410)</f>
        <v/>
      </c>
      <c r="L408" s="327" t="str">
        <f>IF(PA!AC410="","",PA!AC410)</f>
        <v/>
      </c>
      <c r="M408" s="328" t="str">
        <f>IF(PA!P410="","",PA!P410)</f>
        <v/>
      </c>
    </row>
    <row r="409" spans="1:13" ht="14.4" x14ac:dyDescent="0.3">
      <c r="A409" s="329">
        <f>Data!E406</f>
        <v>2</v>
      </c>
      <c r="B409" s="330" t="str">
        <f>IF(Data!F406="","",Data!F406)</f>
        <v/>
      </c>
      <c r="C409" s="330" t="str">
        <f>IF(Data!G406="","",Data!G406)</f>
        <v/>
      </c>
      <c r="D409" s="331" t="str">
        <f>IF(Data!H406="","",Data!H406)</f>
        <v/>
      </c>
      <c r="E409" s="330" t="str">
        <f>IF(Data!I406="","",Data!I406)</f>
        <v/>
      </c>
      <c r="F409" s="332" t="str">
        <f>IF(Data!J406="","",Data!J406)</f>
        <v>VIII-K</v>
      </c>
      <c r="G409" s="326" t="str">
        <f>IF(PA!G411="","",PA!G411)</f>
        <v/>
      </c>
      <c r="H409" s="327" t="str">
        <f>IF(PA!H411="","",PA!H411)</f>
        <v/>
      </c>
      <c r="I409" s="327" t="str">
        <f>IF(PA!I411="","",PA!I411)</f>
        <v/>
      </c>
      <c r="J409" s="327" t="str">
        <f>IF(PA!AA411="","",PA!AA411)</f>
        <v/>
      </c>
      <c r="K409" s="327" t="str">
        <f>IF(PA!AB411="","",PA!AB411)</f>
        <v/>
      </c>
      <c r="L409" s="327" t="str">
        <f>IF(PA!AC411="","",PA!AC411)</f>
        <v/>
      </c>
      <c r="M409" s="328" t="str">
        <f>IF(PA!P411="","",PA!P411)</f>
        <v/>
      </c>
    </row>
    <row r="410" spans="1:13" ht="14.4" x14ac:dyDescent="0.3">
      <c r="A410" s="329">
        <f>Data!E407</f>
        <v>3</v>
      </c>
      <c r="B410" s="330" t="str">
        <f>IF(Data!F407="","",Data!F407)</f>
        <v/>
      </c>
      <c r="C410" s="330" t="str">
        <f>IF(Data!G407="","",Data!G407)</f>
        <v/>
      </c>
      <c r="D410" s="331" t="str">
        <f>IF(Data!H407="","",Data!H407)</f>
        <v/>
      </c>
      <c r="E410" s="330" t="str">
        <f>IF(Data!I407="","",Data!I407)</f>
        <v/>
      </c>
      <c r="F410" s="332" t="str">
        <f>IF(Data!J407="","",Data!J407)</f>
        <v>VIII-K</v>
      </c>
      <c r="G410" s="326" t="str">
        <f>IF(PA!G412="","",PA!G412)</f>
        <v/>
      </c>
      <c r="H410" s="327" t="str">
        <f>IF(PA!H412="","",PA!H412)</f>
        <v/>
      </c>
      <c r="I410" s="327" t="str">
        <f>IF(PA!I412="","",PA!I412)</f>
        <v/>
      </c>
      <c r="J410" s="327" t="str">
        <f>IF(PA!AA412="","",PA!AA412)</f>
        <v/>
      </c>
      <c r="K410" s="327" t="str">
        <f>IF(PA!AB412="","",PA!AB412)</f>
        <v/>
      </c>
      <c r="L410" s="327" t="str">
        <f>IF(PA!AC412="","",PA!AC412)</f>
        <v/>
      </c>
      <c r="M410" s="328" t="str">
        <f>IF(PA!P412="","",PA!P412)</f>
        <v/>
      </c>
    </row>
    <row r="411" spans="1:13" ht="14.4" x14ac:dyDescent="0.3">
      <c r="A411" s="329">
        <f>Data!E408</f>
        <v>4</v>
      </c>
      <c r="B411" s="330" t="str">
        <f>IF(Data!F408="","",Data!F408)</f>
        <v/>
      </c>
      <c r="C411" s="330" t="str">
        <f>IF(Data!G408="","",Data!G408)</f>
        <v/>
      </c>
      <c r="D411" s="331" t="str">
        <f>IF(Data!H408="","",Data!H408)</f>
        <v/>
      </c>
      <c r="E411" s="330" t="str">
        <f>IF(Data!I408="","",Data!I408)</f>
        <v/>
      </c>
      <c r="F411" s="332" t="str">
        <f>IF(Data!J408="","",Data!J408)</f>
        <v>VIII-K</v>
      </c>
      <c r="G411" s="326" t="str">
        <f>IF(PA!G413="","",PA!G413)</f>
        <v/>
      </c>
      <c r="H411" s="327" t="str">
        <f>IF(PA!H413="","",PA!H413)</f>
        <v/>
      </c>
      <c r="I411" s="327" t="str">
        <f>IF(PA!I413="","",PA!I413)</f>
        <v/>
      </c>
      <c r="J411" s="327" t="str">
        <f>IF(PA!AA413="","",PA!AA413)</f>
        <v/>
      </c>
      <c r="K411" s="327" t="str">
        <f>IF(PA!AB413="","",PA!AB413)</f>
        <v/>
      </c>
      <c r="L411" s="327" t="str">
        <f>IF(PA!AC413="","",PA!AC413)</f>
        <v/>
      </c>
      <c r="M411" s="328" t="str">
        <f>IF(PA!P413="","",PA!P413)</f>
        <v/>
      </c>
    </row>
    <row r="412" spans="1:13" ht="14.4" x14ac:dyDescent="0.3">
      <c r="A412" s="329">
        <f>Data!E409</f>
        <v>5</v>
      </c>
      <c r="B412" s="330" t="str">
        <f>IF(Data!F409="","",Data!F409)</f>
        <v/>
      </c>
      <c r="C412" s="330" t="str">
        <f>IF(Data!G409="","",Data!G409)</f>
        <v/>
      </c>
      <c r="D412" s="331" t="str">
        <f>IF(Data!H409="","",Data!H409)</f>
        <v/>
      </c>
      <c r="E412" s="330" t="str">
        <f>IF(Data!I409="","",Data!I409)</f>
        <v/>
      </c>
      <c r="F412" s="332" t="str">
        <f>IF(Data!J409="","",Data!J409)</f>
        <v>VIII-K</v>
      </c>
      <c r="G412" s="326" t="str">
        <f>IF(PA!G414="","",PA!G414)</f>
        <v/>
      </c>
      <c r="H412" s="327" t="str">
        <f>IF(PA!H414="","",PA!H414)</f>
        <v/>
      </c>
      <c r="I412" s="327" t="str">
        <f>IF(PA!I414="","",PA!I414)</f>
        <v/>
      </c>
      <c r="J412" s="327" t="str">
        <f>IF(PA!AA414="","",PA!AA414)</f>
        <v/>
      </c>
      <c r="K412" s="327" t="str">
        <f>IF(PA!AB414="","",PA!AB414)</f>
        <v/>
      </c>
      <c r="L412" s="327" t="str">
        <f>IF(PA!AC414="","",PA!AC414)</f>
        <v/>
      </c>
      <c r="M412" s="328" t="str">
        <f>IF(PA!P414="","",PA!P414)</f>
        <v/>
      </c>
    </row>
    <row r="413" spans="1:13" ht="14.4" x14ac:dyDescent="0.3">
      <c r="A413" s="329">
        <f>Data!E410</f>
        <v>6</v>
      </c>
      <c r="B413" s="330" t="str">
        <f>IF(Data!F410="","",Data!F410)</f>
        <v/>
      </c>
      <c r="C413" s="330" t="str">
        <f>IF(Data!G410="","",Data!G410)</f>
        <v/>
      </c>
      <c r="D413" s="331" t="str">
        <f>IF(Data!H410="","",Data!H410)</f>
        <v/>
      </c>
      <c r="E413" s="330" t="str">
        <f>IF(Data!I410="","",Data!I410)</f>
        <v/>
      </c>
      <c r="F413" s="332" t="str">
        <f>IF(Data!J410="","",Data!J410)</f>
        <v>VIII-K</v>
      </c>
      <c r="G413" s="326" t="str">
        <f>IF(PA!G415="","",PA!G415)</f>
        <v/>
      </c>
      <c r="H413" s="327" t="str">
        <f>IF(PA!H415="","",PA!H415)</f>
        <v/>
      </c>
      <c r="I413" s="327" t="str">
        <f>IF(PA!I415="","",PA!I415)</f>
        <v/>
      </c>
      <c r="J413" s="327" t="str">
        <f>IF(PA!AA415="","",PA!AA415)</f>
        <v/>
      </c>
      <c r="K413" s="327" t="str">
        <f>IF(PA!AB415="","",PA!AB415)</f>
        <v/>
      </c>
      <c r="L413" s="327" t="str">
        <f>IF(PA!AC415="","",PA!AC415)</f>
        <v/>
      </c>
      <c r="M413" s="328" t="str">
        <f>IF(PA!P415="","",PA!P415)</f>
        <v/>
      </c>
    </row>
    <row r="414" spans="1:13" ht="14.4" x14ac:dyDescent="0.3">
      <c r="A414" s="329">
        <f>Data!E411</f>
        <v>7</v>
      </c>
      <c r="B414" s="330" t="str">
        <f>IF(Data!F411="","",Data!F411)</f>
        <v/>
      </c>
      <c r="C414" s="330" t="str">
        <f>IF(Data!G411="","",Data!G411)</f>
        <v/>
      </c>
      <c r="D414" s="331" t="str">
        <f>IF(Data!H411="","",Data!H411)</f>
        <v/>
      </c>
      <c r="E414" s="330" t="str">
        <f>IF(Data!I411="","",Data!I411)</f>
        <v/>
      </c>
      <c r="F414" s="332" t="str">
        <f>IF(Data!J411="","",Data!J411)</f>
        <v>VIII-K</v>
      </c>
      <c r="G414" s="326" t="str">
        <f>IF(PA!G416="","",PA!G416)</f>
        <v/>
      </c>
      <c r="H414" s="327" t="str">
        <f>IF(PA!H416="","",PA!H416)</f>
        <v/>
      </c>
      <c r="I414" s="327" t="str">
        <f>IF(PA!I416="","",PA!I416)</f>
        <v/>
      </c>
      <c r="J414" s="327" t="str">
        <f>IF(PA!AA416="","",PA!AA416)</f>
        <v/>
      </c>
      <c r="K414" s="327" t="str">
        <f>IF(PA!AB416="","",PA!AB416)</f>
        <v/>
      </c>
      <c r="L414" s="327" t="str">
        <f>IF(PA!AC416="","",PA!AC416)</f>
        <v/>
      </c>
      <c r="M414" s="328" t="str">
        <f>IF(PA!P416="","",PA!P416)</f>
        <v/>
      </c>
    </row>
    <row r="415" spans="1:13" ht="14.4" x14ac:dyDescent="0.3">
      <c r="A415" s="329">
        <f>Data!E412</f>
        <v>8</v>
      </c>
      <c r="B415" s="330" t="str">
        <f>IF(Data!F412="","",Data!F412)</f>
        <v/>
      </c>
      <c r="C415" s="330" t="str">
        <f>IF(Data!G412="","",Data!G412)</f>
        <v/>
      </c>
      <c r="D415" s="331" t="str">
        <f>IF(Data!H412="","",Data!H412)</f>
        <v/>
      </c>
      <c r="E415" s="330" t="str">
        <f>IF(Data!I412="","",Data!I412)</f>
        <v/>
      </c>
      <c r="F415" s="332" t="str">
        <f>IF(Data!J412="","",Data!J412)</f>
        <v>VIII-K</v>
      </c>
      <c r="G415" s="326" t="str">
        <f>IF(PA!G417="","",PA!G417)</f>
        <v/>
      </c>
      <c r="H415" s="327" t="str">
        <f>IF(PA!H417="","",PA!H417)</f>
        <v/>
      </c>
      <c r="I415" s="327" t="str">
        <f>IF(PA!I417="","",PA!I417)</f>
        <v/>
      </c>
      <c r="J415" s="327" t="str">
        <f>IF(PA!AA417="","",PA!AA417)</f>
        <v/>
      </c>
      <c r="K415" s="327" t="str">
        <f>IF(PA!AB417="","",PA!AB417)</f>
        <v/>
      </c>
      <c r="L415" s="327" t="str">
        <f>IF(PA!AC417="","",PA!AC417)</f>
        <v/>
      </c>
      <c r="M415" s="328" t="str">
        <f>IF(PA!P417="","",PA!P417)</f>
        <v/>
      </c>
    </row>
    <row r="416" spans="1:13" ht="14.4" x14ac:dyDescent="0.3">
      <c r="A416" s="329">
        <f>Data!E413</f>
        <v>9</v>
      </c>
      <c r="B416" s="330" t="str">
        <f>IF(Data!F413="","",Data!F413)</f>
        <v/>
      </c>
      <c r="C416" s="330" t="str">
        <f>IF(Data!G413="","",Data!G413)</f>
        <v/>
      </c>
      <c r="D416" s="331" t="str">
        <f>IF(Data!H413="","",Data!H413)</f>
        <v/>
      </c>
      <c r="E416" s="330" t="str">
        <f>IF(Data!I413="","",Data!I413)</f>
        <v/>
      </c>
      <c r="F416" s="332" t="str">
        <f>IF(Data!J413="","",Data!J413)</f>
        <v>VIII-K</v>
      </c>
      <c r="G416" s="326" t="str">
        <f>IF(PA!G418="","",PA!G418)</f>
        <v/>
      </c>
      <c r="H416" s="327" t="str">
        <f>IF(PA!H418="","",PA!H418)</f>
        <v/>
      </c>
      <c r="I416" s="327" t="str">
        <f>IF(PA!I418="","",PA!I418)</f>
        <v/>
      </c>
      <c r="J416" s="327" t="str">
        <f>IF(PA!AA418="","",PA!AA418)</f>
        <v/>
      </c>
      <c r="K416" s="327" t="str">
        <f>IF(PA!AB418="","",PA!AB418)</f>
        <v/>
      </c>
      <c r="L416" s="327" t="str">
        <f>IF(PA!AC418="","",PA!AC418)</f>
        <v/>
      </c>
      <c r="M416" s="328" t="str">
        <f>IF(PA!P418="","",PA!P418)</f>
        <v/>
      </c>
    </row>
    <row r="417" spans="1:13" ht="14.4" x14ac:dyDescent="0.3">
      <c r="A417" s="329">
        <f>Data!E414</f>
        <v>10</v>
      </c>
      <c r="B417" s="330" t="str">
        <f>IF(Data!F414="","",Data!F414)</f>
        <v/>
      </c>
      <c r="C417" s="330" t="str">
        <f>IF(Data!G414="","",Data!G414)</f>
        <v/>
      </c>
      <c r="D417" s="331" t="str">
        <f>IF(Data!H414="","",Data!H414)</f>
        <v/>
      </c>
      <c r="E417" s="330" t="str">
        <f>IF(Data!I414="","",Data!I414)</f>
        <v/>
      </c>
      <c r="F417" s="332" t="str">
        <f>IF(Data!J414="","",Data!J414)</f>
        <v>VIII-K</v>
      </c>
      <c r="G417" s="326" t="str">
        <f>IF(PA!G419="","",PA!G419)</f>
        <v/>
      </c>
      <c r="H417" s="327" t="str">
        <f>IF(PA!H419="","",PA!H419)</f>
        <v/>
      </c>
      <c r="I417" s="327" t="str">
        <f>IF(PA!I419="","",PA!I419)</f>
        <v/>
      </c>
      <c r="J417" s="327" t="str">
        <f>IF(PA!AA419="","",PA!AA419)</f>
        <v/>
      </c>
      <c r="K417" s="327" t="str">
        <f>IF(PA!AB419="","",PA!AB419)</f>
        <v/>
      </c>
      <c r="L417" s="327" t="str">
        <f>IF(PA!AC419="","",PA!AC419)</f>
        <v/>
      </c>
      <c r="M417" s="328" t="str">
        <f>IF(PA!P419="","",PA!P419)</f>
        <v/>
      </c>
    </row>
    <row r="418" spans="1:13" ht="14.4" x14ac:dyDescent="0.3">
      <c r="A418" s="329">
        <f>Data!E415</f>
        <v>11</v>
      </c>
      <c r="B418" s="330" t="str">
        <f>IF(Data!F415="","",Data!F415)</f>
        <v/>
      </c>
      <c r="C418" s="330" t="str">
        <f>IF(Data!G415="","",Data!G415)</f>
        <v/>
      </c>
      <c r="D418" s="331" t="str">
        <f>IF(Data!H415="","",Data!H415)</f>
        <v/>
      </c>
      <c r="E418" s="330" t="str">
        <f>IF(Data!I415="","",Data!I415)</f>
        <v/>
      </c>
      <c r="F418" s="332" t="str">
        <f>IF(Data!J415="","",Data!J415)</f>
        <v>VIII-K</v>
      </c>
      <c r="G418" s="326" t="str">
        <f>IF(PA!G420="","",PA!G420)</f>
        <v/>
      </c>
      <c r="H418" s="327" t="str">
        <f>IF(PA!H420="","",PA!H420)</f>
        <v/>
      </c>
      <c r="I418" s="327" t="str">
        <f>IF(PA!I420="","",PA!I420)</f>
        <v/>
      </c>
      <c r="J418" s="327" t="str">
        <f>IF(PA!AA420="","",PA!AA420)</f>
        <v/>
      </c>
      <c r="K418" s="327" t="str">
        <f>IF(PA!AB420="","",PA!AB420)</f>
        <v/>
      </c>
      <c r="L418" s="327" t="str">
        <f>IF(PA!AC420="","",PA!AC420)</f>
        <v/>
      </c>
      <c r="M418" s="328" t="str">
        <f>IF(PA!P420="","",PA!P420)</f>
        <v/>
      </c>
    </row>
    <row r="419" spans="1:13" ht="14.4" x14ac:dyDescent="0.3">
      <c r="A419" s="329">
        <f>Data!E416</f>
        <v>12</v>
      </c>
      <c r="B419" s="330" t="str">
        <f>IF(Data!F416="","",Data!F416)</f>
        <v/>
      </c>
      <c r="C419" s="330" t="str">
        <f>IF(Data!G416="","",Data!G416)</f>
        <v/>
      </c>
      <c r="D419" s="331" t="str">
        <f>IF(Data!H416="","",Data!H416)</f>
        <v/>
      </c>
      <c r="E419" s="330" t="str">
        <f>IF(Data!I416="","",Data!I416)</f>
        <v/>
      </c>
      <c r="F419" s="332" t="str">
        <f>IF(Data!J416="","",Data!J416)</f>
        <v>VIII-K</v>
      </c>
      <c r="G419" s="326" t="str">
        <f>IF(PA!G421="","",PA!G421)</f>
        <v/>
      </c>
      <c r="H419" s="327" t="str">
        <f>IF(PA!H421="","",PA!H421)</f>
        <v/>
      </c>
      <c r="I419" s="327" t="str">
        <f>IF(PA!I421="","",PA!I421)</f>
        <v/>
      </c>
      <c r="J419" s="327" t="str">
        <f>IF(PA!AA421="","",PA!AA421)</f>
        <v/>
      </c>
      <c r="K419" s="327" t="str">
        <f>IF(PA!AB421="","",PA!AB421)</f>
        <v/>
      </c>
      <c r="L419" s="327" t="str">
        <f>IF(PA!AC421="","",PA!AC421)</f>
        <v/>
      </c>
      <c r="M419" s="328" t="str">
        <f>IF(PA!P421="","",PA!P421)</f>
        <v/>
      </c>
    </row>
    <row r="420" spans="1:13" ht="14.4" x14ac:dyDescent="0.3">
      <c r="A420" s="329">
        <f>Data!E417</f>
        <v>13</v>
      </c>
      <c r="B420" s="330" t="str">
        <f>IF(Data!F417="","",Data!F417)</f>
        <v/>
      </c>
      <c r="C420" s="330" t="str">
        <f>IF(Data!G417="","",Data!G417)</f>
        <v/>
      </c>
      <c r="D420" s="331" t="str">
        <f>IF(Data!H417="","",Data!H417)</f>
        <v/>
      </c>
      <c r="E420" s="330" t="str">
        <f>IF(Data!I417="","",Data!I417)</f>
        <v/>
      </c>
      <c r="F420" s="332" t="str">
        <f>IF(Data!J417="","",Data!J417)</f>
        <v>VIII-K</v>
      </c>
      <c r="G420" s="326" t="str">
        <f>IF(PA!G422="","",PA!G422)</f>
        <v/>
      </c>
      <c r="H420" s="327" t="str">
        <f>IF(PA!H422="","",PA!H422)</f>
        <v/>
      </c>
      <c r="I420" s="327" t="str">
        <f>IF(PA!I422="","",PA!I422)</f>
        <v/>
      </c>
      <c r="J420" s="327" t="str">
        <f>IF(PA!AA422="","",PA!AA422)</f>
        <v/>
      </c>
      <c r="K420" s="327" t="str">
        <f>IF(PA!AB422="","",PA!AB422)</f>
        <v/>
      </c>
      <c r="L420" s="327" t="str">
        <f>IF(PA!AC422="","",PA!AC422)</f>
        <v/>
      </c>
      <c r="M420" s="328" t="str">
        <f>IF(PA!P422="","",PA!P422)</f>
        <v/>
      </c>
    </row>
    <row r="421" spans="1:13" ht="14.4" x14ac:dyDescent="0.3">
      <c r="A421" s="329">
        <f>Data!E418</f>
        <v>14</v>
      </c>
      <c r="B421" s="330" t="str">
        <f>IF(Data!F418="","",Data!F418)</f>
        <v/>
      </c>
      <c r="C421" s="330" t="str">
        <f>IF(Data!G418="","",Data!G418)</f>
        <v/>
      </c>
      <c r="D421" s="331" t="str">
        <f>IF(Data!H418="","",Data!H418)</f>
        <v/>
      </c>
      <c r="E421" s="330" t="str">
        <f>IF(Data!I418="","",Data!I418)</f>
        <v/>
      </c>
      <c r="F421" s="332" t="str">
        <f>IF(Data!J418="","",Data!J418)</f>
        <v>VIII-K</v>
      </c>
      <c r="G421" s="326" t="str">
        <f>IF(PA!G423="","",PA!G423)</f>
        <v/>
      </c>
      <c r="H421" s="327" t="str">
        <f>IF(PA!H423="","",PA!H423)</f>
        <v/>
      </c>
      <c r="I421" s="327" t="str">
        <f>IF(PA!I423="","",PA!I423)</f>
        <v/>
      </c>
      <c r="J421" s="327" t="str">
        <f>IF(PA!AA423="","",PA!AA423)</f>
        <v/>
      </c>
      <c r="K421" s="327" t="str">
        <f>IF(PA!AB423="","",PA!AB423)</f>
        <v/>
      </c>
      <c r="L421" s="327" t="str">
        <f>IF(PA!AC423="","",PA!AC423)</f>
        <v/>
      </c>
      <c r="M421" s="328" t="str">
        <f>IF(PA!P423="","",PA!P423)</f>
        <v/>
      </c>
    </row>
    <row r="422" spans="1:13" ht="14.4" x14ac:dyDescent="0.3">
      <c r="A422" s="329">
        <f>Data!E419</f>
        <v>15</v>
      </c>
      <c r="B422" s="330" t="str">
        <f>IF(Data!F419="","",Data!F419)</f>
        <v/>
      </c>
      <c r="C422" s="330" t="str">
        <f>IF(Data!G419="","",Data!G419)</f>
        <v/>
      </c>
      <c r="D422" s="331" t="str">
        <f>IF(Data!H419="","",Data!H419)</f>
        <v/>
      </c>
      <c r="E422" s="330" t="str">
        <f>IF(Data!I419="","",Data!I419)</f>
        <v/>
      </c>
      <c r="F422" s="332" t="str">
        <f>IF(Data!J419="","",Data!J419)</f>
        <v>VIII-K</v>
      </c>
      <c r="G422" s="326" t="str">
        <f>IF(PA!G424="","",PA!G424)</f>
        <v/>
      </c>
      <c r="H422" s="327" t="str">
        <f>IF(PA!H424="","",PA!H424)</f>
        <v/>
      </c>
      <c r="I422" s="327" t="str">
        <f>IF(PA!I424="","",PA!I424)</f>
        <v/>
      </c>
      <c r="J422" s="327" t="str">
        <f>IF(PA!AA424="","",PA!AA424)</f>
        <v/>
      </c>
      <c r="K422" s="327" t="str">
        <f>IF(PA!AB424="","",PA!AB424)</f>
        <v/>
      </c>
      <c r="L422" s="327" t="str">
        <f>IF(PA!AC424="","",PA!AC424)</f>
        <v/>
      </c>
      <c r="M422" s="328" t="str">
        <f>IF(PA!P424="","",PA!P424)</f>
        <v/>
      </c>
    </row>
    <row r="423" spans="1:13" ht="14.4" x14ac:dyDescent="0.3">
      <c r="A423" s="329">
        <f>Data!E420</f>
        <v>16</v>
      </c>
      <c r="B423" s="330" t="str">
        <f>IF(Data!F420="","",Data!F420)</f>
        <v/>
      </c>
      <c r="C423" s="330" t="str">
        <f>IF(Data!G420="","",Data!G420)</f>
        <v/>
      </c>
      <c r="D423" s="331" t="str">
        <f>IF(Data!H420="","",Data!H420)</f>
        <v/>
      </c>
      <c r="E423" s="330" t="str">
        <f>IF(Data!I420="","",Data!I420)</f>
        <v/>
      </c>
      <c r="F423" s="332" t="str">
        <f>IF(Data!J420="","",Data!J420)</f>
        <v>VIII-K</v>
      </c>
      <c r="G423" s="326" t="str">
        <f>IF(PA!G425="","",PA!G425)</f>
        <v/>
      </c>
      <c r="H423" s="327" t="str">
        <f>IF(PA!H425="","",PA!H425)</f>
        <v/>
      </c>
      <c r="I423" s="327" t="str">
        <f>IF(PA!I425="","",PA!I425)</f>
        <v/>
      </c>
      <c r="J423" s="327" t="str">
        <f>IF(PA!AA425="","",PA!AA425)</f>
        <v/>
      </c>
      <c r="K423" s="327" t="str">
        <f>IF(PA!AB425="","",PA!AB425)</f>
        <v/>
      </c>
      <c r="L423" s="327" t="str">
        <f>IF(PA!AC425="","",PA!AC425)</f>
        <v/>
      </c>
      <c r="M423" s="328" t="str">
        <f>IF(PA!P425="","",PA!P425)</f>
        <v/>
      </c>
    </row>
    <row r="424" spans="1:13" ht="14.4" x14ac:dyDescent="0.3">
      <c r="A424" s="329">
        <f>Data!E421</f>
        <v>17</v>
      </c>
      <c r="B424" s="330" t="str">
        <f>IF(Data!F421="","",Data!F421)</f>
        <v/>
      </c>
      <c r="C424" s="330" t="str">
        <f>IF(Data!G421="","",Data!G421)</f>
        <v/>
      </c>
      <c r="D424" s="331" t="str">
        <f>IF(Data!H421="","",Data!H421)</f>
        <v/>
      </c>
      <c r="E424" s="330" t="str">
        <f>IF(Data!I421="","",Data!I421)</f>
        <v/>
      </c>
      <c r="F424" s="332" t="str">
        <f>IF(Data!J421="","",Data!J421)</f>
        <v>VIII-K</v>
      </c>
      <c r="G424" s="326" t="str">
        <f>IF(PA!G426="","",PA!G426)</f>
        <v/>
      </c>
      <c r="H424" s="327" t="str">
        <f>IF(PA!H426="","",PA!H426)</f>
        <v/>
      </c>
      <c r="I424" s="327" t="str">
        <f>IF(PA!I426="","",PA!I426)</f>
        <v/>
      </c>
      <c r="J424" s="327" t="str">
        <f>IF(PA!AA426="","",PA!AA426)</f>
        <v/>
      </c>
      <c r="K424" s="327" t="str">
        <f>IF(PA!AB426="","",PA!AB426)</f>
        <v/>
      </c>
      <c r="L424" s="327" t="str">
        <f>IF(PA!AC426="","",PA!AC426)</f>
        <v/>
      </c>
      <c r="M424" s="328" t="str">
        <f>IF(PA!P426="","",PA!P426)</f>
        <v/>
      </c>
    </row>
    <row r="425" spans="1:13" ht="14.4" x14ac:dyDescent="0.3">
      <c r="A425" s="329">
        <f>Data!E422</f>
        <v>18</v>
      </c>
      <c r="B425" s="330" t="str">
        <f>IF(Data!F422="","",Data!F422)</f>
        <v/>
      </c>
      <c r="C425" s="330" t="str">
        <f>IF(Data!G422="","",Data!G422)</f>
        <v/>
      </c>
      <c r="D425" s="331" t="str">
        <f>IF(Data!H422="","",Data!H422)</f>
        <v/>
      </c>
      <c r="E425" s="330" t="str">
        <f>IF(Data!I422="","",Data!I422)</f>
        <v/>
      </c>
      <c r="F425" s="332" t="str">
        <f>IF(Data!J422="","",Data!J422)</f>
        <v>VIII-K</v>
      </c>
      <c r="G425" s="326" t="str">
        <f>IF(PA!G427="","",PA!G427)</f>
        <v/>
      </c>
      <c r="H425" s="327" t="str">
        <f>IF(PA!H427="","",PA!H427)</f>
        <v/>
      </c>
      <c r="I425" s="327" t="str">
        <f>IF(PA!I427="","",PA!I427)</f>
        <v/>
      </c>
      <c r="J425" s="327" t="str">
        <f>IF(PA!AA427="","",PA!AA427)</f>
        <v/>
      </c>
      <c r="K425" s="327" t="str">
        <f>IF(PA!AB427="","",PA!AB427)</f>
        <v/>
      </c>
      <c r="L425" s="327" t="str">
        <f>IF(PA!AC427="","",PA!AC427)</f>
        <v/>
      </c>
      <c r="M425" s="328" t="str">
        <f>IF(PA!P427="","",PA!P427)</f>
        <v/>
      </c>
    </row>
    <row r="426" spans="1:13" ht="14.4" x14ac:dyDescent="0.3">
      <c r="A426" s="329">
        <f>Data!E423</f>
        <v>19</v>
      </c>
      <c r="B426" s="330" t="str">
        <f>IF(Data!F423="","",Data!F423)</f>
        <v/>
      </c>
      <c r="C426" s="330" t="str">
        <f>IF(Data!G423="","",Data!G423)</f>
        <v/>
      </c>
      <c r="D426" s="331" t="str">
        <f>IF(Data!H423="","",Data!H423)</f>
        <v/>
      </c>
      <c r="E426" s="330" t="str">
        <f>IF(Data!I423="","",Data!I423)</f>
        <v/>
      </c>
      <c r="F426" s="332" t="str">
        <f>IF(Data!J423="","",Data!J423)</f>
        <v>VIII-K</v>
      </c>
      <c r="G426" s="326" t="str">
        <f>IF(PA!G428="","",PA!G428)</f>
        <v/>
      </c>
      <c r="H426" s="327" t="str">
        <f>IF(PA!H428="","",PA!H428)</f>
        <v/>
      </c>
      <c r="I426" s="327" t="str">
        <f>IF(PA!I428="","",PA!I428)</f>
        <v/>
      </c>
      <c r="J426" s="327" t="str">
        <f>IF(PA!AA428="","",PA!AA428)</f>
        <v/>
      </c>
      <c r="K426" s="327" t="str">
        <f>IF(PA!AB428="","",PA!AB428)</f>
        <v/>
      </c>
      <c r="L426" s="327" t="str">
        <f>IF(PA!AC428="","",PA!AC428)</f>
        <v/>
      </c>
      <c r="M426" s="328" t="str">
        <f>IF(PA!P428="","",PA!P428)</f>
        <v/>
      </c>
    </row>
    <row r="427" spans="1:13" ht="14.4" x14ac:dyDescent="0.3">
      <c r="A427" s="329">
        <f>Data!E424</f>
        <v>20</v>
      </c>
      <c r="B427" s="330" t="str">
        <f>IF(Data!F424="","",Data!F424)</f>
        <v/>
      </c>
      <c r="C427" s="330" t="str">
        <f>IF(Data!G424="","",Data!G424)</f>
        <v/>
      </c>
      <c r="D427" s="331" t="str">
        <f>IF(Data!H424="","",Data!H424)</f>
        <v/>
      </c>
      <c r="E427" s="330" t="str">
        <f>IF(Data!I424="","",Data!I424)</f>
        <v/>
      </c>
      <c r="F427" s="332" t="str">
        <f>IF(Data!J424="","",Data!J424)</f>
        <v>VIII-K</v>
      </c>
      <c r="G427" s="326" t="str">
        <f>IF(PA!G429="","",PA!G429)</f>
        <v/>
      </c>
      <c r="H427" s="327" t="str">
        <f>IF(PA!H429="","",PA!H429)</f>
        <v/>
      </c>
      <c r="I427" s="327" t="str">
        <f>IF(PA!I429="","",PA!I429)</f>
        <v/>
      </c>
      <c r="J427" s="327" t="str">
        <f>IF(PA!AA429="","",PA!AA429)</f>
        <v/>
      </c>
      <c r="K427" s="327" t="str">
        <f>IF(PA!AB429="","",PA!AB429)</f>
        <v/>
      </c>
      <c r="L427" s="327" t="str">
        <f>IF(PA!AC429="","",PA!AC429)</f>
        <v/>
      </c>
      <c r="M427" s="328" t="str">
        <f>IF(PA!P429="","",PA!P429)</f>
        <v/>
      </c>
    </row>
    <row r="428" spans="1:13" ht="14.4" x14ac:dyDescent="0.3">
      <c r="A428" s="329">
        <f>Data!E425</f>
        <v>21</v>
      </c>
      <c r="B428" s="330" t="str">
        <f>IF(Data!F425="","",Data!F425)</f>
        <v/>
      </c>
      <c r="C428" s="330" t="str">
        <f>IF(Data!G425="","",Data!G425)</f>
        <v/>
      </c>
      <c r="D428" s="331" t="str">
        <f>IF(Data!H425="","",Data!H425)</f>
        <v/>
      </c>
      <c r="E428" s="330" t="str">
        <f>IF(Data!I425="","",Data!I425)</f>
        <v/>
      </c>
      <c r="F428" s="332" t="str">
        <f>IF(Data!J425="","",Data!J425)</f>
        <v>VIII-K</v>
      </c>
      <c r="G428" s="326" t="str">
        <f>IF(PA!G430="","",PA!G430)</f>
        <v/>
      </c>
      <c r="H428" s="327" t="str">
        <f>IF(PA!H430="","",PA!H430)</f>
        <v/>
      </c>
      <c r="I428" s="327" t="str">
        <f>IF(PA!I430="","",PA!I430)</f>
        <v/>
      </c>
      <c r="J428" s="327" t="str">
        <f>IF(PA!AA430="","",PA!AA430)</f>
        <v/>
      </c>
      <c r="K428" s="327" t="str">
        <f>IF(PA!AB430="","",PA!AB430)</f>
        <v/>
      </c>
      <c r="L428" s="327" t="str">
        <f>IF(PA!AC430="","",PA!AC430)</f>
        <v/>
      </c>
      <c r="M428" s="328" t="str">
        <f>IF(PA!P430="","",PA!P430)</f>
        <v/>
      </c>
    </row>
    <row r="429" spans="1:13" ht="14.4" x14ac:dyDescent="0.3">
      <c r="A429" s="329">
        <f>Data!E426</f>
        <v>22</v>
      </c>
      <c r="B429" s="330" t="str">
        <f>IF(Data!F426="","",Data!F426)</f>
        <v/>
      </c>
      <c r="C429" s="330" t="str">
        <f>IF(Data!G426="","",Data!G426)</f>
        <v/>
      </c>
      <c r="D429" s="331" t="str">
        <f>IF(Data!H426="","",Data!H426)</f>
        <v/>
      </c>
      <c r="E429" s="330" t="str">
        <f>IF(Data!I426="","",Data!I426)</f>
        <v/>
      </c>
      <c r="F429" s="332" t="str">
        <f>IF(Data!J426="","",Data!J426)</f>
        <v>VIII-K</v>
      </c>
      <c r="G429" s="326" t="str">
        <f>IF(PA!G431="","",PA!G431)</f>
        <v/>
      </c>
      <c r="H429" s="327" t="str">
        <f>IF(PA!H431="","",PA!H431)</f>
        <v/>
      </c>
      <c r="I429" s="327" t="str">
        <f>IF(PA!I431="","",PA!I431)</f>
        <v/>
      </c>
      <c r="J429" s="327" t="str">
        <f>IF(PA!AA431="","",PA!AA431)</f>
        <v/>
      </c>
      <c r="K429" s="327" t="str">
        <f>IF(PA!AB431="","",PA!AB431)</f>
        <v/>
      </c>
      <c r="L429" s="327" t="str">
        <f>IF(PA!AC431="","",PA!AC431)</f>
        <v/>
      </c>
      <c r="M429" s="328" t="str">
        <f>IF(PA!P431="","",PA!P431)</f>
        <v/>
      </c>
    </row>
    <row r="430" spans="1:13" ht="14.4" x14ac:dyDescent="0.3">
      <c r="A430" s="329">
        <f>Data!E427</f>
        <v>23</v>
      </c>
      <c r="B430" s="330" t="str">
        <f>IF(Data!F427="","",Data!F427)</f>
        <v/>
      </c>
      <c r="C430" s="330" t="str">
        <f>IF(Data!G427="","",Data!G427)</f>
        <v/>
      </c>
      <c r="D430" s="331" t="str">
        <f>IF(Data!H427="","",Data!H427)</f>
        <v/>
      </c>
      <c r="E430" s="330" t="str">
        <f>IF(Data!I427="","",Data!I427)</f>
        <v/>
      </c>
      <c r="F430" s="332" t="str">
        <f>IF(Data!J427="","",Data!J427)</f>
        <v>VIII-K</v>
      </c>
      <c r="G430" s="326" t="str">
        <f>IF(PA!G432="","",PA!G432)</f>
        <v/>
      </c>
      <c r="H430" s="327" t="str">
        <f>IF(PA!H432="","",PA!H432)</f>
        <v/>
      </c>
      <c r="I430" s="327" t="str">
        <f>IF(PA!I432="","",PA!I432)</f>
        <v/>
      </c>
      <c r="J430" s="327" t="str">
        <f>IF(PA!AA432="","",PA!AA432)</f>
        <v/>
      </c>
      <c r="K430" s="327" t="str">
        <f>IF(PA!AB432="","",PA!AB432)</f>
        <v/>
      </c>
      <c r="L430" s="327" t="str">
        <f>IF(PA!AC432="","",PA!AC432)</f>
        <v/>
      </c>
      <c r="M430" s="328" t="str">
        <f>IF(PA!P432="","",PA!P432)</f>
        <v/>
      </c>
    </row>
    <row r="431" spans="1:13" ht="14.4" x14ac:dyDescent="0.3">
      <c r="A431" s="329">
        <f>Data!E428</f>
        <v>24</v>
      </c>
      <c r="B431" s="330" t="str">
        <f>IF(Data!F428="","",Data!F428)</f>
        <v/>
      </c>
      <c r="C431" s="330" t="str">
        <f>IF(Data!G428="","",Data!G428)</f>
        <v/>
      </c>
      <c r="D431" s="331" t="str">
        <f>IF(Data!H428="","",Data!H428)</f>
        <v/>
      </c>
      <c r="E431" s="330" t="str">
        <f>IF(Data!I428="","",Data!I428)</f>
        <v/>
      </c>
      <c r="F431" s="332" t="str">
        <f>IF(Data!J428="","",Data!J428)</f>
        <v>VIII-K</v>
      </c>
      <c r="G431" s="326" t="str">
        <f>IF(PA!G433="","",PA!G433)</f>
        <v/>
      </c>
      <c r="H431" s="327" t="str">
        <f>IF(PA!H433="","",PA!H433)</f>
        <v/>
      </c>
      <c r="I431" s="327" t="str">
        <f>IF(PA!I433="","",PA!I433)</f>
        <v/>
      </c>
      <c r="J431" s="327" t="str">
        <f>IF(PA!AA433="","",PA!AA433)</f>
        <v/>
      </c>
      <c r="K431" s="327" t="str">
        <f>IF(PA!AB433="","",PA!AB433)</f>
        <v/>
      </c>
      <c r="L431" s="327" t="str">
        <f>IF(PA!AC433="","",PA!AC433)</f>
        <v/>
      </c>
      <c r="M431" s="328" t="str">
        <f>IF(PA!P433="","",PA!P433)</f>
        <v/>
      </c>
    </row>
    <row r="432" spans="1:13" ht="14.4" x14ac:dyDescent="0.3">
      <c r="A432" s="329">
        <f>Data!E429</f>
        <v>25</v>
      </c>
      <c r="B432" s="330" t="str">
        <f>IF(Data!F429="","",Data!F429)</f>
        <v/>
      </c>
      <c r="C432" s="330" t="str">
        <f>IF(Data!G429="","",Data!G429)</f>
        <v/>
      </c>
      <c r="D432" s="331" t="str">
        <f>IF(Data!H429="","",Data!H429)</f>
        <v/>
      </c>
      <c r="E432" s="330" t="str">
        <f>IF(Data!I429="","",Data!I429)</f>
        <v/>
      </c>
      <c r="F432" s="332" t="str">
        <f>IF(Data!J429="","",Data!J429)</f>
        <v>VIII-K</v>
      </c>
      <c r="G432" s="326" t="str">
        <f>IF(PA!G434="","",PA!G434)</f>
        <v/>
      </c>
      <c r="H432" s="327" t="str">
        <f>IF(PA!H434="","",PA!H434)</f>
        <v/>
      </c>
      <c r="I432" s="327" t="str">
        <f>IF(PA!I434="","",PA!I434)</f>
        <v/>
      </c>
      <c r="J432" s="327" t="str">
        <f>IF(PA!AA434="","",PA!AA434)</f>
        <v/>
      </c>
      <c r="K432" s="327" t="str">
        <f>IF(PA!AB434="","",PA!AB434)</f>
        <v/>
      </c>
      <c r="L432" s="327" t="str">
        <f>IF(PA!AC434="","",PA!AC434)</f>
        <v/>
      </c>
      <c r="M432" s="328" t="str">
        <f>IF(PA!P434="","",PA!P434)</f>
        <v/>
      </c>
    </row>
    <row r="433" spans="1:13" ht="14.4" x14ac:dyDescent="0.3">
      <c r="A433" s="329">
        <f>Data!E430</f>
        <v>26</v>
      </c>
      <c r="B433" s="330" t="str">
        <f>IF(Data!F430="","",Data!F430)</f>
        <v/>
      </c>
      <c r="C433" s="330" t="str">
        <f>IF(Data!G430="","",Data!G430)</f>
        <v/>
      </c>
      <c r="D433" s="331" t="str">
        <f>IF(Data!H430="","",Data!H430)</f>
        <v/>
      </c>
      <c r="E433" s="330" t="str">
        <f>IF(Data!I430="","",Data!I430)</f>
        <v/>
      </c>
      <c r="F433" s="332" t="str">
        <f>IF(Data!J430="","",Data!J430)</f>
        <v>VIII-K</v>
      </c>
      <c r="G433" s="326" t="str">
        <f>IF(PA!G435="","",PA!G435)</f>
        <v/>
      </c>
      <c r="H433" s="327" t="str">
        <f>IF(PA!H435="","",PA!H435)</f>
        <v/>
      </c>
      <c r="I433" s="327" t="str">
        <f>IF(PA!I435="","",PA!I435)</f>
        <v/>
      </c>
      <c r="J433" s="327" t="str">
        <f>IF(PA!AA435="","",PA!AA435)</f>
        <v/>
      </c>
      <c r="K433" s="327" t="str">
        <f>IF(PA!AB435="","",PA!AB435)</f>
        <v/>
      </c>
      <c r="L433" s="327" t="str">
        <f>IF(PA!AC435="","",PA!AC435)</f>
        <v/>
      </c>
      <c r="M433" s="328" t="str">
        <f>IF(PA!P435="","",PA!P435)</f>
        <v/>
      </c>
    </row>
    <row r="434" spans="1:13" ht="14.4" x14ac:dyDescent="0.3">
      <c r="A434" s="329">
        <f>Data!E431</f>
        <v>27</v>
      </c>
      <c r="B434" s="330" t="str">
        <f>IF(Data!F431="","",Data!F431)</f>
        <v/>
      </c>
      <c r="C434" s="330" t="str">
        <f>IF(Data!G431="","",Data!G431)</f>
        <v/>
      </c>
      <c r="D434" s="331" t="str">
        <f>IF(Data!H431="","",Data!H431)</f>
        <v/>
      </c>
      <c r="E434" s="330" t="str">
        <f>IF(Data!I431="","",Data!I431)</f>
        <v/>
      </c>
      <c r="F434" s="332" t="str">
        <f>IF(Data!J431="","",Data!J431)</f>
        <v>VIII-K</v>
      </c>
      <c r="G434" s="326" t="str">
        <f>IF(PA!G436="","",PA!G436)</f>
        <v/>
      </c>
      <c r="H434" s="327" t="str">
        <f>IF(PA!H436="","",PA!H436)</f>
        <v/>
      </c>
      <c r="I434" s="327" t="str">
        <f>IF(PA!I436="","",PA!I436)</f>
        <v/>
      </c>
      <c r="J434" s="327" t="str">
        <f>IF(PA!AA436="","",PA!AA436)</f>
        <v/>
      </c>
      <c r="K434" s="327" t="str">
        <f>IF(PA!AB436="","",PA!AB436)</f>
        <v/>
      </c>
      <c r="L434" s="327" t="str">
        <f>IF(PA!AC436="","",PA!AC436)</f>
        <v/>
      </c>
      <c r="M434" s="328" t="str">
        <f>IF(PA!P436="","",PA!P436)</f>
        <v/>
      </c>
    </row>
    <row r="435" spans="1:13" ht="14.4" x14ac:dyDescent="0.3">
      <c r="A435" s="329">
        <f>Data!E432</f>
        <v>28</v>
      </c>
      <c r="B435" s="330" t="str">
        <f>IF(Data!F432="","",Data!F432)</f>
        <v/>
      </c>
      <c r="C435" s="330" t="str">
        <f>IF(Data!G432="","",Data!G432)</f>
        <v/>
      </c>
      <c r="D435" s="331" t="str">
        <f>IF(Data!H432="","",Data!H432)</f>
        <v/>
      </c>
      <c r="E435" s="330" t="str">
        <f>IF(Data!I432="","",Data!I432)</f>
        <v/>
      </c>
      <c r="F435" s="332" t="str">
        <f>IF(Data!J432="","",Data!J432)</f>
        <v>VIII-K</v>
      </c>
      <c r="G435" s="326" t="str">
        <f>IF(PA!G437="","",PA!G437)</f>
        <v/>
      </c>
      <c r="H435" s="327" t="str">
        <f>IF(PA!H437="","",PA!H437)</f>
        <v/>
      </c>
      <c r="I435" s="327" t="str">
        <f>IF(PA!I437="","",PA!I437)</f>
        <v/>
      </c>
      <c r="J435" s="327" t="str">
        <f>IF(PA!AA437="","",PA!AA437)</f>
        <v/>
      </c>
      <c r="K435" s="327" t="str">
        <f>IF(PA!AB437="","",PA!AB437)</f>
        <v/>
      </c>
      <c r="L435" s="327" t="str">
        <f>IF(PA!AC437="","",PA!AC437)</f>
        <v/>
      </c>
      <c r="M435" s="328" t="str">
        <f>IF(PA!P437="","",PA!P437)</f>
        <v/>
      </c>
    </row>
    <row r="436" spans="1:13" ht="14.4" x14ac:dyDescent="0.3">
      <c r="A436" s="329">
        <f>Data!E433</f>
        <v>29</v>
      </c>
      <c r="B436" s="330" t="str">
        <f>IF(Data!F433="","",Data!F433)</f>
        <v/>
      </c>
      <c r="C436" s="330" t="str">
        <f>IF(Data!G433="","",Data!G433)</f>
        <v/>
      </c>
      <c r="D436" s="331" t="str">
        <f>IF(Data!H433="","",Data!H433)</f>
        <v/>
      </c>
      <c r="E436" s="330" t="str">
        <f>IF(Data!I433="","",Data!I433)</f>
        <v/>
      </c>
      <c r="F436" s="332" t="str">
        <f>IF(Data!J433="","",Data!J433)</f>
        <v>VIII-K</v>
      </c>
      <c r="G436" s="326" t="str">
        <f>IF(PA!G438="","",PA!G438)</f>
        <v/>
      </c>
      <c r="H436" s="327" t="str">
        <f>IF(PA!H438="","",PA!H438)</f>
        <v/>
      </c>
      <c r="I436" s="327" t="str">
        <f>IF(PA!I438="","",PA!I438)</f>
        <v/>
      </c>
      <c r="J436" s="327" t="str">
        <f>IF(PA!AA438="","",PA!AA438)</f>
        <v/>
      </c>
      <c r="K436" s="327" t="str">
        <f>IF(PA!AB438="","",PA!AB438)</f>
        <v/>
      </c>
      <c r="L436" s="327" t="str">
        <f>IF(PA!AC438="","",PA!AC438)</f>
        <v/>
      </c>
      <c r="M436" s="328" t="str">
        <f>IF(PA!P438="","",PA!P438)</f>
        <v/>
      </c>
    </row>
    <row r="437" spans="1:13" ht="14.4" x14ac:dyDescent="0.3">
      <c r="A437" s="329">
        <f>Data!E434</f>
        <v>30</v>
      </c>
      <c r="B437" s="330" t="str">
        <f>IF(Data!F434="","",Data!F434)</f>
        <v/>
      </c>
      <c r="C437" s="330" t="str">
        <f>IF(Data!G434="","",Data!G434)</f>
        <v/>
      </c>
      <c r="D437" s="331" t="str">
        <f>IF(Data!H434="","",Data!H434)</f>
        <v/>
      </c>
      <c r="E437" s="330" t="str">
        <f>IF(Data!I434="","",Data!I434)</f>
        <v/>
      </c>
      <c r="F437" s="332" t="str">
        <f>IF(Data!J434="","",Data!J434)</f>
        <v>VIII-K</v>
      </c>
      <c r="G437" s="326" t="str">
        <f>IF(PA!G439="","",PA!G439)</f>
        <v/>
      </c>
      <c r="H437" s="327" t="str">
        <f>IF(PA!H439="","",PA!H439)</f>
        <v/>
      </c>
      <c r="I437" s="327" t="str">
        <f>IF(PA!I439="","",PA!I439)</f>
        <v/>
      </c>
      <c r="J437" s="327" t="str">
        <f>IF(PA!AA439="","",PA!AA439)</f>
        <v/>
      </c>
      <c r="K437" s="327" t="str">
        <f>IF(PA!AB439="","",PA!AB439)</f>
        <v/>
      </c>
      <c r="L437" s="327" t="str">
        <f>IF(PA!AC439="","",PA!AC439)</f>
        <v/>
      </c>
      <c r="M437" s="328" t="str">
        <f>IF(PA!P439="","",PA!P439)</f>
        <v/>
      </c>
    </row>
    <row r="438" spans="1:13" ht="14.4" x14ac:dyDescent="0.3">
      <c r="A438" s="329">
        <f>Data!E435</f>
        <v>31</v>
      </c>
      <c r="B438" s="330" t="str">
        <f>IF(Data!F435="","",Data!F435)</f>
        <v/>
      </c>
      <c r="C438" s="330" t="str">
        <f>IF(Data!G435="","",Data!G435)</f>
        <v/>
      </c>
      <c r="D438" s="331" t="str">
        <f>IF(Data!H435="","",Data!H435)</f>
        <v/>
      </c>
      <c r="E438" s="330" t="str">
        <f>IF(Data!I435="","",Data!I435)</f>
        <v/>
      </c>
      <c r="F438" s="332" t="str">
        <f>IF(Data!J435="","",Data!J435)</f>
        <v>VIII-K</v>
      </c>
      <c r="G438" s="326" t="str">
        <f>IF(PA!G440="","",PA!G440)</f>
        <v/>
      </c>
      <c r="H438" s="327" t="str">
        <f>IF(PA!H440="","",PA!H440)</f>
        <v/>
      </c>
      <c r="I438" s="327" t="str">
        <f>IF(PA!I440="","",PA!I440)</f>
        <v/>
      </c>
      <c r="J438" s="327" t="str">
        <f>IF(PA!AA440="","",PA!AA440)</f>
        <v/>
      </c>
      <c r="K438" s="327" t="str">
        <f>IF(PA!AB440="","",PA!AB440)</f>
        <v/>
      </c>
      <c r="L438" s="327" t="str">
        <f>IF(PA!AC440="","",PA!AC440)</f>
        <v/>
      </c>
      <c r="M438" s="328" t="str">
        <f>IF(PA!P440="","",PA!P440)</f>
        <v/>
      </c>
    </row>
    <row r="439" spans="1:13" ht="14.4" x14ac:dyDescent="0.3">
      <c r="A439" s="329">
        <f>Data!E436</f>
        <v>32</v>
      </c>
      <c r="B439" s="330" t="str">
        <f>IF(Data!F436="","",Data!F436)</f>
        <v/>
      </c>
      <c r="C439" s="330" t="str">
        <f>IF(Data!G436="","",Data!G436)</f>
        <v/>
      </c>
      <c r="D439" s="331" t="str">
        <f>IF(Data!H436="","",Data!H436)</f>
        <v/>
      </c>
      <c r="E439" s="330" t="str">
        <f>IF(Data!I436="","",Data!I436)</f>
        <v/>
      </c>
      <c r="F439" s="332" t="str">
        <f>IF(Data!J436="","",Data!J436)</f>
        <v>VIII-K</v>
      </c>
      <c r="G439" s="326" t="str">
        <f>IF(PA!G441="","",PA!G441)</f>
        <v/>
      </c>
      <c r="H439" s="327" t="str">
        <f>IF(PA!H441="","",PA!H441)</f>
        <v/>
      </c>
      <c r="I439" s="327" t="str">
        <f>IF(PA!I441="","",PA!I441)</f>
        <v/>
      </c>
      <c r="J439" s="327" t="str">
        <f>IF(PA!AA441="","",PA!AA441)</f>
        <v/>
      </c>
      <c r="K439" s="327" t="str">
        <f>IF(PA!AB441="","",PA!AB441)</f>
        <v/>
      </c>
      <c r="L439" s="327" t="str">
        <f>IF(PA!AC441="","",PA!AC441)</f>
        <v/>
      </c>
      <c r="M439" s="328" t="str">
        <f>IF(PA!P441="","",PA!P441)</f>
        <v/>
      </c>
    </row>
    <row r="440" spans="1:13" ht="14.4" x14ac:dyDescent="0.3">
      <c r="A440" s="329">
        <f>Data!E437</f>
        <v>33</v>
      </c>
      <c r="B440" s="330" t="str">
        <f>IF(Data!F437="","",Data!F437)</f>
        <v/>
      </c>
      <c r="C440" s="330" t="str">
        <f>IF(Data!G437="","",Data!G437)</f>
        <v/>
      </c>
      <c r="D440" s="331" t="str">
        <f>IF(Data!H437="","",Data!H437)</f>
        <v/>
      </c>
      <c r="E440" s="330" t="str">
        <f>IF(Data!I437="","",Data!I437)</f>
        <v/>
      </c>
      <c r="F440" s="332" t="str">
        <f>IF(Data!J437="","",Data!J437)</f>
        <v>VIII-K</v>
      </c>
      <c r="G440" s="326" t="str">
        <f>IF(PA!G442="","",PA!G442)</f>
        <v/>
      </c>
      <c r="H440" s="327" t="str">
        <f>IF(PA!H442="","",PA!H442)</f>
        <v/>
      </c>
      <c r="I440" s="327" t="str">
        <f>IF(PA!I442="","",PA!I442)</f>
        <v/>
      </c>
      <c r="J440" s="327" t="str">
        <f>IF(PA!AA442="","",PA!AA442)</f>
        <v/>
      </c>
      <c r="K440" s="327" t="str">
        <f>IF(PA!AB442="","",PA!AB442)</f>
        <v/>
      </c>
      <c r="L440" s="327" t="str">
        <f>IF(PA!AC442="","",PA!AC442)</f>
        <v/>
      </c>
      <c r="M440" s="328" t="str">
        <f>IF(PA!P442="","",PA!P442)</f>
        <v/>
      </c>
    </row>
    <row r="441" spans="1:13" ht="14.4" x14ac:dyDescent="0.3">
      <c r="A441" s="329">
        <f>Data!E438</f>
        <v>34</v>
      </c>
      <c r="B441" s="330" t="str">
        <f>IF(Data!F438="","",Data!F438)</f>
        <v/>
      </c>
      <c r="C441" s="330" t="str">
        <f>IF(Data!G438="","",Data!G438)</f>
        <v/>
      </c>
      <c r="D441" s="331" t="str">
        <f>IF(Data!H438="","",Data!H438)</f>
        <v/>
      </c>
      <c r="E441" s="330" t="str">
        <f>IF(Data!I438="","",Data!I438)</f>
        <v/>
      </c>
      <c r="F441" s="332" t="str">
        <f>IF(Data!J438="","",Data!J438)</f>
        <v>VIII-K</v>
      </c>
      <c r="G441" s="326" t="str">
        <f>IF(PA!G443="","",PA!G443)</f>
        <v/>
      </c>
      <c r="H441" s="327" t="str">
        <f>IF(PA!H443="","",PA!H443)</f>
        <v/>
      </c>
      <c r="I441" s="327" t="str">
        <f>IF(PA!I443="","",PA!I443)</f>
        <v/>
      </c>
      <c r="J441" s="327" t="str">
        <f>IF(PA!AA443="","",PA!AA443)</f>
        <v/>
      </c>
      <c r="K441" s="327" t="str">
        <f>IF(PA!AB443="","",PA!AB443)</f>
        <v/>
      </c>
      <c r="L441" s="327" t="str">
        <f>IF(PA!AC443="","",PA!AC443)</f>
        <v/>
      </c>
      <c r="M441" s="328" t="str">
        <f>IF(PA!P443="","",PA!P443)</f>
        <v/>
      </c>
    </row>
    <row r="442" spans="1:13" ht="14.4" x14ac:dyDescent="0.3">
      <c r="A442" s="329">
        <f>Data!E439</f>
        <v>35</v>
      </c>
      <c r="B442" s="330" t="str">
        <f>IF(Data!F439="","",Data!F439)</f>
        <v/>
      </c>
      <c r="C442" s="330" t="str">
        <f>IF(Data!G439="","",Data!G439)</f>
        <v/>
      </c>
      <c r="D442" s="331" t="str">
        <f>IF(Data!H439="","",Data!H439)</f>
        <v/>
      </c>
      <c r="E442" s="330" t="str">
        <f>IF(Data!I439="","",Data!I439)</f>
        <v/>
      </c>
      <c r="F442" s="332" t="str">
        <f>IF(Data!J439="","",Data!J439)</f>
        <v>VIII-K</v>
      </c>
      <c r="G442" s="326" t="str">
        <f>IF(PA!G444="","",PA!G444)</f>
        <v/>
      </c>
      <c r="H442" s="327" t="str">
        <f>IF(PA!H444="","",PA!H444)</f>
        <v/>
      </c>
      <c r="I442" s="327" t="str">
        <f>IF(PA!I444="","",PA!I444)</f>
        <v/>
      </c>
      <c r="J442" s="327" t="str">
        <f>IF(PA!AA444="","",PA!AA444)</f>
        <v/>
      </c>
      <c r="K442" s="327" t="str">
        <f>IF(PA!AB444="","",PA!AB444)</f>
        <v/>
      </c>
      <c r="L442" s="327" t="str">
        <f>IF(PA!AC444="","",PA!AC444)</f>
        <v/>
      </c>
      <c r="M442" s="328" t="str">
        <f>IF(PA!P444="","",PA!P444)</f>
        <v/>
      </c>
    </row>
    <row r="443" spans="1:13" ht="14.4" x14ac:dyDescent="0.3">
      <c r="A443" s="329">
        <f>Data!E440</f>
        <v>36</v>
      </c>
      <c r="B443" s="330" t="str">
        <f>IF(Data!F440="","",Data!F440)</f>
        <v/>
      </c>
      <c r="C443" s="330" t="str">
        <f>IF(Data!G440="","",Data!G440)</f>
        <v/>
      </c>
      <c r="D443" s="331" t="str">
        <f>IF(Data!H440="","",Data!H440)</f>
        <v/>
      </c>
      <c r="E443" s="330" t="str">
        <f>IF(Data!I440="","",Data!I440)</f>
        <v/>
      </c>
      <c r="F443" s="332" t="str">
        <f>IF(Data!J440="","",Data!J440)</f>
        <v>VIII-K</v>
      </c>
      <c r="G443" s="326" t="str">
        <f>IF(PA!G445="","",PA!G445)</f>
        <v/>
      </c>
      <c r="H443" s="327" t="str">
        <f>IF(PA!H445="","",PA!H445)</f>
        <v/>
      </c>
      <c r="I443" s="327" t="str">
        <f>IF(PA!I445="","",PA!I445)</f>
        <v/>
      </c>
      <c r="J443" s="327" t="str">
        <f>IF(PA!AA445="","",PA!AA445)</f>
        <v/>
      </c>
      <c r="K443" s="327" t="str">
        <f>IF(PA!AB445="","",PA!AB445)</f>
        <v/>
      </c>
      <c r="L443" s="327" t="str">
        <f>IF(PA!AC445="","",PA!AC445)</f>
        <v/>
      </c>
      <c r="M443" s="328" t="str">
        <f>IF(PA!P445="","",PA!P445)</f>
        <v/>
      </c>
    </row>
    <row r="444" spans="1:13" ht="14.4" x14ac:dyDescent="0.3">
      <c r="A444" s="329">
        <f>Data!E441</f>
        <v>37</v>
      </c>
      <c r="B444" s="330" t="str">
        <f>IF(Data!F441="","",Data!F441)</f>
        <v/>
      </c>
      <c r="C444" s="330" t="str">
        <f>IF(Data!G441="","",Data!G441)</f>
        <v/>
      </c>
      <c r="D444" s="331" t="str">
        <f>IF(Data!H441="","",Data!H441)</f>
        <v/>
      </c>
      <c r="E444" s="330" t="str">
        <f>IF(Data!I441="","",Data!I441)</f>
        <v/>
      </c>
      <c r="F444" s="332" t="str">
        <f>IF(Data!J441="","",Data!J441)</f>
        <v>VIII-K</v>
      </c>
      <c r="G444" s="326" t="str">
        <f>IF(PA!G446="","",PA!G446)</f>
        <v/>
      </c>
      <c r="H444" s="327" t="str">
        <f>IF(PA!H446="","",PA!H446)</f>
        <v/>
      </c>
      <c r="I444" s="327" t="str">
        <f>IF(PA!I446="","",PA!I446)</f>
        <v/>
      </c>
      <c r="J444" s="327" t="str">
        <f>IF(PA!AA446="","",PA!AA446)</f>
        <v/>
      </c>
      <c r="K444" s="327" t="str">
        <f>IF(PA!AB446="","",PA!AB446)</f>
        <v/>
      </c>
      <c r="L444" s="327" t="str">
        <f>IF(PA!AC446="","",PA!AC446)</f>
        <v/>
      </c>
      <c r="M444" s="328" t="str">
        <f>IF(PA!P446="","",PA!P446)</f>
        <v/>
      </c>
    </row>
    <row r="445" spans="1:13" ht="14.4" x14ac:dyDescent="0.3">
      <c r="A445" s="329">
        <f>Data!E442</f>
        <v>38</v>
      </c>
      <c r="B445" s="330" t="str">
        <f>IF(Data!F442="","",Data!F442)</f>
        <v/>
      </c>
      <c r="C445" s="330" t="str">
        <f>IF(Data!G442="","",Data!G442)</f>
        <v/>
      </c>
      <c r="D445" s="331" t="str">
        <f>IF(Data!H442="","",Data!H442)</f>
        <v/>
      </c>
      <c r="E445" s="330" t="str">
        <f>IF(Data!I442="","",Data!I442)</f>
        <v/>
      </c>
      <c r="F445" s="332" t="str">
        <f>IF(Data!J442="","",Data!J442)</f>
        <v>VIII-K</v>
      </c>
      <c r="G445" s="326" t="str">
        <f>IF(PA!G447="","",PA!G447)</f>
        <v/>
      </c>
      <c r="H445" s="327" t="str">
        <f>IF(PA!H447="","",PA!H447)</f>
        <v/>
      </c>
      <c r="I445" s="327" t="str">
        <f>IF(PA!I447="","",PA!I447)</f>
        <v/>
      </c>
      <c r="J445" s="327" t="str">
        <f>IF(PA!AA447="","",PA!AA447)</f>
        <v/>
      </c>
      <c r="K445" s="327" t="str">
        <f>IF(PA!AB447="","",PA!AB447)</f>
        <v/>
      </c>
      <c r="L445" s="327" t="str">
        <f>IF(PA!AC447="","",PA!AC447)</f>
        <v/>
      </c>
      <c r="M445" s="328" t="str">
        <f>IF(PA!P447="","",PA!P447)</f>
        <v/>
      </c>
    </row>
    <row r="446" spans="1:13" ht="14.4" x14ac:dyDescent="0.3">
      <c r="A446" s="329">
        <f>Data!E443</f>
        <v>39</v>
      </c>
      <c r="B446" s="330" t="str">
        <f>IF(Data!F443="","",Data!F443)</f>
        <v/>
      </c>
      <c r="C446" s="330" t="str">
        <f>IF(Data!G443="","",Data!G443)</f>
        <v/>
      </c>
      <c r="D446" s="331" t="str">
        <f>IF(Data!H443="","",Data!H443)</f>
        <v/>
      </c>
      <c r="E446" s="330" t="str">
        <f>IF(Data!I443="","",Data!I443)</f>
        <v/>
      </c>
      <c r="F446" s="332" t="str">
        <f>IF(Data!J443="","",Data!J443)</f>
        <v>VIII-K</v>
      </c>
      <c r="G446" s="326" t="str">
        <f>IF(PA!G448="","",PA!G448)</f>
        <v/>
      </c>
      <c r="H446" s="327" t="str">
        <f>IF(PA!H448="","",PA!H448)</f>
        <v/>
      </c>
      <c r="I446" s="327" t="str">
        <f>IF(PA!I448="","",PA!I448)</f>
        <v/>
      </c>
      <c r="J446" s="327" t="str">
        <f>IF(PA!AA448="","",PA!AA448)</f>
        <v/>
      </c>
      <c r="K446" s="327" t="str">
        <f>IF(PA!AB448="","",PA!AB448)</f>
        <v/>
      </c>
      <c r="L446" s="327" t="str">
        <f>IF(PA!AC448="","",PA!AC448)</f>
        <v/>
      </c>
      <c r="M446" s="328" t="str">
        <f>IF(PA!P448="","",PA!P448)</f>
        <v/>
      </c>
    </row>
    <row r="447" spans="1:13" ht="15" thickBot="1" x14ac:dyDescent="0.35">
      <c r="A447" s="333">
        <f>Data!E444</f>
        <v>40</v>
      </c>
      <c r="B447" s="334" t="str">
        <f>IF(Data!F444="","",Data!F444)</f>
        <v/>
      </c>
      <c r="C447" s="334" t="str">
        <f>IF(Data!G444="","",Data!G444)</f>
        <v/>
      </c>
      <c r="D447" s="335" t="str">
        <f>IF(Data!H444="","",Data!H444)</f>
        <v/>
      </c>
      <c r="E447" s="334" t="str">
        <f>IF(Data!I444="","",Data!I444)</f>
        <v/>
      </c>
      <c r="F447" s="425" t="str">
        <f>IF(Data!J444="","",Data!J444)</f>
        <v>VIII-K</v>
      </c>
      <c r="G447" s="326" t="str">
        <f>IF(PA!G449="","",PA!G449)</f>
        <v/>
      </c>
      <c r="H447" s="327" t="str">
        <f>IF(PA!H449="","",PA!H449)</f>
        <v/>
      </c>
      <c r="I447" s="327" t="str">
        <f>IF(PA!I449="","",PA!I449)</f>
        <v/>
      </c>
      <c r="J447" s="327" t="str">
        <f>IF(PA!AA449="","",PA!AA449)</f>
        <v/>
      </c>
      <c r="K447" s="327" t="str">
        <f>IF(PA!AB449="","",PA!AB449)</f>
        <v/>
      </c>
      <c r="L447" s="327" t="str">
        <f>IF(PA!AC449="","",PA!AC449)</f>
        <v/>
      </c>
      <c r="M447" s="328" t="str">
        <f>IF(PA!P449="","",PA!P449)</f>
        <v/>
      </c>
    </row>
    <row r="448" spans="1:13" ht="15" thickTop="1" x14ac:dyDescent="0.3">
      <c r="A448" s="329">
        <f>Data!E445</f>
        <v>1</v>
      </c>
      <c r="B448" s="330" t="str">
        <f>IF(Data!F445="","",Data!F445)</f>
        <v/>
      </c>
      <c r="C448" s="330" t="str">
        <f>IF(Data!G445="","",Data!G445)</f>
        <v/>
      </c>
      <c r="D448" s="331" t="str">
        <f>IF(Data!H445="","",Data!H445)</f>
        <v/>
      </c>
      <c r="E448" s="330" t="str">
        <f>IF(Data!I445="","",Data!I445)</f>
        <v/>
      </c>
      <c r="F448" s="332" t="str">
        <f>IF(Data!J445="","",Data!J445)</f>
        <v>VIII-L</v>
      </c>
      <c r="G448" s="326" t="str">
        <f>IF(PA!G450="","",PA!G450)</f>
        <v/>
      </c>
      <c r="H448" s="327" t="str">
        <f>IF(PA!H450="","",PA!H450)</f>
        <v/>
      </c>
      <c r="I448" s="327" t="str">
        <f>IF(PA!I450="","",PA!I450)</f>
        <v/>
      </c>
      <c r="J448" s="327" t="str">
        <f>IF(PA!AA450="","",PA!AA450)</f>
        <v/>
      </c>
      <c r="K448" s="327" t="str">
        <f>IF(PA!AB450="","",PA!AB450)</f>
        <v/>
      </c>
      <c r="L448" s="327" t="str">
        <f>IF(PA!AC450="","",PA!AC450)</f>
        <v/>
      </c>
      <c r="M448" s="328" t="str">
        <f>IF(PA!P450="","",PA!P450)</f>
        <v/>
      </c>
    </row>
    <row r="449" spans="1:13" ht="14.4" x14ac:dyDescent="0.3">
      <c r="A449" s="329">
        <f>Data!E446</f>
        <v>2</v>
      </c>
      <c r="B449" s="330" t="str">
        <f>IF(Data!F446="","",Data!F446)</f>
        <v/>
      </c>
      <c r="C449" s="330" t="str">
        <f>IF(Data!G446="","",Data!G446)</f>
        <v/>
      </c>
      <c r="D449" s="331" t="str">
        <f>IF(Data!H446="","",Data!H446)</f>
        <v/>
      </c>
      <c r="E449" s="330" t="str">
        <f>IF(Data!I446="","",Data!I446)</f>
        <v/>
      </c>
      <c r="F449" s="332" t="str">
        <f>IF(Data!J446="","",Data!J446)</f>
        <v>VIII-L</v>
      </c>
      <c r="G449" s="326" t="str">
        <f>IF(PA!G451="","",PA!G451)</f>
        <v/>
      </c>
      <c r="H449" s="327" t="str">
        <f>IF(PA!H451="","",PA!H451)</f>
        <v/>
      </c>
      <c r="I449" s="327" t="str">
        <f>IF(PA!I451="","",PA!I451)</f>
        <v/>
      </c>
      <c r="J449" s="327" t="str">
        <f>IF(PA!AA451="","",PA!AA451)</f>
        <v/>
      </c>
      <c r="K449" s="327" t="str">
        <f>IF(PA!AB451="","",PA!AB451)</f>
        <v/>
      </c>
      <c r="L449" s="327" t="str">
        <f>IF(PA!AC451="","",PA!AC451)</f>
        <v/>
      </c>
      <c r="M449" s="328" t="str">
        <f>IF(PA!P451="","",PA!P451)</f>
        <v/>
      </c>
    </row>
    <row r="450" spans="1:13" ht="14.4" x14ac:dyDescent="0.3">
      <c r="A450" s="329">
        <f>Data!E447</f>
        <v>3</v>
      </c>
      <c r="B450" s="330" t="str">
        <f>IF(Data!F447="","",Data!F447)</f>
        <v/>
      </c>
      <c r="C450" s="330" t="str">
        <f>IF(Data!G447="","",Data!G447)</f>
        <v/>
      </c>
      <c r="D450" s="331" t="str">
        <f>IF(Data!H447="","",Data!H447)</f>
        <v/>
      </c>
      <c r="E450" s="330" t="str">
        <f>IF(Data!I447="","",Data!I447)</f>
        <v/>
      </c>
      <c r="F450" s="332" t="str">
        <f>IF(Data!J447="","",Data!J447)</f>
        <v>VIII-L</v>
      </c>
      <c r="G450" s="326" t="str">
        <f>IF(PA!G452="","",PA!G452)</f>
        <v/>
      </c>
      <c r="H450" s="327" t="str">
        <f>IF(PA!H452="","",PA!H452)</f>
        <v/>
      </c>
      <c r="I450" s="327" t="str">
        <f>IF(PA!I452="","",PA!I452)</f>
        <v/>
      </c>
      <c r="J450" s="327" t="str">
        <f>IF(PA!AA452="","",PA!AA452)</f>
        <v/>
      </c>
      <c r="K450" s="327" t="str">
        <f>IF(PA!AB452="","",PA!AB452)</f>
        <v/>
      </c>
      <c r="L450" s="327" t="str">
        <f>IF(PA!AC452="","",PA!AC452)</f>
        <v/>
      </c>
      <c r="M450" s="328" t="str">
        <f>IF(PA!P452="","",PA!P452)</f>
        <v/>
      </c>
    </row>
    <row r="451" spans="1:13" ht="14.4" x14ac:dyDescent="0.3">
      <c r="A451" s="329">
        <f>Data!E448</f>
        <v>4</v>
      </c>
      <c r="B451" s="330" t="str">
        <f>IF(Data!F448="","",Data!F448)</f>
        <v/>
      </c>
      <c r="C451" s="330" t="str">
        <f>IF(Data!G448="","",Data!G448)</f>
        <v/>
      </c>
      <c r="D451" s="331" t="str">
        <f>IF(Data!H448="","",Data!H448)</f>
        <v/>
      </c>
      <c r="E451" s="330" t="str">
        <f>IF(Data!I448="","",Data!I448)</f>
        <v/>
      </c>
      <c r="F451" s="332" t="str">
        <f>IF(Data!J448="","",Data!J448)</f>
        <v>VIII-L</v>
      </c>
      <c r="G451" s="326" t="str">
        <f>IF(PA!G453="","",PA!G453)</f>
        <v/>
      </c>
      <c r="H451" s="327" t="str">
        <f>IF(PA!H453="","",PA!H453)</f>
        <v/>
      </c>
      <c r="I451" s="327" t="str">
        <f>IF(PA!I453="","",PA!I453)</f>
        <v/>
      </c>
      <c r="J451" s="327" t="str">
        <f>IF(PA!AA453="","",PA!AA453)</f>
        <v/>
      </c>
      <c r="K451" s="327" t="str">
        <f>IF(PA!AB453="","",PA!AB453)</f>
        <v/>
      </c>
      <c r="L451" s="327" t="str">
        <f>IF(PA!AC453="","",PA!AC453)</f>
        <v/>
      </c>
      <c r="M451" s="328" t="str">
        <f>IF(PA!P453="","",PA!P453)</f>
        <v/>
      </c>
    </row>
    <row r="452" spans="1:13" ht="14.4" x14ac:dyDescent="0.3">
      <c r="A452" s="329">
        <f>Data!E449</f>
        <v>5</v>
      </c>
      <c r="B452" s="330" t="str">
        <f>IF(Data!F449="","",Data!F449)</f>
        <v/>
      </c>
      <c r="C452" s="330" t="str">
        <f>IF(Data!G449="","",Data!G449)</f>
        <v/>
      </c>
      <c r="D452" s="331" t="str">
        <f>IF(Data!H449="","",Data!H449)</f>
        <v/>
      </c>
      <c r="E452" s="330" t="str">
        <f>IF(Data!I449="","",Data!I449)</f>
        <v/>
      </c>
      <c r="F452" s="332" t="str">
        <f>IF(Data!J449="","",Data!J449)</f>
        <v>VIII-L</v>
      </c>
      <c r="G452" s="326" t="str">
        <f>IF(PA!G454="","",PA!G454)</f>
        <v/>
      </c>
      <c r="H452" s="327" t="str">
        <f>IF(PA!H454="","",PA!H454)</f>
        <v/>
      </c>
      <c r="I452" s="327" t="str">
        <f>IF(PA!I454="","",PA!I454)</f>
        <v/>
      </c>
      <c r="J452" s="327" t="str">
        <f>IF(PA!AA454="","",PA!AA454)</f>
        <v/>
      </c>
      <c r="K452" s="327" t="str">
        <f>IF(PA!AB454="","",PA!AB454)</f>
        <v/>
      </c>
      <c r="L452" s="327" t="str">
        <f>IF(PA!AC454="","",PA!AC454)</f>
        <v/>
      </c>
      <c r="M452" s="328" t="str">
        <f>IF(PA!P454="","",PA!P454)</f>
        <v/>
      </c>
    </row>
    <row r="453" spans="1:13" ht="14.4" x14ac:dyDescent="0.3">
      <c r="A453" s="329">
        <f>Data!E450</f>
        <v>6</v>
      </c>
      <c r="B453" s="330" t="str">
        <f>IF(Data!F450="","",Data!F450)</f>
        <v/>
      </c>
      <c r="C453" s="330" t="str">
        <f>IF(Data!G450="","",Data!G450)</f>
        <v/>
      </c>
      <c r="D453" s="331" t="str">
        <f>IF(Data!H450="","",Data!H450)</f>
        <v/>
      </c>
      <c r="E453" s="330" t="str">
        <f>IF(Data!I450="","",Data!I450)</f>
        <v/>
      </c>
      <c r="F453" s="332" t="str">
        <f>IF(Data!J450="","",Data!J450)</f>
        <v>VIII-L</v>
      </c>
      <c r="G453" s="326" t="str">
        <f>IF(PA!G455="","",PA!G455)</f>
        <v/>
      </c>
      <c r="H453" s="327" t="str">
        <f>IF(PA!H455="","",PA!H455)</f>
        <v/>
      </c>
      <c r="I453" s="327" t="str">
        <f>IF(PA!I455="","",PA!I455)</f>
        <v/>
      </c>
      <c r="J453" s="327" t="str">
        <f>IF(PA!AA455="","",PA!AA455)</f>
        <v/>
      </c>
      <c r="K453" s="327" t="str">
        <f>IF(PA!AB455="","",PA!AB455)</f>
        <v/>
      </c>
      <c r="L453" s="327" t="str">
        <f>IF(PA!AC455="","",PA!AC455)</f>
        <v/>
      </c>
      <c r="M453" s="328" t="str">
        <f>IF(PA!P455="","",PA!P455)</f>
        <v/>
      </c>
    </row>
    <row r="454" spans="1:13" ht="14.4" x14ac:dyDescent="0.3">
      <c r="A454" s="329">
        <f>Data!E451</f>
        <v>7</v>
      </c>
      <c r="B454" s="330" t="str">
        <f>IF(Data!F451="","",Data!F451)</f>
        <v/>
      </c>
      <c r="C454" s="330" t="str">
        <f>IF(Data!G451="","",Data!G451)</f>
        <v/>
      </c>
      <c r="D454" s="331" t="str">
        <f>IF(Data!H451="","",Data!H451)</f>
        <v/>
      </c>
      <c r="E454" s="330" t="str">
        <f>IF(Data!I451="","",Data!I451)</f>
        <v/>
      </c>
      <c r="F454" s="332" t="str">
        <f>IF(Data!J451="","",Data!J451)</f>
        <v>VIII-L</v>
      </c>
      <c r="G454" s="326" t="str">
        <f>IF(PA!G456="","",PA!G456)</f>
        <v/>
      </c>
      <c r="H454" s="327" t="str">
        <f>IF(PA!H456="","",PA!H456)</f>
        <v/>
      </c>
      <c r="I454" s="327" t="str">
        <f>IF(PA!I456="","",PA!I456)</f>
        <v/>
      </c>
      <c r="J454" s="327" t="str">
        <f>IF(PA!AA456="","",PA!AA456)</f>
        <v/>
      </c>
      <c r="K454" s="327" t="str">
        <f>IF(PA!AB456="","",PA!AB456)</f>
        <v/>
      </c>
      <c r="L454" s="327" t="str">
        <f>IF(PA!AC456="","",PA!AC456)</f>
        <v/>
      </c>
      <c r="M454" s="328" t="str">
        <f>IF(PA!P456="","",PA!P456)</f>
        <v/>
      </c>
    </row>
    <row r="455" spans="1:13" ht="14.4" x14ac:dyDescent="0.3">
      <c r="A455" s="329">
        <f>Data!E452</f>
        <v>8</v>
      </c>
      <c r="B455" s="330" t="str">
        <f>IF(Data!F452="","",Data!F452)</f>
        <v/>
      </c>
      <c r="C455" s="330" t="str">
        <f>IF(Data!G452="","",Data!G452)</f>
        <v/>
      </c>
      <c r="D455" s="331" t="str">
        <f>IF(Data!H452="","",Data!H452)</f>
        <v/>
      </c>
      <c r="E455" s="330" t="str">
        <f>IF(Data!I452="","",Data!I452)</f>
        <v/>
      </c>
      <c r="F455" s="332" t="str">
        <f>IF(Data!J452="","",Data!J452)</f>
        <v>VIII-L</v>
      </c>
      <c r="G455" s="326" t="str">
        <f>IF(PA!G457="","",PA!G457)</f>
        <v/>
      </c>
      <c r="H455" s="327" t="str">
        <f>IF(PA!H457="","",PA!H457)</f>
        <v/>
      </c>
      <c r="I455" s="327" t="str">
        <f>IF(PA!I457="","",PA!I457)</f>
        <v/>
      </c>
      <c r="J455" s="327" t="str">
        <f>IF(PA!AA457="","",PA!AA457)</f>
        <v/>
      </c>
      <c r="K455" s="327" t="str">
        <f>IF(PA!AB457="","",PA!AB457)</f>
        <v/>
      </c>
      <c r="L455" s="327" t="str">
        <f>IF(PA!AC457="","",PA!AC457)</f>
        <v/>
      </c>
      <c r="M455" s="328" t="str">
        <f>IF(PA!P457="","",PA!P457)</f>
        <v/>
      </c>
    </row>
    <row r="456" spans="1:13" ht="14.4" x14ac:dyDescent="0.3">
      <c r="A456" s="329">
        <f>Data!E453</f>
        <v>9</v>
      </c>
      <c r="B456" s="330" t="str">
        <f>IF(Data!F453="","",Data!F453)</f>
        <v/>
      </c>
      <c r="C456" s="330" t="str">
        <f>IF(Data!G453="","",Data!G453)</f>
        <v/>
      </c>
      <c r="D456" s="331" t="str">
        <f>IF(Data!H453="","",Data!H453)</f>
        <v/>
      </c>
      <c r="E456" s="330" t="str">
        <f>IF(Data!I453="","",Data!I453)</f>
        <v/>
      </c>
      <c r="F456" s="332" t="str">
        <f>IF(Data!J453="","",Data!J453)</f>
        <v>VIII-L</v>
      </c>
      <c r="G456" s="326" t="str">
        <f>IF(PA!G458="","",PA!G458)</f>
        <v/>
      </c>
      <c r="H456" s="327" t="str">
        <f>IF(PA!H458="","",PA!H458)</f>
        <v/>
      </c>
      <c r="I456" s="327" t="str">
        <f>IF(PA!I458="","",PA!I458)</f>
        <v/>
      </c>
      <c r="J456" s="327" t="str">
        <f>IF(PA!AA458="","",PA!AA458)</f>
        <v/>
      </c>
      <c r="K456" s="327" t="str">
        <f>IF(PA!AB458="","",PA!AB458)</f>
        <v/>
      </c>
      <c r="L456" s="327" t="str">
        <f>IF(PA!AC458="","",PA!AC458)</f>
        <v/>
      </c>
      <c r="M456" s="328" t="str">
        <f>IF(PA!P458="","",PA!P458)</f>
        <v/>
      </c>
    </row>
    <row r="457" spans="1:13" ht="14.4" x14ac:dyDescent="0.3">
      <c r="A457" s="329">
        <f>Data!E454</f>
        <v>10</v>
      </c>
      <c r="B457" s="330" t="str">
        <f>IF(Data!F454="","",Data!F454)</f>
        <v/>
      </c>
      <c r="C457" s="330" t="str">
        <f>IF(Data!G454="","",Data!G454)</f>
        <v/>
      </c>
      <c r="D457" s="331" t="str">
        <f>IF(Data!H454="","",Data!H454)</f>
        <v/>
      </c>
      <c r="E457" s="330" t="str">
        <f>IF(Data!I454="","",Data!I454)</f>
        <v/>
      </c>
      <c r="F457" s="332" t="str">
        <f>IF(Data!J454="","",Data!J454)</f>
        <v>VIII-L</v>
      </c>
      <c r="G457" s="326" t="str">
        <f>IF(PA!G459="","",PA!G459)</f>
        <v/>
      </c>
      <c r="H457" s="327" t="str">
        <f>IF(PA!H459="","",PA!H459)</f>
        <v/>
      </c>
      <c r="I457" s="327" t="str">
        <f>IF(PA!I459="","",PA!I459)</f>
        <v/>
      </c>
      <c r="J457" s="327" t="str">
        <f>IF(PA!AA459="","",PA!AA459)</f>
        <v/>
      </c>
      <c r="K457" s="327" t="str">
        <f>IF(PA!AB459="","",PA!AB459)</f>
        <v/>
      </c>
      <c r="L457" s="327" t="str">
        <f>IF(PA!AC459="","",PA!AC459)</f>
        <v/>
      </c>
      <c r="M457" s="328" t="str">
        <f>IF(PA!P459="","",PA!P459)</f>
        <v/>
      </c>
    </row>
    <row r="458" spans="1:13" ht="14.4" x14ac:dyDescent="0.3">
      <c r="A458" s="329">
        <f>Data!E455</f>
        <v>11</v>
      </c>
      <c r="B458" s="330" t="str">
        <f>IF(Data!F455="","",Data!F455)</f>
        <v/>
      </c>
      <c r="C458" s="330" t="str">
        <f>IF(Data!G455="","",Data!G455)</f>
        <v/>
      </c>
      <c r="D458" s="331" t="str">
        <f>IF(Data!H455="","",Data!H455)</f>
        <v/>
      </c>
      <c r="E458" s="330" t="str">
        <f>IF(Data!I455="","",Data!I455)</f>
        <v/>
      </c>
      <c r="F458" s="332" t="str">
        <f>IF(Data!J455="","",Data!J455)</f>
        <v>VIII-L</v>
      </c>
      <c r="G458" s="326" t="str">
        <f>IF(PA!G460="","",PA!G460)</f>
        <v/>
      </c>
      <c r="H458" s="327" t="str">
        <f>IF(PA!H460="","",PA!H460)</f>
        <v/>
      </c>
      <c r="I458" s="327" t="str">
        <f>IF(PA!I460="","",PA!I460)</f>
        <v/>
      </c>
      <c r="J458" s="327" t="str">
        <f>IF(PA!AA460="","",PA!AA460)</f>
        <v/>
      </c>
      <c r="K458" s="327" t="str">
        <f>IF(PA!AB460="","",PA!AB460)</f>
        <v/>
      </c>
      <c r="L458" s="327" t="str">
        <f>IF(PA!AC460="","",PA!AC460)</f>
        <v/>
      </c>
      <c r="M458" s="328" t="str">
        <f>IF(PA!P460="","",PA!P460)</f>
        <v/>
      </c>
    </row>
    <row r="459" spans="1:13" ht="14.4" x14ac:dyDescent="0.3">
      <c r="A459" s="329">
        <f>Data!E456</f>
        <v>12</v>
      </c>
      <c r="B459" s="330" t="str">
        <f>IF(Data!F456="","",Data!F456)</f>
        <v/>
      </c>
      <c r="C459" s="330" t="str">
        <f>IF(Data!G456="","",Data!G456)</f>
        <v/>
      </c>
      <c r="D459" s="331" t="str">
        <f>IF(Data!H456="","",Data!H456)</f>
        <v/>
      </c>
      <c r="E459" s="330" t="str">
        <f>IF(Data!I456="","",Data!I456)</f>
        <v/>
      </c>
      <c r="F459" s="332" t="str">
        <f>IF(Data!J456="","",Data!J456)</f>
        <v>VIII-L</v>
      </c>
      <c r="G459" s="326" t="str">
        <f>IF(PA!G461="","",PA!G461)</f>
        <v/>
      </c>
      <c r="H459" s="327" t="str">
        <f>IF(PA!H461="","",PA!H461)</f>
        <v/>
      </c>
      <c r="I459" s="327" t="str">
        <f>IF(PA!I461="","",PA!I461)</f>
        <v/>
      </c>
      <c r="J459" s="327" t="str">
        <f>IF(PA!AA461="","",PA!AA461)</f>
        <v/>
      </c>
      <c r="K459" s="327" t="str">
        <f>IF(PA!AB461="","",PA!AB461)</f>
        <v/>
      </c>
      <c r="L459" s="327" t="str">
        <f>IF(PA!AC461="","",PA!AC461)</f>
        <v/>
      </c>
      <c r="M459" s="328" t="str">
        <f>IF(PA!P461="","",PA!P461)</f>
        <v/>
      </c>
    </row>
    <row r="460" spans="1:13" ht="14.4" x14ac:dyDescent="0.3">
      <c r="A460" s="329">
        <f>Data!E457</f>
        <v>13</v>
      </c>
      <c r="B460" s="330" t="str">
        <f>IF(Data!F457="","",Data!F457)</f>
        <v/>
      </c>
      <c r="C460" s="330" t="str">
        <f>IF(Data!G457="","",Data!G457)</f>
        <v/>
      </c>
      <c r="D460" s="331" t="str">
        <f>IF(Data!H457="","",Data!H457)</f>
        <v/>
      </c>
      <c r="E460" s="330" t="str">
        <f>IF(Data!I457="","",Data!I457)</f>
        <v/>
      </c>
      <c r="F460" s="332" t="str">
        <f>IF(Data!J457="","",Data!J457)</f>
        <v>VIII-L</v>
      </c>
      <c r="G460" s="326" t="str">
        <f>IF(PA!G462="","",PA!G462)</f>
        <v/>
      </c>
      <c r="H460" s="327" t="str">
        <f>IF(PA!H462="","",PA!H462)</f>
        <v/>
      </c>
      <c r="I460" s="327" t="str">
        <f>IF(PA!I462="","",PA!I462)</f>
        <v/>
      </c>
      <c r="J460" s="327" t="str">
        <f>IF(PA!AA462="","",PA!AA462)</f>
        <v/>
      </c>
      <c r="K460" s="327" t="str">
        <f>IF(PA!AB462="","",PA!AB462)</f>
        <v/>
      </c>
      <c r="L460" s="327" t="str">
        <f>IF(PA!AC462="","",PA!AC462)</f>
        <v/>
      </c>
      <c r="M460" s="328" t="str">
        <f>IF(PA!P462="","",PA!P462)</f>
        <v/>
      </c>
    </row>
    <row r="461" spans="1:13" ht="14.4" x14ac:dyDescent="0.3">
      <c r="A461" s="329">
        <f>Data!E458</f>
        <v>14</v>
      </c>
      <c r="B461" s="330" t="str">
        <f>IF(Data!F458="","",Data!F458)</f>
        <v/>
      </c>
      <c r="C461" s="330" t="str">
        <f>IF(Data!G458="","",Data!G458)</f>
        <v/>
      </c>
      <c r="D461" s="331" t="str">
        <f>IF(Data!H458="","",Data!H458)</f>
        <v/>
      </c>
      <c r="E461" s="330" t="str">
        <f>IF(Data!I458="","",Data!I458)</f>
        <v/>
      </c>
      <c r="F461" s="332" t="str">
        <f>IF(Data!J458="","",Data!J458)</f>
        <v>VIII-L</v>
      </c>
      <c r="G461" s="326" t="str">
        <f>IF(PA!G463="","",PA!G463)</f>
        <v/>
      </c>
      <c r="H461" s="327" t="str">
        <f>IF(PA!H463="","",PA!H463)</f>
        <v/>
      </c>
      <c r="I461" s="327" t="str">
        <f>IF(PA!I463="","",PA!I463)</f>
        <v/>
      </c>
      <c r="J461" s="327" t="str">
        <f>IF(PA!AA463="","",PA!AA463)</f>
        <v/>
      </c>
      <c r="K461" s="327" t="str">
        <f>IF(PA!AB463="","",PA!AB463)</f>
        <v/>
      </c>
      <c r="L461" s="327" t="str">
        <f>IF(PA!AC463="","",PA!AC463)</f>
        <v/>
      </c>
      <c r="M461" s="328" t="str">
        <f>IF(PA!P463="","",PA!P463)</f>
        <v/>
      </c>
    </row>
    <row r="462" spans="1:13" ht="14.4" x14ac:dyDescent="0.3">
      <c r="A462" s="329">
        <f>Data!E459</f>
        <v>15</v>
      </c>
      <c r="B462" s="330" t="str">
        <f>IF(Data!F459="","",Data!F459)</f>
        <v/>
      </c>
      <c r="C462" s="330" t="str">
        <f>IF(Data!G459="","",Data!G459)</f>
        <v/>
      </c>
      <c r="D462" s="331" t="str">
        <f>IF(Data!H459="","",Data!H459)</f>
        <v/>
      </c>
      <c r="E462" s="330" t="str">
        <f>IF(Data!I459="","",Data!I459)</f>
        <v/>
      </c>
      <c r="F462" s="332" t="str">
        <f>IF(Data!J459="","",Data!J459)</f>
        <v>VIII-L</v>
      </c>
      <c r="G462" s="326" t="str">
        <f>IF(PA!G464="","",PA!G464)</f>
        <v/>
      </c>
      <c r="H462" s="327" t="str">
        <f>IF(PA!H464="","",PA!H464)</f>
        <v/>
      </c>
      <c r="I462" s="327" t="str">
        <f>IF(PA!I464="","",PA!I464)</f>
        <v/>
      </c>
      <c r="J462" s="327" t="str">
        <f>IF(PA!AA464="","",PA!AA464)</f>
        <v/>
      </c>
      <c r="K462" s="327" t="str">
        <f>IF(PA!AB464="","",PA!AB464)</f>
        <v/>
      </c>
      <c r="L462" s="327" t="str">
        <f>IF(PA!AC464="","",PA!AC464)</f>
        <v/>
      </c>
      <c r="M462" s="328" t="str">
        <f>IF(PA!P464="","",PA!P464)</f>
        <v/>
      </c>
    </row>
    <row r="463" spans="1:13" ht="14.4" x14ac:dyDescent="0.3">
      <c r="A463" s="329">
        <f>Data!E460</f>
        <v>16</v>
      </c>
      <c r="B463" s="330" t="str">
        <f>IF(Data!F460="","",Data!F460)</f>
        <v/>
      </c>
      <c r="C463" s="330" t="str">
        <f>IF(Data!G460="","",Data!G460)</f>
        <v/>
      </c>
      <c r="D463" s="331" t="str">
        <f>IF(Data!H460="","",Data!H460)</f>
        <v/>
      </c>
      <c r="E463" s="330" t="str">
        <f>IF(Data!I460="","",Data!I460)</f>
        <v/>
      </c>
      <c r="F463" s="332" t="str">
        <f>IF(Data!J460="","",Data!J460)</f>
        <v>VIII-L</v>
      </c>
      <c r="G463" s="326" t="str">
        <f>IF(PA!G465="","",PA!G465)</f>
        <v/>
      </c>
      <c r="H463" s="327" t="str">
        <f>IF(PA!H465="","",PA!H465)</f>
        <v/>
      </c>
      <c r="I463" s="327" t="str">
        <f>IF(PA!I465="","",PA!I465)</f>
        <v/>
      </c>
      <c r="J463" s="327" t="str">
        <f>IF(PA!AA465="","",PA!AA465)</f>
        <v/>
      </c>
      <c r="K463" s="327" t="str">
        <f>IF(PA!AB465="","",PA!AB465)</f>
        <v/>
      </c>
      <c r="L463" s="327" t="str">
        <f>IF(PA!AC465="","",PA!AC465)</f>
        <v/>
      </c>
      <c r="M463" s="328" t="str">
        <f>IF(PA!P465="","",PA!P465)</f>
        <v/>
      </c>
    </row>
    <row r="464" spans="1:13" ht="14.4" x14ac:dyDescent="0.3">
      <c r="A464" s="329">
        <f>Data!E461</f>
        <v>17</v>
      </c>
      <c r="B464" s="330" t="str">
        <f>IF(Data!F461="","",Data!F461)</f>
        <v/>
      </c>
      <c r="C464" s="330" t="str">
        <f>IF(Data!G461="","",Data!G461)</f>
        <v/>
      </c>
      <c r="D464" s="331" t="str">
        <f>IF(Data!H461="","",Data!H461)</f>
        <v/>
      </c>
      <c r="E464" s="330" t="str">
        <f>IF(Data!I461="","",Data!I461)</f>
        <v/>
      </c>
      <c r="F464" s="332" t="str">
        <f>IF(Data!J461="","",Data!J461)</f>
        <v>VIII-L</v>
      </c>
      <c r="G464" s="326" t="str">
        <f>IF(PA!G466="","",PA!G466)</f>
        <v/>
      </c>
      <c r="H464" s="327" t="str">
        <f>IF(PA!H466="","",PA!H466)</f>
        <v/>
      </c>
      <c r="I464" s="327" t="str">
        <f>IF(PA!I466="","",PA!I466)</f>
        <v/>
      </c>
      <c r="J464" s="327" t="str">
        <f>IF(PA!AA466="","",PA!AA466)</f>
        <v/>
      </c>
      <c r="K464" s="327" t="str">
        <f>IF(PA!AB466="","",PA!AB466)</f>
        <v/>
      </c>
      <c r="L464" s="327" t="str">
        <f>IF(PA!AC466="","",PA!AC466)</f>
        <v/>
      </c>
      <c r="M464" s="328" t="str">
        <f>IF(PA!P466="","",PA!P466)</f>
        <v/>
      </c>
    </row>
    <row r="465" spans="1:13" ht="14.4" x14ac:dyDescent="0.3">
      <c r="A465" s="329">
        <f>Data!E462</f>
        <v>18</v>
      </c>
      <c r="B465" s="330" t="str">
        <f>IF(Data!F462="","",Data!F462)</f>
        <v/>
      </c>
      <c r="C465" s="330" t="str">
        <f>IF(Data!G462="","",Data!G462)</f>
        <v/>
      </c>
      <c r="D465" s="331" t="str">
        <f>IF(Data!H462="","",Data!H462)</f>
        <v/>
      </c>
      <c r="E465" s="330" t="str">
        <f>IF(Data!I462="","",Data!I462)</f>
        <v/>
      </c>
      <c r="F465" s="332" t="str">
        <f>IF(Data!J462="","",Data!J462)</f>
        <v>VIII-L</v>
      </c>
      <c r="G465" s="326" t="str">
        <f>IF(PA!G467="","",PA!G467)</f>
        <v/>
      </c>
      <c r="H465" s="327" t="str">
        <f>IF(PA!H467="","",PA!H467)</f>
        <v/>
      </c>
      <c r="I465" s="327" t="str">
        <f>IF(PA!I467="","",PA!I467)</f>
        <v/>
      </c>
      <c r="J465" s="327" t="str">
        <f>IF(PA!AA467="","",PA!AA467)</f>
        <v/>
      </c>
      <c r="K465" s="327" t="str">
        <f>IF(PA!AB467="","",PA!AB467)</f>
        <v/>
      </c>
      <c r="L465" s="327" t="str">
        <f>IF(PA!AC467="","",PA!AC467)</f>
        <v/>
      </c>
      <c r="M465" s="328" t="str">
        <f>IF(PA!P467="","",PA!P467)</f>
        <v/>
      </c>
    </row>
    <row r="466" spans="1:13" ht="14.4" x14ac:dyDescent="0.3">
      <c r="A466" s="329">
        <f>Data!E463</f>
        <v>19</v>
      </c>
      <c r="B466" s="330" t="str">
        <f>IF(Data!F463="","",Data!F463)</f>
        <v/>
      </c>
      <c r="C466" s="330" t="str">
        <f>IF(Data!G463="","",Data!G463)</f>
        <v/>
      </c>
      <c r="D466" s="331" t="str">
        <f>IF(Data!H463="","",Data!H463)</f>
        <v/>
      </c>
      <c r="E466" s="330" t="str">
        <f>IF(Data!I463="","",Data!I463)</f>
        <v/>
      </c>
      <c r="F466" s="332" t="str">
        <f>IF(Data!J463="","",Data!J463)</f>
        <v>VIII-L</v>
      </c>
      <c r="G466" s="326" t="str">
        <f>IF(PA!G468="","",PA!G468)</f>
        <v/>
      </c>
      <c r="H466" s="327" t="str">
        <f>IF(PA!H468="","",PA!H468)</f>
        <v/>
      </c>
      <c r="I466" s="327" t="str">
        <f>IF(PA!I468="","",PA!I468)</f>
        <v/>
      </c>
      <c r="J466" s="327" t="str">
        <f>IF(PA!AA468="","",PA!AA468)</f>
        <v/>
      </c>
      <c r="K466" s="327" t="str">
        <f>IF(PA!AB468="","",PA!AB468)</f>
        <v/>
      </c>
      <c r="L466" s="327" t="str">
        <f>IF(PA!AC468="","",PA!AC468)</f>
        <v/>
      </c>
      <c r="M466" s="328" t="str">
        <f>IF(PA!P468="","",PA!P468)</f>
        <v/>
      </c>
    </row>
    <row r="467" spans="1:13" ht="14.4" x14ac:dyDescent="0.3">
      <c r="A467" s="329">
        <f>Data!E464</f>
        <v>20</v>
      </c>
      <c r="B467" s="330" t="str">
        <f>IF(Data!F464="","",Data!F464)</f>
        <v/>
      </c>
      <c r="C467" s="330" t="str">
        <f>IF(Data!G464="","",Data!G464)</f>
        <v/>
      </c>
      <c r="D467" s="331" t="str">
        <f>IF(Data!H464="","",Data!H464)</f>
        <v/>
      </c>
      <c r="E467" s="330" t="str">
        <f>IF(Data!I464="","",Data!I464)</f>
        <v/>
      </c>
      <c r="F467" s="332" t="str">
        <f>IF(Data!J464="","",Data!J464)</f>
        <v>VIII-L</v>
      </c>
      <c r="G467" s="326" t="str">
        <f>IF(PA!G469="","",PA!G469)</f>
        <v/>
      </c>
      <c r="H467" s="327" t="str">
        <f>IF(PA!H469="","",PA!H469)</f>
        <v/>
      </c>
      <c r="I467" s="327" t="str">
        <f>IF(PA!I469="","",PA!I469)</f>
        <v/>
      </c>
      <c r="J467" s="327" t="str">
        <f>IF(PA!AA469="","",PA!AA469)</f>
        <v/>
      </c>
      <c r="K467" s="327" t="str">
        <f>IF(PA!AB469="","",PA!AB469)</f>
        <v/>
      </c>
      <c r="L467" s="327" t="str">
        <f>IF(PA!AC469="","",PA!AC469)</f>
        <v/>
      </c>
      <c r="M467" s="328" t="str">
        <f>IF(PA!P469="","",PA!P469)</f>
        <v/>
      </c>
    </row>
    <row r="468" spans="1:13" ht="14.4" x14ac:dyDescent="0.3">
      <c r="A468" s="329">
        <f>Data!E465</f>
        <v>21</v>
      </c>
      <c r="B468" s="330" t="str">
        <f>IF(Data!F465="","",Data!F465)</f>
        <v/>
      </c>
      <c r="C468" s="330" t="str">
        <f>IF(Data!G465="","",Data!G465)</f>
        <v/>
      </c>
      <c r="D468" s="331" t="str">
        <f>IF(Data!H465="","",Data!H465)</f>
        <v/>
      </c>
      <c r="E468" s="330" t="str">
        <f>IF(Data!I465="","",Data!I465)</f>
        <v/>
      </c>
      <c r="F468" s="332" t="str">
        <f>IF(Data!J465="","",Data!J465)</f>
        <v>VIII-L</v>
      </c>
      <c r="G468" s="326" t="str">
        <f>IF(PA!G470="","",PA!G470)</f>
        <v/>
      </c>
      <c r="H468" s="327" t="str">
        <f>IF(PA!H470="","",PA!H470)</f>
        <v/>
      </c>
      <c r="I468" s="327" t="str">
        <f>IF(PA!I470="","",PA!I470)</f>
        <v/>
      </c>
      <c r="J468" s="327" t="str">
        <f>IF(PA!AA470="","",PA!AA470)</f>
        <v/>
      </c>
      <c r="K468" s="327" t="str">
        <f>IF(PA!AB470="","",PA!AB470)</f>
        <v/>
      </c>
      <c r="L468" s="327" t="str">
        <f>IF(PA!AC470="","",PA!AC470)</f>
        <v/>
      </c>
      <c r="M468" s="328" t="str">
        <f>IF(PA!P470="","",PA!P470)</f>
        <v/>
      </c>
    </row>
    <row r="469" spans="1:13" ht="14.4" x14ac:dyDescent="0.3">
      <c r="A469" s="329">
        <f>Data!E466</f>
        <v>22</v>
      </c>
      <c r="B469" s="330" t="str">
        <f>IF(Data!F466="","",Data!F466)</f>
        <v/>
      </c>
      <c r="C469" s="330" t="str">
        <f>IF(Data!G466="","",Data!G466)</f>
        <v/>
      </c>
      <c r="D469" s="331" t="str">
        <f>IF(Data!H466="","",Data!H466)</f>
        <v/>
      </c>
      <c r="E469" s="330" t="str">
        <f>IF(Data!I466="","",Data!I466)</f>
        <v/>
      </c>
      <c r="F469" s="332" t="str">
        <f>IF(Data!J466="","",Data!J466)</f>
        <v>VIII-L</v>
      </c>
      <c r="G469" s="326" t="str">
        <f>IF(PA!G471="","",PA!G471)</f>
        <v/>
      </c>
      <c r="H469" s="327" t="str">
        <f>IF(PA!H471="","",PA!H471)</f>
        <v/>
      </c>
      <c r="I469" s="327" t="str">
        <f>IF(PA!I471="","",PA!I471)</f>
        <v/>
      </c>
      <c r="J469" s="327" t="str">
        <f>IF(PA!AA471="","",PA!AA471)</f>
        <v/>
      </c>
      <c r="K469" s="327" t="str">
        <f>IF(PA!AB471="","",PA!AB471)</f>
        <v/>
      </c>
      <c r="L469" s="327" t="str">
        <f>IF(PA!AC471="","",PA!AC471)</f>
        <v/>
      </c>
      <c r="M469" s="328" t="str">
        <f>IF(PA!P471="","",PA!P471)</f>
        <v/>
      </c>
    </row>
    <row r="470" spans="1:13" ht="14.4" x14ac:dyDescent="0.3">
      <c r="A470" s="329">
        <f>Data!E467</f>
        <v>23</v>
      </c>
      <c r="B470" s="330" t="str">
        <f>IF(Data!F467="","",Data!F467)</f>
        <v/>
      </c>
      <c r="C470" s="330" t="str">
        <f>IF(Data!G467="","",Data!G467)</f>
        <v/>
      </c>
      <c r="D470" s="331" t="str">
        <f>IF(Data!H467="","",Data!H467)</f>
        <v/>
      </c>
      <c r="E470" s="330" t="str">
        <f>IF(Data!I467="","",Data!I467)</f>
        <v/>
      </c>
      <c r="F470" s="332" t="str">
        <f>IF(Data!J467="","",Data!J467)</f>
        <v>VIII-L</v>
      </c>
      <c r="G470" s="326" t="str">
        <f>IF(PA!G472="","",PA!G472)</f>
        <v/>
      </c>
      <c r="H470" s="327" t="str">
        <f>IF(PA!H472="","",PA!H472)</f>
        <v/>
      </c>
      <c r="I470" s="327" t="str">
        <f>IF(PA!I472="","",PA!I472)</f>
        <v/>
      </c>
      <c r="J470" s="327" t="str">
        <f>IF(PA!AA472="","",PA!AA472)</f>
        <v/>
      </c>
      <c r="K470" s="327" t="str">
        <f>IF(PA!AB472="","",PA!AB472)</f>
        <v/>
      </c>
      <c r="L470" s="327" t="str">
        <f>IF(PA!AC472="","",PA!AC472)</f>
        <v/>
      </c>
      <c r="M470" s="328" t="str">
        <f>IF(PA!P472="","",PA!P472)</f>
        <v/>
      </c>
    </row>
    <row r="471" spans="1:13" ht="14.4" x14ac:dyDescent="0.3">
      <c r="A471" s="329">
        <f>Data!E468</f>
        <v>24</v>
      </c>
      <c r="B471" s="330" t="str">
        <f>IF(Data!F468="","",Data!F468)</f>
        <v/>
      </c>
      <c r="C471" s="330" t="str">
        <f>IF(Data!G468="","",Data!G468)</f>
        <v/>
      </c>
      <c r="D471" s="331" t="str">
        <f>IF(Data!H468="","",Data!H468)</f>
        <v/>
      </c>
      <c r="E471" s="330" t="str">
        <f>IF(Data!I468="","",Data!I468)</f>
        <v/>
      </c>
      <c r="F471" s="332" t="str">
        <f>IF(Data!J468="","",Data!J468)</f>
        <v>VIII-L</v>
      </c>
      <c r="G471" s="326" t="str">
        <f>IF(PA!G473="","",PA!G473)</f>
        <v/>
      </c>
      <c r="H471" s="327" t="str">
        <f>IF(PA!H473="","",PA!H473)</f>
        <v/>
      </c>
      <c r="I471" s="327" t="str">
        <f>IF(PA!I473="","",PA!I473)</f>
        <v/>
      </c>
      <c r="J471" s="327" t="str">
        <f>IF(PA!AA473="","",PA!AA473)</f>
        <v/>
      </c>
      <c r="K471" s="327" t="str">
        <f>IF(PA!AB473="","",PA!AB473)</f>
        <v/>
      </c>
      <c r="L471" s="327" t="str">
        <f>IF(PA!AC473="","",PA!AC473)</f>
        <v/>
      </c>
      <c r="M471" s="328" t="str">
        <f>IF(PA!P473="","",PA!P473)</f>
        <v/>
      </c>
    </row>
    <row r="472" spans="1:13" ht="14.4" x14ac:dyDescent="0.3">
      <c r="A472" s="329">
        <f>Data!E469</f>
        <v>25</v>
      </c>
      <c r="B472" s="330" t="str">
        <f>IF(Data!F469="","",Data!F469)</f>
        <v/>
      </c>
      <c r="C472" s="330" t="str">
        <f>IF(Data!G469="","",Data!G469)</f>
        <v/>
      </c>
      <c r="D472" s="331" t="str">
        <f>IF(Data!H469="","",Data!H469)</f>
        <v/>
      </c>
      <c r="E472" s="330" t="str">
        <f>IF(Data!I469="","",Data!I469)</f>
        <v/>
      </c>
      <c r="F472" s="332" t="str">
        <f>IF(Data!J469="","",Data!J469)</f>
        <v>VIII-L</v>
      </c>
      <c r="G472" s="326" t="str">
        <f>IF(PA!G474="","",PA!G474)</f>
        <v/>
      </c>
      <c r="H472" s="327" t="str">
        <f>IF(PA!H474="","",PA!H474)</f>
        <v/>
      </c>
      <c r="I472" s="327" t="str">
        <f>IF(PA!I474="","",PA!I474)</f>
        <v/>
      </c>
      <c r="J472" s="327" t="str">
        <f>IF(PA!AA474="","",PA!AA474)</f>
        <v/>
      </c>
      <c r="K472" s="327" t="str">
        <f>IF(PA!AB474="","",PA!AB474)</f>
        <v/>
      </c>
      <c r="L472" s="327" t="str">
        <f>IF(PA!AC474="","",PA!AC474)</f>
        <v/>
      </c>
      <c r="M472" s="328" t="str">
        <f>IF(PA!P474="","",PA!P474)</f>
        <v/>
      </c>
    </row>
    <row r="473" spans="1:13" ht="14.4" x14ac:dyDescent="0.3">
      <c r="A473" s="329">
        <f>Data!E470</f>
        <v>26</v>
      </c>
      <c r="B473" s="330" t="str">
        <f>IF(Data!F470="","",Data!F470)</f>
        <v/>
      </c>
      <c r="C473" s="330" t="str">
        <f>IF(Data!G470="","",Data!G470)</f>
        <v/>
      </c>
      <c r="D473" s="331" t="str">
        <f>IF(Data!H470="","",Data!H470)</f>
        <v/>
      </c>
      <c r="E473" s="330" t="str">
        <f>IF(Data!I470="","",Data!I470)</f>
        <v/>
      </c>
      <c r="F473" s="332" t="str">
        <f>IF(Data!J470="","",Data!J470)</f>
        <v>VIII-L</v>
      </c>
      <c r="G473" s="326" t="str">
        <f>IF(PA!G475="","",PA!G475)</f>
        <v/>
      </c>
      <c r="H473" s="327" t="str">
        <f>IF(PA!H475="","",PA!H475)</f>
        <v/>
      </c>
      <c r="I473" s="327" t="str">
        <f>IF(PA!I475="","",PA!I475)</f>
        <v/>
      </c>
      <c r="J473" s="327" t="str">
        <f>IF(PA!AA475="","",PA!AA475)</f>
        <v/>
      </c>
      <c r="K473" s="327" t="str">
        <f>IF(PA!AB475="","",PA!AB475)</f>
        <v/>
      </c>
      <c r="L473" s="327" t="str">
        <f>IF(PA!AC475="","",PA!AC475)</f>
        <v/>
      </c>
      <c r="M473" s="328" t="str">
        <f>IF(PA!P475="","",PA!P475)</f>
        <v/>
      </c>
    </row>
    <row r="474" spans="1:13" ht="14.4" x14ac:dyDescent="0.3">
      <c r="A474" s="329">
        <f>Data!E471</f>
        <v>27</v>
      </c>
      <c r="B474" s="330" t="str">
        <f>IF(Data!F471="","",Data!F471)</f>
        <v/>
      </c>
      <c r="C474" s="330" t="str">
        <f>IF(Data!G471="","",Data!G471)</f>
        <v/>
      </c>
      <c r="D474" s="331" t="str">
        <f>IF(Data!H471="","",Data!H471)</f>
        <v/>
      </c>
      <c r="E474" s="330" t="str">
        <f>IF(Data!I471="","",Data!I471)</f>
        <v/>
      </c>
      <c r="F474" s="332" t="str">
        <f>IF(Data!J471="","",Data!J471)</f>
        <v>VIII-L</v>
      </c>
      <c r="G474" s="326" t="str">
        <f>IF(PA!G476="","",PA!G476)</f>
        <v/>
      </c>
      <c r="H474" s="327" t="str">
        <f>IF(PA!H476="","",PA!H476)</f>
        <v/>
      </c>
      <c r="I474" s="327" t="str">
        <f>IF(PA!I476="","",PA!I476)</f>
        <v/>
      </c>
      <c r="J474" s="327" t="str">
        <f>IF(PA!AA476="","",PA!AA476)</f>
        <v/>
      </c>
      <c r="K474" s="327" t="str">
        <f>IF(PA!AB476="","",PA!AB476)</f>
        <v/>
      </c>
      <c r="L474" s="327" t="str">
        <f>IF(PA!AC476="","",PA!AC476)</f>
        <v/>
      </c>
      <c r="M474" s="328" t="str">
        <f>IF(PA!P476="","",PA!P476)</f>
        <v/>
      </c>
    </row>
    <row r="475" spans="1:13" ht="14.4" x14ac:dyDescent="0.3">
      <c r="A475" s="329">
        <f>Data!E472</f>
        <v>28</v>
      </c>
      <c r="B475" s="330" t="str">
        <f>IF(Data!F472="","",Data!F472)</f>
        <v/>
      </c>
      <c r="C475" s="330" t="str">
        <f>IF(Data!G472="","",Data!G472)</f>
        <v/>
      </c>
      <c r="D475" s="331" t="str">
        <f>IF(Data!H472="","",Data!H472)</f>
        <v/>
      </c>
      <c r="E475" s="330" t="str">
        <f>IF(Data!I472="","",Data!I472)</f>
        <v/>
      </c>
      <c r="F475" s="332" t="str">
        <f>IF(Data!J472="","",Data!J472)</f>
        <v>VIII-L</v>
      </c>
      <c r="G475" s="326" t="str">
        <f>IF(PA!G477="","",PA!G477)</f>
        <v/>
      </c>
      <c r="H475" s="327" t="str">
        <f>IF(PA!H477="","",PA!H477)</f>
        <v/>
      </c>
      <c r="I475" s="327" t="str">
        <f>IF(PA!I477="","",PA!I477)</f>
        <v/>
      </c>
      <c r="J475" s="327" t="str">
        <f>IF(PA!AA477="","",PA!AA477)</f>
        <v/>
      </c>
      <c r="K475" s="327" t="str">
        <f>IF(PA!AB477="","",PA!AB477)</f>
        <v/>
      </c>
      <c r="L475" s="327" t="str">
        <f>IF(PA!AC477="","",PA!AC477)</f>
        <v/>
      </c>
      <c r="M475" s="328" t="str">
        <f>IF(PA!P477="","",PA!P477)</f>
        <v/>
      </c>
    </row>
    <row r="476" spans="1:13" ht="14.4" x14ac:dyDescent="0.3">
      <c r="A476" s="329">
        <f>Data!E473</f>
        <v>29</v>
      </c>
      <c r="B476" s="330" t="str">
        <f>IF(Data!F473="","",Data!F473)</f>
        <v/>
      </c>
      <c r="C476" s="330" t="str">
        <f>IF(Data!G473="","",Data!G473)</f>
        <v/>
      </c>
      <c r="D476" s="331" t="str">
        <f>IF(Data!H473="","",Data!H473)</f>
        <v/>
      </c>
      <c r="E476" s="330" t="str">
        <f>IF(Data!I473="","",Data!I473)</f>
        <v/>
      </c>
      <c r="F476" s="332" t="str">
        <f>IF(Data!J473="","",Data!J473)</f>
        <v>VIII-L</v>
      </c>
      <c r="G476" s="326" t="str">
        <f>IF(PA!G478="","",PA!G478)</f>
        <v/>
      </c>
      <c r="H476" s="327" t="str">
        <f>IF(PA!H478="","",PA!H478)</f>
        <v/>
      </c>
      <c r="I476" s="327" t="str">
        <f>IF(PA!I478="","",PA!I478)</f>
        <v/>
      </c>
      <c r="J476" s="327" t="str">
        <f>IF(PA!AA478="","",PA!AA478)</f>
        <v/>
      </c>
      <c r="K476" s="327" t="str">
        <f>IF(PA!AB478="","",PA!AB478)</f>
        <v/>
      </c>
      <c r="L476" s="327" t="str">
        <f>IF(PA!AC478="","",PA!AC478)</f>
        <v/>
      </c>
      <c r="M476" s="328" t="str">
        <f>IF(PA!P478="","",PA!P478)</f>
        <v/>
      </c>
    </row>
    <row r="477" spans="1:13" ht="14.4" x14ac:dyDescent="0.3">
      <c r="A477" s="329">
        <f>Data!E474</f>
        <v>30</v>
      </c>
      <c r="B477" s="330" t="str">
        <f>IF(Data!F474="","",Data!F474)</f>
        <v/>
      </c>
      <c r="C477" s="330" t="str">
        <f>IF(Data!G474="","",Data!G474)</f>
        <v/>
      </c>
      <c r="D477" s="331" t="str">
        <f>IF(Data!H474="","",Data!H474)</f>
        <v/>
      </c>
      <c r="E477" s="330" t="str">
        <f>IF(Data!I474="","",Data!I474)</f>
        <v/>
      </c>
      <c r="F477" s="332" t="str">
        <f>IF(Data!J474="","",Data!J474)</f>
        <v>VIII-L</v>
      </c>
      <c r="G477" s="326" t="str">
        <f>IF(PA!G479="","",PA!G479)</f>
        <v/>
      </c>
      <c r="H477" s="327" t="str">
        <f>IF(PA!H479="","",PA!H479)</f>
        <v/>
      </c>
      <c r="I477" s="327" t="str">
        <f>IF(PA!I479="","",PA!I479)</f>
        <v/>
      </c>
      <c r="J477" s="327" t="str">
        <f>IF(PA!AA479="","",PA!AA479)</f>
        <v/>
      </c>
      <c r="K477" s="327" t="str">
        <f>IF(PA!AB479="","",PA!AB479)</f>
        <v/>
      </c>
      <c r="L477" s="327" t="str">
        <f>IF(PA!AC479="","",PA!AC479)</f>
        <v/>
      </c>
      <c r="M477" s="328" t="str">
        <f>IF(PA!P479="","",PA!P479)</f>
        <v/>
      </c>
    </row>
    <row r="478" spans="1:13" ht="14.4" x14ac:dyDescent="0.3">
      <c r="A478" s="329">
        <f>Data!E475</f>
        <v>31</v>
      </c>
      <c r="B478" s="330" t="str">
        <f>IF(Data!F475="","",Data!F475)</f>
        <v/>
      </c>
      <c r="C478" s="330" t="str">
        <f>IF(Data!G475="","",Data!G475)</f>
        <v/>
      </c>
      <c r="D478" s="331" t="str">
        <f>IF(Data!H475="","",Data!H475)</f>
        <v/>
      </c>
      <c r="E478" s="330" t="str">
        <f>IF(Data!I475="","",Data!I475)</f>
        <v/>
      </c>
      <c r="F478" s="332" t="str">
        <f>IF(Data!J475="","",Data!J475)</f>
        <v>VIII-L</v>
      </c>
      <c r="G478" s="326" t="str">
        <f>IF(PA!G480="","",PA!G480)</f>
        <v/>
      </c>
      <c r="H478" s="327" t="str">
        <f>IF(PA!H480="","",PA!H480)</f>
        <v/>
      </c>
      <c r="I478" s="327" t="str">
        <f>IF(PA!I480="","",PA!I480)</f>
        <v/>
      </c>
      <c r="J478" s="327" t="str">
        <f>IF(PA!AA480="","",PA!AA480)</f>
        <v/>
      </c>
      <c r="K478" s="327" t="str">
        <f>IF(PA!AB480="","",PA!AB480)</f>
        <v/>
      </c>
      <c r="L478" s="327" t="str">
        <f>IF(PA!AC480="","",PA!AC480)</f>
        <v/>
      </c>
      <c r="M478" s="328" t="str">
        <f>IF(PA!P480="","",PA!P480)</f>
        <v/>
      </c>
    </row>
    <row r="479" spans="1:13" ht="14.4" x14ac:dyDescent="0.3">
      <c r="A479" s="329">
        <f>Data!E476</f>
        <v>32</v>
      </c>
      <c r="B479" s="330" t="str">
        <f>IF(Data!F476="","",Data!F476)</f>
        <v/>
      </c>
      <c r="C479" s="330" t="str">
        <f>IF(Data!G476="","",Data!G476)</f>
        <v/>
      </c>
      <c r="D479" s="331" t="str">
        <f>IF(Data!H476="","",Data!H476)</f>
        <v/>
      </c>
      <c r="E479" s="330" t="str">
        <f>IF(Data!I476="","",Data!I476)</f>
        <v/>
      </c>
      <c r="F479" s="332" t="str">
        <f>IF(Data!J476="","",Data!J476)</f>
        <v>VIII-L</v>
      </c>
      <c r="G479" s="326" t="str">
        <f>IF(PA!G481="","",PA!G481)</f>
        <v/>
      </c>
      <c r="H479" s="327" t="str">
        <f>IF(PA!H481="","",PA!H481)</f>
        <v/>
      </c>
      <c r="I479" s="327" t="str">
        <f>IF(PA!I481="","",PA!I481)</f>
        <v/>
      </c>
      <c r="J479" s="327" t="str">
        <f>IF(PA!AA481="","",PA!AA481)</f>
        <v/>
      </c>
      <c r="K479" s="327" t="str">
        <f>IF(PA!AB481="","",PA!AB481)</f>
        <v/>
      </c>
      <c r="L479" s="327" t="str">
        <f>IF(PA!AC481="","",PA!AC481)</f>
        <v/>
      </c>
      <c r="M479" s="328" t="str">
        <f>IF(PA!P481="","",PA!P481)</f>
        <v/>
      </c>
    </row>
    <row r="480" spans="1:13" ht="14.4" x14ac:dyDescent="0.3">
      <c r="A480" s="329">
        <f>Data!E477</f>
        <v>33</v>
      </c>
      <c r="B480" s="330" t="str">
        <f>IF(Data!F477="","",Data!F477)</f>
        <v/>
      </c>
      <c r="C480" s="330" t="str">
        <f>IF(Data!G477="","",Data!G477)</f>
        <v/>
      </c>
      <c r="D480" s="331" t="str">
        <f>IF(Data!H477="","",Data!H477)</f>
        <v/>
      </c>
      <c r="E480" s="330" t="str">
        <f>IF(Data!I477="","",Data!I477)</f>
        <v/>
      </c>
      <c r="F480" s="332" t="str">
        <f>IF(Data!J477="","",Data!J477)</f>
        <v>VIII-L</v>
      </c>
      <c r="G480" s="326" t="str">
        <f>IF(PA!G482="","",PA!G482)</f>
        <v/>
      </c>
      <c r="H480" s="327" t="str">
        <f>IF(PA!H482="","",PA!H482)</f>
        <v/>
      </c>
      <c r="I480" s="327" t="str">
        <f>IF(PA!I482="","",PA!I482)</f>
        <v/>
      </c>
      <c r="J480" s="327" t="str">
        <f>IF(PA!AA482="","",PA!AA482)</f>
        <v/>
      </c>
      <c r="K480" s="327" t="str">
        <f>IF(PA!AB482="","",PA!AB482)</f>
        <v/>
      </c>
      <c r="L480" s="327" t="str">
        <f>IF(PA!AC482="","",PA!AC482)</f>
        <v/>
      </c>
      <c r="M480" s="328" t="str">
        <f>IF(PA!P482="","",PA!P482)</f>
        <v/>
      </c>
    </row>
    <row r="481" spans="1:13" ht="14.4" x14ac:dyDescent="0.3">
      <c r="A481" s="329">
        <f>Data!E478</f>
        <v>34</v>
      </c>
      <c r="B481" s="330" t="str">
        <f>IF(Data!F478="","",Data!F478)</f>
        <v/>
      </c>
      <c r="C481" s="330" t="str">
        <f>IF(Data!G478="","",Data!G478)</f>
        <v/>
      </c>
      <c r="D481" s="331" t="str">
        <f>IF(Data!H478="","",Data!H478)</f>
        <v/>
      </c>
      <c r="E481" s="330" t="str">
        <f>IF(Data!I478="","",Data!I478)</f>
        <v/>
      </c>
      <c r="F481" s="332" t="str">
        <f>IF(Data!J478="","",Data!J478)</f>
        <v>VIII-L</v>
      </c>
      <c r="G481" s="326" t="str">
        <f>IF(PA!G483="","",PA!G483)</f>
        <v/>
      </c>
      <c r="H481" s="327" t="str">
        <f>IF(PA!H483="","",PA!H483)</f>
        <v/>
      </c>
      <c r="I481" s="327" t="str">
        <f>IF(PA!I483="","",PA!I483)</f>
        <v/>
      </c>
      <c r="J481" s="327" t="str">
        <f>IF(PA!AA483="","",PA!AA483)</f>
        <v/>
      </c>
      <c r="K481" s="327" t="str">
        <f>IF(PA!AB483="","",PA!AB483)</f>
        <v/>
      </c>
      <c r="L481" s="327" t="str">
        <f>IF(PA!AC483="","",PA!AC483)</f>
        <v/>
      </c>
      <c r="M481" s="328" t="str">
        <f>IF(PA!P483="","",PA!P483)</f>
        <v/>
      </c>
    </row>
    <row r="482" spans="1:13" ht="14.4" x14ac:dyDescent="0.3">
      <c r="A482" s="329">
        <f>Data!E479</f>
        <v>35</v>
      </c>
      <c r="B482" s="330" t="str">
        <f>IF(Data!F479="","",Data!F479)</f>
        <v/>
      </c>
      <c r="C482" s="330" t="str">
        <f>IF(Data!G479="","",Data!G479)</f>
        <v/>
      </c>
      <c r="D482" s="331" t="str">
        <f>IF(Data!H479="","",Data!H479)</f>
        <v/>
      </c>
      <c r="E482" s="330" t="str">
        <f>IF(Data!I479="","",Data!I479)</f>
        <v/>
      </c>
      <c r="F482" s="332" t="str">
        <f>IF(Data!J479="","",Data!J479)</f>
        <v>VIII-L</v>
      </c>
      <c r="G482" s="326" t="str">
        <f>IF(PA!G484="","",PA!G484)</f>
        <v/>
      </c>
      <c r="H482" s="327" t="str">
        <f>IF(PA!H484="","",PA!H484)</f>
        <v/>
      </c>
      <c r="I482" s="327" t="str">
        <f>IF(PA!I484="","",PA!I484)</f>
        <v/>
      </c>
      <c r="J482" s="327" t="str">
        <f>IF(PA!AA484="","",PA!AA484)</f>
        <v/>
      </c>
      <c r="K482" s="327" t="str">
        <f>IF(PA!AB484="","",PA!AB484)</f>
        <v/>
      </c>
      <c r="L482" s="327" t="str">
        <f>IF(PA!AC484="","",PA!AC484)</f>
        <v/>
      </c>
      <c r="M482" s="328" t="str">
        <f>IF(PA!P484="","",PA!P484)</f>
        <v/>
      </c>
    </row>
    <row r="483" spans="1:13" ht="14.4" x14ac:dyDescent="0.3">
      <c r="A483" s="329">
        <f>Data!E480</f>
        <v>36</v>
      </c>
      <c r="B483" s="330" t="str">
        <f>IF(Data!F480="","",Data!F480)</f>
        <v/>
      </c>
      <c r="C483" s="330" t="str">
        <f>IF(Data!G480="","",Data!G480)</f>
        <v/>
      </c>
      <c r="D483" s="331" t="str">
        <f>IF(Data!H480="","",Data!H480)</f>
        <v/>
      </c>
      <c r="E483" s="330" t="str">
        <f>IF(Data!I480="","",Data!I480)</f>
        <v/>
      </c>
      <c r="F483" s="332" t="str">
        <f>IF(Data!J480="","",Data!J480)</f>
        <v>VIII-L</v>
      </c>
      <c r="G483" s="326" t="str">
        <f>IF(PA!G485="","",PA!G485)</f>
        <v/>
      </c>
      <c r="H483" s="327" t="str">
        <f>IF(PA!H485="","",PA!H485)</f>
        <v/>
      </c>
      <c r="I483" s="327" t="str">
        <f>IF(PA!I485="","",PA!I485)</f>
        <v/>
      </c>
      <c r="J483" s="327" t="str">
        <f>IF(PA!AA485="","",PA!AA485)</f>
        <v/>
      </c>
      <c r="K483" s="327" t="str">
        <f>IF(PA!AB485="","",PA!AB485)</f>
        <v/>
      </c>
      <c r="L483" s="327" t="str">
        <f>IF(PA!AC485="","",PA!AC485)</f>
        <v/>
      </c>
      <c r="M483" s="328" t="str">
        <f>IF(PA!P485="","",PA!P485)</f>
        <v/>
      </c>
    </row>
    <row r="484" spans="1:13" ht="14.4" x14ac:dyDescent="0.3">
      <c r="A484" s="329">
        <f>Data!E481</f>
        <v>37</v>
      </c>
      <c r="B484" s="330" t="str">
        <f>IF(Data!F481="","",Data!F481)</f>
        <v/>
      </c>
      <c r="C484" s="330" t="str">
        <f>IF(Data!G481="","",Data!G481)</f>
        <v/>
      </c>
      <c r="D484" s="331" t="str">
        <f>IF(Data!H481="","",Data!H481)</f>
        <v/>
      </c>
      <c r="E484" s="330" t="str">
        <f>IF(Data!I481="","",Data!I481)</f>
        <v/>
      </c>
      <c r="F484" s="332" t="str">
        <f>IF(Data!J481="","",Data!J481)</f>
        <v>VIII-L</v>
      </c>
      <c r="G484" s="326" t="str">
        <f>IF(PA!G486="","",PA!G486)</f>
        <v/>
      </c>
      <c r="H484" s="327" t="str">
        <f>IF(PA!H486="","",PA!H486)</f>
        <v/>
      </c>
      <c r="I484" s="327" t="str">
        <f>IF(PA!I486="","",PA!I486)</f>
        <v/>
      </c>
      <c r="J484" s="327" t="str">
        <f>IF(PA!AA486="","",PA!AA486)</f>
        <v/>
      </c>
      <c r="K484" s="327" t="str">
        <f>IF(PA!AB486="","",PA!AB486)</f>
        <v/>
      </c>
      <c r="L484" s="327" t="str">
        <f>IF(PA!AC486="","",PA!AC486)</f>
        <v/>
      </c>
      <c r="M484" s="328" t="str">
        <f>IF(PA!P486="","",PA!P486)</f>
        <v/>
      </c>
    </row>
    <row r="485" spans="1:13" ht="14.4" x14ac:dyDescent="0.3">
      <c r="A485" s="329">
        <f>Data!E482</f>
        <v>38</v>
      </c>
      <c r="B485" s="330" t="str">
        <f>IF(Data!F482="","",Data!F482)</f>
        <v/>
      </c>
      <c r="C485" s="330" t="str">
        <f>IF(Data!G482="","",Data!G482)</f>
        <v/>
      </c>
      <c r="D485" s="331" t="str">
        <f>IF(Data!H482="","",Data!H482)</f>
        <v/>
      </c>
      <c r="E485" s="330" t="str">
        <f>IF(Data!I482="","",Data!I482)</f>
        <v/>
      </c>
      <c r="F485" s="332" t="str">
        <f>IF(Data!J482="","",Data!J482)</f>
        <v>VIII-L</v>
      </c>
      <c r="G485" s="326" t="str">
        <f>IF(PA!G487="","",PA!G487)</f>
        <v/>
      </c>
      <c r="H485" s="327" t="str">
        <f>IF(PA!H487="","",PA!H487)</f>
        <v/>
      </c>
      <c r="I485" s="327" t="str">
        <f>IF(PA!I487="","",PA!I487)</f>
        <v/>
      </c>
      <c r="J485" s="327" t="str">
        <f>IF(PA!AA487="","",PA!AA487)</f>
        <v/>
      </c>
      <c r="K485" s="327" t="str">
        <f>IF(PA!AB487="","",PA!AB487)</f>
        <v/>
      </c>
      <c r="L485" s="327" t="str">
        <f>IF(PA!AC487="","",PA!AC487)</f>
        <v/>
      </c>
      <c r="M485" s="328" t="str">
        <f>IF(PA!P487="","",PA!P487)</f>
        <v/>
      </c>
    </row>
    <row r="486" spans="1:13" ht="14.4" x14ac:dyDescent="0.3">
      <c r="A486" s="329">
        <f>Data!E483</f>
        <v>39</v>
      </c>
      <c r="B486" s="330" t="str">
        <f>IF(Data!F483="","",Data!F483)</f>
        <v/>
      </c>
      <c r="C486" s="330" t="str">
        <f>IF(Data!G483="","",Data!G483)</f>
        <v/>
      </c>
      <c r="D486" s="331" t="str">
        <f>IF(Data!H483="","",Data!H483)</f>
        <v/>
      </c>
      <c r="E486" s="330" t="str">
        <f>IF(Data!I483="","",Data!I483)</f>
        <v/>
      </c>
      <c r="F486" s="332" t="str">
        <f>IF(Data!J483="","",Data!J483)</f>
        <v>VIII-L</v>
      </c>
      <c r="G486" s="326" t="str">
        <f>IF(PA!G488="","",PA!G488)</f>
        <v/>
      </c>
      <c r="H486" s="327" t="str">
        <f>IF(PA!H488="","",PA!H488)</f>
        <v/>
      </c>
      <c r="I486" s="327" t="str">
        <f>IF(PA!I488="","",PA!I488)</f>
        <v/>
      </c>
      <c r="J486" s="327" t="str">
        <f>IF(PA!AA488="","",PA!AA488)</f>
        <v/>
      </c>
      <c r="K486" s="327" t="str">
        <f>IF(PA!AB488="","",PA!AB488)</f>
        <v/>
      </c>
      <c r="L486" s="327" t="str">
        <f>IF(PA!AC488="","",PA!AC488)</f>
        <v/>
      </c>
      <c r="M486" s="328" t="str">
        <f>IF(PA!P488="","",PA!P488)</f>
        <v/>
      </c>
    </row>
    <row r="487" spans="1:13" ht="15" thickBot="1" x14ac:dyDescent="0.35">
      <c r="A487" s="333">
        <f>Data!E484</f>
        <v>40</v>
      </c>
      <c r="B487" s="334" t="str">
        <f>IF(Data!F484="","",Data!F484)</f>
        <v/>
      </c>
      <c r="C487" s="334" t="str">
        <f>IF(Data!G484="","",Data!G484)</f>
        <v/>
      </c>
      <c r="D487" s="335" t="str">
        <f>IF(Data!H484="","",Data!H484)</f>
        <v/>
      </c>
      <c r="E487" s="334" t="str">
        <f>IF(Data!I484="","",Data!I484)</f>
        <v/>
      </c>
      <c r="F487" s="336" t="str">
        <f>IF(Data!J484="","",Data!J484)</f>
        <v>VIII-L</v>
      </c>
      <c r="G487" s="326" t="str">
        <f>IF(PA!G489="","",PA!G489)</f>
        <v/>
      </c>
      <c r="H487" s="327" t="str">
        <f>IF(PA!H489="","",PA!H489)</f>
        <v/>
      </c>
      <c r="I487" s="327" t="str">
        <f>IF(PA!I489="","",PA!I489)</f>
        <v/>
      </c>
      <c r="J487" s="327" t="str">
        <f>IF(PA!AA489="","",PA!AA489)</f>
        <v/>
      </c>
      <c r="K487" s="327" t="str">
        <f>IF(PA!AB489="","",PA!AB489)</f>
        <v/>
      </c>
      <c r="L487" s="327" t="str">
        <f>IF(PA!AC489="","",PA!AC489)</f>
        <v/>
      </c>
      <c r="M487" s="328" t="str">
        <f>IF(PA!P489="","",PA!P489)</f>
        <v/>
      </c>
    </row>
    <row r="488" spans="1:13" ht="15" thickTop="1" x14ac:dyDescent="0.3">
      <c r="A488" s="329">
        <f>Data!E485</f>
        <v>1</v>
      </c>
      <c r="B488" s="330" t="str">
        <f>IF(Data!F485="","",Data!F485)</f>
        <v/>
      </c>
      <c r="C488" s="330" t="str">
        <f>IF(Data!G485="","",Data!G485)</f>
        <v/>
      </c>
      <c r="D488" s="331" t="str">
        <f>IF(Data!H485="","",Data!H485)</f>
        <v/>
      </c>
      <c r="E488" s="330" t="str">
        <f>IF(Data!I485="","",Data!I485)</f>
        <v/>
      </c>
      <c r="F488" s="332" t="str">
        <f>IF(Data!J485="","",Data!J485)</f>
        <v>VIII-M</v>
      </c>
      <c r="G488" s="326" t="str">
        <f>IF(PA!G490="","",PA!G490)</f>
        <v/>
      </c>
      <c r="H488" s="327" t="str">
        <f>IF(PA!H490="","",PA!H490)</f>
        <v/>
      </c>
      <c r="I488" s="327" t="str">
        <f>IF(PA!I490="","",PA!I490)</f>
        <v/>
      </c>
      <c r="J488" s="327" t="str">
        <f>IF(PA!AA490="","",PA!AA490)</f>
        <v/>
      </c>
      <c r="K488" s="327" t="str">
        <f>IF(PA!AB490="","",PA!AB490)</f>
        <v/>
      </c>
      <c r="L488" s="327" t="str">
        <f>IF(PA!AC490="","",PA!AC490)</f>
        <v/>
      </c>
      <c r="M488" s="328" t="str">
        <f>IF(PA!P490="","",PA!P490)</f>
        <v/>
      </c>
    </row>
    <row r="489" spans="1:13" ht="14.4" x14ac:dyDescent="0.3">
      <c r="A489" s="329">
        <f>Data!E486</f>
        <v>2</v>
      </c>
      <c r="B489" s="330" t="str">
        <f>IF(Data!F486="","",Data!F486)</f>
        <v/>
      </c>
      <c r="C489" s="330" t="str">
        <f>IF(Data!G486="","",Data!G486)</f>
        <v/>
      </c>
      <c r="D489" s="331" t="str">
        <f>IF(Data!H486="","",Data!H486)</f>
        <v/>
      </c>
      <c r="E489" s="330" t="str">
        <f>IF(Data!I486="","",Data!I486)</f>
        <v/>
      </c>
      <c r="F489" s="332" t="str">
        <f>IF(Data!J486="","",Data!J486)</f>
        <v>VIII-M</v>
      </c>
      <c r="G489" s="326" t="str">
        <f>IF(PA!G491="","",PA!G491)</f>
        <v/>
      </c>
      <c r="H489" s="327" t="str">
        <f>IF(PA!H491="","",PA!H491)</f>
        <v/>
      </c>
      <c r="I489" s="327" t="str">
        <f>IF(PA!I491="","",PA!I491)</f>
        <v/>
      </c>
      <c r="J489" s="327" t="str">
        <f>IF(PA!AA491="","",PA!AA491)</f>
        <v/>
      </c>
      <c r="K489" s="327" t="str">
        <f>IF(PA!AB491="","",PA!AB491)</f>
        <v/>
      </c>
      <c r="L489" s="327" t="str">
        <f>IF(PA!AC491="","",PA!AC491)</f>
        <v/>
      </c>
      <c r="M489" s="328" t="str">
        <f>IF(PA!P491="","",PA!P491)</f>
        <v/>
      </c>
    </row>
    <row r="490" spans="1:13" ht="14.4" x14ac:dyDescent="0.3">
      <c r="A490" s="329">
        <f>Data!E487</f>
        <v>3</v>
      </c>
      <c r="B490" s="330" t="str">
        <f>IF(Data!F487="","",Data!F487)</f>
        <v/>
      </c>
      <c r="C490" s="330" t="str">
        <f>IF(Data!G487="","",Data!G487)</f>
        <v/>
      </c>
      <c r="D490" s="331" t="str">
        <f>IF(Data!H487="","",Data!H487)</f>
        <v/>
      </c>
      <c r="E490" s="330" t="str">
        <f>IF(Data!I487="","",Data!I487)</f>
        <v/>
      </c>
      <c r="F490" s="332" t="str">
        <f>IF(Data!J487="","",Data!J487)</f>
        <v>VIII-M</v>
      </c>
      <c r="G490" s="326" t="str">
        <f>IF(PA!G492="","",PA!G492)</f>
        <v/>
      </c>
      <c r="H490" s="327" t="str">
        <f>IF(PA!H492="","",PA!H492)</f>
        <v/>
      </c>
      <c r="I490" s="327" t="str">
        <f>IF(PA!I492="","",PA!I492)</f>
        <v/>
      </c>
      <c r="J490" s="327" t="str">
        <f>IF(PA!AA492="","",PA!AA492)</f>
        <v/>
      </c>
      <c r="K490" s="327" t="str">
        <f>IF(PA!AB492="","",PA!AB492)</f>
        <v/>
      </c>
      <c r="L490" s="327" t="str">
        <f>IF(PA!AC492="","",PA!AC492)</f>
        <v/>
      </c>
      <c r="M490" s="328" t="str">
        <f>IF(PA!P492="","",PA!P492)</f>
        <v/>
      </c>
    </row>
    <row r="491" spans="1:13" ht="14.4" x14ac:dyDescent="0.3">
      <c r="A491" s="329">
        <f>Data!E488</f>
        <v>4</v>
      </c>
      <c r="B491" s="330" t="str">
        <f>IF(Data!F488="","",Data!F488)</f>
        <v/>
      </c>
      <c r="C491" s="330" t="str">
        <f>IF(Data!G488="","",Data!G488)</f>
        <v/>
      </c>
      <c r="D491" s="331" t="str">
        <f>IF(Data!H488="","",Data!H488)</f>
        <v/>
      </c>
      <c r="E491" s="330" t="str">
        <f>IF(Data!I488="","",Data!I488)</f>
        <v/>
      </c>
      <c r="F491" s="332" t="str">
        <f>IF(Data!J488="","",Data!J488)</f>
        <v>VIII-M</v>
      </c>
      <c r="G491" s="326" t="str">
        <f>IF(PA!G493="","",PA!G493)</f>
        <v/>
      </c>
      <c r="H491" s="327" t="str">
        <f>IF(PA!H493="","",PA!H493)</f>
        <v/>
      </c>
      <c r="I491" s="327" t="str">
        <f>IF(PA!I493="","",PA!I493)</f>
        <v/>
      </c>
      <c r="J491" s="327" t="str">
        <f>IF(PA!AA493="","",PA!AA493)</f>
        <v/>
      </c>
      <c r="K491" s="327" t="str">
        <f>IF(PA!AB493="","",PA!AB493)</f>
        <v/>
      </c>
      <c r="L491" s="327" t="str">
        <f>IF(PA!AC493="","",PA!AC493)</f>
        <v/>
      </c>
      <c r="M491" s="328" t="str">
        <f>IF(PA!P493="","",PA!P493)</f>
        <v/>
      </c>
    </row>
    <row r="492" spans="1:13" ht="14.4" x14ac:dyDescent="0.3">
      <c r="A492" s="329">
        <f>Data!E489</f>
        <v>5</v>
      </c>
      <c r="B492" s="330" t="str">
        <f>IF(Data!F489="","",Data!F489)</f>
        <v/>
      </c>
      <c r="C492" s="330" t="str">
        <f>IF(Data!G489="","",Data!G489)</f>
        <v/>
      </c>
      <c r="D492" s="331" t="str">
        <f>IF(Data!H489="","",Data!H489)</f>
        <v/>
      </c>
      <c r="E492" s="330" t="str">
        <f>IF(Data!I489="","",Data!I489)</f>
        <v/>
      </c>
      <c r="F492" s="332" t="str">
        <f>IF(Data!J489="","",Data!J489)</f>
        <v>VIII-M</v>
      </c>
      <c r="G492" s="326" t="str">
        <f>IF(PA!G494="","",PA!G494)</f>
        <v/>
      </c>
      <c r="H492" s="327" t="str">
        <f>IF(PA!H494="","",PA!H494)</f>
        <v/>
      </c>
      <c r="I492" s="327" t="str">
        <f>IF(PA!I494="","",PA!I494)</f>
        <v/>
      </c>
      <c r="J492" s="327" t="str">
        <f>IF(PA!AA494="","",PA!AA494)</f>
        <v/>
      </c>
      <c r="K492" s="327" t="str">
        <f>IF(PA!AB494="","",PA!AB494)</f>
        <v/>
      </c>
      <c r="L492" s="327" t="str">
        <f>IF(PA!AC494="","",PA!AC494)</f>
        <v/>
      </c>
      <c r="M492" s="328" t="str">
        <f>IF(PA!P494="","",PA!P494)</f>
        <v/>
      </c>
    </row>
    <row r="493" spans="1:13" ht="14.4" x14ac:dyDescent="0.3">
      <c r="A493" s="329">
        <f>Data!E490</f>
        <v>6</v>
      </c>
      <c r="B493" s="330" t="str">
        <f>IF(Data!F490="","",Data!F490)</f>
        <v/>
      </c>
      <c r="C493" s="330" t="str">
        <f>IF(Data!G490="","",Data!G490)</f>
        <v/>
      </c>
      <c r="D493" s="331" t="str">
        <f>IF(Data!H490="","",Data!H490)</f>
        <v/>
      </c>
      <c r="E493" s="330" t="str">
        <f>IF(Data!I490="","",Data!I490)</f>
        <v/>
      </c>
      <c r="F493" s="332" t="str">
        <f>IF(Data!J490="","",Data!J490)</f>
        <v>VIII-M</v>
      </c>
      <c r="G493" s="326" t="str">
        <f>IF(PA!G495="","",PA!G495)</f>
        <v/>
      </c>
      <c r="H493" s="327" t="str">
        <f>IF(PA!H495="","",PA!H495)</f>
        <v/>
      </c>
      <c r="I493" s="327" t="str">
        <f>IF(PA!I495="","",PA!I495)</f>
        <v/>
      </c>
      <c r="J493" s="327" t="str">
        <f>IF(PA!AA495="","",PA!AA495)</f>
        <v/>
      </c>
      <c r="K493" s="327" t="str">
        <f>IF(PA!AB495="","",PA!AB495)</f>
        <v/>
      </c>
      <c r="L493" s="327" t="str">
        <f>IF(PA!AC495="","",PA!AC495)</f>
        <v/>
      </c>
      <c r="M493" s="328" t="str">
        <f>IF(PA!P495="","",PA!P495)</f>
        <v/>
      </c>
    </row>
    <row r="494" spans="1:13" ht="14.4" x14ac:dyDescent="0.3">
      <c r="A494" s="329">
        <f>Data!E491</f>
        <v>7</v>
      </c>
      <c r="B494" s="330" t="str">
        <f>IF(Data!F491="","",Data!F491)</f>
        <v/>
      </c>
      <c r="C494" s="330" t="str">
        <f>IF(Data!G491="","",Data!G491)</f>
        <v/>
      </c>
      <c r="D494" s="331" t="str">
        <f>IF(Data!H491="","",Data!H491)</f>
        <v/>
      </c>
      <c r="E494" s="330" t="str">
        <f>IF(Data!I491="","",Data!I491)</f>
        <v/>
      </c>
      <c r="F494" s="332" t="str">
        <f>IF(Data!J491="","",Data!J491)</f>
        <v>VIII-M</v>
      </c>
      <c r="G494" s="326" t="str">
        <f>IF(PA!G496="","",PA!G496)</f>
        <v/>
      </c>
      <c r="H494" s="327" t="str">
        <f>IF(PA!H496="","",PA!H496)</f>
        <v/>
      </c>
      <c r="I494" s="327" t="str">
        <f>IF(PA!I496="","",PA!I496)</f>
        <v/>
      </c>
      <c r="J494" s="327" t="str">
        <f>IF(PA!AA496="","",PA!AA496)</f>
        <v/>
      </c>
      <c r="K494" s="327" t="str">
        <f>IF(PA!AB496="","",PA!AB496)</f>
        <v/>
      </c>
      <c r="L494" s="327" t="str">
        <f>IF(PA!AC496="","",PA!AC496)</f>
        <v/>
      </c>
      <c r="M494" s="328" t="str">
        <f>IF(PA!P496="","",PA!P496)</f>
        <v/>
      </c>
    </row>
    <row r="495" spans="1:13" ht="14.4" x14ac:dyDescent="0.3">
      <c r="A495" s="329">
        <f>Data!E492</f>
        <v>8</v>
      </c>
      <c r="B495" s="330" t="str">
        <f>IF(Data!F492="","",Data!F492)</f>
        <v/>
      </c>
      <c r="C495" s="330" t="str">
        <f>IF(Data!G492="","",Data!G492)</f>
        <v/>
      </c>
      <c r="D495" s="331" t="str">
        <f>IF(Data!H492="","",Data!H492)</f>
        <v/>
      </c>
      <c r="E495" s="330" t="str">
        <f>IF(Data!I492="","",Data!I492)</f>
        <v/>
      </c>
      <c r="F495" s="332" t="str">
        <f>IF(Data!J492="","",Data!J492)</f>
        <v>VIII-M</v>
      </c>
      <c r="G495" s="326" t="str">
        <f>IF(PA!G497="","",PA!G497)</f>
        <v/>
      </c>
      <c r="H495" s="327" t="str">
        <f>IF(PA!H497="","",PA!H497)</f>
        <v/>
      </c>
      <c r="I495" s="327" t="str">
        <f>IF(PA!I497="","",PA!I497)</f>
        <v/>
      </c>
      <c r="J495" s="327" t="str">
        <f>IF(PA!AA497="","",PA!AA497)</f>
        <v/>
      </c>
      <c r="K495" s="327" t="str">
        <f>IF(PA!AB497="","",PA!AB497)</f>
        <v/>
      </c>
      <c r="L495" s="327" t="str">
        <f>IF(PA!AC497="","",PA!AC497)</f>
        <v/>
      </c>
      <c r="M495" s="328" t="str">
        <f>IF(PA!P497="","",PA!P497)</f>
        <v/>
      </c>
    </row>
    <row r="496" spans="1:13" ht="14.4" x14ac:dyDescent="0.3">
      <c r="A496" s="329">
        <f>Data!E493</f>
        <v>9</v>
      </c>
      <c r="B496" s="330" t="str">
        <f>IF(Data!F493="","",Data!F493)</f>
        <v/>
      </c>
      <c r="C496" s="330" t="str">
        <f>IF(Data!G493="","",Data!G493)</f>
        <v/>
      </c>
      <c r="D496" s="331" t="str">
        <f>IF(Data!H493="","",Data!H493)</f>
        <v/>
      </c>
      <c r="E496" s="330" t="str">
        <f>IF(Data!I493="","",Data!I493)</f>
        <v/>
      </c>
      <c r="F496" s="332" t="str">
        <f>IF(Data!J493="","",Data!J493)</f>
        <v>VIII-M</v>
      </c>
      <c r="G496" s="326" t="str">
        <f>IF(PA!G498="","",PA!G498)</f>
        <v/>
      </c>
      <c r="H496" s="327" t="str">
        <f>IF(PA!H498="","",PA!H498)</f>
        <v/>
      </c>
      <c r="I496" s="327" t="str">
        <f>IF(PA!I498="","",PA!I498)</f>
        <v/>
      </c>
      <c r="J496" s="327" t="str">
        <f>IF(PA!AA498="","",PA!AA498)</f>
        <v/>
      </c>
      <c r="K496" s="327" t="str">
        <f>IF(PA!AB498="","",PA!AB498)</f>
        <v/>
      </c>
      <c r="L496" s="327" t="str">
        <f>IF(PA!AC498="","",PA!AC498)</f>
        <v/>
      </c>
      <c r="M496" s="328" t="str">
        <f>IF(PA!P498="","",PA!P498)</f>
        <v/>
      </c>
    </row>
    <row r="497" spans="1:13" ht="14.4" x14ac:dyDescent="0.3">
      <c r="A497" s="329">
        <f>Data!E494</f>
        <v>10</v>
      </c>
      <c r="B497" s="330" t="str">
        <f>IF(Data!F494="","",Data!F494)</f>
        <v/>
      </c>
      <c r="C497" s="330" t="str">
        <f>IF(Data!G494="","",Data!G494)</f>
        <v/>
      </c>
      <c r="D497" s="331" t="str">
        <f>IF(Data!H494="","",Data!H494)</f>
        <v/>
      </c>
      <c r="E497" s="330" t="str">
        <f>IF(Data!I494="","",Data!I494)</f>
        <v/>
      </c>
      <c r="F497" s="332" t="str">
        <f>IF(Data!J494="","",Data!J494)</f>
        <v>VIII-M</v>
      </c>
      <c r="G497" s="326" t="str">
        <f>IF(PA!G499="","",PA!G499)</f>
        <v/>
      </c>
      <c r="H497" s="327" t="str">
        <f>IF(PA!H499="","",PA!H499)</f>
        <v/>
      </c>
      <c r="I497" s="327" t="str">
        <f>IF(PA!I499="","",PA!I499)</f>
        <v/>
      </c>
      <c r="J497" s="327" t="str">
        <f>IF(PA!AA499="","",PA!AA499)</f>
        <v/>
      </c>
      <c r="K497" s="327" t="str">
        <f>IF(PA!AB499="","",PA!AB499)</f>
        <v/>
      </c>
      <c r="L497" s="327" t="str">
        <f>IF(PA!AC499="","",PA!AC499)</f>
        <v/>
      </c>
      <c r="M497" s="328" t="str">
        <f>IF(PA!P499="","",PA!P499)</f>
        <v/>
      </c>
    </row>
    <row r="498" spans="1:13" ht="14.4" x14ac:dyDescent="0.3">
      <c r="A498" s="329">
        <f>Data!E495</f>
        <v>11</v>
      </c>
      <c r="B498" s="330" t="str">
        <f>IF(Data!F495="","",Data!F495)</f>
        <v/>
      </c>
      <c r="C498" s="330" t="str">
        <f>IF(Data!G495="","",Data!G495)</f>
        <v/>
      </c>
      <c r="D498" s="331" t="str">
        <f>IF(Data!H495="","",Data!H495)</f>
        <v/>
      </c>
      <c r="E498" s="330" t="str">
        <f>IF(Data!I495="","",Data!I495)</f>
        <v/>
      </c>
      <c r="F498" s="332" t="str">
        <f>IF(Data!J495="","",Data!J495)</f>
        <v>VIII-M</v>
      </c>
      <c r="G498" s="326" t="str">
        <f>IF(PA!G500="","",PA!G500)</f>
        <v/>
      </c>
      <c r="H498" s="327" t="str">
        <f>IF(PA!H500="","",PA!H500)</f>
        <v/>
      </c>
      <c r="I498" s="327" t="str">
        <f>IF(PA!I500="","",PA!I500)</f>
        <v/>
      </c>
      <c r="J498" s="327" t="str">
        <f>IF(PA!AA500="","",PA!AA500)</f>
        <v/>
      </c>
      <c r="K498" s="327" t="str">
        <f>IF(PA!AB500="","",PA!AB500)</f>
        <v/>
      </c>
      <c r="L498" s="327" t="str">
        <f>IF(PA!AC500="","",PA!AC500)</f>
        <v/>
      </c>
      <c r="M498" s="328" t="str">
        <f>IF(PA!P500="","",PA!P500)</f>
        <v/>
      </c>
    </row>
    <row r="499" spans="1:13" ht="14.4" x14ac:dyDescent="0.3">
      <c r="A499" s="329">
        <f>Data!E496</f>
        <v>12</v>
      </c>
      <c r="B499" s="330" t="str">
        <f>IF(Data!F496="","",Data!F496)</f>
        <v/>
      </c>
      <c r="C499" s="330" t="str">
        <f>IF(Data!G496="","",Data!G496)</f>
        <v/>
      </c>
      <c r="D499" s="331" t="str">
        <f>IF(Data!H496="","",Data!H496)</f>
        <v/>
      </c>
      <c r="E499" s="330" t="str">
        <f>IF(Data!I496="","",Data!I496)</f>
        <v/>
      </c>
      <c r="F499" s="332" t="str">
        <f>IF(Data!J496="","",Data!J496)</f>
        <v>VIII-M</v>
      </c>
      <c r="G499" s="326" t="str">
        <f>IF(PA!G501="","",PA!G501)</f>
        <v/>
      </c>
      <c r="H499" s="327" t="str">
        <f>IF(PA!H501="","",PA!H501)</f>
        <v/>
      </c>
      <c r="I499" s="327" t="str">
        <f>IF(PA!I501="","",PA!I501)</f>
        <v/>
      </c>
      <c r="J499" s="327" t="str">
        <f>IF(PA!AA501="","",PA!AA501)</f>
        <v/>
      </c>
      <c r="K499" s="327" t="str">
        <f>IF(PA!AB501="","",PA!AB501)</f>
        <v/>
      </c>
      <c r="L499" s="327" t="str">
        <f>IF(PA!AC501="","",PA!AC501)</f>
        <v/>
      </c>
      <c r="M499" s="328" t="str">
        <f>IF(PA!P501="","",PA!P501)</f>
        <v/>
      </c>
    </row>
    <row r="500" spans="1:13" ht="14.4" x14ac:dyDescent="0.3">
      <c r="A500" s="329">
        <f>Data!E497</f>
        <v>13</v>
      </c>
      <c r="B500" s="330" t="str">
        <f>IF(Data!F497="","",Data!F497)</f>
        <v/>
      </c>
      <c r="C500" s="330" t="str">
        <f>IF(Data!G497="","",Data!G497)</f>
        <v/>
      </c>
      <c r="D500" s="331" t="str">
        <f>IF(Data!H497="","",Data!H497)</f>
        <v/>
      </c>
      <c r="E500" s="330" t="str">
        <f>IF(Data!I497="","",Data!I497)</f>
        <v/>
      </c>
      <c r="F500" s="332" t="str">
        <f>IF(Data!J497="","",Data!J497)</f>
        <v>VIII-M</v>
      </c>
      <c r="G500" s="326" t="str">
        <f>IF(PA!G502="","",PA!G502)</f>
        <v/>
      </c>
      <c r="H500" s="327" t="str">
        <f>IF(PA!H502="","",PA!H502)</f>
        <v/>
      </c>
      <c r="I500" s="327" t="str">
        <f>IF(PA!I502="","",PA!I502)</f>
        <v/>
      </c>
      <c r="J500" s="327" t="str">
        <f>IF(PA!AA502="","",PA!AA502)</f>
        <v/>
      </c>
      <c r="K500" s="327" t="str">
        <f>IF(PA!AB502="","",PA!AB502)</f>
        <v/>
      </c>
      <c r="L500" s="327" t="str">
        <f>IF(PA!AC502="","",PA!AC502)</f>
        <v/>
      </c>
      <c r="M500" s="328" t="str">
        <f>IF(PA!P502="","",PA!P502)</f>
        <v/>
      </c>
    </row>
    <row r="501" spans="1:13" ht="14.4" x14ac:dyDescent="0.3">
      <c r="A501" s="329">
        <f>Data!E498</f>
        <v>14</v>
      </c>
      <c r="B501" s="330" t="str">
        <f>IF(Data!F498="","",Data!F498)</f>
        <v/>
      </c>
      <c r="C501" s="330" t="str">
        <f>IF(Data!G498="","",Data!G498)</f>
        <v/>
      </c>
      <c r="D501" s="331" t="str">
        <f>IF(Data!H498="","",Data!H498)</f>
        <v/>
      </c>
      <c r="E501" s="330" t="str">
        <f>IF(Data!I498="","",Data!I498)</f>
        <v/>
      </c>
      <c r="F501" s="332" t="str">
        <f>IF(Data!J498="","",Data!J498)</f>
        <v>VIII-M</v>
      </c>
      <c r="G501" s="326" t="str">
        <f>IF(PA!G503="","",PA!G503)</f>
        <v/>
      </c>
      <c r="H501" s="327" t="str">
        <f>IF(PA!H503="","",PA!H503)</f>
        <v/>
      </c>
      <c r="I501" s="327" t="str">
        <f>IF(PA!I503="","",PA!I503)</f>
        <v/>
      </c>
      <c r="J501" s="327" t="str">
        <f>IF(PA!AA503="","",PA!AA503)</f>
        <v/>
      </c>
      <c r="K501" s="327" t="str">
        <f>IF(PA!AB503="","",PA!AB503)</f>
        <v/>
      </c>
      <c r="L501" s="327" t="str">
        <f>IF(PA!AC503="","",PA!AC503)</f>
        <v/>
      </c>
      <c r="M501" s="328" t="str">
        <f>IF(PA!P503="","",PA!P503)</f>
        <v/>
      </c>
    </row>
    <row r="502" spans="1:13" ht="14.4" x14ac:dyDescent="0.3">
      <c r="A502" s="329">
        <f>Data!E499</f>
        <v>15</v>
      </c>
      <c r="B502" s="330" t="str">
        <f>IF(Data!F499="","",Data!F499)</f>
        <v/>
      </c>
      <c r="C502" s="330" t="str">
        <f>IF(Data!G499="","",Data!G499)</f>
        <v/>
      </c>
      <c r="D502" s="331" t="str">
        <f>IF(Data!H499="","",Data!H499)</f>
        <v/>
      </c>
      <c r="E502" s="330" t="str">
        <f>IF(Data!I499="","",Data!I499)</f>
        <v/>
      </c>
      <c r="F502" s="332" t="str">
        <f>IF(Data!J499="","",Data!J499)</f>
        <v>VIII-M</v>
      </c>
      <c r="G502" s="326" t="str">
        <f>IF(PA!G504="","",PA!G504)</f>
        <v/>
      </c>
      <c r="H502" s="327" t="str">
        <f>IF(PA!H504="","",PA!H504)</f>
        <v/>
      </c>
      <c r="I502" s="327" t="str">
        <f>IF(PA!I504="","",PA!I504)</f>
        <v/>
      </c>
      <c r="J502" s="327" t="str">
        <f>IF(PA!AA504="","",PA!AA504)</f>
        <v/>
      </c>
      <c r="K502" s="327" t="str">
        <f>IF(PA!AB504="","",PA!AB504)</f>
        <v/>
      </c>
      <c r="L502" s="327" t="str">
        <f>IF(PA!AC504="","",PA!AC504)</f>
        <v/>
      </c>
      <c r="M502" s="328" t="str">
        <f>IF(PA!P504="","",PA!P504)</f>
        <v/>
      </c>
    </row>
    <row r="503" spans="1:13" ht="14.4" x14ac:dyDescent="0.3">
      <c r="A503" s="329">
        <f>Data!E500</f>
        <v>16</v>
      </c>
      <c r="B503" s="330" t="str">
        <f>IF(Data!F500="","",Data!F500)</f>
        <v/>
      </c>
      <c r="C503" s="330" t="str">
        <f>IF(Data!G500="","",Data!G500)</f>
        <v/>
      </c>
      <c r="D503" s="331" t="str">
        <f>IF(Data!H500="","",Data!H500)</f>
        <v/>
      </c>
      <c r="E503" s="330" t="str">
        <f>IF(Data!I500="","",Data!I500)</f>
        <v/>
      </c>
      <c r="F503" s="332" t="str">
        <f>IF(Data!J500="","",Data!J500)</f>
        <v>VIII-M</v>
      </c>
      <c r="G503" s="326" t="str">
        <f>IF(PA!G505="","",PA!G505)</f>
        <v/>
      </c>
      <c r="H503" s="327" t="str">
        <f>IF(PA!H505="","",PA!H505)</f>
        <v/>
      </c>
      <c r="I503" s="327" t="str">
        <f>IF(PA!I505="","",PA!I505)</f>
        <v/>
      </c>
      <c r="J503" s="327" t="str">
        <f>IF(PA!AA505="","",PA!AA505)</f>
        <v/>
      </c>
      <c r="K503" s="327" t="str">
        <f>IF(PA!AB505="","",PA!AB505)</f>
        <v/>
      </c>
      <c r="L503" s="327" t="str">
        <f>IF(PA!AC505="","",PA!AC505)</f>
        <v/>
      </c>
      <c r="M503" s="328" t="str">
        <f>IF(PA!P505="","",PA!P505)</f>
        <v/>
      </c>
    </row>
    <row r="504" spans="1:13" ht="14.4" x14ac:dyDescent="0.3">
      <c r="A504" s="329">
        <f>Data!E501</f>
        <v>17</v>
      </c>
      <c r="B504" s="330" t="str">
        <f>IF(Data!F501="","",Data!F501)</f>
        <v/>
      </c>
      <c r="C504" s="330" t="str">
        <f>IF(Data!G501="","",Data!G501)</f>
        <v/>
      </c>
      <c r="D504" s="331" t="str">
        <f>IF(Data!H501="","",Data!H501)</f>
        <v/>
      </c>
      <c r="E504" s="330" t="str">
        <f>IF(Data!I501="","",Data!I501)</f>
        <v/>
      </c>
      <c r="F504" s="332" t="str">
        <f>IF(Data!J501="","",Data!J501)</f>
        <v>VIII-M</v>
      </c>
      <c r="G504" s="326" t="str">
        <f>IF(PA!G506="","",PA!G506)</f>
        <v/>
      </c>
      <c r="H504" s="327" t="str">
        <f>IF(PA!H506="","",PA!H506)</f>
        <v/>
      </c>
      <c r="I504" s="327" t="str">
        <f>IF(PA!I506="","",PA!I506)</f>
        <v/>
      </c>
      <c r="J504" s="327" t="str">
        <f>IF(PA!AA506="","",PA!AA506)</f>
        <v/>
      </c>
      <c r="K504" s="327" t="str">
        <f>IF(PA!AB506="","",PA!AB506)</f>
        <v/>
      </c>
      <c r="L504" s="327" t="str">
        <f>IF(PA!AC506="","",PA!AC506)</f>
        <v/>
      </c>
      <c r="M504" s="328" t="str">
        <f>IF(PA!P506="","",PA!P506)</f>
        <v/>
      </c>
    </row>
    <row r="505" spans="1:13" ht="14.4" x14ac:dyDescent="0.3">
      <c r="A505" s="329">
        <f>Data!E502</f>
        <v>18</v>
      </c>
      <c r="B505" s="330" t="str">
        <f>IF(Data!F502="","",Data!F502)</f>
        <v/>
      </c>
      <c r="C505" s="330" t="str">
        <f>IF(Data!G502="","",Data!G502)</f>
        <v/>
      </c>
      <c r="D505" s="331" t="str">
        <f>IF(Data!H502="","",Data!H502)</f>
        <v/>
      </c>
      <c r="E505" s="330" t="str">
        <f>IF(Data!I502="","",Data!I502)</f>
        <v/>
      </c>
      <c r="F505" s="332" t="str">
        <f>IF(Data!J502="","",Data!J502)</f>
        <v>VIII-M</v>
      </c>
      <c r="G505" s="326" t="str">
        <f>IF(PA!G507="","",PA!G507)</f>
        <v/>
      </c>
      <c r="H505" s="327" t="str">
        <f>IF(PA!H507="","",PA!H507)</f>
        <v/>
      </c>
      <c r="I505" s="327" t="str">
        <f>IF(PA!I507="","",PA!I507)</f>
        <v/>
      </c>
      <c r="J505" s="327" t="str">
        <f>IF(PA!AA507="","",PA!AA507)</f>
        <v/>
      </c>
      <c r="K505" s="327" t="str">
        <f>IF(PA!AB507="","",PA!AB507)</f>
        <v/>
      </c>
      <c r="L505" s="327" t="str">
        <f>IF(PA!AC507="","",PA!AC507)</f>
        <v/>
      </c>
      <c r="M505" s="328" t="str">
        <f>IF(PA!P507="","",PA!P507)</f>
        <v/>
      </c>
    </row>
    <row r="506" spans="1:13" ht="14.4" x14ac:dyDescent="0.3">
      <c r="A506" s="329">
        <f>Data!E503</f>
        <v>19</v>
      </c>
      <c r="B506" s="330" t="str">
        <f>IF(Data!F503="","",Data!F503)</f>
        <v/>
      </c>
      <c r="C506" s="330" t="str">
        <f>IF(Data!G503="","",Data!G503)</f>
        <v/>
      </c>
      <c r="D506" s="331" t="str">
        <f>IF(Data!H503="","",Data!H503)</f>
        <v/>
      </c>
      <c r="E506" s="330" t="str">
        <f>IF(Data!I503="","",Data!I503)</f>
        <v/>
      </c>
      <c r="F506" s="332" t="str">
        <f>IF(Data!J503="","",Data!J503)</f>
        <v>VIII-M</v>
      </c>
      <c r="G506" s="326" t="str">
        <f>IF(PA!G508="","",PA!G508)</f>
        <v/>
      </c>
      <c r="H506" s="327" t="str">
        <f>IF(PA!H508="","",PA!H508)</f>
        <v/>
      </c>
      <c r="I506" s="327" t="str">
        <f>IF(PA!I508="","",PA!I508)</f>
        <v/>
      </c>
      <c r="J506" s="327" t="str">
        <f>IF(PA!AA508="","",PA!AA508)</f>
        <v/>
      </c>
      <c r="K506" s="327" t="str">
        <f>IF(PA!AB508="","",PA!AB508)</f>
        <v/>
      </c>
      <c r="L506" s="327" t="str">
        <f>IF(PA!AC508="","",PA!AC508)</f>
        <v/>
      </c>
      <c r="M506" s="328" t="str">
        <f>IF(PA!P508="","",PA!P508)</f>
        <v/>
      </c>
    </row>
    <row r="507" spans="1:13" ht="14.4" x14ac:dyDescent="0.3">
      <c r="A507" s="329">
        <f>Data!E504</f>
        <v>20</v>
      </c>
      <c r="B507" s="330" t="str">
        <f>IF(Data!F504="","",Data!F504)</f>
        <v/>
      </c>
      <c r="C507" s="330" t="str">
        <f>IF(Data!G504="","",Data!G504)</f>
        <v/>
      </c>
      <c r="D507" s="331" t="str">
        <f>IF(Data!H504="","",Data!H504)</f>
        <v/>
      </c>
      <c r="E507" s="330" t="str">
        <f>IF(Data!I504="","",Data!I504)</f>
        <v/>
      </c>
      <c r="F507" s="332" t="str">
        <f>IF(Data!J504="","",Data!J504)</f>
        <v>VIII-M</v>
      </c>
      <c r="G507" s="326" t="str">
        <f>IF(PA!G509="","",PA!G509)</f>
        <v/>
      </c>
      <c r="H507" s="327" t="str">
        <f>IF(PA!H509="","",PA!H509)</f>
        <v/>
      </c>
      <c r="I507" s="327" t="str">
        <f>IF(PA!I509="","",PA!I509)</f>
        <v/>
      </c>
      <c r="J507" s="327" t="str">
        <f>IF(PA!AA509="","",PA!AA509)</f>
        <v/>
      </c>
      <c r="K507" s="327" t="str">
        <f>IF(PA!AB509="","",PA!AB509)</f>
        <v/>
      </c>
      <c r="L507" s="327" t="str">
        <f>IF(PA!AC509="","",PA!AC509)</f>
        <v/>
      </c>
      <c r="M507" s="328" t="str">
        <f>IF(PA!P509="","",PA!P509)</f>
        <v/>
      </c>
    </row>
    <row r="508" spans="1:13" ht="14.4" x14ac:dyDescent="0.3">
      <c r="A508" s="329">
        <f>Data!E505</f>
        <v>21</v>
      </c>
      <c r="B508" s="330" t="str">
        <f>IF(Data!F505="","",Data!F505)</f>
        <v/>
      </c>
      <c r="C508" s="330" t="str">
        <f>IF(Data!G505="","",Data!G505)</f>
        <v/>
      </c>
      <c r="D508" s="331" t="str">
        <f>IF(Data!H505="","",Data!H505)</f>
        <v/>
      </c>
      <c r="E508" s="330" t="str">
        <f>IF(Data!I505="","",Data!I505)</f>
        <v/>
      </c>
      <c r="F508" s="332" t="str">
        <f>IF(Data!J505="","",Data!J505)</f>
        <v>VIII-M</v>
      </c>
      <c r="G508" s="326" t="str">
        <f>IF(PA!G510="","",PA!G510)</f>
        <v/>
      </c>
      <c r="H508" s="327" t="str">
        <f>IF(PA!H510="","",PA!H510)</f>
        <v/>
      </c>
      <c r="I508" s="327" t="str">
        <f>IF(PA!I510="","",PA!I510)</f>
        <v/>
      </c>
      <c r="J508" s="327" t="str">
        <f>IF(PA!AA510="","",PA!AA510)</f>
        <v/>
      </c>
      <c r="K508" s="327" t="str">
        <f>IF(PA!AB510="","",PA!AB510)</f>
        <v/>
      </c>
      <c r="L508" s="327" t="str">
        <f>IF(PA!AC510="","",PA!AC510)</f>
        <v/>
      </c>
      <c r="M508" s="328" t="str">
        <f>IF(PA!P510="","",PA!P510)</f>
        <v/>
      </c>
    </row>
    <row r="509" spans="1:13" ht="14.4" x14ac:dyDescent="0.3">
      <c r="A509" s="329">
        <f>Data!E506</f>
        <v>22</v>
      </c>
      <c r="B509" s="330" t="str">
        <f>IF(Data!F506="","",Data!F506)</f>
        <v/>
      </c>
      <c r="C509" s="330" t="str">
        <f>IF(Data!G506="","",Data!G506)</f>
        <v/>
      </c>
      <c r="D509" s="331" t="str">
        <f>IF(Data!H506="","",Data!H506)</f>
        <v/>
      </c>
      <c r="E509" s="330" t="str">
        <f>IF(Data!I506="","",Data!I506)</f>
        <v/>
      </c>
      <c r="F509" s="332" t="str">
        <f>IF(Data!J506="","",Data!J506)</f>
        <v>VIII-M</v>
      </c>
      <c r="G509" s="326" t="str">
        <f>IF(PA!G511="","",PA!G511)</f>
        <v/>
      </c>
      <c r="H509" s="327" t="str">
        <f>IF(PA!H511="","",PA!H511)</f>
        <v/>
      </c>
      <c r="I509" s="327" t="str">
        <f>IF(PA!I511="","",PA!I511)</f>
        <v/>
      </c>
      <c r="J509" s="327" t="str">
        <f>IF(PA!AA511="","",PA!AA511)</f>
        <v/>
      </c>
      <c r="K509" s="327" t="str">
        <f>IF(PA!AB511="","",PA!AB511)</f>
        <v/>
      </c>
      <c r="L509" s="327" t="str">
        <f>IF(PA!AC511="","",PA!AC511)</f>
        <v/>
      </c>
      <c r="M509" s="328" t="str">
        <f>IF(PA!P511="","",PA!P511)</f>
        <v/>
      </c>
    </row>
    <row r="510" spans="1:13" ht="14.4" x14ac:dyDescent="0.3">
      <c r="A510" s="329">
        <f>Data!E507</f>
        <v>23</v>
      </c>
      <c r="B510" s="330" t="str">
        <f>IF(Data!F507="","",Data!F507)</f>
        <v/>
      </c>
      <c r="C510" s="330" t="str">
        <f>IF(Data!G507="","",Data!G507)</f>
        <v/>
      </c>
      <c r="D510" s="331" t="str">
        <f>IF(Data!H507="","",Data!H507)</f>
        <v/>
      </c>
      <c r="E510" s="330" t="str">
        <f>IF(Data!I507="","",Data!I507)</f>
        <v/>
      </c>
      <c r="F510" s="332" t="str">
        <f>IF(Data!J507="","",Data!J507)</f>
        <v>VIII-M</v>
      </c>
      <c r="G510" s="326" t="str">
        <f>IF(PA!G512="","",PA!G512)</f>
        <v/>
      </c>
      <c r="H510" s="327" t="str">
        <f>IF(PA!H512="","",PA!H512)</f>
        <v/>
      </c>
      <c r="I510" s="327" t="str">
        <f>IF(PA!I512="","",PA!I512)</f>
        <v/>
      </c>
      <c r="J510" s="327" t="str">
        <f>IF(PA!AA512="","",PA!AA512)</f>
        <v/>
      </c>
      <c r="K510" s="327" t="str">
        <f>IF(PA!AB512="","",PA!AB512)</f>
        <v/>
      </c>
      <c r="L510" s="327" t="str">
        <f>IF(PA!AC512="","",PA!AC512)</f>
        <v/>
      </c>
      <c r="M510" s="328" t="str">
        <f>IF(PA!P512="","",PA!P512)</f>
        <v/>
      </c>
    </row>
    <row r="511" spans="1:13" ht="14.4" x14ac:dyDescent="0.3">
      <c r="A511" s="329">
        <f>Data!E508</f>
        <v>24</v>
      </c>
      <c r="B511" s="330" t="str">
        <f>IF(Data!F508="","",Data!F508)</f>
        <v/>
      </c>
      <c r="C511" s="330" t="str">
        <f>IF(Data!G508="","",Data!G508)</f>
        <v/>
      </c>
      <c r="D511" s="331" t="str">
        <f>IF(Data!H508="","",Data!H508)</f>
        <v/>
      </c>
      <c r="E511" s="330" t="str">
        <f>IF(Data!I508="","",Data!I508)</f>
        <v/>
      </c>
      <c r="F511" s="332" t="str">
        <f>IF(Data!J508="","",Data!J508)</f>
        <v>VIII-M</v>
      </c>
      <c r="G511" s="326" t="str">
        <f>IF(PA!G513="","",PA!G513)</f>
        <v/>
      </c>
      <c r="H511" s="327" t="str">
        <f>IF(PA!H513="","",PA!H513)</f>
        <v/>
      </c>
      <c r="I511" s="327" t="str">
        <f>IF(PA!I513="","",PA!I513)</f>
        <v/>
      </c>
      <c r="J511" s="327" t="str">
        <f>IF(PA!AA513="","",PA!AA513)</f>
        <v/>
      </c>
      <c r="K511" s="327" t="str">
        <f>IF(PA!AB513="","",PA!AB513)</f>
        <v/>
      </c>
      <c r="L511" s="327" t="str">
        <f>IF(PA!AC513="","",PA!AC513)</f>
        <v/>
      </c>
      <c r="M511" s="328" t="str">
        <f>IF(PA!P513="","",PA!P513)</f>
        <v/>
      </c>
    </row>
    <row r="512" spans="1:13" ht="14.4" x14ac:dyDescent="0.3">
      <c r="A512" s="329">
        <f>Data!E509</f>
        <v>25</v>
      </c>
      <c r="B512" s="330" t="str">
        <f>IF(Data!F509="","",Data!F509)</f>
        <v/>
      </c>
      <c r="C512" s="330" t="str">
        <f>IF(Data!G509="","",Data!G509)</f>
        <v/>
      </c>
      <c r="D512" s="331" t="str">
        <f>IF(Data!H509="","",Data!H509)</f>
        <v/>
      </c>
      <c r="E512" s="330" t="str">
        <f>IF(Data!I509="","",Data!I509)</f>
        <v/>
      </c>
      <c r="F512" s="332" t="str">
        <f>IF(Data!J509="","",Data!J509)</f>
        <v>VIII-M</v>
      </c>
      <c r="G512" s="326" t="str">
        <f>IF(PA!G514="","",PA!G514)</f>
        <v/>
      </c>
      <c r="H512" s="327" t="str">
        <f>IF(PA!H514="","",PA!H514)</f>
        <v/>
      </c>
      <c r="I512" s="327" t="str">
        <f>IF(PA!I514="","",PA!I514)</f>
        <v/>
      </c>
      <c r="J512" s="327" t="str">
        <f>IF(PA!AA514="","",PA!AA514)</f>
        <v/>
      </c>
      <c r="K512" s="327" t="str">
        <f>IF(PA!AB514="","",PA!AB514)</f>
        <v/>
      </c>
      <c r="L512" s="327" t="str">
        <f>IF(PA!AC514="","",PA!AC514)</f>
        <v/>
      </c>
      <c r="M512" s="328" t="str">
        <f>IF(PA!P514="","",PA!P514)</f>
        <v/>
      </c>
    </row>
    <row r="513" spans="1:13" ht="14.4" x14ac:dyDescent="0.3">
      <c r="A513" s="329">
        <f>Data!E510</f>
        <v>26</v>
      </c>
      <c r="B513" s="330" t="str">
        <f>IF(Data!F510="","",Data!F510)</f>
        <v/>
      </c>
      <c r="C513" s="330" t="str">
        <f>IF(Data!G510="","",Data!G510)</f>
        <v/>
      </c>
      <c r="D513" s="331" t="str">
        <f>IF(Data!H510="","",Data!H510)</f>
        <v/>
      </c>
      <c r="E513" s="330" t="str">
        <f>IF(Data!I510="","",Data!I510)</f>
        <v/>
      </c>
      <c r="F513" s="332" t="str">
        <f>IF(Data!J510="","",Data!J510)</f>
        <v>VIII-M</v>
      </c>
      <c r="G513" s="326" t="str">
        <f>IF(PA!G515="","",PA!G515)</f>
        <v/>
      </c>
      <c r="H513" s="327" t="str">
        <f>IF(PA!H515="","",PA!H515)</f>
        <v/>
      </c>
      <c r="I513" s="327" t="str">
        <f>IF(PA!I515="","",PA!I515)</f>
        <v/>
      </c>
      <c r="J513" s="327" t="str">
        <f>IF(PA!AA515="","",PA!AA515)</f>
        <v/>
      </c>
      <c r="K513" s="327" t="str">
        <f>IF(PA!AB515="","",PA!AB515)</f>
        <v/>
      </c>
      <c r="L513" s="327" t="str">
        <f>IF(PA!AC515="","",PA!AC515)</f>
        <v/>
      </c>
      <c r="M513" s="328" t="str">
        <f>IF(PA!P515="","",PA!P515)</f>
        <v/>
      </c>
    </row>
    <row r="514" spans="1:13" ht="14.4" x14ac:dyDescent="0.3">
      <c r="A514" s="329">
        <f>Data!E511</f>
        <v>27</v>
      </c>
      <c r="B514" s="330" t="str">
        <f>IF(Data!F511="","",Data!F511)</f>
        <v/>
      </c>
      <c r="C514" s="330" t="str">
        <f>IF(Data!G511="","",Data!G511)</f>
        <v/>
      </c>
      <c r="D514" s="331" t="str">
        <f>IF(Data!H511="","",Data!H511)</f>
        <v/>
      </c>
      <c r="E514" s="330" t="str">
        <f>IF(Data!I511="","",Data!I511)</f>
        <v/>
      </c>
      <c r="F514" s="332" t="str">
        <f>IF(Data!J511="","",Data!J511)</f>
        <v>VIII-M</v>
      </c>
      <c r="G514" s="326" t="str">
        <f>IF(PA!G516="","",PA!G516)</f>
        <v/>
      </c>
      <c r="H514" s="327" t="str">
        <f>IF(PA!H516="","",PA!H516)</f>
        <v/>
      </c>
      <c r="I514" s="327" t="str">
        <f>IF(PA!I516="","",PA!I516)</f>
        <v/>
      </c>
      <c r="J514" s="327" t="str">
        <f>IF(PA!AA516="","",PA!AA516)</f>
        <v/>
      </c>
      <c r="K514" s="327" t="str">
        <f>IF(PA!AB516="","",PA!AB516)</f>
        <v/>
      </c>
      <c r="L514" s="327" t="str">
        <f>IF(PA!AC516="","",PA!AC516)</f>
        <v/>
      </c>
      <c r="M514" s="328" t="str">
        <f>IF(PA!P516="","",PA!P516)</f>
        <v/>
      </c>
    </row>
    <row r="515" spans="1:13" ht="14.4" x14ac:dyDescent="0.3">
      <c r="A515" s="329">
        <f>Data!E512</f>
        <v>28</v>
      </c>
      <c r="B515" s="330" t="str">
        <f>IF(Data!F512="","",Data!F512)</f>
        <v/>
      </c>
      <c r="C515" s="330" t="str">
        <f>IF(Data!G512="","",Data!G512)</f>
        <v/>
      </c>
      <c r="D515" s="331" t="str">
        <f>IF(Data!H512="","",Data!H512)</f>
        <v/>
      </c>
      <c r="E515" s="330" t="str">
        <f>IF(Data!I512="","",Data!I512)</f>
        <v/>
      </c>
      <c r="F515" s="332" t="str">
        <f>IF(Data!J512="","",Data!J512)</f>
        <v>VIII-M</v>
      </c>
      <c r="G515" s="326" t="str">
        <f>IF(PA!G517="","",PA!G517)</f>
        <v/>
      </c>
      <c r="H515" s="327" t="str">
        <f>IF(PA!H517="","",PA!H517)</f>
        <v/>
      </c>
      <c r="I515" s="327" t="str">
        <f>IF(PA!I517="","",PA!I517)</f>
        <v/>
      </c>
      <c r="J515" s="327" t="str">
        <f>IF(PA!AA517="","",PA!AA517)</f>
        <v/>
      </c>
      <c r="K515" s="327" t="str">
        <f>IF(PA!AB517="","",PA!AB517)</f>
        <v/>
      </c>
      <c r="L515" s="327" t="str">
        <f>IF(PA!AC517="","",PA!AC517)</f>
        <v/>
      </c>
      <c r="M515" s="328" t="str">
        <f>IF(PA!P517="","",PA!P517)</f>
        <v/>
      </c>
    </row>
    <row r="516" spans="1:13" ht="14.4" x14ac:dyDescent="0.3">
      <c r="A516" s="329">
        <f>Data!E513</f>
        <v>29</v>
      </c>
      <c r="B516" s="330" t="str">
        <f>IF(Data!F513="","",Data!F513)</f>
        <v/>
      </c>
      <c r="C516" s="330" t="str">
        <f>IF(Data!G513="","",Data!G513)</f>
        <v/>
      </c>
      <c r="D516" s="331" t="str">
        <f>IF(Data!H513="","",Data!H513)</f>
        <v/>
      </c>
      <c r="E516" s="330" t="str">
        <f>IF(Data!I513="","",Data!I513)</f>
        <v/>
      </c>
      <c r="F516" s="332" t="str">
        <f>IF(Data!J513="","",Data!J513)</f>
        <v>VIII-M</v>
      </c>
      <c r="G516" s="326" t="str">
        <f>IF(PA!G518="","",PA!G518)</f>
        <v/>
      </c>
      <c r="H516" s="327" t="str">
        <f>IF(PA!H518="","",PA!H518)</f>
        <v/>
      </c>
      <c r="I516" s="327" t="str">
        <f>IF(PA!I518="","",PA!I518)</f>
        <v/>
      </c>
      <c r="J516" s="327" t="str">
        <f>IF(PA!AA518="","",PA!AA518)</f>
        <v/>
      </c>
      <c r="K516" s="327" t="str">
        <f>IF(PA!AB518="","",PA!AB518)</f>
        <v/>
      </c>
      <c r="L516" s="327" t="str">
        <f>IF(PA!AC518="","",PA!AC518)</f>
        <v/>
      </c>
      <c r="M516" s="328" t="str">
        <f>IF(PA!P518="","",PA!P518)</f>
        <v/>
      </c>
    </row>
    <row r="517" spans="1:13" ht="14.4" x14ac:dyDescent="0.3">
      <c r="A517" s="329">
        <f>Data!E514</f>
        <v>30</v>
      </c>
      <c r="B517" s="330" t="str">
        <f>IF(Data!F514="","",Data!F514)</f>
        <v/>
      </c>
      <c r="C517" s="330" t="str">
        <f>IF(Data!G514="","",Data!G514)</f>
        <v/>
      </c>
      <c r="D517" s="331" t="str">
        <f>IF(Data!H514="","",Data!H514)</f>
        <v/>
      </c>
      <c r="E517" s="330" t="str">
        <f>IF(Data!I514="","",Data!I514)</f>
        <v/>
      </c>
      <c r="F517" s="332" t="str">
        <f>IF(Data!J514="","",Data!J514)</f>
        <v>VIII-M</v>
      </c>
      <c r="G517" s="326" t="str">
        <f>IF(PA!G519="","",PA!G519)</f>
        <v/>
      </c>
      <c r="H517" s="327" t="str">
        <f>IF(PA!H519="","",PA!H519)</f>
        <v/>
      </c>
      <c r="I517" s="327" t="str">
        <f>IF(PA!I519="","",PA!I519)</f>
        <v/>
      </c>
      <c r="J517" s="327" t="str">
        <f>IF(PA!AA519="","",PA!AA519)</f>
        <v/>
      </c>
      <c r="K517" s="327" t="str">
        <f>IF(PA!AB519="","",PA!AB519)</f>
        <v/>
      </c>
      <c r="L517" s="327" t="str">
        <f>IF(PA!AC519="","",PA!AC519)</f>
        <v/>
      </c>
      <c r="M517" s="328" t="str">
        <f>IF(PA!P519="","",PA!P519)</f>
        <v/>
      </c>
    </row>
    <row r="518" spans="1:13" ht="14.4" x14ac:dyDescent="0.3">
      <c r="A518" s="329">
        <f>Data!E515</f>
        <v>31</v>
      </c>
      <c r="B518" s="330" t="str">
        <f>IF(Data!F515="","",Data!F515)</f>
        <v/>
      </c>
      <c r="C518" s="330" t="str">
        <f>IF(Data!G515="","",Data!G515)</f>
        <v/>
      </c>
      <c r="D518" s="331" t="str">
        <f>IF(Data!H515="","",Data!H515)</f>
        <v/>
      </c>
      <c r="E518" s="330" t="str">
        <f>IF(Data!I515="","",Data!I515)</f>
        <v/>
      </c>
      <c r="F518" s="332" t="str">
        <f>IF(Data!J515="","",Data!J515)</f>
        <v>VIII-M</v>
      </c>
      <c r="G518" s="326" t="str">
        <f>IF(PA!G520="","",PA!G520)</f>
        <v/>
      </c>
      <c r="H518" s="327" t="str">
        <f>IF(PA!H520="","",PA!H520)</f>
        <v/>
      </c>
      <c r="I518" s="327" t="str">
        <f>IF(PA!I520="","",PA!I520)</f>
        <v/>
      </c>
      <c r="J518" s="327" t="str">
        <f>IF(PA!AA520="","",PA!AA520)</f>
        <v/>
      </c>
      <c r="K518" s="327" t="str">
        <f>IF(PA!AB520="","",PA!AB520)</f>
        <v/>
      </c>
      <c r="L518" s="327" t="str">
        <f>IF(PA!AC520="","",PA!AC520)</f>
        <v/>
      </c>
      <c r="M518" s="328" t="str">
        <f>IF(PA!P520="","",PA!P520)</f>
        <v/>
      </c>
    </row>
    <row r="519" spans="1:13" ht="14.4" x14ac:dyDescent="0.3">
      <c r="A519" s="329">
        <f>Data!E516</f>
        <v>32</v>
      </c>
      <c r="B519" s="330" t="str">
        <f>IF(Data!F516="","",Data!F516)</f>
        <v/>
      </c>
      <c r="C519" s="330" t="str">
        <f>IF(Data!G516="","",Data!G516)</f>
        <v/>
      </c>
      <c r="D519" s="331" t="str">
        <f>IF(Data!H516="","",Data!H516)</f>
        <v/>
      </c>
      <c r="E519" s="330" t="str">
        <f>IF(Data!I516="","",Data!I516)</f>
        <v/>
      </c>
      <c r="F519" s="332" t="str">
        <f>IF(Data!J516="","",Data!J516)</f>
        <v>VIII-M</v>
      </c>
      <c r="G519" s="326" t="str">
        <f>IF(PA!G521="","",PA!G521)</f>
        <v/>
      </c>
      <c r="H519" s="327" t="str">
        <f>IF(PA!H521="","",PA!H521)</f>
        <v/>
      </c>
      <c r="I519" s="327" t="str">
        <f>IF(PA!I521="","",PA!I521)</f>
        <v/>
      </c>
      <c r="J519" s="327" t="str">
        <f>IF(PA!AA521="","",PA!AA521)</f>
        <v/>
      </c>
      <c r="K519" s="327" t="str">
        <f>IF(PA!AB521="","",PA!AB521)</f>
        <v/>
      </c>
      <c r="L519" s="327" t="str">
        <f>IF(PA!AC521="","",PA!AC521)</f>
        <v/>
      </c>
      <c r="M519" s="328" t="str">
        <f>IF(PA!P521="","",PA!P521)</f>
        <v/>
      </c>
    </row>
    <row r="520" spans="1:13" ht="14.4" x14ac:dyDescent="0.3">
      <c r="A520" s="329">
        <f>Data!E517</f>
        <v>33</v>
      </c>
      <c r="B520" s="330" t="str">
        <f>IF(Data!F517="","",Data!F517)</f>
        <v/>
      </c>
      <c r="C520" s="330" t="str">
        <f>IF(Data!G517="","",Data!G517)</f>
        <v/>
      </c>
      <c r="D520" s="331" t="str">
        <f>IF(Data!H517="","",Data!H517)</f>
        <v/>
      </c>
      <c r="E520" s="330" t="str">
        <f>IF(Data!I517="","",Data!I517)</f>
        <v/>
      </c>
      <c r="F520" s="332" t="str">
        <f>IF(Data!J517="","",Data!J517)</f>
        <v>VIII-M</v>
      </c>
      <c r="G520" s="326" t="str">
        <f>IF(PA!G522="","",PA!G522)</f>
        <v/>
      </c>
      <c r="H520" s="327" t="str">
        <f>IF(PA!H522="","",PA!H522)</f>
        <v/>
      </c>
      <c r="I520" s="327" t="str">
        <f>IF(PA!I522="","",PA!I522)</f>
        <v/>
      </c>
      <c r="J520" s="327" t="str">
        <f>IF(PA!AA522="","",PA!AA522)</f>
        <v/>
      </c>
      <c r="K520" s="327" t="str">
        <f>IF(PA!AB522="","",PA!AB522)</f>
        <v/>
      </c>
      <c r="L520" s="327" t="str">
        <f>IF(PA!AC522="","",PA!AC522)</f>
        <v/>
      </c>
      <c r="M520" s="328" t="str">
        <f>IF(PA!P522="","",PA!P522)</f>
        <v/>
      </c>
    </row>
    <row r="521" spans="1:13" ht="14.4" x14ac:dyDescent="0.3">
      <c r="A521" s="329">
        <f>Data!E518</f>
        <v>34</v>
      </c>
      <c r="B521" s="330" t="str">
        <f>IF(Data!F518="","",Data!F518)</f>
        <v/>
      </c>
      <c r="C521" s="330" t="str">
        <f>IF(Data!G518="","",Data!G518)</f>
        <v/>
      </c>
      <c r="D521" s="331" t="str">
        <f>IF(Data!H518="","",Data!H518)</f>
        <v/>
      </c>
      <c r="E521" s="330" t="str">
        <f>IF(Data!I518="","",Data!I518)</f>
        <v/>
      </c>
      <c r="F521" s="332" t="str">
        <f>IF(Data!J518="","",Data!J518)</f>
        <v>VIII-M</v>
      </c>
      <c r="G521" s="326" t="str">
        <f>IF(PA!G523="","",PA!G523)</f>
        <v/>
      </c>
      <c r="H521" s="327" t="str">
        <f>IF(PA!H523="","",PA!H523)</f>
        <v/>
      </c>
      <c r="I521" s="327" t="str">
        <f>IF(PA!I523="","",PA!I523)</f>
        <v/>
      </c>
      <c r="J521" s="327" t="str">
        <f>IF(PA!AA523="","",PA!AA523)</f>
        <v/>
      </c>
      <c r="K521" s="327" t="str">
        <f>IF(PA!AB523="","",PA!AB523)</f>
        <v/>
      </c>
      <c r="L521" s="327" t="str">
        <f>IF(PA!AC523="","",PA!AC523)</f>
        <v/>
      </c>
      <c r="M521" s="328" t="str">
        <f>IF(PA!P523="","",PA!P523)</f>
        <v/>
      </c>
    </row>
    <row r="522" spans="1:13" ht="14.4" x14ac:dyDescent="0.3">
      <c r="A522" s="329">
        <f>Data!E519</f>
        <v>35</v>
      </c>
      <c r="B522" s="330" t="str">
        <f>IF(Data!F519="","",Data!F519)</f>
        <v/>
      </c>
      <c r="C522" s="330" t="str">
        <f>IF(Data!G519="","",Data!G519)</f>
        <v/>
      </c>
      <c r="D522" s="331" t="str">
        <f>IF(Data!H519="","",Data!H519)</f>
        <v/>
      </c>
      <c r="E522" s="330" t="str">
        <f>IF(Data!I519="","",Data!I519)</f>
        <v/>
      </c>
      <c r="F522" s="332" t="str">
        <f>IF(Data!J519="","",Data!J519)</f>
        <v>VIII-M</v>
      </c>
      <c r="G522" s="326" t="str">
        <f>IF(PA!G524="","",PA!G524)</f>
        <v/>
      </c>
      <c r="H522" s="327" t="str">
        <f>IF(PA!H524="","",PA!H524)</f>
        <v/>
      </c>
      <c r="I522" s="327" t="str">
        <f>IF(PA!I524="","",PA!I524)</f>
        <v/>
      </c>
      <c r="J522" s="327" t="str">
        <f>IF(PA!AA524="","",PA!AA524)</f>
        <v/>
      </c>
      <c r="K522" s="327" t="str">
        <f>IF(PA!AB524="","",PA!AB524)</f>
        <v/>
      </c>
      <c r="L522" s="327" t="str">
        <f>IF(PA!AC524="","",PA!AC524)</f>
        <v/>
      </c>
      <c r="M522" s="328" t="str">
        <f>IF(PA!P524="","",PA!P524)</f>
        <v/>
      </c>
    </row>
    <row r="523" spans="1:13" ht="14.4" x14ac:dyDescent="0.3">
      <c r="A523" s="329">
        <f>Data!E520</f>
        <v>36</v>
      </c>
      <c r="B523" s="330" t="str">
        <f>IF(Data!F520="","",Data!F520)</f>
        <v/>
      </c>
      <c r="C523" s="330" t="str">
        <f>IF(Data!G520="","",Data!G520)</f>
        <v/>
      </c>
      <c r="D523" s="331" t="str">
        <f>IF(Data!H520="","",Data!H520)</f>
        <v/>
      </c>
      <c r="E523" s="330" t="str">
        <f>IF(Data!I520="","",Data!I520)</f>
        <v/>
      </c>
      <c r="F523" s="332" t="str">
        <f>IF(Data!J520="","",Data!J520)</f>
        <v>VIII-M</v>
      </c>
      <c r="G523" s="326" t="str">
        <f>IF(PA!G525="","",PA!G525)</f>
        <v/>
      </c>
      <c r="H523" s="327" t="str">
        <f>IF(PA!H525="","",PA!H525)</f>
        <v/>
      </c>
      <c r="I523" s="327" t="str">
        <f>IF(PA!I525="","",PA!I525)</f>
        <v/>
      </c>
      <c r="J523" s="327" t="str">
        <f>IF(PA!AA525="","",PA!AA525)</f>
        <v/>
      </c>
      <c r="K523" s="327" t="str">
        <f>IF(PA!AB525="","",PA!AB525)</f>
        <v/>
      </c>
      <c r="L523" s="327" t="str">
        <f>IF(PA!AC525="","",PA!AC525)</f>
        <v/>
      </c>
      <c r="M523" s="328" t="str">
        <f>IF(PA!P525="","",PA!P525)</f>
        <v/>
      </c>
    </row>
    <row r="524" spans="1:13" ht="14.4" x14ac:dyDescent="0.3">
      <c r="A524" s="329">
        <f>Data!E521</f>
        <v>37</v>
      </c>
      <c r="B524" s="330" t="str">
        <f>IF(Data!F521="","",Data!F521)</f>
        <v/>
      </c>
      <c r="C524" s="330" t="str">
        <f>IF(Data!G521="","",Data!G521)</f>
        <v/>
      </c>
      <c r="D524" s="331" t="str">
        <f>IF(Data!H521="","",Data!H521)</f>
        <v/>
      </c>
      <c r="E524" s="330" t="str">
        <f>IF(Data!I521="","",Data!I521)</f>
        <v/>
      </c>
      <c r="F524" s="332" t="str">
        <f>IF(Data!J521="","",Data!J521)</f>
        <v>VIII-M</v>
      </c>
      <c r="G524" s="326" t="str">
        <f>IF(PA!G526="","",PA!G526)</f>
        <v/>
      </c>
      <c r="H524" s="327" t="str">
        <f>IF(PA!H526="","",PA!H526)</f>
        <v/>
      </c>
      <c r="I524" s="327" t="str">
        <f>IF(PA!I526="","",PA!I526)</f>
        <v/>
      </c>
      <c r="J524" s="327" t="str">
        <f>IF(PA!AA526="","",PA!AA526)</f>
        <v/>
      </c>
      <c r="K524" s="327" t="str">
        <f>IF(PA!AB526="","",PA!AB526)</f>
        <v/>
      </c>
      <c r="L524" s="327" t="str">
        <f>IF(PA!AC526="","",PA!AC526)</f>
        <v/>
      </c>
      <c r="M524" s="328" t="str">
        <f>IF(PA!P526="","",PA!P526)</f>
        <v/>
      </c>
    </row>
    <row r="525" spans="1:13" ht="14.4" x14ac:dyDescent="0.3">
      <c r="A525" s="329">
        <f>Data!E522</f>
        <v>38</v>
      </c>
      <c r="B525" s="330" t="str">
        <f>IF(Data!F522="","",Data!F522)</f>
        <v/>
      </c>
      <c r="C525" s="330" t="str">
        <f>IF(Data!G522="","",Data!G522)</f>
        <v/>
      </c>
      <c r="D525" s="331" t="str">
        <f>IF(Data!H522="","",Data!H522)</f>
        <v/>
      </c>
      <c r="E525" s="330" t="str">
        <f>IF(Data!I522="","",Data!I522)</f>
        <v/>
      </c>
      <c r="F525" s="332" t="str">
        <f>IF(Data!J522="","",Data!J522)</f>
        <v>VIII-M</v>
      </c>
      <c r="G525" s="326" t="str">
        <f>IF(PA!G527="","",PA!G527)</f>
        <v/>
      </c>
      <c r="H525" s="327" t="str">
        <f>IF(PA!H527="","",PA!H527)</f>
        <v/>
      </c>
      <c r="I525" s="327" t="str">
        <f>IF(PA!I527="","",PA!I527)</f>
        <v/>
      </c>
      <c r="J525" s="327" t="str">
        <f>IF(PA!AA527="","",PA!AA527)</f>
        <v/>
      </c>
      <c r="K525" s="327" t="str">
        <f>IF(PA!AB527="","",PA!AB527)</f>
        <v/>
      </c>
      <c r="L525" s="327" t="str">
        <f>IF(PA!AC527="","",PA!AC527)</f>
        <v/>
      </c>
      <c r="M525" s="328" t="str">
        <f>IF(PA!P527="","",PA!P527)</f>
        <v/>
      </c>
    </row>
    <row r="526" spans="1:13" ht="14.4" x14ac:dyDescent="0.3">
      <c r="A526" s="329">
        <f>Data!E523</f>
        <v>39</v>
      </c>
      <c r="B526" s="330" t="str">
        <f>IF(Data!F523="","",Data!F523)</f>
        <v/>
      </c>
      <c r="C526" s="330" t="str">
        <f>IF(Data!G523="","",Data!G523)</f>
        <v/>
      </c>
      <c r="D526" s="331" t="str">
        <f>IF(Data!H523="","",Data!H523)</f>
        <v/>
      </c>
      <c r="E526" s="330" t="str">
        <f>IF(Data!I523="","",Data!I523)</f>
        <v/>
      </c>
      <c r="F526" s="332" t="str">
        <f>IF(Data!J523="","",Data!J523)</f>
        <v>VIII-M</v>
      </c>
      <c r="G526" s="326" t="str">
        <f>IF(PA!G528="","",PA!G528)</f>
        <v/>
      </c>
      <c r="H526" s="327" t="str">
        <f>IF(PA!H528="","",PA!H528)</f>
        <v/>
      </c>
      <c r="I526" s="327" t="str">
        <f>IF(PA!I528="","",PA!I528)</f>
        <v/>
      </c>
      <c r="J526" s="327" t="str">
        <f>IF(PA!AA528="","",PA!AA528)</f>
        <v/>
      </c>
      <c r="K526" s="327" t="str">
        <f>IF(PA!AB528="","",PA!AB528)</f>
        <v/>
      </c>
      <c r="L526" s="327" t="str">
        <f>IF(PA!AC528="","",PA!AC528)</f>
        <v/>
      </c>
      <c r="M526" s="328" t="str">
        <f>IF(PA!P528="","",PA!P528)</f>
        <v/>
      </c>
    </row>
    <row r="527" spans="1:13" ht="14.4" x14ac:dyDescent="0.3">
      <c r="A527" s="329">
        <f>Data!E524</f>
        <v>40</v>
      </c>
      <c r="B527" s="330" t="str">
        <f>IF(Data!F524="","",Data!F524)</f>
        <v/>
      </c>
      <c r="C527" s="330" t="str">
        <f>IF(Data!G524="","",Data!G524)</f>
        <v/>
      </c>
      <c r="D527" s="331" t="str">
        <f>IF(Data!H524="","",Data!H524)</f>
        <v/>
      </c>
      <c r="E527" s="330" t="str">
        <f>IF(Data!I524="","",Data!I524)</f>
        <v/>
      </c>
      <c r="F527" s="332" t="str">
        <f>IF(Data!J524="","",Data!J524)</f>
        <v>VIII-M</v>
      </c>
      <c r="G527" s="326" t="str">
        <f>IF(PA!G529="","",PA!G529)</f>
        <v/>
      </c>
      <c r="H527" s="327" t="str">
        <f>IF(PA!H529="","",PA!H529)</f>
        <v/>
      </c>
      <c r="I527" s="327" t="str">
        <f>IF(PA!I529="","",PA!I529)</f>
        <v/>
      </c>
      <c r="J527" s="327" t="str">
        <f>IF(PA!AA529="","",PA!AA529)</f>
        <v/>
      </c>
      <c r="K527" s="327" t="str">
        <f>IF(PA!AB529="","",PA!AB529)</f>
        <v/>
      </c>
      <c r="L527" s="327" t="str">
        <f>IF(PA!AC529="","",PA!AC529)</f>
        <v/>
      </c>
      <c r="M527" s="328" t="str">
        <f>IF(PA!P529="","",PA!P529)</f>
        <v/>
      </c>
    </row>
  </sheetData>
  <sheetProtection autoFilter="0"/>
  <autoFilter ref="F7:F527" xr:uid="{00000000-0009-0000-0000-000006000000}"/>
  <mergeCells count="11">
    <mergeCell ref="A1:M1"/>
    <mergeCell ref="M5:M6"/>
    <mergeCell ref="G5:I5"/>
    <mergeCell ref="J5:L5"/>
    <mergeCell ref="G4:M4"/>
    <mergeCell ref="F4:F6"/>
    <mergeCell ref="A4:A6"/>
    <mergeCell ref="B4:B6"/>
    <mergeCell ref="C4:C6"/>
    <mergeCell ref="D4:D6"/>
    <mergeCell ref="E4:E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E41"/>
  <sheetViews>
    <sheetView showGridLines="0" showRowColHeaders="0" zoomScale="110" zoomScaleNormal="110" workbookViewId="0">
      <selection activeCell="C34" sqref="C34"/>
    </sheetView>
  </sheetViews>
  <sheetFormatPr defaultColWidth="0" defaultRowHeight="16.5" customHeight="1" zeroHeight="1" x14ac:dyDescent="0.3"/>
  <cols>
    <col min="1" max="1" width="1.5546875" style="15" customWidth="1"/>
    <col min="2" max="2" width="3.109375" style="15" customWidth="1"/>
    <col min="3" max="3" width="70.6640625" style="15" customWidth="1"/>
    <col min="4" max="4" width="2.33203125" style="133" customWidth="1"/>
    <col min="5" max="5" width="6.5546875" style="15" hidden="1" customWidth="1"/>
    <col min="6" max="16384" width="9.109375" style="15" hidden="1"/>
  </cols>
  <sheetData>
    <row r="1" spans="2:4" ht="8.25" customHeight="1" x14ac:dyDescent="0.3"/>
    <row r="2" spans="2:4" ht="20.25" customHeight="1" x14ac:dyDescent="0.3">
      <c r="B2" s="279" t="s">
        <v>93</v>
      </c>
      <c r="C2" s="280"/>
      <c r="D2"/>
    </row>
    <row r="3" spans="2:4" ht="20.25" customHeight="1" thickBot="1" x14ac:dyDescent="0.35">
      <c r="B3" s="312"/>
      <c r="C3" s="282"/>
      <c r="D3"/>
    </row>
    <row r="4" spans="2:4" ht="36.75" customHeight="1" thickTop="1" x14ac:dyDescent="0.3">
      <c r="B4" s="593" t="s">
        <v>151</v>
      </c>
      <c r="C4" s="594"/>
      <c r="D4"/>
    </row>
    <row r="5" spans="2:4" ht="20.25" customHeight="1" thickBot="1" x14ac:dyDescent="0.35">
      <c r="B5" s="595"/>
      <c r="C5" s="596"/>
      <c r="D5"/>
    </row>
    <row r="6" spans="2:4" ht="16.5" customHeight="1" thickTop="1" x14ac:dyDescent="0.3">
      <c r="B6" s="281" t="s">
        <v>94</v>
      </c>
      <c r="C6" s="282"/>
      <c r="D6" s="134"/>
    </row>
    <row r="7" spans="2:4" ht="16.5" customHeight="1" x14ac:dyDescent="0.3">
      <c r="B7" s="298" t="s">
        <v>147</v>
      </c>
      <c r="C7" s="299" t="s">
        <v>146</v>
      </c>
      <c r="D7" s="134"/>
    </row>
    <row r="8" spans="2:4" ht="16.5" customHeight="1" x14ac:dyDescent="0.3">
      <c r="B8" s="283" t="s">
        <v>42</v>
      </c>
      <c r="C8" s="282" t="s">
        <v>103</v>
      </c>
      <c r="D8" s="15"/>
    </row>
    <row r="9" spans="2:4" ht="16.5" customHeight="1" x14ac:dyDescent="0.3">
      <c r="B9" s="283"/>
      <c r="C9" s="282" t="s">
        <v>143</v>
      </c>
      <c r="D9" s="15"/>
    </row>
    <row r="10" spans="2:4" ht="16.5" customHeight="1" x14ac:dyDescent="0.3">
      <c r="B10" s="283" t="s">
        <v>43</v>
      </c>
      <c r="C10" s="592" t="s">
        <v>142</v>
      </c>
      <c r="D10" s="284"/>
    </row>
    <row r="11" spans="2:4" ht="16.5" customHeight="1" x14ac:dyDescent="0.3">
      <c r="B11" s="283"/>
      <c r="C11" s="592"/>
      <c r="D11" s="284"/>
    </row>
    <row r="12" spans="2:4" ht="16.5" customHeight="1" x14ac:dyDescent="0.3">
      <c r="B12" s="283"/>
      <c r="C12" s="592"/>
      <c r="D12" s="284"/>
    </row>
    <row r="13" spans="2:4" ht="16.5" customHeight="1" x14ac:dyDescent="0.3">
      <c r="B13" s="283"/>
      <c r="C13" s="592"/>
      <c r="D13" s="284"/>
    </row>
    <row r="14" spans="2:4" ht="16.5" customHeight="1" x14ac:dyDescent="0.3">
      <c r="B14" s="283" t="s">
        <v>44</v>
      </c>
      <c r="C14" s="592" t="s">
        <v>138</v>
      </c>
      <c r="D14" s="284"/>
    </row>
    <row r="15" spans="2:4" ht="16.5" customHeight="1" x14ac:dyDescent="0.3">
      <c r="B15" s="283"/>
      <c r="C15" s="592"/>
      <c r="D15" s="284"/>
    </row>
    <row r="16" spans="2:4" ht="16.5" customHeight="1" x14ac:dyDescent="0.3">
      <c r="B16" s="283" t="s">
        <v>45</v>
      </c>
      <c r="C16" s="282" t="s">
        <v>95</v>
      </c>
      <c r="D16" s="284"/>
    </row>
    <row r="17" spans="2:4" ht="16.5" customHeight="1" x14ac:dyDescent="0.3">
      <c r="B17" s="283"/>
      <c r="C17" s="282" t="s">
        <v>96</v>
      </c>
      <c r="D17" s="284"/>
    </row>
    <row r="18" spans="2:4" ht="16.5" customHeight="1" x14ac:dyDescent="0.3">
      <c r="B18" s="283" t="s">
        <v>46</v>
      </c>
      <c r="C18" s="282" t="s">
        <v>97</v>
      </c>
      <c r="D18" s="284"/>
    </row>
    <row r="19" spans="2:4" ht="16.5" customHeight="1" x14ac:dyDescent="0.3">
      <c r="B19" s="283"/>
      <c r="C19" s="282" t="s">
        <v>98</v>
      </c>
      <c r="D19" s="284"/>
    </row>
    <row r="20" spans="2:4" ht="16.5" customHeight="1" x14ac:dyDescent="0.3">
      <c r="B20" s="283" t="s">
        <v>47</v>
      </c>
      <c r="C20" s="282" t="s">
        <v>99</v>
      </c>
      <c r="D20" s="284"/>
    </row>
    <row r="21" spans="2:4" ht="16.5" customHeight="1" x14ac:dyDescent="0.3">
      <c r="B21" s="283"/>
      <c r="C21" s="282" t="s">
        <v>139</v>
      </c>
      <c r="D21" s="284"/>
    </row>
    <row r="22" spans="2:4" ht="16.5" customHeight="1" x14ac:dyDescent="0.3">
      <c r="B22" s="283"/>
      <c r="C22" s="282" t="s">
        <v>140</v>
      </c>
      <c r="D22" s="284"/>
    </row>
    <row r="23" spans="2:4" ht="16.5" customHeight="1" x14ac:dyDescent="0.3">
      <c r="B23" s="283" t="s">
        <v>48</v>
      </c>
      <c r="C23" s="282" t="s">
        <v>141</v>
      </c>
      <c r="D23" s="284"/>
    </row>
    <row r="24" spans="2:4" ht="16.5" customHeight="1" x14ac:dyDescent="0.3">
      <c r="B24" s="283"/>
      <c r="C24" s="282" t="s">
        <v>100</v>
      </c>
      <c r="D24" s="284"/>
    </row>
    <row r="25" spans="2:4" ht="16.5" customHeight="1" x14ac:dyDescent="0.3">
      <c r="B25" s="283"/>
      <c r="C25" s="282" t="s">
        <v>101</v>
      </c>
      <c r="D25" s="284"/>
    </row>
    <row r="26" spans="2:4" ht="16.5" customHeight="1" x14ac:dyDescent="0.3">
      <c r="B26" s="283"/>
      <c r="C26" s="282" t="s">
        <v>102</v>
      </c>
      <c r="D26" s="284"/>
    </row>
    <row r="27" spans="2:4" ht="16.5" customHeight="1" x14ac:dyDescent="0.3">
      <c r="B27" s="283" t="s">
        <v>49</v>
      </c>
      <c r="C27" s="285" t="s">
        <v>152</v>
      </c>
      <c r="D27" s="284"/>
    </row>
    <row r="28" spans="2:4" ht="16.5" customHeight="1" x14ac:dyDescent="0.3">
      <c r="B28" s="283"/>
      <c r="C28" s="313" t="s">
        <v>155</v>
      </c>
      <c r="D28" s="284"/>
    </row>
    <row r="29" spans="2:4" ht="16.5" customHeight="1" x14ac:dyDescent="0.3">
      <c r="B29" s="283"/>
      <c r="C29" s="313" t="s">
        <v>158</v>
      </c>
      <c r="D29" s="284"/>
    </row>
    <row r="30" spans="2:4" ht="16.5" customHeight="1" x14ac:dyDescent="0.3">
      <c r="B30" s="283"/>
      <c r="C30" s="313" t="s">
        <v>153</v>
      </c>
      <c r="D30" s="284"/>
    </row>
    <row r="31" spans="2:4" ht="16.5" customHeight="1" x14ac:dyDescent="0.3">
      <c r="B31" s="283"/>
      <c r="C31" s="313" t="s">
        <v>154</v>
      </c>
      <c r="D31" s="284"/>
    </row>
    <row r="32" spans="2:4" ht="16.5" customHeight="1" x14ac:dyDescent="0.3">
      <c r="B32" s="283"/>
      <c r="C32" s="282" t="s">
        <v>156</v>
      </c>
      <c r="D32" s="284"/>
    </row>
    <row r="33" spans="2:4" ht="16.5" customHeight="1" x14ac:dyDescent="0.3">
      <c r="B33" s="283"/>
      <c r="C33" s="282" t="s">
        <v>157</v>
      </c>
      <c r="D33" s="284"/>
    </row>
    <row r="34" spans="2:4" ht="16.5" customHeight="1" x14ac:dyDescent="0.3">
      <c r="B34" s="283" t="s">
        <v>159</v>
      </c>
      <c r="C34" s="285" t="s">
        <v>160</v>
      </c>
      <c r="D34" s="284"/>
    </row>
    <row r="35" spans="2:4" ht="10.5" customHeight="1" x14ac:dyDescent="0.3">
      <c r="D35" s="284"/>
    </row>
    <row r="36" spans="2:4" ht="16.5" hidden="1" customHeight="1" x14ac:dyDescent="0.3">
      <c r="D36" s="284"/>
    </row>
    <row r="37" spans="2:4" ht="16.5" hidden="1" customHeight="1" x14ac:dyDescent="0.3">
      <c r="D37" s="284"/>
    </row>
    <row r="38" spans="2:4" ht="16.5" hidden="1" customHeight="1" x14ac:dyDescent="0.3">
      <c r="D38" s="284"/>
    </row>
    <row r="39" spans="2:4" ht="16.5" hidden="1" customHeight="1" x14ac:dyDescent="0.3">
      <c r="D39" s="284"/>
    </row>
    <row r="40" spans="2:4" ht="16.5" hidden="1" customHeight="1" x14ac:dyDescent="0.3">
      <c r="D40" s="284"/>
    </row>
    <row r="41" spans="2:4" ht="16.5" hidden="1" customHeight="1" x14ac:dyDescent="0.3">
      <c r="D41" s="284"/>
    </row>
  </sheetData>
  <sheetProtection algorithmName="SHA-512" hashValue="dcfZNj0Hfpm3yAgzzYHPhq2ylox+w322Mdf3mdEfAMCpteocPQ0F1wiq5IKtbSlxAN31R+oGzTQ1tVlPqPKwjQ==" saltValue="rqjfNKsNMHiGHCVBP4OT3w==" spinCount="100000" sheet="1" objects="1" scenarios="1" selectLockedCells="1"/>
  <mergeCells count="3">
    <mergeCell ref="C10:C13"/>
    <mergeCell ref="C14:C15"/>
    <mergeCell ref="B4:C5"/>
  </mergeCells>
  <pageMargins left="0.59" right="0.7" top="0.52" bottom="0.75" header="0.3" footer="0.3"/>
  <pageSetup paperSize="9" orientation="portrait"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Sheet1</vt:lpstr>
      <vt:lpstr>Data</vt:lpstr>
      <vt:lpstr>Data2</vt:lpstr>
      <vt:lpstr>PA-Non</vt:lpstr>
      <vt:lpstr>PA</vt:lpstr>
      <vt:lpstr>DKN (2)</vt:lpstr>
      <vt:lpstr>Leger Mid</vt:lpstr>
      <vt:lpstr>Help</vt:lpstr>
      <vt:lpstr>Data2!Print_Area</vt:lpstr>
      <vt:lpstr>'DKN (2)'!Print_Area</vt:lpstr>
      <vt:lpstr>Help!Print_Area</vt:lpstr>
      <vt:lpstr>PA!Print_Area</vt:lpstr>
      <vt:lpstr>'DKN (2)'!Print_Titles</vt:lpstr>
      <vt:lpstr>PA!Print_Titles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Talta</dc:creator>
  <cp:lastModifiedBy>AHMAD HASAN</cp:lastModifiedBy>
  <cp:lastPrinted>2016-05-03T12:53:48Z</cp:lastPrinted>
  <dcterms:created xsi:type="dcterms:W3CDTF">2014-10-18T05:34:37Z</dcterms:created>
  <dcterms:modified xsi:type="dcterms:W3CDTF">2026-10-06T01:47:00Z</dcterms:modified>
</cp:coreProperties>
</file>